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ocuments\GitHub\tablero-milicic\"/>
    </mc:Choice>
  </mc:AlternateContent>
  <xr:revisionPtr revIDLastSave="0" documentId="8_{86284C1F-6CD6-4E48-8F1B-7600C4C274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Hoja1" sheetId="3" r:id="rId2"/>
  </sheets>
  <definedNames>
    <definedName name="_xlnm._FilterDatabase" localSheetId="0" hidden="1">Data!$A$1:$S$2526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 a="1"/>
  <c r="Q4" i="1" a="1"/>
  <c r="Q5" i="1" a="1"/>
  <c r="Q6" i="1" a="1"/>
  <c r="Q7" i="1" a="1"/>
  <c r="Q8" i="1" a="1"/>
  <c r="Q9" i="1" a="1"/>
  <c r="Q10" i="1" a="1"/>
  <c r="Q11" i="1" a="1"/>
  <c r="Q12" i="1" a="1"/>
  <c r="Q13" i="1" a="1"/>
  <c r="Q14" i="1" a="1"/>
  <c r="Q15" i="1" a="1"/>
  <c r="Q16" i="1" a="1"/>
  <c r="Q17" i="1" a="1"/>
  <c r="Q18" i="1" a="1"/>
  <c r="Q19" i="1" a="1"/>
  <c r="Q20" i="1" a="1"/>
  <c r="Q21" i="1" a="1"/>
  <c r="Q22" i="1" a="1"/>
  <c r="Q23" i="1" a="1"/>
  <c r="Q24" i="1" a="1"/>
  <c r="Q25" i="1" a="1"/>
  <c r="Q26" i="1" a="1"/>
  <c r="Q27" i="1" a="1"/>
  <c r="Q28" i="1" a="1"/>
  <c r="Q29" i="1" a="1"/>
  <c r="Q30" i="1" a="1"/>
  <c r="Q31" i="1" a="1"/>
  <c r="Q32" i="1" a="1"/>
  <c r="Q33" i="1" a="1"/>
  <c r="Q34" i="1" a="1"/>
  <c r="Q35" i="1" a="1"/>
  <c r="Q36" i="1" a="1"/>
  <c r="Q37" i="1" a="1"/>
  <c r="Q38" i="1" a="1"/>
  <c r="Q39" i="1" a="1"/>
  <c r="Q40" i="1" a="1"/>
  <c r="Q41" i="1" a="1"/>
  <c r="Q42" i="1" a="1"/>
  <c r="Q43" i="1" a="1"/>
  <c r="Q44" i="1" a="1"/>
  <c r="Q45" i="1" a="1"/>
  <c r="Q46" i="1" a="1"/>
  <c r="Q47" i="1" a="1"/>
  <c r="Q48" i="1" a="1"/>
  <c r="Q49" i="1" a="1"/>
  <c r="Q50" i="1" a="1"/>
  <c r="Q51" i="1" a="1"/>
  <c r="Q52" i="1" a="1"/>
  <c r="Q53" i="1" a="1"/>
  <c r="Q54" i="1" a="1"/>
  <c r="Q55" i="1" a="1"/>
  <c r="Q56" i="1" a="1"/>
  <c r="Q57" i="1" a="1"/>
  <c r="Q58" i="1" a="1"/>
  <c r="Q59" i="1" a="1"/>
  <c r="Q60" i="1" a="1"/>
  <c r="Q61" i="1" a="1"/>
  <c r="Q62" i="1" a="1"/>
  <c r="Q63" i="1" a="1"/>
  <c r="Q64" i="1" a="1"/>
  <c r="Q65" i="1" a="1"/>
  <c r="Q66" i="1" a="1"/>
  <c r="Q67" i="1" a="1"/>
  <c r="Q68" i="1" a="1"/>
  <c r="Q69" i="1" a="1"/>
  <c r="Q70" i="1" a="1"/>
  <c r="Q71" i="1" a="1"/>
  <c r="Q72" i="1" a="1"/>
  <c r="Q73" i="1" a="1"/>
  <c r="Q74" i="1" a="1"/>
  <c r="Q75" i="1" a="1"/>
  <c r="Q76" i="1" a="1"/>
  <c r="Q77" i="1" a="1"/>
  <c r="Q78" i="1" a="1"/>
  <c r="Q79" i="1" a="1"/>
  <c r="Q80" i="1" a="1"/>
  <c r="Q81" i="1" a="1"/>
  <c r="Q82" i="1" a="1"/>
  <c r="Q83" i="1" a="1"/>
  <c r="Q84" i="1" a="1"/>
  <c r="Q85" i="1" a="1"/>
  <c r="Q86" i="1" a="1"/>
  <c r="Q87" i="1" a="1"/>
  <c r="Q88" i="1" a="1"/>
  <c r="Q89" i="1" a="1"/>
  <c r="Q90" i="1" a="1"/>
  <c r="Q91" i="1" a="1"/>
  <c r="Q92" i="1" a="1"/>
  <c r="Q93" i="1" a="1"/>
  <c r="Q94" i="1" a="1"/>
  <c r="Q95" i="1" a="1"/>
  <c r="Q96" i="1" a="1"/>
  <c r="Q97" i="1" a="1"/>
  <c r="Q98" i="1" a="1"/>
  <c r="Q99" i="1" a="1"/>
  <c r="Q100" i="1" a="1"/>
  <c r="Q101" i="1" a="1"/>
  <c r="Q102" i="1" a="1"/>
  <c r="Q103" i="1" a="1"/>
  <c r="Q104" i="1" a="1"/>
  <c r="Q105" i="1" a="1"/>
  <c r="Q106" i="1" a="1"/>
  <c r="Q107" i="1" a="1"/>
  <c r="Q108" i="1" a="1"/>
  <c r="Q109" i="1" a="1"/>
  <c r="Q110" i="1" a="1"/>
  <c r="Q111" i="1" a="1"/>
  <c r="Q112" i="1" a="1"/>
  <c r="Q113" i="1" a="1"/>
  <c r="Q114" i="1" a="1"/>
  <c r="Q115" i="1" a="1"/>
  <c r="Q116" i="1" a="1"/>
  <c r="Q117" i="1" a="1"/>
  <c r="Q118" i="1" a="1"/>
  <c r="Q119" i="1" a="1"/>
  <c r="Q120" i="1" a="1"/>
  <c r="Q121" i="1" a="1"/>
  <c r="Q122" i="1" a="1"/>
  <c r="Q123" i="1" a="1"/>
  <c r="Q124" i="1" a="1"/>
  <c r="Q125" i="1" a="1"/>
  <c r="Q126" i="1" a="1"/>
  <c r="Q127" i="1" a="1"/>
  <c r="Q128" i="1" a="1"/>
  <c r="Q129" i="1" a="1"/>
  <c r="Q130" i="1" a="1"/>
  <c r="Q131" i="1" a="1"/>
  <c r="Q132" i="1" a="1"/>
  <c r="Q133" i="1" a="1"/>
  <c r="Q134" i="1" a="1"/>
  <c r="Q135" i="1" a="1"/>
  <c r="Q136" i="1" a="1"/>
  <c r="Q137" i="1" a="1"/>
  <c r="Q138" i="1" a="1"/>
  <c r="Q139" i="1" a="1"/>
  <c r="Q140" i="1" a="1"/>
  <c r="Q141" i="1" a="1"/>
  <c r="Q142" i="1" a="1"/>
  <c r="Q143" i="1" a="1"/>
  <c r="Q144" i="1" a="1"/>
  <c r="Q145" i="1" a="1"/>
  <c r="Q146" i="1" a="1"/>
  <c r="Q147" i="1" a="1"/>
  <c r="Q148" i="1" a="1"/>
  <c r="Q149" i="1" a="1"/>
  <c r="Q150" i="1" a="1"/>
  <c r="Q151" i="1" a="1"/>
  <c r="Q152" i="1" a="1"/>
  <c r="Q153" i="1" a="1"/>
  <c r="Q154" i="1" a="1"/>
  <c r="Q155" i="1" a="1"/>
  <c r="Q156" i="1" a="1"/>
  <c r="Q157" i="1" a="1"/>
  <c r="Q158" i="1" a="1"/>
  <c r="Q159" i="1" a="1"/>
  <c r="Q160" i="1" a="1"/>
  <c r="Q161" i="1" a="1"/>
  <c r="Q162" i="1" a="1"/>
  <c r="Q163" i="1" a="1"/>
  <c r="Q164" i="1" a="1"/>
  <c r="Q165" i="1" a="1"/>
  <c r="Q166" i="1" a="1"/>
  <c r="Q167" i="1" a="1"/>
  <c r="Q168" i="1" a="1"/>
  <c r="Q169" i="1" a="1"/>
  <c r="Q170" i="1" a="1"/>
  <c r="Q171" i="1" a="1"/>
  <c r="Q172" i="1" a="1"/>
  <c r="Q173" i="1" a="1"/>
  <c r="Q174" i="1" a="1"/>
  <c r="Q175" i="1" a="1"/>
  <c r="Q176" i="1" a="1"/>
  <c r="Q177" i="1" a="1"/>
  <c r="Q178" i="1" a="1"/>
  <c r="Q179" i="1" a="1"/>
  <c r="Q180" i="1" a="1"/>
  <c r="Q181" i="1" a="1"/>
  <c r="Q182" i="1" a="1"/>
  <c r="Q183" i="1" a="1"/>
  <c r="Q184" i="1" a="1"/>
  <c r="Q185" i="1" a="1"/>
  <c r="Q186" i="1" a="1"/>
  <c r="Q187" i="1" a="1"/>
  <c r="Q188" i="1" a="1"/>
  <c r="Q189" i="1" a="1"/>
  <c r="Q190" i="1" a="1"/>
  <c r="Q191" i="1" a="1"/>
  <c r="Q192" i="1" a="1"/>
  <c r="Q193" i="1" a="1"/>
  <c r="Q194" i="1" a="1"/>
  <c r="Q195" i="1" a="1"/>
  <c r="Q196" i="1" a="1"/>
  <c r="Q197" i="1" a="1"/>
  <c r="Q198" i="1" a="1"/>
  <c r="Q199" i="1" a="1"/>
  <c r="Q200" i="1" a="1"/>
  <c r="Q201" i="1" a="1"/>
  <c r="Q202" i="1" a="1"/>
  <c r="Q203" i="1" a="1"/>
  <c r="Q204" i="1" a="1"/>
  <c r="Q205" i="1" a="1"/>
  <c r="Q206" i="1" a="1"/>
  <c r="Q207" i="1" a="1"/>
  <c r="Q208" i="1" a="1"/>
  <c r="Q209" i="1" a="1"/>
  <c r="Q210" i="1" a="1"/>
  <c r="Q211" i="1" a="1"/>
  <c r="Q212" i="1" a="1"/>
  <c r="Q213" i="1" a="1"/>
  <c r="Q214" i="1" a="1"/>
  <c r="Q215" i="1" a="1"/>
  <c r="Q216" i="1" a="1"/>
  <c r="Q217" i="1" a="1"/>
  <c r="Q218" i="1" a="1"/>
  <c r="Q219" i="1" a="1"/>
  <c r="Q220" i="1" a="1"/>
  <c r="Q221" i="1" a="1"/>
  <c r="Q222" i="1" a="1"/>
  <c r="Q223" i="1" a="1"/>
  <c r="Q224" i="1" a="1"/>
  <c r="Q225" i="1" a="1"/>
  <c r="Q226" i="1" a="1"/>
  <c r="Q227" i="1" a="1"/>
  <c r="Q228" i="1" a="1"/>
  <c r="Q229" i="1" a="1"/>
  <c r="Q230" i="1" a="1"/>
  <c r="Q231" i="1" a="1"/>
  <c r="Q232" i="1" a="1"/>
  <c r="Q233" i="1" a="1"/>
  <c r="Q234" i="1" a="1"/>
  <c r="Q235" i="1" a="1"/>
  <c r="Q236" i="1" a="1"/>
  <c r="Q237" i="1" a="1"/>
  <c r="Q238" i="1" a="1"/>
  <c r="Q239" i="1" a="1"/>
  <c r="Q240" i="1" a="1"/>
  <c r="Q241" i="1" a="1"/>
  <c r="Q242" i="1" a="1"/>
  <c r="Q243" i="1" a="1"/>
  <c r="Q244" i="1" a="1"/>
  <c r="Q245" i="1" a="1"/>
  <c r="Q246" i="1" a="1"/>
  <c r="Q247" i="1" a="1"/>
  <c r="Q248" i="1" a="1"/>
  <c r="Q249" i="1" a="1"/>
  <c r="Q250" i="1" a="1"/>
  <c r="Q251" i="1" a="1"/>
  <c r="Q252" i="1" a="1"/>
  <c r="Q253" i="1" a="1"/>
  <c r="Q254" i="1" a="1"/>
  <c r="Q255" i="1" a="1"/>
  <c r="Q256" i="1" a="1"/>
  <c r="Q257" i="1" a="1"/>
  <c r="Q258" i="1" a="1"/>
  <c r="Q259" i="1" a="1"/>
  <c r="Q260" i="1" a="1"/>
  <c r="Q261" i="1" a="1"/>
  <c r="Q262" i="1" a="1"/>
  <c r="Q263" i="1" a="1"/>
  <c r="Q264" i="1" a="1"/>
  <c r="Q265" i="1" a="1"/>
  <c r="Q266" i="1" a="1"/>
  <c r="Q267" i="1" a="1"/>
  <c r="Q268" i="1" a="1"/>
  <c r="Q269" i="1" a="1"/>
  <c r="Q270" i="1" a="1"/>
  <c r="Q271" i="1" a="1"/>
  <c r="Q272" i="1" a="1"/>
  <c r="Q273" i="1" a="1"/>
  <c r="Q274" i="1" a="1"/>
  <c r="Q275" i="1" a="1"/>
  <c r="Q276" i="1" a="1"/>
  <c r="Q277" i="1" a="1"/>
  <c r="Q278" i="1" a="1"/>
  <c r="Q279" i="1" a="1"/>
  <c r="Q280" i="1" a="1"/>
  <c r="Q281" i="1" a="1"/>
  <c r="Q282" i="1" a="1"/>
  <c r="Q283" i="1" a="1"/>
  <c r="Q284" i="1" a="1"/>
  <c r="Q285" i="1" a="1"/>
  <c r="Q286" i="1" a="1"/>
  <c r="Q287" i="1" a="1"/>
  <c r="Q288" i="1" a="1"/>
  <c r="Q289" i="1" a="1"/>
  <c r="Q290" i="1" a="1"/>
  <c r="Q291" i="1" a="1"/>
  <c r="Q292" i="1" a="1"/>
  <c r="Q293" i="1" a="1"/>
  <c r="Q294" i="1" a="1"/>
  <c r="Q295" i="1" a="1"/>
  <c r="Q296" i="1" a="1"/>
  <c r="Q297" i="1" a="1"/>
  <c r="Q298" i="1" a="1"/>
  <c r="Q299" i="1" a="1"/>
  <c r="Q300" i="1" a="1"/>
  <c r="Q301" i="1" a="1"/>
  <c r="Q302" i="1" a="1"/>
  <c r="Q303" i="1" a="1"/>
  <c r="Q304" i="1" a="1"/>
  <c r="Q305" i="1" a="1"/>
  <c r="Q306" i="1" a="1"/>
  <c r="Q307" i="1" a="1"/>
  <c r="Q308" i="1" a="1"/>
  <c r="Q309" i="1" a="1"/>
  <c r="Q310" i="1" a="1"/>
  <c r="Q311" i="1" a="1"/>
  <c r="Q312" i="1" a="1"/>
  <c r="Q313" i="1" a="1"/>
  <c r="Q314" i="1" a="1"/>
  <c r="Q315" i="1" a="1"/>
  <c r="Q316" i="1" a="1"/>
  <c r="Q317" i="1" a="1"/>
  <c r="Q318" i="1" a="1"/>
  <c r="Q319" i="1" a="1"/>
  <c r="Q320" i="1" a="1"/>
  <c r="Q321" i="1" a="1"/>
  <c r="Q322" i="1" a="1"/>
  <c r="Q323" i="1" a="1"/>
  <c r="Q324" i="1" a="1"/>
  <c r="Q325" i="1" a="1"/>
  <c r="Q326" i="1" a="1"/>
  <c r="Q327" i="1" a="1"/>
  <c r="Q328" i="1" a="1"/>
  <c r="Q329" i="1" a="1"/>
  <c r="Q330" i="1" a="1"/>
  <c r="Q331" i="1" a="1"/>
  <c r="Q332" i="1" a="1"/>
  <c r="Q333" i="1" a="1"/>
  <c r="Q334" i="1" a="1"/>
  <c r="Q335" i="1" a="1"/>
  <c r="Q336" i="1" a="1"/>
  <c r="Q337" i="1" a="1"/>
  <c r="Q338" i="1" a="1"/>
  <c r="Q339" i="1" a="1"/>
  <c r="Q340" i="1" a="1"/>
  <c r="Q341" i="1" a="1"/>
  <c r="Q342" i="1" a="1"/>
  <c r="Q343" i="1" a="1"/>
  <c r="Q344" i="1" a="1"/>
  <c r="Q345" i="1" a="1"/>
  <c r="Q346" i="1" a="1"/>
  <c r="Q347" i="1" a="1"/>
  <c r="Q348" i="1" a="1"/>
  <c r="Q349" i="1" a="1"/>
  <c r="Q350" i="1" a="1"/>
  <c r="Q351" i="1" a="1"/>
  <c r="Q352" i="1" a="1"/>
  <c r="Q353" i="1" a="1"/>
  <c r="Q354" i="1" a="1"/>
  <c r="Q355" i="1" a="1"/>
  <c r="Q356" i="1" a="1"/>
  <c r="Q357" i="1" a="1"/>
  <c r="Q358" i="1" a="1"/>
  <c r="Q359" i="1" a="1"/>
  <c r="Q360" i="1" a="1"/>
  <c r="Q361" i="1" a="1"/>
  <c r="Q362" i="1" a="1"/>
  <c r="Q363" i="1" a="1"/>
  <c r="Q364" i="1" a="1"/>
  <c r="Q365" i="1" a="1"/>
  <c r="Q366" i="1" a="1"/>
  <c r="Q367" i="1" a="1"/>
  <c r="Q368" i="1" a="1"/>
  <c r="Q369" i="1" a="1"/>
  <c r="Q370" i="1" a="1"/>
  <c r="Q371" i="1" a="1"/>
  <c r="Q372" i="1" a="1"/>
  <c r="Q373" i="1" a="1"/>
  <c r="Q374" i="1" a="1"/>
  <c r="Q375" i="1" a="1"/>
  <c r="Q376" i="1" a="1"/>
  <c r="Q377" i="1" a="1"/>
  <c r="Q378" i="1" a="1"/>
  <c r="Q379" i="1" a="1"/>
  <c r="Q380" i="1" a="1"/>
  <c r="Q381" i="1" a="1"/>
  <c r="Q382" i="1" a="1"/>
  <c r="Q383" i="1" a="1"/>
  <c r="Q384" i="1" a="1"/>
  <c r="Q385" i="1" a="1"/>
  <c r="Q386" i="1" a="1"/>
  <c r="Q387" i="1" a="1"/>
  <c r="Q388" i="1" a="1"/>
  <c r="Q389" i="1" a="1"/>
  <c r="Q390" i="1" a="1"/>
  <c r="Q391" i="1" a="1"/>
  <c r="Q392" i="1" a="1"/>
  <c r="Q393" i="1" a="1"/>
  <c r="Q394" i="1" a="1"/>
  <c r="Q395" i="1" a="1"/>
  <c r="Q396" i="1" a="1"/>
  <c r="Q397" i="1" a="1"/>
  <c r="Q398" i="1" a="1"/>
  <c r="Q399" i="1" a="1"/>
  <c r="Q400" i="1" a="1"/>
  <c r="Q401" i="1" a="1"/>
  <c r="Q402" i="1" a="1"/>
  <c r="Q403" i="1" a="1"/>
  <c r="Q404" i="1" a="1"/>
  <c r="Q405" i="1" a="1"/>
  <c r="Q406" i="1" a="1"/>
  <c r="Q407" i="1" a="1"/>
  <c r="Q408" i="1" a="1"/>
  <c r="Q409" i="1" a="1"/>
  <c r="Q410" i="1" a="1"/>
  <c r="Q411" i="1" a="1"/>
  <c r="Q412" i="1" a="1"/>
  <c r="Q413" i="1" a="1"/>
  <c r="Q414" i="1" a="1"/>
  <c r="Q415" i="1" a="1"/>
  <c r="Q416" i="1" a="1"/>
  <c r="Q417" i="1" a="1"/>
  <c r="Q418" i="1" a="1"/>
  <c r="Q419" i="1" a="1"/>
  <c r="Q420" i="1" a="1"/>
  <c r="Q421" i="1" a="1"/>
  <c r="Q422" i="1" a="1"/>
  <c r="Q423" i="1" a="1"/>
  <c r="Q424" i="1" a="1"/>
  <c r="Q425" i="1" a="1"/>
  <c r="Q426" i="1" a="1"/>
  <c r="Q427" i="1" a="1"/>
  <c r="Q428" i="1" a="1"/>
  <c r="Q429" i="1" a="1"/>
  <c r="Q430" i="1" a="1"/>
  <c r="Q431" i="1" a="1"/>
  <c r="Q432" i="1" a="1"/>
  <c r="Q433" i="1" a="1"/>
  <c r="Q434" i="1" a="1"/>
  <c r="Q435" i="1" a="1"/>
  <c r="Q436" i="1" a="1"/>
  <c r="Q437" i="1" a="1"/>
  <c r="Q438" i="1" a="1"/>
  <c r="Q439" i="1" a="1"/>
  <c r="Q440" i="1" a="1"/>
  <c r="Q441" i="1" a="1"/>
  <c r="Q442" i="1" a="1"/>
  <c r="Q443" i="1" a="1"/>
  <c r="Q444" i="1" a="1"/>
  <c r="Q445" i="1" a="1"/>
  <c r="Q446" i="1" a="1"/>
  <c r="Q447" i="1" a="1"/>
  <c r="Q448" i="1" a="1"/>
  <c r="Q449" i="1" a="1"/>
  <c r="Q450" i="1" a="1"/>
  <c r="Q451" i="1" a="1"/>
  <c r="Q452" i="1" a="1"/>
  <c r="Q453" i="1" a="1"/>
  <c r="Q454" i="1" a="1"/>
  <c r="Q455" i="1" a="1"/>
  <c r="Q456" i="1" a="1"/>
  <c r="Q457" i="1" a="1"/>
  <c r="Q458" i="1" a="1"/>
  <c r="Q459" i="1" a="1"/>
  <c r="Q460" i="1" a="1"/>
  <c r="Q461" i="1" a="1"/>
  <c r="Q462" i="1" a="1"/>
  <c r="Q463" i="1" a="1"/>
  <c r="Q464" i="1" a="1"/>
  <c r="Q465" i="1" a="1"/>
  <c r="Q466" i="1" a="1"/>
  <c r="Q467" i="1" a="1"/>
  <c r="Q468" i="1" a="1"/>
  <c r="Q469" i="1" a="1"/>
  <c r="Q470" i="1" a="1"/>
  <c r="Q471" i="1" a="1"/>
  <c r="Q472" i="1" a="1"/>
  <c r="Q473" i="1" a="1"/>
  <c r="Q474" i="1" a="1"/>
  <c r="Q475" i="1" a="1"/>
  <c r="Q476" i="1" a="1"/>
  <c r="Q477" i="1" a="1"/>
  <c r="Q478" i="1" a="1"/>
  <c r="Q479" i="1" a="1"/>
  <c r="Q480" i="1" a="1"/>
  <c r="Q481" i="1" a="1"/>
  <c r="Q482" i="1" a="1"/>
  <c r="Q483" i="1" a="1"/>
  <c r="Q484" i="1" a="1"/>
  <c r="Q485" i="1" a="1"/>
  <c r="Q486" i="1" a="1"/>
  <c r="Q487" i="1" a="1"/>
  <c r="Q488" i="1" a="1"/>
  <c r="Q489" i="1" a="1"/>
  <c r="Q490" i="1" a="1"/>
  <c r="Q491" i="1" a="1"/>
  <c r="Q492" i="1" a="1"/>
  <c r="Q493" i="1" a="1"/>
  <c r="Q494" i="1" a="1"/>
  <c r="Q495" i="1" a="1"/>
  <c r="Q496" i="1" a="1"/>
  <c r="Q497" i="1" a="1"/>
  <c r="Q498" i="1" a="1"/>
  <c r="Q499" i="1" a="1"/>
  <c r="Q500" i="1" a="1"/>
  <c r="Q501" i="1" a="1"/>
  <c r="Q502" i="1" a="1"/>
  <c r="Q503" i="1" a="1"/>
  <c r="Q504" i="1" a="1"/>
  <c r="Q505" i="1" a="1"/>
  <c r="Q506" i="1" a="1"/>
  <c r="Q507" i="1" a="1"/>
  <c r="Q508" i="1" a="1"/>
  <c r="Q509" i="1" a="1"/>
  <c r="Q510" i="1" a="1"/>
  <c r="Q511" i="1" a="1"/>
  <c r="Q512" i="1" a="1"/>
  <c r="Q513" i="1" a="1"/>
  <c r="Q514" i="1" a="1"/>
  <c r="Q515" i="1" a="1"/>
  <c r="Q516" i="1" a="1"/>
  <c r="Q517" i="1" a="1"/>
  <c r="Q518" i="1" a="1"/>
  <c r="Q519" i="1" a="1"/>
  <c r="Q520" i="1" a="1"/>
  <c r="Q521" i="1" a="1"/>
  <c r="Q522" i="1" a="1"/>
  <c r="Q523" i="1" a="1"/>
  <c r="Q524" i="1" a="1"/>
  <c r="Q525" i="1" a="1"/>
  <c r="Q526" i="1" a="1"/>
  <c r="Q527" i="1" a="1"/>
  <c r="Q528" i="1" a="1"/>
  <c r="Q529" i="1" a="1"/>
  <c r="Q530" i="1" a="1"/>
  <c r="Q531" i="1" a="1"/>
  <c r="Q532" i="1" a="1"/>
  <c r="Q533" i="1" a="1"/>
  <c r="Q534" i="1" a="1"/>
  <c r="Q535" i="1" a="1"/>
  <c r="Q536" i="1" a="1"/>
  <c r="Q537" i="1" a="1"/>
  <c r="Q538" i="1" a="1"/>
  <c r="Q539" i="1" a="1"/>
  <c r="Q540" i="1" a="1"/>
  <c r="Q541" i="1" a="1"/>
  <c r="Q542" i="1" a="1"/>
  <c r="Q543" i="1" a="1"/>
  <c r="Q544" i="1" a="1"/>
  <c r="Q545" i="1" a="1"/>
  <c r="Q546" i="1" a="1"/>
  <c r="Q547" i="1" a="1"/>
  <c r="Q548" i="1" a="1"/>
  <c r="Q549" i="1" a="1"/>
  <c r="Q550" i="1" a="1"/>
  <c r="Q551" i="1" a="1"/>
  <c r="Q552" i="1" a="1"/>
  <c r="Q553" i="1" a="1"/>
  <c r="Q554" i="1" a="1"/>
  <c r="Q555" i="1" a="1"/>
  <c r="Q556" i="1" a="1"/>
  <c r="Q557" i="1" a="1"/>
  <c r="Q558" i="1" a="1"/>
  <c r="Q559" i="1" a="1"/>
  <c r="Q560" i="1" a="1"/>
  <c r="Q561" i="1" a="1"/>
  <c r="Q562" i="1" a="1"/>
  <c r="Q563" i="1" a="1"/>
  <c r="Q564" i="1" a="1"/>
  <c r="Q565" i="1" a="1"/>
  <c r="Q566" i="1" a="1"/>
  <c r="Q567" i="1" a="1"/>
  <c r="Q568" i="1" a="1"/>
  <c r="Q569" i="1" a="1"/>
  <c r="Q570" i="1" a="1"/>
  <c r="Q571" i="1" a="1"/>
  <c r="Q572" i="1" a="1"/>
  <c r="Q573" i="1" a="1"/>
  <c r="Q574" i="1" a="1"/>
  <c r="Q575" i="1" a="1"/>
  <c r="Q576" i="1" a="1"/>
  <c r="Q577" i="1" a="1"/>
  <c r="Q578" i="1" a="1"/>
  <c r="Q579" i="1" a="1"/>
  <c r="Q580" i="1" a="1"/>
  <c r="Q581" i="1" a="1"/>
  <c r="Q582" i="1" a="1"/>
  <c r="Q583" i="1" a="1"/>
  <c r="Q584" i="1" a="1"/>
  <c r="Q585" i="1" a="1"/>
  <c r="Q586" i="1" a="1"/>
  <c r="Q587" i="1" a="1"/>
  <c r="Q588" i="1" a="1"/>
  <c r="Q589" i="1" a="1"/>
  <c r="Q590" i="1" a="1"/>
  <c r="Q591" i="1" a="1"/>
  <c r="Q592" i="1" a="1"/>
  <c r="Q593" i="1" a="1"/>
  <c r="Q594" i="1" a="1"/>
  <c r="Q595" i="1" a="1"/>
  <c r="Q596" i="1" a="1"/>
  <c r="Q597" i="1" a="1"/>
  <c r="Q598" i="1" a="1"/>
  <c r="Q599" i="1" a="1"/>
  <c r="Q600" i="1" a="1"/>
  <c r="Q601" i="1" a="1"/>
  <c r="Q602" i="1" a="1"/>
  <c r="Q603" i="1" a="1"/>
  <c r="Q604" i="1" a="1"/>
  <c r="Q605" i="1" a="1"/>
  <c r="Q606" i="1" a="1"/>
  <c r="Q607" i="1" a="1"/>
  <c r="Q608" i="1" a="1"/>
  <c r="Q609" i="1" a="1"/>
  <c r="Q610" i="1" a="1"/>
  <c r="Q611" i="1" a="1"/>
  <c r="Q612" i="1" a="1"/>
  <c r="Q613" i="1" a="1"/>
  <c r="Q614" i="1" a="1"/>
  <c r="Q615" i="1" a="1"/>
  <c r="Q616" i="1" a="1"/>
  <c r="Q617" i="1" a="1"/>
  <c r="Q618" i="1" a="1"/>
  <c r="Q619" i="1" a="1"/>
  <c r="Q620" i="1" a="1"/>
  <c r="Q621" i="1" a="1"/>
  <c r="Q622" i="1" a="1"/>
  <c r="Q623" i="1" a="1"/>
  <c r="Q624" i="1" a="1"/>
  <c r="Q625" i="1" a="1"/>
  <c r="Q626" i="1" a="1"/>
  <c r="Q627" i="1" a="1"/>
  <c r="Q628" i="1" a="1"/>
  <c r="Q629" i="1" a="1"/>
  <c r="Q630" i="1" a="1"/>
  <c r="Q631" i="1" a="1"/>
  <c r="Q632" i="1" a="1"/>
  <c r="Q633" i="1" a="1"/>
  <c r="Q634" i="1" a="1"/>
  <c r="Q635" i="1" a="1"/>
  <c r="Q636" i="1" a="1"/>
  <c r="Q637" i="1" a="1"/>
  <c r="Q638" i="1" a="1"/>
  <c r="Q639" i="1" a="1"/>
  <c r="Q640" i="1" a="1"/>
  <c r="Q641" i="1" a="1"/>
  <c r="Q642" i="1" a="1"/>
  <c r="Q643" i="1" a="1"/>
  <c r="Q644" i="1" a="1"/>
  <c r="Q645" i="1" a="1"/>
  <c r="Q646" i="1" a="1"/>
  <c r="Q647" i="1" a="1"/>
  <c r="Q648" i="1" a="1"/>
  <c r="Q649" i="1" a="1"/>
  <c r="Q650" i="1" a="1"/>
  <c r="Q651" i="1" a="1"/>
  <c r="Q652" i="1" a="1"/>
  <c r="Q653" i="1" a="1"/>
  <c r="Q654" i="1" a="1"/>
  <c r="Q655" i="1" a="1"/>
  <c r="Q656" i="1" a="1"/>
  <c r="Q657" i="1" a="1"/>
  <c r="Q658" i="1" a="1"/>
  <c r="Q659" i="1" a="1"/>
  <c r="Q660" i="1" a="1"/>
  <c r="Q661" i="1" a="1"/>
  <c r="Q662" i="1" a="1"/>
  <c r="Q663" i="1" a="1"/>
  <c r="Q664" i="1" a="1"/>
  <c r="Q665" i="1" a="1"/>
  <c r="Q666" i="1" a="1"/>
  <c r="Q667" i="1" a="1"/>
  <c r="Q668" i="1" a="1"/>
  <c r="Q669" i="1" a="1"/>
  <c r="Q670" i="1" a="1"/>
  <c r="Q671" i="1" a="1"/>
  <c r="Q672" i="1" a="1"/>
  <c r="Q673" i="1" a="1"/>
  <c r="Q674" i="1" a="1"/>
  <c r="Q675" i="1" a="1"/>
  <c r="Q676" i="1" a="1"/>
  <c r="Q677" i="1" a="1"/>
  <c r="Q678" i="1" a="1"/>
  <c r="Q679" i="1" a="1"/>
  <c r="Q680" i="1" a="1"/>
  <c r="Q681" i="1" a="1"/>
  <c r="Q682" i="1" a="1"/>
  <c r="Q683" i="1" a="1"/>
  <c r="Q684" i="1" a="1"/>
  <c r="Q685" i="1" a="1"/>
  <c r="Q686" i="1" a="1"/>
  <c r="Q687" i="1" a="1"/>
  <c r="Q688" i="1" a="1"/>
  <c r="Q689" i="1" a="1"/>
  <c r="Q690" i="1" a="1"/>
  <c r="Q691" i="1" a="1"/>
  <c r="Q692" i="1" a="1"/>
  <c r="Q693" i="1" a="1"/>
  <c r="Q694" i="1" a="1"/>
  <c r="Q695" i="1" a="1"/>
  <c r="Q696" i="1" a="1"/>
  <c r="Q697" i="1" a="1"/>
  <c r="Q698" i="1" a="1"/>
  <c r="Q699" i="1" a="1"/>
  <c r="Q700" i="1" a="1"/>
  <c r="Q701" i="1" a="1"/>
  <c r="Q702" i="1" a="1"/>
  <c r="Q703" i="1" a="1"/>
  <c r="Q704" i="1" a="1"/>
  <c r="Q705" i="1" a="1"/>
  <c r="Q706" i="1" a="1"/>
  <c r="Q707" i="1" a="1"/>
  <c r="Q708" i="1" a="1"/>
  <c r="Q709" i="1" a="1"/>
  <c r="Q710" i="1" a="1"/>
  <c r="Q711" i="1" a="1"/>
  <c r="Q712" i="1" a="1"/>
  <c r="Q713" i="1" a="1"/>
  <c r="Q714" i="1" a="1"/>
  <c r="Q715" i="1" a="1"/>
  <c r="Q716" i="1" a="1"/>
  <c r="Q717" i="1" a="1"/>
  <c r="Q718" i="1" a="1"/>
  <c r="Q719" i="1" a="1"/>
  <c r="Q720" i="1" a="1"/>
  <c r="Q721" i="1" a="1"/>
  <c r="Q722" i="1" a="1"/>
  <c r="Q723" i="1" a="1"/>
  <c r="Q724" i="1" a="1"/>
  <c r="Q725" i="1" a="1"/>
  <c r="Q726" i="1" a="1"/>
  <c r="Q727" i="1" a="1"/>
  <c r="Q728" i="1" a="1"/>
  <c r="Q729" i="1" a="1"/>
  <c r="Q730" i="1" a="1"/>
  <c r="Q731" i="1" a="1"/>
  <c r="Q732" i="1" a="1"/>
  <c r="Q733" i="1" a="1"/>
  <c r="Q734" i="1" a="1"/>
  <c r="Q735" i="1" a="1"/>
  <c r="Q736" i="1" a="1"/>
  <c r="Q737" i="1" a="1"/>
  <c r="Q738" i="1" a="1"/>
  <c r="Q739" i="1" a="1"/>
  <c r="Q740" i="1" a="1"/>
  <c r="Q741" i="1" a="1"/>
  <c r="Q742" i="1" a="1"/>
  <c r="Q743" i="1" a="1"/>
  <c r="Q744" i="1" a="1"/>
  <c r="Q745" i="1" a="1"/>
  <c r="Q746" i="1" a="1"/>
  <c r="Q747" i="1" a="1"/>
  <c r="Q748" i="1" a="1"/>
  <c r="Q749" i="1" a="1"/>
  <c r="Q750" i="1" a="1"/>
  <c r="Q751" i="1" a="1"/>
  <c r="Q752" i="1" a="1"/>
  <c r="Q753" i="1" a="1"/>
  <c r="Q754" i="1" a="1"/>
  <c r="Q755" i="1" a="1"/>
  <c r="Q756" i="1" a="1"/>
  <c r="Q757" i="1" a="1"/>
  <c r="Q758" i="1" a="1"/>
  <c r="Q759" i="1" a="1"/>
  <c r="Q760" i="1" a="1"/>
  <c r="Q761" i="1" a="1"/>
  <c r="Q762" i="1" a="1"/>
  <c r="Q763" i="1" a="1"/>
  <c r="Q764" i="1" a="1"/>
  <c r="Q765" i="1" a="1"/>
  <c r="Q766" i="1" a="1"/>
  <c r="Q767" i="1" a="1"/>
  <c r="Q768" i="1" a="1"/>
  <c r="Q769" i="1" a="1"/>
  <c r="Q770" i="1" a="1"/>
  <c r="Q771" i="1" a="1"/>
  <c r="Q772" i="1" a="1"/>
  <c r="Q773" i="1" a="1"/>
  <c r="Q774" i="1" a="1"/>
  <c r="Q775" i="1" a="1"/>
  <c r="Q776" i="1" a="1"/>
  <c r="Q777" i="1" a="1"/>
  <c r="Q778" i="1" a="1"/>
  <c r="Q779" i="1" a="1"/>
  <c r="Q780" i="1" a="1"/>
  <c r="Q781" i="1" a="1"/>
  <c r="Q782" i="1" a="1"/>
  <c r="Q783" i="1" a="1"/>
  <c r="Q784" i="1" a="1"/>
  <c r="Q785" i="1" a="1"/>
  <c r="Q786" i="1" a="1"/>
  <c r="Q787" i="1" a="1"/>
  <c r="Q788" i="1" a="1"/>
  <c r="Q789" i="1" a="1"/>
  <c r="Q790" i="1" a="1"/>
  <c r="Q791" i="1" a="1"/>
  <c r="Q792" i="1" a="1"/>
  <c r="Q793" i="1" a="1"/>
  <c r="Q794" i="1" a="1"/>
  <c r="Q795" i="1" a="1"/>
  <c r="Q796" i="1" a="1"/>
  <c r="Q797" i="1" a="1"/>
  <c r="Q798" i="1" a="1"/>
  <c r="Q799" i="1" a="1"/>
  <c r="Q800" i="1" a="1"/>
  <c r="Q801" i="1" a="1"/>
  <c r="Q802" i="1" a="1"/>
  <c r="Q803" i="1" a="1"/>
  <c r="Q804" i="1" a="1"/>
  <c r="Q805" i="1" a="1"/>
  <c r="Q806" i="1" a="1"/>
  <c r="Q807" i="1" a="1"/>
  <c r="Q808" i="1" a="1"/>
  <c r="Q809" i="1" a="1"/>
  <c r="Q810" i="1" a="1"/>
  <c r="Q811" i="1" a="1"/>
  <c r="Q812" i="1" a="1"/>
  <c r="Q813" i="1" a="1"/>
  <c r="Q814" i="1" a="1"/>
  <c r="Q815" i="1" a="1"/>
  <c r="Q816" i="1" a="1"/>
  <c r="Q817" i="1" a="1"/>
  <c r="Q818" i="1" a="1"/>
  <c r="Q819" i="1" a="1"/>
  <c r="Q820" i="1" a="1"/>
  <c r="Q821" i="1" a="1"/>
  <c r="Q822" i="1" a="1"/>
  <c r="Q823" i="1" a="1"/>
  <c r="Q824" i="1" a="1"/>
  <c r="Q825" i="1" a="1"/>
  <c r="Q826" i="1" a="1"/>
  <c r="Q827" i="1" a="1"/>
  <c r="Q828" i="1" a="1"/>
  <c r="Q829" i="1" a="1"/>
  <c r="Q830" i="1" a="1"/>
  <c r="Q831" i="1" a="1"/>
  <c r="Q832" i="1" a="1"/>
  <c r="Q833" i="1" a="1"/>
  <c r="Q834" i="1" a="1"/>
  <c r="Q835" i="1" a="1"/>
  <c r="Q836" i="1" a="1"/>
  <c r="Q837" i="1" a="1"/>
  <c r="Q838" i="1" a="1"/>
  <c r="Q839" i="1" a="1"/>
  <c r="Q840" i="1" a="1"/>
  <c r="Q841" i="1" a="1"/>
  <c r="Q842" i="1" a="1"/>
  <c r="Q843" i="1" a="1"/>
  <c r="Q844" i="1" a="1"/>
  <c r="Q845" i="1" a="1"/>
  <c r="Q846" i="1" a="1"/>
  <c r="Q847" i="1" a="1"/>
  <c r="Q848" i="1" a="1"/>
  <c r="Q849" i="1" a="1"/>
  <c r="Q850" i="1" a="1"/>
  <c r="Q851" i="1" a="1"/>
  <c r="Q852" i="1" a="1"/>
  <c r="Q853" i="1" a="1"/>
  <c r="Q854" i="1" a="1"/>
  <c r="Q855" i="1" a="1"/>
  <c r="Q856" i="1" a="1"/>
  <c r="Q857" i="1" a="1"/>
  <c r="Q858" i="1" a="1"/>
  <c r="Q859" i="1" a="1"/>
  <c r="Q860" i="1" a="1"/>
  <c r="Q861" i="1" a="1"/>
  <c r="Q862" i="1" a="1"/>
  <c r="Q863" i="1" a="1"/>
  <c r="Q864" i="1" a="1"/>
  <c r="Q865" i="1" a="1"/>
  <c r="Q866" i="1" a="1"/>
  <c r="Q867" i="1" a="1"/>
  <c r="Q868" i="1" a="1"/>
  <c r="Q869" i="1" a="1"/>
  <c r="Q870" i="1" a="1"/>
  <c r="Q871" i="1" a="1"/>
  <c r="Q872" i="1" a="1"/>
  <c r="Q873" i="1" a="1"/>
  <c r="Q874" i="1" a="1"/>
  <c r="Q875" i="1" a="1"/>
  <c r="Q876" i="1" a="1"/>
  <c r="Q877" i="1" a="1"/>
  <c r="Q878" i="1" a="1"/>
  <c r="Q879" i="1" a="1"/>
  <c r="Q880" i="1" a="1"/>
  <c r="Q881" i="1" a="1"/>
  <c r="Q882" i="1" a="1"/>
  <c r="Q883" i="1" a="1"/>
  <c r="Q884" i="1" a="1"/>
  <c r="Q885" i="1" a="1"/>
  <c r="Q886" i="1" a="1"/>
  <c r="Q887" i="1" a="1"/>
  <c r="Q888" i="1" a="1"/>
  <c r="Q889" i="1" a="1"/>
  <c r="Q890" i="1" a="1"/>
  <c r="Q891" i="1" a="1"/>
  <c r="Q892" i="1" a="1"/>
  <c r="Q893" i="1" a="1"/>
  <c r="Q894" i="1" a="1"/>
  <c r="Q895" i="1" a="1"/>
  <c r="Q896" i="1" a="1"/>
  <c r="Q897" i="1" a="1"/>
  <c r="Q898" i="1" a="1"/>
  <c r="Q899" i="1" a="1"/>
  <c r="Q900" i="1" a="1"/>
  <c r="Q901" i="1" a="1"/>
  <c r="Q902" i="1" a="1"/>
  <c r="Q903" i="1" a="1"/>
  <c r="Q904" i="1" a="1"/>
  <c r="Q905" i="1" a="1"/>
  <c r="Q906" i="1" a="1"/>
  <c r="Q907" i="1" a="1"/>
  <c r="Q908" i="1" a="1"/>
  <c r="Q909" i="1" a="1"/>
  <c r="Q910" i="1" a="1"/>
  <c r="Q911" i="1" a="1"/>
  <c r="Q912" i="1" a="1"/>
  <c r="Q913" i="1" a="1"/>
  <c r="Q914" i="1" a="1"/>
  <c r="Q915" i="1" a="1"/>
  <c r="Q916" i="1" a="1"/>
  <c r="Q917" i="1" a="1"/>
  <c r="Q918" i="1" a="1"/>
  <c r="Q919" i="1" a="1"/>
  <c r="Q920" i="1" a="1"/>
  <c r="Q921" i="1" a="1"/>
  <c r="Q922" i="1" a="1"/>
  <c r="Q923" i="1" a="1"/>
  <c r="Q924" i="1" a="1"/>
  <c r="Q925" i="1" a="1"/>
  <c r="Q926" i="1" a="1"/>
  <c r="Q927" i="1" a="1"/>
  <c r="Q928" i="1" a="1"/>
  <c r="Q929" i="1" a="1"/>
  <c r="Q930" i="1" a="1"/>
  <c r="Q931" i="1" a="1"/>
  <c r="Q932" i="1" a="1"/>
  <c r="Q933" i="1" a="1"/>
  <c r="Q934" i="1" a="1"/>
  <c r="Q935" i="1" a="1"/>
  <c r="Q936" i="1" a="1"/>
  <c r="Q937" i="1" a="1"/>
  <c r="Q938" i="1" a="1"/>
  <c r="Q939" i="1" a="1"/>
  <c r="Q940" i="1" a="1"/>
  <c r="Q941" i="1" a="1"/>
  <c r="Q942" i="1" a="1"/>
  <c r="Q943" i="1" a="1"/>
  <c r="Q944" i="1" a="1"/>
  <c r="Q945" i="1" a="1"/>
  <c r="Q946" i="1" a="1"/>
  <c r="Q947" i="1" a="1"/>
  <c r="Q948" i="1" a="1"/>
  <c r="Q949" i="1" a="1"/>
  <c r="Q950" i="1" a="1"/>
  <c r="Q951" i="1" a="1"/>
  <c r="Q952" i="1" a="1"/>
  <c r="Q953" i="1" a="1"/>
  <c r="Q954" i="1" a="1"/>
  <c r="Q955" i="1" a="1"/>
  <c r="Q956" i="1" a="1"/>
  <c r="Q957" i="1" a="1"/>
  <c r="Q958" i="1" a="1"/>
  <c r="Q959" i="1" a="1"/>
  <c r="Q960" i="1" a="1"/>
  <c r="Q961" i="1" a="1"/>
  <c r="Q962" i="1" a="1"/>
  <c r="Q963" i="1" a="1"/>
  <c r="Q964" i="1" a="1"/>
  <c r="Q965" i="1" a="1"/>
  <c r="Q966" i="1" a="1"/>
  <c r="Q967" i="1" a="1"/>
  <c r="Q968" i="1" a="1"/>
  <c r="Q969" i="1" a="1"/>
  <c r="Q970" i="1" a="1"/>
  <c r="Q971" i="1" a="1"/>
  <c r="Q972" i="1" a="1"/>
  <c r="Q973" i="1" a="1"/>
  <c r="Q974" i="1" a="1"/>
  <c r="Q975" i="1" a="1"/>
  <c r="Q976" i="1" a="1"/>
  <c r="Q977" i="1" a="1"/>
  <c r="Q978" i="1" a="1"/>
  <c r="Q979" i="1" a="1"/>
  <c r="Q980" i="1" a="1"/>
  <c r="Q981" i="1" a="1"/>
  <c r="Q982" i="1" a="1"/>
  <c r="Q983" i="1" a="1"/>
  <c r="Q984" i="1" a="1"/>
  <c r="Q985" i="1" a="1"/>
  <c r="Q986" i="1" a="1"/>
  <c r="Q987" i="1" a="1"/>
  <c r="Q988" i="1" a="1"/>
  <c r="Q989" i="1" a="1"/>
  <c r="Q990" i="1" a="1"/>
  <c r="Q991" i="1" a="1"/>
  <c r="Q992" i="1" a="1"/>
  <c r="Q993" i="1" a="1"/>
  <c r="Q994" i="1" a="1"/>
  <c r="Q995" i="1" a="1"/>
  <c r="Q996" i="1" a="1"/>
  <c r="Q997" i="1" a="1"/>
  <c r="Q998" i="1" a="1"/>
  <c r="Q999" i="1" a="1"/>
  <c r="Q1000" i="1" a="1"/>
  <c r="Q1001" i="1" a="1"/>
  <c r="Q1002" i="1" a="1"/>
  <c r="Q1003" i="1" a="1"/>
  <c r="Q1004" i="1" a="1"/>
  <c r="Q1005" i="1" a="1"/>
  <c r="Q1006" i="1" a="1"/>
  <c r="Q1007" i="1" a="1"/>
  <c r="Q1008" i="1" a="1"/>
  <c r="Q1009" i="1" a="1"/>
  <c r="Q1010" i="1" a="1"/>
  <c r="Q1011" i="1" a="1"/>
  <c r="Q1012" i="1" a="1"/>
  <c r="Q1013" i="1" a="1"/>
  <c r="Q1014" i="1" a="1"/>
  <c r="Q1015" i="1" a="1"/>
  <c r="Q1016" i="1" a="1"/>
  <c r="Q1017" i="1" a="1"/>
  <c r="Q1018" i="1" a="1"/>
  <c r="Q1019" i="1" a="1"/>
  <c r="Q1020" i="1" a="1"/>
  <c r="Q1021" i="1" a="1"/>
  <c r="Q1022" i="1" a="1"/>
  <c r="Q1023" i="1" a="1"/>
  <c r="Q1024" i="1" a="1"/>
  <c r="Q1025" i="1" a="1"/>
  <c r="Q1026" i="1" a="1"/>
  <c r="Q1027" i="1" a="1"/>
  <c r="Q1028" i="1" a="1"/>
  <c r="Q1029" i="1" a="1"/>
  <c r="Q1030" i="1" a="1"/>
  <c r="Q1031" i="1" a="1"/>
  <c r="Q1032" i="1" a="1"/>
  <c r="Q1033" i="1" a="1"/>
  <c r="Q1034" i="1" a="1"/>
  <c r="Q1035" i="1" a="1"/>
  <c r="Q1036" i="1" a="1"/>
  <c r="Q1037" i="1" a="1"/>
  <c r="Q1038" i="1" a="1"/>
  <c r="Q1039" i="1" a="1"/>
  <c r="Q1040" i="1" a="1"/>
  <c r="Q1041" i="1" a="1"/>
  <c r="Q1042" i="1" a="1"/>
  <c r="Q1043" i="1" a="1"/>
  <c r="Q1044" i="1" a="1"/>
  <c r="Q1045" i="1" a="1"/>
  <c r="Q1046" i="1" a="1"/>
  <c r="Q1047" i="1" a="1"/>
  <c r="Q1048" i="1" a="1"/>
  <c r="Q1049" i="1" a="1"/>
  <c r="Q1050" i="1" a="1"/>
  <c r="Q1051" i="1" a="1"/>
  <c r="Q1052" i="1" a="1"/>
  <c r="Q1053" i="1" a="1"/>
  <c r="Q1054" i="1" a="1"/>
  <c r="Q1055" i="1" a="1"/>
  <c r="Q1056" i="1" a="1"/>
  <c r="Q1057" i="1" a="1"/>
  <c r="Q1058" i="1" a="1"/>
  <c r="Q1059" i="1" a="1"/>
  <c r="Q1060" i="1" a="1"/>
  <c r="Q1061" i="1" a="1"/>
  <c r="Q1062" i="1" a="1"/>
  <c r="Q1063" i="1" a="1"/>
  <c r="Q1064" i="1" a="1"/>
  <c r="Q1065" i="1" a="1"/>
  <c r="Q1066" i="1" a="1"/>
  <c r="Q1067" i="1" a="1"/>
  <c r="Q1068" i="1" a="1"/>
  <c r="Q1069" i="1" a="1"/>
  <c r="Q1070" i="1" a="1"/>
  <c r="Q1071" i="1" a="1"/>
  <c r="Q1072" i="1" a="1"/>
  <c r="Q1073" i="1" a="1"/>
  <c r="Q1074" i="1" a="1"/>
  <c r="Q1075" i="1" a="1"/>
  <c r="Q1076" i="1" a="1"/>
  <c r="Q1077" i="1" a="1"/>
  <c r="Q1078" i="1" a="1"/>
  <c r="Q1079" i="1" a="1"/>
  <c r="Q1080" i="1" a="1"/>
  <c r="Q1081" i="1" a="1"/>
  <c r="Q1082" i="1" a="1"/>
  <c r="Q1083" i="1" a="1"/>
  <c r="Q1084" i="1" a="1"/>
  <c r="Q1085" i="1" a="1"/>
  <c r="Q1086" i="1" a="1"/>
  <c r="Q1087" i="1" a="1"/>
  <c r="Q1088" i="1" a="1"/>
  <c r="Q1089" i="1" a="1"/>
  <c r="Q1090" i="1" a="1"/>
  <c r="Q1091" i="1" a="1"/>
  <c r="Q1092" i="1" a="1"/>
  <c r="Q1093" i="1" a="1"/>
  <c r="Q1094" i="1" a="1"/>
  <c r="Q1095" i="1" a="1"/>
  <c r="Q1096" i="1" a="1"/>
  <c r="Q1097" i="1" a="1"/>
  <c r="Q1098" i="1" a="1"/>
  <c r="Q1099" i="1" a="1"/>
  <c r="Q1100" i="1" a="1"/>
  <c r="Q1101" i="1" a="1"/>
  <c r="Q1102" i="1" a="1"/>
  <c r="Q1103" i="1" a="1"/>
  <c r="Q1104" i="1" a="1"/>
  <c r="Q1105" i="1" a="1"/>
  <c r="Q1106" i="1" a="1"/>
  <c r="Q1107" i="1" a="1"/>
  <c r="Q1108" i="1" a="1"/>
  <c r="Q1109" i="1" a="1"/>
  <c r="Q1110" i="1" a="1"/>
  <c r="Q1111" i="1" a="1"/>
  <c r="Q1112" i="1" a="1"/>
  <c r="Q1113" i="1" a="1"/>
  <c r="Q1114" i="1" a="1"/>
  <c r="Q1115" i="1" a="1"/>
  <c r="Q1116" i="1" a="1"/>
  <c r="Q1117" i="1" a="1"/>
  <c r="Q1118" i="1" a="1"/>
  <c r="Q1119" i="1" a="1"/>
  <c r="Q1120" i="1" a="1"/>
  <c r="Q1121" i="1" a="1"/>
  <c r="Q1122" i="1" a="1"/>
  <c r="Q1123" i="1" a="1"/>
  <c r="Q1124" i="1" a="1"/>
  <c r="Q1125" i="1" a="1"/>
  <c r="Q1126" i="1" a="1"/>
  <c r="Q1127" i="1" a="1"/>
  <c r="Q1128" i="1" a="1"/>
  <c r="Q1129" i="1" a="1"/>
  <c r="Q1130" i="1" a="1"/>
  <c r="Q1131" i="1" a="1"/>
  <c r="Q1132" i="1" a="1"/>
  <c r="Q1133" i="1" a="1"/>
  <c r="Q1134" i="1" a="1"/>
  <c r="Q1135" i="1" a="1"/>
  <c r="Q1136" i="1" a="1"/>
  <c r="Q1137" i="1" a="1"/>
  <c r="Q1138" i="1" a="1"/>
  <c r="Q1139" i="1" a="1"/>
  <c r="Q1140" i="1" a="1"/>
  <c r="Q1141" i="1" a="1"/>
  <c r="Q1142" i="1" a="1"/>
  <c r="Q1143" i="1" a="1"/>
  <c r="Q1144" i="1" a="1"/>
  <c r="Q1145" i="1" a="1"/>
  <c r="Q1146" i="1" a="1"/>
  <c r="Q1147" i="1" a="1"/>
  <c r="Q1148" i="1" a="1"/>
  <c r="Q1149" i="1" a="1"/>
  <c r="Q1150" i="1" a="1"/>
  <c r="Q1151" i="1" a="1"/>
  <c r="Q1152" i="1" a="1"/>
  <c r="Q1153" i="1" a="1"/>
  <c r="Q1154" i="1" a="1"/>
  <c r="Q1155" i="1" a="1"/>
  <c r="Q1156" i="1" a="1"/>
  <c r="Q1157" i="1" a="1"/>
  <c r="Q1158" i="1" a="1"/>
  <c r="Q1159" i="1" a="1"/>
  <c r="Q1160" i="1" a="1"/>
  <c r="Q1161" i="1" a="1"/>
  <c r="Q1162" i="1" a="1"/>
  <c r="Q1163" i="1" a="1"/>
  <c r="Q1164" i="1" a="1"/>
  <c r="Q1165" i="1" a="1"/>
  <c r="Q1166" i="1" a="1"/>
  <c r="Q1167" i="1" a="1"/>
  <c r="Q1168" i="1" a="1"/>
  <c r="Q1169" i="1" a="1"/>
  <c r="Q1170" i="1" a="1"/>
  <c r="Q1171" i="1" a="1"/>
  <c r="Q1172" i="1" a="1"/>
  <c r="Q1173" i="1" a="1"/>
  <c r="Q1174" i="1" a="1"/>
  <c r="Q1175" i="1" a="1"/>
  <c r="Q1176" i="1" a="1"/>
  <c r="Q1177" i="1" a="1"/>
  <c r="Q1178" i="1" a="1"/>
  <c r="Q1179" i="1" a="1"/>
  <c r="Q1180" i="1" a="1"/>
  <c r="Q1181" i="1" a="1"/>
  <c r="Q1182" i="1" a="1"/>
  <c r="Q1183" i="1" a="1"/>
  <c r="Q1184" i="1" a="1"/>
  <c r="Q1185" i="1" a="1"/>
  <c r="Q1186" i="1" a="1"/>
  <c r="Q1187" i="1" a="1"/>
  <c r="Q1188" i="1" a="1"/>
  <c r="Q1189" i="1" a="1"/>
  <c r="Q1190" i="1" a="1"/>
  <c r="Q1191" i="1" a="1"/>
  <c r="Q1192" i="1" a="1"/>
  <c r="Q1193" i="1" a="1"/>
  <c r="Q1194" i="1" a="1"/>
  <c r="Q1195" i="1" a="1"/>
  <c r="Q1196" i="1" a="1"/>
  <c r="Q1197" i="1" a="1"/>
  <c r="Q1198" i="1" a="1"/>
  <c r="Q1199" i="1" a="1"/>
  <c r="Q1200" i="1" a="1"/>
  <c r="Q1201" i="1" a="1"/>
  <c r="Q1202" i="1" a="1"/>
  <c r="Q1203" i="1" a="1"/>
  <c r="Q1204" i="1" a="1"/>
  <c r="Q1205" i="1" a="1"/>
  <c r="Q1206" i="1" a="1"/>
  <c r="Q1207" i="1" a="1"/>
  <c r="Q1208" i="1" a="1"/>
  <c r="Q1209" i="1" a="1"/>
  <c r="Q1210" i="1" a="1"/>
  <c r="Q1211" i="1" a="1"/>
  <c r="Q1212" i="1" a="1"/>
  <c r="Q1213" i="1" a="1"/>
  <c r="Q1214" i="1" a="1"/>
  <c r="Q1215" i="1" a="1"/>
  <c r="Q1216" i="1" a="1"/>
  <c r="Q1217" i="1" a="1"/>
  <c r="Q1218" i="1" a="1"/>
  <c r="Q1219" i="1" a="1"/>
  <c r="Q1220" i="1" a="1"/>
  <c r="Q1221" i="1" a="1"/>
  <c r="Q1222" i="1" a="1"/>
  <c r="Q1223" i="1" a="1"/>
  <c r="Q1224" i="1" a="1"/>
  <c r="Q1225" i="1" a="1"/>
  <c r="Q1226" i="1" a="1"/>
  <c r="Q1227" i="1" a="1"/>
  <c r="Q1228" i="1" a="1"/>
  <c r="Q1229" i="1" a="1"/>
  <c r="Q1230" i="1" a="1"/>
  <c r="Q1231" i="1" a="1"/>
  <c r="Q1232" i="1" a="1"/>
  <c r="Q1233" i="1" a="1"/>
  <c r="Q1234" i="1" a="1"/>
  <c r="Q1235" i="1" a="1"/>
  <c r="Q1236" i="1" a="1"/>
  <c r="Q1237" i="1" a="1"/>
  <c r="Q1238" i="1" a="1"/>
  <c r="Q1239" i="1" a="1"/>
  <c r="Q1240" i="1" a="1"/>
  <c r="Q1241" i="1" a="1"/>
  <c r="Q1242" i="1" a="1"/>
  <c r="Q1243" i="1" a="1"/>
  <c r="Q1244" i="1" a="1"/>
  <c r="Q1245" i="1" a="1"/>
  <c r="Q1246" i="1" a="1"/>
  <c r="Q1247" i="1" a="1"/>
  <c r="Q1248" i="1" a="1"/>
  <c r="Q1249" i="1" a="1"/>
  <c r="Q1250" i="1" a="1"/>
  <c r="Q1251" i="1" a="1"/>
  <c r="Q1252" i="1" a="1"/>
  <c r="Q1253" i="1" a="1"/>
  <c r="Q1254" i="1" a="1"/>
  <c r="Q1255" i="1" a="1"/>
  <c r="Q1256" i="1" a="1"/>
  <c r="Q1257" i="1" a="1"/>
  <c r="Q1258" i="1" a="1"/>
  <c r="Q1259" i="1" a="1"/>
  <c r="Q1260" i="1" a="1"/>
  <c r="Q1261" i="1" a="1"/>
  <c r="Q1262" i="1" a="1"/>
  <c r="Q1263" i="1" a="1"/>
  <c r="Q1264" i="1" a="1"/>
  <c r="Q1265" i="1" a="1"/>
  <c r="Q1266" i="1" a="1"/>
  <c r="Q1267" i="1" a="1"/>
  <c r="Q1268" i="1" a="1"/>
  <c r="Q1269" i="1" a="1"/>
  <c r="Q1270" i="1" a="1"/>
  <c r="Q1271" i="1" a="1"/>
  <c r="Q1272" i="1" a="1"/>
  <c r="Q1273" i="1" a="1"/>
  <c r="Q1274" i="1" a="1"/>
  <c r="Q1275" i="1" a="1"/>
  <c r="Q1276" i="1" a="1"/>
  <c r="Q1277" i="1" a="1"/>
  <c r="Q1278" i="1" a="1"/>
  <c r="Q1279" i="1" a="1"/>
  <c r="Q1280" i="1" a="1"/>
  <c r="Q1281" i="1" a="1"/>
  <c r="Q1282" i="1" a="1"/>
  <c r="Q1283" i="1" a="1"/>
  <c r="Q1284" i="1" a="1"/>
  <c r="Q1285" i="1" a="1"/>
  <c r="Q1286" i="1" a="1"/>
  <c r="Q1287" i="1" a="1"/>
  <c r="Q1288" i="1" a="1"/>
  <c r="Q1289" i="1" a="1"/>
  <c r="Q1290" i="1" a="1"/>
  <c r="Q1291" i="1" a="1"/>
  <c r="Q1292" i="1" a="1"/>
  <c r="Q1293" i="1" a="1"/>
  <c r="Q1294" i="1" a="1"/>
  <c r="Q1295" i="1" a="1"/>
  <c r="Q1296" i="1" a="1"/>
  <c r="Q1297" i="1" a="1"/>
  <c r="Q1298" i="1" a="1"/>
  <c r="Q1299" i="1" a="1"/>
  <c r="Q1300" i="1" a="1"/>
  <c r="Q1301" i="1" a="1"/>
  <c r="Q1302" i="1" a="1"/>
  <c r="Q1303" i="1" a="1"/>
  <c r="Q1304" i="1" a="1"/>
  <c r="Q1305" i="1" a="1"/>
  <c r="Q1306" i="1" a="1"/>
  <c r="Q1307" i="1" a="1"/>
  <c r="Q1308" i="1" a="1"/>
  <c r="Q1309" i="1" a="1"/>
  <c r="Q1310" i="1" a="1"/>
  <c r="Q1311" i="1" a="1"/>
  <c r="Q1312" i="1" a="1"/>
  <c r="Q1313" i="1" a="1"/>
  <c r="Q1314" i="1" a="1"/>
  <c r="Q1315" i="1" a="1"/>
  <c r="Q1316" i="1" a="1"/>
  <c r="Q1317" i="1" a="1"/>
  <c r="Q1318" i="1" a="1"/>
  <c r="Q1319" i="1" a="1"/>
  <c r="Q1320" i="1" a="1"/>
  <c r="Q1321" i="1" a="1"/>
  <c r="Q1322" i="1" a="1"/>
  <c r="Q1323" i="1" a="1"/>
  <c r="Q1324" i="1" a="1"/>
  <c r="Q1325" i="1" a="1"/>
  <c r="Q1326" i="1" a="1"/>
  <c r="Q1327" i="1" a="1"/>
  <c r="Q1328" i="1" a="1"/>
  <c r="Q1329" i="1" a="1"/>
  <c r="Q1330" i="1" a="1"/>
  <c r="Q1331" i="1" a="1"/>
  <c r="Q1332" i="1" a="1"/>
  <c r="Q1333" i="1" a="1"/>
  <c r="Q1334" i="1" a="1"/>
  <c r="Q1335" i="1" a="1"/>
  <c r="Q1336" i="1" a="1"/>
  <c r="Q1337" i="1" a="1"/>
  <c r="Q1338" i="1" a="1"/>
  <c r="Q1339" i="1" a="1"/>
  <c r="Q1340" i="1" a="1"/>
  <c r="Q1341" i="1" a="1"/>
  <c r="Q1342" i="1" a="1"/>
  <c r="Q1343" i="1" a="1"/>
  <c r="Q1344" i="1" a="1"/>
  <c r="Q1345" i="1" a="1"/>
  <c r="Q1346" i="1" a="1"/>
  <c r="Q1347" i="1" a="1"/>
  <c r="Q1348" i="1" a="1"/>
  <c r="Q1349" i="1" a="1"/>
  <c r="Q1350" i="1" a="1"/>
  <c r="Q1351" i="1" a="1"/>
  <c r="Q1352" i="1" a="1"/>
  <c r="Q1353" i="1" a="1"/>
  <c r="Q1354" i="1" a="1"/>
  <c r="Q1355" i="1" a="1"/>
  <c r="Q1356" i="1" a="1"/>
  <c r="Q1357" i="1" a="1"/>
  <c r="Q1358" i="1" a="1"/>
  <c r="Q1359" i="1" a="1"/>
  <c r="Q1360" i="1" a="1"/>
  <c r="Q1361" i="1" a="1"/>
  <c r="Q1362" i="1" a="1"/>
  <c r="Q1363" i="1" a="1"/>
  <c r="Q1364" i="1" a="1"/>
  <c r="Q1365" i="1" a="1"/>
  <c r="Q1366" i="1" a="1"/>
  <c r="Q1367" i="1" a="1"/>
  <c r="Q1368" i="1" a="1"/>
  <c r="Q1369" i="1" a="1"/>
  <c r="Q1370" i="1" a="1"/>
  <c r="Q1371" i="1" a="1"/>
  <c r="Q1372" i="1" a="1"/>
  <c r="Q1373" i="1" a="1"/>
  <c r="Q1374" i="1" a="1"/>
  <c r="Q1375" i="1" a="1"/>
  <c r="Q1376" i="1" a="1"/>
  <c r="Q1377" i="1" a="1"/>
  <c r="Q1378" i="1" a="1"/>
  <c r="Q1379" i="1" a="1"/>
  <c r="Q1380" i="1" a="1"/>
  <c r="Q1381" i="1" a="1"/>
  <c r="Q1382" i="1" a="1"/>
  <c r="Q1383" i="1" a="1"/>
  <c r="Q1384" i="1" a="1"/>
  <c r="Q1385" i="1" a="1"/>
  <c r="Q1386" i="1" a="1"/>
  <c r="Q1387" i="1" a="1"/>
  <c r="Q1388" i="1" a="1"/>
  <c r="Q1389" i="1" a="1"/>
  <c r="Q1390" i="1" a="1"/>
  <c r="Q1391" i="1" a="1"/>
  <c r="Q1392" i="1" a="1"/>
  <c r="Q1393" i="1" a="1"/>
  <c r="Q1394" i="1" a="1"/>
  <c r="Q1395" i="1" a="1"/>
  <c r="Q1396" i="1" a="1"/>
  <c r="Q1397" i="1" a="1"/>
  <c r="Q1398" i="1" a="1"/>
  <c r="Q1399" i="1" a="1"/>
  <c r="Q1400" i="1" a="1"/>
  <c r="Q1401" i="1" a="1"/>
  <c r="Q1402" i="1" a="1"/>
  <c r="Q1403" i="1" a="1"/>
  <c r="Q1404" i="1" a="1"/>
  <c r="Q1405" i="1" a="1"/>
  <c r="Q1406" i="1" a="1"/>
  <c r="Q1407" i="1" a="1"/>
  <c r="Q1408" i="1" a="1"/>
  <c r="Q1409" i="1" a="1"/>
  <c r="Q1410" i="1" a="1"/>
  <c r="Q1411" i="1" a="1"/>
  <c r="Q1412" i="1" a="1"/>
  <c r="Q1413" i="1" a="1"/>
  <c r="Q1414" i="1" a="1"/>
  <c r="Q1415" i="1" a="1"/>
  <c r="Q1416" i="1" a="1"/>
  <c r="Q1417" i="1" a="1"/>
  <c r="Q1418" i="1" a="1"/>
  <c r="Q1419" i="1" a="1"/>
  <c r="Q1420" i="1" a="1"/>
  <c r="Q1421" i="1" a="1"/>
  <c r="Q1422" i="1" a="1"/>
  <c r="Q1423" i="1" a="1"/>
  <c r="Q1424" i="1" a="1"/>
  <c r="Q1425" i="1" a="1"/>
  <c r="Q1426" i="1" a="1"/>
  <c r="Q1427" i="1" a="1"/>
  <c r="Q1428" i="1" a="1"/>
  <c r="Q1429" i="1" a="1"/>
  <c r="Q1430" i="1" a="1"/>
  <c r="Q1431" i="1" a="1"/>
  <c r="Q1432" i="1" a="1"/>
  <c r="Q1433" i="1" a="1"/>
  <c r="Q1434" i="1" a="1"/>
  <c r="Q1435" i="1" a="1"/>
  <c r="Q1436" i="1" a="1"/>
  <c r="Q1437" i="1" a="1"/>
  <c r="Q1438" i="1" a="1"/>
  <c r="Q1439" i="1" a="1"/>
  <c r="Q1440" i="1" a="1"/>
  <c r="Q1441" i="1" a="1"/>
  <c r="Q1442" i="1" a="1"/>
  <c r="Q1443" i="1" a="1"/>
  <c r="Q1444" i="1" a="1"/>
  <c r="Q1445" i="1" a="1"/>
  <c r="Q1446" i="1" a="1"/>
  <c r="Q1447" i="1" a="1"/>
  <c r="Q1448" i="1" a="1"/>
  <c r="Q1449" i="1" a="1"/>
  <c r="Q1450" i="1" a="1"/>
  <c r="Q1451" i="1" a="1"/>
  <c r="Q1452" i="1" a="1"/>
  <c r="Q1453" i="1" a="1"/>
  <c r="Q1454" i="1" a="1"/>
  <c r="Q1455" i="1" a="1"/>
  <c r="Q1456" i="1" a="1"/>
  <c r="Q1457" i="1" a="1"/>
  <c r="Q1458" i="1" a="1"/>
  <c r="Q1459" i="1" a="1"/>
  <c r="Q1460" i="1" a="1"/>
  <c r="Q1461" i="1" a="1"/>
  <c r="Q1462" i="1" a="1"/>
  <c r="Q1463" i="1" a="1"/>
  <c r="Q1464" i="1" a="1"/>
  <c r="Q1465" i="1" a="1"/>
  <c r="Q1466" i="1" a="1"/>
  <c r="Q1467" i="1" a="1"/>
  <c r="Q1468" i="1" a="1"/>
  <c r="Q1469" i="1" a="1"/>
  <c r="Q1470" i="1" a="1"/>
  <c r="Q1471" i="1" a="1"/>
  <c r="Q1472" i="1" a="1"/>
  <c r="Q1473" i="1" a="1"/>
  <c r="Q1474" i="1" a="1"/>
  <c r="Q1475" i="1" a="1"/>
  <c r="Q1476" i="1" a="1"/>
  <c r="Q1477" i="1" a="1"/>
  <c r="Q1478" i="1" a="1"/>
  <c r="Q1479" i="1" a="1"/>
  <c r="Q1480" i="1" a="1"/>
  <c r="Q1481" i="1" a="1"/>
  <c r="Q1482" i="1" a="1"/>
  <c r="Q1483" i="1" a="1"/>
  <c r="Q1484" i="1" a="1"/>
  <c r="Q1485" i="1" a="1"/>
  <c r="Q1486" i="1" a="1"/>
  <c r="Q1487" i="1" a="1"/>
  <c r="Q1488" i="1" a="1"/>
  <c r="Q1489" i="1" a="1"/>
  <c r="Q1490" i="1" a="1"/>
  <c r="Q1491" i="1" a="1"/>
  <c r="Q1492" i="1" a="1"/>
  <c r="Q1493" i="1" a="1"/>
  <c r="Q1494" i="1" a="1"/>
  <c r="Q1495" i="1" a="1"/>
  <c r="Q1496" i="1" a="1"/>
  <c r="Q1497" i="1" a="1"/>
  <c r="Q1498" i="1" a="1"/>
  <c r="Q1499" i="1" a="1"/>
  <c r="Q1500" i="1" a="1"/>
  <c r="Q1501" i="1" a="1"/>
  <c r="Q1502" i="1" a="1"/>
  <c r="Q1503" i="1" a="1"/>
  <c r="Q1504" i="1" a="1"/>
  <c r="Q1505" i="1" a="1"/>
  <c r="Q1506" i="1" a="1"/>
  <c r="Q1507" i="1" a="1"/>
  <c r="Q1508" i="1" a="1"/>
  <c r="Q1509" i="1" a="1"/>
  <c r="Q1510" i="1" a="1"/>
  <c r="Q1511" i="1" a="1"/>
  <c r="Q1512" i="1" a="1"/>
  <c r="Q1513" i="1" a="1"/>
  <c r="Q1514" i="1" a="1"/>
  <c r="Q1515" i="1" a="1"/>
  <c r="Q1516" i="1" a="1"/>
  <c r="Q1517" i="1" a="1"/>
  <c r="Q1518" i="1" a="1"/>
  <c r="Q1519" i="1" a="1"/>
  <c r="Q1520" i="1" a="1"/>
  <c r="Q1521" i="1" a="1"/>
  <c r="Q1522" i="1" a="1"/>
  <c r="Q1523" i="1" a="1"/>
  <c r="Q1524" i="1" a="1"/>
  <c r="Q1525" i="1" a="1"/>
  <c r="Q1526" i="1" a="1"/>
  <c r="Q1527" i="1" a="1"/>
  <c r="Q1528" i="1" a="1"/>
  <c r="Q1529" i="1" a="1"/>
  <c r="Q1530" i="1" a="1"/>
  <c r="Q1531" i="1" a="1"/>
  <c r="Q1532" i="1" a="1"/>
  <c r="Q1533" i="1" a="1"/>
  <c r="Q1534" i="1" a="1"/>
  <c r="Q1535" i="1" a="1"/>
  <c r="Q1536" i="1" a="1"/>
  <c r="Q1537" i="1" a="1"/>
  <c r="Q1538" i="1" a="1"/>
  <c r="Q1539" i="1" a="1"/>
  <c r="Q1540" i="1" a="1"/>
  <c r="Q1541" i="1" a="1"/>
  <c r="Q1542" i="1" a="1"/>
  <c r="Q1543" i="1" a="1"/>
  <c r="Q1544" i="1" a="1"/>
  <c r="Q1545" i="1" a="1"/>
  <c r="Q1546" i="1" a="1"/>
  <c r="Q1547" i="1" a="1"/>
  <c r="Q1548" i="1" a="1"/>
  <c r="Q1549" i="1" a="1"/>
  <c r="Q1550" i="1" a="1"/>
  <c r="Q1551" i="1" a="1"/>
  <c r="Q1552" i="1" a="1"/>
  <c r="Q1553" i="1" a="1"/>
  <c r="Q1554" i="1" a="1"/>
  <c r="Q1555" i="1" a="1"/>
  <c r="Q1556" i="1" a="1"/>
  <c r="Q1557" i="1" a="1"/>
  <c r="Q1558" i="1" a="1"/>
  <c r="Q1559" i="1" a="1"/>
  <c r="Q1560" i="1" a="1"/>
  <c r="Q1561" i="1" a="1"/>
  <c r="Q1562" i="1" a="1"/>
  <c r="Q1563" i="1" a="1"/>
  <c r="Q1564" i="1" a="1"/>
  <c r="Q1565" i="1" a="1"/>
  <c r="Q1566" i="1" a="1"/>
  <c r="Q1567" i="1" a="1"/>
  <c r="Q1568" i="1" a="1"/>
  <c r="Q1569" i="1" a="1"/>
  <c r="Q1570" i="1" a="1"/>
  <c r="Q1571" i="1" a="1"/>
  <c r="Q1572" i="1" a="1"/>
  <c r="Q1573" i="1" a="1"/>
  <c r="Q1574" i="1" a="1"/>
  <c r="Q1575" i="1" a="1"/>
  <c r="Q1576" i="1" a="1"/>
  <c r="Q1577" i="1" a="1"/>
  <c r="Q1578" i="1" a="1"/>
  <c r="Q1579" i="1" a="1"/>
  <c r="Q1580" i="1" a="1"/>
  <c r="Q1581" i="1" a="1"/>
  <c r="Q1582" i="1" a="1"/>
  <c r="Q1583" i="1" a="1"/>
  <c r="Q1584" i="1" a="1"/>
  <c r="Q1585" i="1" a="1"/>
  <c r="Q1586" i="1" a="1"/>
  <c r="Q1587" i="1" a="1"/>
  <c r="Q1588" i="1" a="1"/>
  <c r="Q1589" i="1" a="1"/>
  <c r="Q1590" i="1" a="1"/>
  <c r="Q1591" i="1" a="1"/>
  <c r="Q1592" i="1" a="1"/>
  <c r="Q1593" i="1" a="1"/>
  <c r="Q1594" i="1" a="1"/>
  <c r="Q1595" i="1" a="1"/>
  <c r="Q1596" i="1" a="1"/>
  <c r="Q1597" i="1" a="1"/>
  <c r="Q1598" i="1" a="1"/>
  <c r="Q1599" i="1" a="1"/>
  <c r="Q1600" i="1" a="1"/>
  <c r="Q1601" i="1" a="1"/>
  <c r="Q1602" i="1" a="1"/>
  <c r="Q1603" i="1" a="1"/>
  <c r="Q1604" i="1" a="1"/>
  <c r="Q1605" i="1" a="1"/>
  <c r="Q1606" i="1" a="1"/>
  <c r="Q1607" i="1" a="1"/>
  <c r="Q1608" i="1" a="1"/>
  <c r="Q1609" i="1" a="1"/>
  <c r="Q1610" i="1" a="1"/>
  <c r="Q1611" i="1" a="1"/>
  <c r="Q1612" i="1" a="1"/>
  <c r="Q1613" i="1" a="1"/>
  <c r="Q1614" i="1" a="1"/>
  <c r="Q1615" i="1" a="1"/>
  <c r="Q1616" i="1" a="1"/>
  <c r="Q1617" i="1" a="1"/>
  <c r="Q1618" i="1" a="1"/>
  <c r="Q1619" i="1" a="1"/>
  <c r="Q1620" i="1" a="1"/>
  <c r="Q1621" i="1" a="1"/>
  <c r="Q1622" i="1" a="1"/>
  <c r="Q1623" i="1" a="1"/>
  <c r="Q1624" i="1" a="1"/>
  <c r="Q1625" i="1" a="1"/>
  <c r="Q1626" i="1" a="1"/>
  <c r="Q1627" i="1" a="1"/>
  <c r="Q1628" i="1" a="1"/>
  <c r="Q1629" i="1" a="1"/>
  <c r="Q1630" i="1" a="1"/>
  <c r="Q1631" i="1" a="1"/>
  <c r="Q1632" i="1" a="1"/>
  <c r="Q1633" i="1" a="1"/>
  <c r="Q1634" i="1" a="1"/>
  <c r="Q1635" i="1" a="1"/>
  <c r="Q1636" i="1" a="1"/>
  <c r="Q1637" i="1" a="1"/>
  <c r="Q1638" i="1" a="1"/>
  <c r="Q1639" i="1" a="1"/>
  <c r="Q1640" i="1" a="1"/>
  <c r="Q1641" i="1" a="1"/>
  <c r="Q1642" i="1" a="1"/>
  <c r="Q1643" i="1" a="1"/>
  <c r="Q1644" i="1" a="1"/>
  <c r="Q1645" i="1" a="1"/>
  <c r="Q1646" i="1" a="1"/>
  <c r="Q1647" i="1" a="1"/>
  <c r="Q1648" i="1" a="1"/>
  <c r="Q1649" i="1" a="1"/>
  <c r="Q1650" i="1" a="1"/>
  <c r="Q1651" i="1" a="1"/>
  <c r="Q1652" i="1" a="1"/>
  <c r="Q1653" i="1" a="1"/>
  <c r="Q1654" i="1" a="1"/>
  <c r="Q1655" i="1" a="1"/>
  <c r="Q1656" i="1" a="1"/>
  <c r="Q1657" i="1" a="1"/>
  <c r="Q1658" i="1" a="1"/>
  <c r="Q1659" i="1" a="1"/>
  <c r="Q1660" i="1" a="1"/>
  <c r="Q1661" i="1" a="1"/>
  <c r="Q1662" i="1" a="1"/>
  <c r="Q1663" i="1" a="1"/>
  <c r="Q1664" i="1" a="1"/>
  <c r="Q1665" i="1" a="1"/>
  <c r="Q1666" i="1" a="1"/>
  <c r="Q1667" i="1" a="1"/>
  <c r="Q1668" i="1" a="1"/>
  <c r="Q1669" i="1" a="1"/>
  <c r="Q1670" i="1" a="1"/>
  <c r="Q1671" i="1" a="1"/>
  <c r="Q1672" i="1" a="1"/>
  <c r="Q1673" i="1" a="1"/>
  <c r="Q1674" i="1" a="1"/>
  <c r="Q1675" i="1" a="1"/>
  <c r="Q1676" i="1" a="1"/>
  <c r="Q1677" i="1" a="1"/>
  <c r="Q1678" i="1" a="1"/>
  <c r="Q1679" i="1" a="1"/>
  <c r="Q1680" i="1" a="1"/>
  <c r="Q1681" i="1" a="1"/>
  <c r="Q1682" i="1" a="1"/>
  <c r="Q1683" i="1" a="1"/>
  <c r="Q1684" i="1" a="1"/>
  <c r="Q1685" i="1" a="1"/>
  <c r="Q1686" i="1" a="1"/>
  <c r="Q1687" i="1" a="1"/>
  <c r="Q1688" i="1" a="1"/>
  <c r="Q1689" i="1" a="1"/>
  <c r="Q1690" i="1" a="1"/>
  <c r="Q1691" i="1" a="1"/>
  <c r="Q1692" i="1" a="1"/>
  <c r="Q1693" i="1" a="1"/>
  <c r="Q1694" i="1" a="1"/>
  <c r="Q1695" i="1" a="1"/>
  <c r="Q1696" i="1" a="1"/>
  <c r="Q1697" i="1" a="1"/>
  <c r="Q1698" i="1" a="1"/>
  <c r="Q1699" i="1" a="1"/>
  <c r="Q1700" i="1" a="1"/>
  <c r="Q1701" i="1" a="1"/>
  <c r="Q1702" i="1" a="1"/>
  <c r="Q1703" i="1" a="1"/>
  <c r="Q1704" i="1" a="1"/>
  <c r="Q1705" i="1" a="1"/>
  <c r="Q1706" i="1" a="1"/>
  <c r="Q1707" i="1" a="1"/>
  <c r="Q1708" i="1" a="1"/>
  <c r="Q1709" i="1" a="1"/>
  <c r="Q1710" i="1" a="1"/>
  <c r="Q1711" i="1" a="1"/>
  <c r="Q1712" i="1" a="1"/>
  <c r="Q1713" i="1" a="1"/>
  <c r="Q1714" i="1" a="1"/>
  <c r="Q1715" i="1" a="1"/>
  <c r="Q1716" i="1" a="1"/>
  <c r="Q1717" i="1" a="1"/>
  <c r="Q1718" i="1" a="1"/>
  <c r="Q1719" i="1" a="1"/>
  <c r="Q1720" i="1" a="1"/>
  <c r="Q1721" i="1" a="1"/>
  <c r="Q1722" i="1" a="1"/>
  <c r="Q1723" i="1" a="1"/>
  <c r="Q1724" i="1" a="1"/>
  <c r="Q1725" i="1" a="1"/>
  <c r="Q1726" i="1" a="1"/>
  <c r="Q1727" i="1" a="1"/>
  <c r="Q1728" i="1" a="1"/>
  <c r="Q1729" i="1" a="1"/>
  <c r="Q1730" i="1" a="1"/>
  <c r="Q1731" i="1" a="1"/>
  <c r="Q1732" i="1" a="1"/>
  <c r="Q1733" i="1" a="1"/>
  <c r="Q1734" i="1" a="1"/>
  <c r="Q1735" i="1" a="1"/>
  <c r="Q1736" i="1" a="1"/>
  <c r="Q1737" i="1" a="1"/>
  <c r="Q1738" i="1" a="1"/>
  <c r="Q1739" i="1" a="1"/>
  <c r="Q1740" i="1" a="1"/>
  <c r="Q1741" i="1" a="1"/>
  <c r="Q1742" i="1" a="1"/>
  <c r="Q1743" i="1" a="1"/>
  <c r="Q1744" i="1" a="1"/>
  <c r="Q1745" i="1" a="1"/>
  <c r="Q1746" i="1" a="1"/>
  <c r="Q1747" i="1" a="1"/>
  <c r="Q1748" i="1" a="1"/>
  <c r="Q1749" i="1" a="1"/>
  <c r="Q1750" i="1" a="1"/>
  <c r="Q1751" i="1" a="1"/>
  <c r="Q1752" i="1" a="1"/>
  <c r="Q1753" i="1" a="1"/>
  <c r="Q1754" i="1" a="1"/>
  <c r="Q1755" i="1" a="1"/>
  <c r="Q1756" i="1" a="1"/>
  <c r="Q1757" i="1" a="1"/>
  <c r="Q1758" i="1" a="1"/>
  <c r="Q1759" i="1" a="1"/>
  <c r="Q1760" i="1" a="1"/>
  <c r="Q1761" i="1" a="1"/>
  <c r="Q1762" i="1" a="1"/>
  <c r="Q1763" i="1" a="1"/>
  <c r="Q1764" i="1" a="1"/>
  <c r="Q1765" i="1" a="1"/>
  <c r="Q1766" i="1" a="1"/>
  <c r="Q1767" i="1" a="1"/>
  <c r="Q1768" i="1" a="1"/>
  <c r="Q1769" i="1" a="1"/>
  <c r="Q1770" i="1" a="1"/>
  <c r="Q1771" i="1" a="1"/>
  <c r="Q1772" i="1" a="1"/>
  <c r="Q1773" i="1" a="1"/>
  <c r="Q1774" i="1" a="1"/>
  <c r="Q1775" i="1" a="1"/>
  <c r="Q1776" i="1" a="1"/>
  <c r="Q1777" i="1" a="1"/>
  <c r="Q1778" i="1" a="1"/>
  <c r="Q1779" i="1" a="1"/>
  <c r="Q1780" i="1" a="1"/>
  <c r="Q1781" i="1" a="1"/>
  <c r="Q1782" i="1" a="1"/>
  <c r="Q1783" i="1" a="1"/>
  <c r="Q1784" i="1" a="1"/>
  <c r="Q1785" i="1" a="1"/>
  <c r="Q1786" i="1" a="1"/>
  <c r="Q1787" i="1" a="1"/>
  <c r="Q1788" i="1" a="1"/>
  <c r="Q1789" i="1" a="1"/>
  <c r="Q1790" i="1" a="1"/>
  <c r="Q1791" i="1" a="1"/>
  <c r="Q1792" i="1" a="1"/>
  <c r="Q1793" i="1" a="1"/>
  <c r="Q1794" i="1" a="1"/>
  <c r="Q1795" i="1" a="1"/>
  <c r="Q1796" i="1" a="1"/>
  <c r="Q1797" i="1" a="1"/>
  <c r="Q1798" i="1" a="1"/>
  <c r="Q1799" i="1" a="1"/>
  <c r="Q1800" i="1" a="1"/>
  <c r="Q1801" i="1" a="1"/>
  <c r="Q1802" i="1" a="1"/>
  <c r="Q1803" i="1" a="1"/>
  <c r="Q1804" i="1" a="1"/>
  <c r="Q1805" i="1" a="1"/>
  <c r="Q1806" i="1" a="1"/>
  <c r="Q1807" i="1" a="1"/>
  <c r="Q1808" i="1" a="1"/>
  <c r="Q1809" i="1" a="1"/>
  <c r="Q1810" i="1" a="1"/>
  <c r="Q1811" i="1" a="1"/>
  <c r="Q1812" i="1" a="1"/>
  <c r="Q1813" i="1" a="1"/>
  <c r="Q1814" i="1" a="1"/>
  <c r="Q1815" i="1" a="1"/>
  <c r="Q1816" i="1" a="1"/>
  <c r="Q1817" i="1" a="1"/>
  <c r="Q1818" i="1" a="1"/>
  <c r="Q1819" i="1" a="1"/>
  <c r="Q1820" i="1" a="1"/>
  <c r="Q1821" i="1" a="1"/>
  <c r="Q1822" i="1" a="1"/>
  <c r="Q1823" i="1" a="1"/>
  <c r="Q1824" i="1" a="1"/>
  <c r="Q1825" i="1" a="1"/>
  <c r="Q1826" i="1" a="1"/>
  <c r="Q1827" i="1" a="1"/>
  <c r="Q1828" i="1" a="1"/>
  <c r="Q1829" i="1" a="1"/>
  <c r="Q1830" i="1" a="1"/>
  <c r="Q1831" i="1" a="1"/>
  <c r="Q1832" i="1" a="1"/>
  <c r="Q1833" i="1" a="1"/>
  <c r="Q1834" i="1" a="1"/>
  <c r="Q1835" i="1" a="1"/>
  <c r="Q1836" i="1" a="1"/>
  <c r="Q1837" i="1" a="1"/>
  <c r="Q1838" i="1" a="1"/>
  <c r="Q1839" i="1" a="1"/>
  <c r="Q1840" i="1" a="1"/>
  <c r="Q1841" i="1" a="1"/>
  <c r="Q1842" i="1" a="1"/>
  <c r="Q1843" i="1" a="1"/>
  <c r="Q1844" i="1" a="1"/>
  <c r="Q1845" i="1" a="1"/>
  <c r="Q1846" i="1" a="1"/>
  <c r="Q1847" i="1" a="1"/>
  <c r="Q1848" i="1" a="1"/>
  <c r="Q1849" i="1" a="1"/>
  <c r="Q1850" i="1" a="1"/>
  <c r="Q1851" i="1" a="1"/>
  <c r="Q1852" i="1" a="1"/>
  <c r="Q1853" i="1" a="1"/>
  <c r="Q1854" i="1" a="1"/>
  <c r="Q1855" i="1" a="1"/>
  <c r="Q1856" i="1" a="1"/>
  <c r="Q1857" i="1" a="1"/>
  <c r="Q1858" i="1" a="1"/>
  <c r="Q1859" i="1" a="1"/>
  <c r="Q1860" i="1" a="1"/>
  <c r="Q1861" i="1" a="1"/>
  <c r="Q1862" i="1" a="1"/>
  <c r="Q1863" i="1" a="1"/>
  <c r="Q1864" i="1" a="1"/>
  <c r="Q1865" i="1" a="1"/>
  <c r="Q1866" i="1" a="1"/>
  <c r="Q1867" i="1" a="1"/>
  <c r="Q1868" i="1" a="1"/>
  <c r="Q1869" i="1" a="1"/>
  <c r="Q1870" i="1" a="1"/>
  <c r="Q1871" i="1" a="1"/>
  <c r="Q1872" i="1" a="1"/>
  <c r="Q1873" i="1" a="1"/>
  <c r="Q1874" i="1" a="1"/>
  <c r="Q1875" i="1" a="1"/>
  <c r="Q1876" i="1" a="1"/>
  <c r="Q1877" i="1" a="1"/>
  <c r="Q1878" i="1" a="1"/>
  <c r="Q1879" i="1" a="1"/>
  <c r="Q1880" i="1" a="1"/>
  <c r="Q1881" i="1" a="1"/>
  <c r="Q1882" i="1" a="1"/>
  <c r="Q1883" i="1" a="1"/>
  <c r="Q1884" i="1" a="1"/>
  <c r="Q1885" i="1" a="1"/>
  <c r="Q1886" i="1" a="1"/>
  <c r="Q1887" i="1" a="1"/>
  <c r="Q1888" i="1" a="1"/>
  <c r="Q1889" i="1" a="1"/>
  <c r="Q1890" i="1" a="1"/>
  <c r="Q1891" i="1" a="1"/>
  <c r="Q1892" i="1" a="1"/>
  <c r="Q1893" i="1" a="1"/>
  <c r="Q1894" i="1" a="1"/>
  <c r="Q1895" i="1" a="1"/>
  <c r="Q1896" i="1" a="1"/>
  <c r="Q1897" i="1" a="1"/>
  <c r="Q1898" i="1" a="1"/>
  <c r="Q1899" i="1" a="1"/>
  <c r="Q1900" i="1" a="1"/>
  <c r="Q1901" i="1" a="1"/>
  <c r="Q1902" i="1" a="1"/>
  <c r="Q1903" i="1" a="1"/>
  <c r="Q1904" i="1" a="1"/>
  <c r="Q1905" i="1" a="1"/>
  <c r="Q1906" i="1" a="1"/>
  <c r="Q1907" i="1" a="1"/>
  <c r="Q1908" i="1" a="1"/>
  <c r="Q1909" i="1" a="1"/>
  <c r="Q1910" i="1" a="1"/>
  <c r="Q1911" i="1" a="1"/>
  <c r="Q1912" i="1" a="1"/>
  <c r="Q1913" i="1" a="1"/>
  <c r="Q1914" i="1" a="1"/>
  <c r="Q1915" i="1" a="1"/>
  <c r="Q1916" i="1" a="1"/>
  <c r="Q1917" i="1" a="1"/>
  <c r="Q1918" i="1" a="1"/>
  <c r="Q1919" i="1" a="1"/>
  <c r="Q1920" i="1" a="1"/>
  <c r="Q1921" i="1" a="1"/>
  <c r="Q1922" i="1" a="1"/>
  <c r="Q1923" i="1" a="1"/>
  <c r="Q1924" i="1" a="1"/>
  <c r="Q1925" i="1" a="1"/>
  <c r="Q1926" i="1" a="1"/>
  <c r="Q1927" i="1" a="1"/>
  <c r="Q1928" i="1" a="1"/>
  <c r="Q1929" i="1" a="1"/>
  <c r="Q1930" i="1" a="1"/>
  <c r="Q1931" i="1" a="1"/>
  <c r="Q1932" i="1" a="1"/>
  <c r="Q1933" i="1" a="1"/>
  <c r="Q1934" i="1" a="1"/>
  <c r="Q1935" i="1" a="1"/>
  <c r="Q1936" i="1" a="1"/>
  <c r="Q1937" i="1" a="1"/>
  <c r="Q1938" i="1" a="1"/>
  <c r="Q1939" i="1" a="1"/>
  <c r="Q1940" i="1" a="1"/>
  <c r="Q1941" i="1" a="1"/>
  <c r="Q1942" i="1" a="1"/>
  <c r="Q1943" i="1" a="1"/>
  <c r="Q1944" i="1" a="1"/>
  <c r="Q1945" i="1" a="1"/>
  <c r="Q1946" i="1" a="1"/>
  <c r="Q1947" i="1" a="1"/>
  <c r="Q1948" i="1" a="1"/>
  <c r="Q1949" i="1" a="1"/>
  <c r="Q1950" i="1" a="1"/>
  <c r="Q1951" i="1" a="1"/>
  <c r="Q1952" i="1" a="1"/>
  <c r="Q1953" i="1" a="1"/>
  <c r="Q1954" i="1" a="1"/>
  <c r="Q1955" i="1" a="1"/>
  <c r="Q1956" i="1" a="1"/>
  <c r="Q1957" i="1" a="1"/>
  <c r="Q1958" i="1" a="1"/>
  <c r="Q1959" i="1" a="1"/>
  <c r="Q1960" i="1" a="1"/>
  <c r="Q1961" i="1" a="1"/>
  <c r="Q1962" i="1" a="1"/>
  <c r="Q1963" i="1" a="1"/>
  <c r="Q1964" i="1" a="1"/>
  <c r="Q1965" i="1" a="1"/>
  <c r="Q1966" i="1" a="1"/>
  <c r="Q1967" i="1" a="1"/>
  <c r="Q1968" i="1" a="1"/>
  <c r="Q1969" i="1" a="1"/>
  <c r="Q1970" i="1" a="1"/>
  <c r="Q1971" i="1" a="1"/>
  <c r="Q1972" i="1" a="1"/>
  <c r="Q1973" i="1" a="1"/>
  <c r="Q1974" i="1" a="1"/>
  <c r="Q1975" i="1" a="1"/>
  <c r="Q1976" i="1" a="1"/>
  <c r="Q1977" i="1" a="1"/>
  <c r="Q1978" i="1" a="1"/>
  <c r="Q1979" i="1" a="1"/>
  <c r="Q1980" i="1" a="1"/>
  <c r="Q1981" i="1" a="1"/>
  <c r="Q1982" i="1" a="1"/>
  <c r="Q1983" i="1" a="1"/>
  <c r="Q1984" i="1" a="1"/>
  <c r="Q1985" i="1" a="1"/>
  <c r="Q1986" i="1" a="1"/>
  <c r="Q1987" i="1" a="1"/>
  <c r="Q1988" i="1" a="1"/>
  <c r="Q1989" i="1" a="1"/>
  <c r="Q1990" i="1" a="1"/>
  <c r="Q1991" i="1" a="1"/>
  <c r="Q1992" i="1" a="1"/>
  <c r="Q1993" i="1" a="1"/>
  <c r="Q1994" i="1" a="1"/>
  <c r="Q1995" i="1" a="1"/>
  <c r="Q1996" i="1" a="1"/>
  <c r="Q1997" i="1" a="1"/>
  <c r="Q1998" i="1" a="1"/>
  <c r="Q1999" i="1" a="1"/>
  <c r="Q2000" i="1" a="1"/>
  <c r="Q2001" i="1" a="1"/>
  <c r="Q2002" i="1" a="1"/>
  <c r="Q2003" i="1" a="1"/>
  <c r="Q2004" i="1" a="1"/>
  <c r="Q2005" i="1" a="1"/>
  <c r="Q2006" i="1" a="1"/>
  <c r="Q2007" i="1" a="1"/>
  <c r="Q2008" i="1" a="1"/>
  <c r="Q2009" i="1" a="1"/>
  <c r="Q2010" i="1" a="1"/>
  <c r="Q2011" i="1" a="1"/>
  <c r="Q2012" i="1" a="1"/>
  <c r="Q2013" i="1" a="1"/>
  <c r="Q2014" i="1" a="1"/>
  <c r="Q2015" i="1" a="1"/>
  <c r="Q2016" i="1" a="1"/>
  <c r="Q2017" i="1" a="1"/>
  <c r="Q2018" i="1" a="1"/>
  <c r="Q2019" i="1" a="1"/>
  <c r="Q2020" i="1" a="1"/>
  <c r="Q2021" i="1" a="1"/>
  <c r="Q2022" i="1" a="1"/>
  <c r="Q2023" i="1" a="1"/>
  <c r="Q2024" i="1" a="1"/>
  <c r="Q2025" i="1" a="1"/>
  <c r="Q2026" i="1" a="1"/>
  <c r="Q2027" i="1" a="1"/>
  <c r="Q2028" i="1" a="1"/>
  <c r="Q2029" i="1" a="1"/>
  <c r="Q2030" i="1" a="1"/>
  <c r="Q2031" i="1" a="1"/>
  <c r="Q2032" i="1" a="1"/>
  <c r="Q2033" i="1" a="1"/>
  <c r="Q2034" i="1" a="1"/>
  <c r="Q2035" i="1" a="1"/>
  <c r="Q2036" i="1" a="1"/>
  <c r="Q2037" i="1" a="1"/>
  <c r="Q2038" i="1" a="1"/>
  <c r="Q2039" i="1" a="1"/>
  <c r="Q2040" i="1" a="1"/>
  <c r="Q2041" i="1" a="1"/>
  <c r="Q2042" i="1" a="1"/>
  <c r="Q2043" i="1" a="1"/>
  <c r="Q2044" i="1" a="1"/>
  <c r="Q2045" i="1" a="1"/>
  <c r="Q2046" i="1" a="1"/>
  <c r="Q2047" i="1" a="1"/>
  <c r="Q2048" i="1" a="1"/>
  <c r="Q2049" i="1" a="1"/>
  <c r="Q2050" i="1" a="1"/>
  <c r="Q2051" i="1" a="1"/>
  <c r="Q2052" i="1" a="1"/>
  <c r="Q2053" i="1" a="1"/>
  <c r="Q2054" i="1" a="1"/>
  <c r="Q2055" i="1" a="1"/>
  <c r="Q2056" i="1" a="1"/>
  <c r="Q2057" i="1" a="1"/>
  <c r="Q2058" i="1" a="1"/>
  <c r="Q2059" i="1" a="1"/>
  <c r="Q2060" i="1" a="1"/>
  <c r="Q2061" i="1" a="1"/>
  <c r="Q2062" i="1" a="1"/>
  <c r="Q2063" i="1" a="1"/>
  <c r="Q2064" i="1" a="1"/>
  <c r="Q2065" i="1" a="1"/>
  <c r="Q2066" i="1" a="1"/>
  <c r="Q2067" i="1" a="1"/>
  <c r="Q2068" i="1" a="1"/>
  <c r="Q2069" i="1" a="1"/>
  <c r="Q2070" i="1" a="1"/>
  <c r="Q2071" i="1" a="1"/>
  <c r="Q2072" i="1" a="1"/>
  <c r="Q2073" i="1" a="1"/>
  <c r="Q2074" i="1" a="1"/>
  <c r="Q2075" i="1" a="1"/>
  <c r="Q2076" i="1" a="1"/>
  <c r="Q2077" i="1" a="1"/>
  <c r="Q2078" i="1" a="1"/>
  <c r="Q2079" i="1" a="1"/>
  <c r="Q2080" i="1" a="1"/>
  <c r="Q2081" i="1" a="1"/>
  <c r="Q2082" i="1" a="1"/>
  <c r="Q2083" i="1" a="1"/>
  <c r="Q2084" i="1" a="1"/>
  <c r="Q2085" i="1" a="1"/>
  <c r="Q2086" i="1" a="1"/>
  <c r="Q2087" i="1" a="1"/>
  <c r="Q2088" i="1" a="1"/>
  <c r="Q2089" i="1" a="1"/>
  <c r="Q2090" i="1" a="1"/>
  <c r="Q2091" i="1" a="1"/>
  <c r="Q2092" i="1" a="1"/>
  <c r="Q2093" i="1" a="1"/>
  <c r="Q2094" i="1" a="1"/>
  <c r="Q2095" i="1" a="1"/>
  <c r="Q2096" i="1" a="1"/>
  <c r="Q2097" i="1" a="1"/>
  <c r="Q2098" i="1" a="1"/>
  <c r="Q2099" i="1" a="1"/>
  <c r="Q2100" i="1" a="1"/>
  <c r="Q2101" i="1" a="1"/>
  <c r="Q2102" i="1" a="1"/>
  <c r="Q2103" i="1" a="1"/>
  <c r="Q2104" i="1" a="1"/>
  <c r="Q2105" i="1" a="1"/>
  <c r="Q2106" i="1" a="1"/>
  <c r="Q2107" i="1" a="1"/>
  <c r="Q2108" i="1" a="1"/>
  <c r="Q2109" i="1" a="1"/>
  <c r="Q2110" i="1" a="1"/>
  <c r="Q2111" i="1" a="1"/>
  <c r="Q2112" i="1" a="1"/>
  <c r="Q2113" i="1" a="1"/>
  <c r="Q2114" i="1" a="1"/>
  <c r="Q2115" i="1" a="1"/>
  <c r="Q2116" i="1" a="1"/>
  <c r="Q2117" i="1" a="1"/>
  <c r="Q2118" i="1" a="1"/>
  <c r="Q2119" i="1" a="1"/>
  <c r="Q2120" i="1" a="1"/>
  <c r="Q2121" i="1" a="1"/>
  <c r="Q2122" i="1" a="1"/>
  <c r="Q2123" i="1" a="1"/>
  <c r="Q2124" i="1" a="1"/>
  <c r="Q2125" i="1" a="1"/>
  <c r="Q2126" i="1" a="1"/>
  <c r="Q2127" i="1" a="1"/>
  <c r="Q2128" i="1" a="1"/>
  <c r="Q2129" i="1" a="1"/>
  <c r="Q2130" i="1" a="1"/>
  <c r="Q2131" i="1" a="1"/>
  <c r="Q2132" i="1" a="1"/>
  <c r="Q2133" i="1" a="1"/>
  <c r="Q2134" i="1" a="1"/>
  <c r="Q2135" i="1" a="1"/>
  <c r="Q2136" i="1" a="1"/>
  <c r="Q2137" i="1" a="1"/>
  <c r="Q2138" i="1" a="1"/>
  <c r="Q2139" i="1" a="1"/>
  <c r="Q2140" i="1" a="1"/>
  <c r="Q2141" i="1" a="1"/>
  <c r="Q2142" i="1" a="1"/>
  <c r="Q2143" i="1" a="1"/>
  <c r="Q2144" i="1" a="1"/>
  <c r="Q2145" i="1" a="1"/>
  <c r="Q2146" i="1" a="1"/>
  <c r="Q2147" i="1" a="1"/>
  <c r="Q2148" i="1" a="1"/>
  <c r="Q2149" i="1" a="1"/>
  <c r="Q2150" i="1" a="1"/>
  <c r="Q2151" i="1" a="1"/>
  <c r="Q2152" i="1" a="1"/>
  <c r="Q2153" i="1" a="1"/>
  <c r="Q2154" i="1" a="1"/>
  <c r="Q2155" i="1" a="1"/>
  <c r="Q2156" i="1" a="1"/>
  <c r="Q2157" i="1" a="1"/>
  <c r="Q2158" i="1" a="1"/>
  <c r="Q2159" i="1" a="1"/>
  <c r="Q2160" i="1" a="1"/>
  <c r="Q2161" i="1" a="1"/>
  <c r="Q2162" i="1" a="1"/>
  <c r="Q2163" i="1" a="1"/>
  <c r="Q2164" i="1" a="1"/>
  <c r="Q2165" i="1" a="1"/>
  <c r="Q2166" i="1" a="1"/>
  <c r="Q2167" i="1" a="1"/>
  <c r="Q2168" i="1" a="1"/>
  <c r="Q2169" i="1" a="1"/>
  <c r="Q2170" i="1" a="1"/>
  <c r="Q2171" i="1" a="1"/>
  <c r="Q2172" i="1" a="1"/>
  <c r="Q2173" i="1" a="1"/>
  <c r="Q2174" i="1" a="1"/>
  <c r="Q2175" i="1" a="1"/>
  <c r="Q2176" i="1" a="1"/>
  <c r="Q2177" i="1" a="1"/>
  <c r="Q2178" i="1" a="1"/>
  <c r="Q2179" i="1" a="1"/>
  <c r="Q2180" i="1" a="1"/>
  <c r="Q2181" i="1" a="1"/>
  <c r="Q2182" i="1" a="1"/>
  <c r="Q2183" i="1" a="1"/>
  <c r="Q2184" i="1" a="1"/>
  <c r="Q2185" i="1" a="1"/>
  <c r="Q2186" i="1" a="1"/>
  <c r="Q2187" i="1" a="1"/>
  <c r="Q2188" i="1" a="1"/>
  <c r="Q2189" i="1" a="1"/>
  <c r="Q2190" i="1" a="1"/>
  <c r="Q2191" i="1" a="1"/>
  <c r="Q2192" i="1" a="1"/>
  <c r="Q2193" i="1" a="1"/>
  <c r="Q2194" i="1" a="1"/>
  <c r="Q2195" i="1" a="1"/>
  <c r="Q2196" i="1" a="1"/>
  <c r="Q2197" i="1" a="1"/>
  <c r="Q2198" i="1" a="1"/>
  <c r="Q2199" i="1" a="1"/>
  <c r="Q2200" i="1" a="1"/>
  <c r="Q2201" i="1" a="1"/>
  <c r="Q2202" i="1" a="1"/>
  <c r="Q2203" i="1" a="1"/>
  <c r="Q2204" i="1" a="1"/>
  <c r="Q2205" i="1" a="1"/>
  <c r="Q2206" i="1" a="1"/>
  <c r="Q2207" i="1" a="1"/>
  <c r="Q2208" i="1" a="1"/>
  <c r="Q2209" i="1" a="1"/>
  <c r="Q2210" i="1" a="1"/>
  <c r="Q2211" i="1" a="1"/>
  <c r="Q2212" i="1" a="1"/>
  <c r="Q2213" i="1" a="1"/>
  <c r="Q2214" i="1" a="1"/>
  <c r="Q2215" i="1" a="1"/>
  <c r="Q2216" i="1" a="1"/>
  <c r="Q2217" i="1" a="1"/>
  <c r="Q2218" i="1" a="1"/>
  <c r="Q2219" i="1" a="1"/>
  <c r="Q2220" i="1" a="1"/>
  <c r="Q2221" i="1" a="1"/>
  <c r="Q2222" i="1" a="1"/>
  <c r="Q2223" i="1" a="1"/>
  <c r="Q2224" i="1" a="1"/>
  <c r="Q2225" i="1" a="1"/>
  <c r="Q2226" i="1" a="1"/>
  <c r="Q2227" i="1" a="1"/>
  <c r="Q2228" i="1" a="1"/>
  <c r="Q2229" i="1" a="1"/>
  <c r="Q2230" i="1" a="1"/>
  <c r="Q2231" i="1" a="1"/>
  <c r="Q2232" i="1" a="1"/>
  <c r="Q2233" i="1" a="1"/>
  <c r="Q2234" i="1" a="1"/>
  <c r="Q2235" i="1" a="1"/>
  <c r="Q2236" i="1" a="1"/>
  <c r="Q2237" i="1" a="1"/>
  <c r="Q2238" i="1" a="1"/>
  <c r="Q2239" i="1" a="1"/>
  <c r="Q2240" i="1" a="1"/>
  <c r="Q2241" i="1" a="1"/>
  <c r="Q2242" i="1" a="1"/>
  <c r="Q2243" i="1" a="1"/>
  <c r="Q2244" i="1" a="1"/>
  <c r="Q2245" i="1" a="1"/>
  <c r="Q2246" i="1" a="1"/>
  <c r="Q2247" i="1" a="1"/>
  <c r="Q2248" i="1" a="1"/>
  <c r="Q2249" i="1" a="1"/>
  <c r="Q2250" i="1" a="1"/>
  <c r="Q2251" i="1" a="1"/>
  <c r="Q2252" i="1" a="1"/>
  <c r="Q2253" i="1" a="1"/>
  <c r="Q2254" i="1" a="1"/>
  <c r="Q2255" i="1" a="1"/>
  <c r="Q2256" i="1" a="1"/>
  <c r="Q2257" i="1" a="1"/>
  <c r="Q2258" i="1" a="1"/>
  <c r="Q2259" i="1" a="1"/>
  <c r="Q2260" i="1" a="1"/>
  <c r="Q2261" i="1" a="1"/>
  <c r="Q2262" i="1" a="1"/>
  <c r="Q2263" i="1" a="1"/>
  <c r="Q2264" i="1" a="1"/>
  <c r="Q2265" i="1" a="1"/>
  <c r="Q2266" i="1" a="1"/>
  <c r="Q2267" i="1" a="1"/>
  <c r="Q2268" i="1" a="1"/>
  <c r="Q2269" i="1" a="1"/>
  <c r="Q2270" i="1" a="1"/>
  <c r="Q2271" i="1" a="1"/>
  <c r="Q2272" i="1" a="1"/>
  <c r="Q2273" i="1" a="1"/>
  <c r="Q2274" i="1" a="1"/>
  <c r="Q2275" i="1" a="1"/>
  <c r="Q2276" i="1" a="1"/>
  <c r="Q2277" i="1" a="1"/>
  <c r="Q2278" i="1" a="1"/>
  <c r="Q2279" i="1" a="1"/>
  <c r="Q2280" i="1" a="1"/>
  <c r="Q2281" i="1" a="1"/>
  <c r="Q2282" i="1" a="1"/>
  <c r="Q2283" i="1" a="1"/>
  <c r="Q2284" i="1" a="1"/>
  <c r="Q2285" i="1" a="1"/>
  <c r="Q2286" i="1" a="1"/>
  <c r="Q2287" i="1" a="1"/>
  <c r="Q2288" i="1" a="1"/>
  <c r="Q2289" i="1" a="1"/>
  <c r="Q2290" i="1" a="1"/>
  <c r="Q2291" i="1" a="1"/>
  <c r="Q2292" i="1" a="1"/>
  <c r="Q2293" i="1" a="1"/>
  <c r="Q2294" i="1" a="1"/>
  <c r="Q2295" i="1" a="1"/>
  <c r="Q2296" i="1" a="1"/>
  <c r="Q2297" i="1" a="1"/>
  <c r="Q2298" i="1" a="1"/>
  <c r="Q2299" i="1" a="1"/>
  <c r="Q2300" i="1" a="1"/>
  <c r="Q2301" i="1" a="1"/>
  <c r="Q2302" i="1" a="1"/>
  <c r="Q2303" i="1" a="1"/>
  <c r="Q2304" i="1" a="1"/>
  <c r="Q2305" i="1" a="1"/>
  <c r="Q2306" i="1" a="1"/>
  <c r="Q2307" i="1" a="1"/>
  <c r="Q2308" i="1" a="1"/>
  <c r="Q2309" i="1" a="1"/>
  <c r="Q2310" i="1" a="1"/>
  <c r="Q2311" i="1" a="1"/>
  <c r="Q2312" i="1" a="1"/>
  <c r="Q2313" i="1" a="1"/>
  <c r="Q2314" i="1" a="1"/>
  <c r="Q2315" i="1" a="1"/>
  <c r="Q2316" i="1" a="1"/>
  <c r="Q2317" i="1" a="1"/>
  <c r="Q2318" i="1" a="1"/>
  <c r="Q2319" i="1" a="1"/>
  <c r="Q2320" i="1" a="1"/>
  <c r="Q2321" i="1" a="1"/>
  <c r="Q2322" i="1" a="1"/>
  <c r="Q2323" i="1" a="1"/>
  <c r="Q2324" i="1" a="1"/>
  <c r="Q2325" i="1" a="1"/>
  <c r="Q2326" i="1" a="1"/>
  <c r="Q2327" i="1" a="1"/>
  <c r="Q2328" i="1" a="1"/>
  <c r="Q2329" i="1" a="1"/>
  <c r="Q2330" i="1" a="1"/>
  <c r="Q2331" i="1" a="1"/>
  <c r="Q2332" i="1" a="1"/>
  <c r="Q2333" i="1" a="1"/>
  <c r="Q2334" i="1" a="1"/>
  <c r="Q2335" i="1" a="1"/>
  <c r="Q2336" i="1" a="1"/>
  <c r="Q2337" i="1" a="1"/>
  <c r="Q2338" i="1" a="1"/>
  <c r="Q2339" i="1" a="1"/>
  <c r="Q2340" i="1" a="1"/>
  <c r="Q2341" i="1" a="1"/>
  <c r="Q2342" i="1" a="1"/>
  <c r="Q2343" i="1" a="1"/>
  <c r="Q2344" i="1" a="1"/>
  <c r="Q2345" i="1" a="1"/>
  <c r="Q2346" i="1" a="1"/>
  <c r="Q2347" i="1" a="1"/>
  <c r="Q2348" i="1" a="1"/>
  <c r="Q2349" i="1" a="1"/>
  <c r="Q2350" i="1" a="1"/>
  <c r="Q2351" i="1" a="1"/>
  <c r="Q2352" i="1" a="1"/>
  <c r="Q2353" i="1" a="1"/>
  <c r="Q2354" i="1" a="1"/>
  <c r="Q2355" i="1" a="1"/>
  <c r="Q2356" i="1" a="1"/>
  <c r="Q2357" i="1" a="1"/>
  <c r="Q2358" i="1" a="1"/>
  <c r="Q2359" i="1" a="1"/>
  <c r="Q2360" i="1" a="1"/>
  <c r="Q2361" i="1" a="1"/>
  <c r="Q2362" i="1" a="1"/>
  <c r="Q2363" i="1" a="1"/>
  <c r="Q2364" i="1" a="1"/>
  <c r="Q2365" i="1" a="1"/>
  <c r="Q2366" i="1" a="1"/>
  <c r="Q2367" i="1" a="1"/>
  <c r="Q2368" i="1" a="1"/>
  <c r="Q2369" i="1" a="1"/>
  <c r="Q2370" i="1" a="1"/>
  <c r="Q2371" i="1" a="1"/>
  <c r="Q2372" i="1" a="1"/>
  <c r="Q2373" i="1" a="1"/>
  <c r="Q2374" i="1" a="1"/>
  <c r="Q2375" i="1" a="1"/>
  <c r="Q2376" i="1" a="1"/>
  <c r="Q2377" i="1" a="1"/>
  <c r="Q2378" i="1" a="1"/>
  <c r="Q2379" i="1" a="1"/>
  <c r="Q2380" i="1" a="1"/>
  <c r="Q2381" i="1" a="1"/>
  <c r="Q2382" i="1" a="1"/>
  <c r="Q2383" i="1" a="1"/>
  <c r="Q2384" i="1" a="1"/>
  <c r="Q2385" i="1" a="1"/>
  <c r="Q2386" i="1" a="1"/>
  <c r="Q2387" i="1" a="1"/>
  <c r="Q2388" i="1" a="1"/>
  <c r="Q2389" i="1" a="1"/>
  <c r="Q2390" i="1" a="1"/>
  <c r="Q2391" i="1" a="1"/>
  <c r="Q2392" i="1" a="1"/>
  <c r="Q2393" i="1" a="1"/>
  <c r="Q2394" i="1" a="1"/>
  <c r="Q2395" i="1" a="1"/>
  <c r="Q2396" i="1" a="1"/>
  <c r="Q2397" i="1" a="1"/>
  <c r="Q2398" i="1" a="1"/>
  <c r="Q2399" i="1" a="1"/>
  <c r="Q2400" i="1" a="1"/>
  <c r="Q2401" i="1" a="1"/>
  <c r="Q2402" i="1" a="1"/>
  <c r="Q2403" i="1" a="1"/>
  <c r="Q2404" i="1" a="1"/>
  <c r="Q2405" i="1" a="1"/>
  <c r="Q2406" i="1" a="1"/>
  <c r="Q2407" i="1" a="1"/>
  <c r="Q2408" i="1" a="1"/>
  <c r="Q2409" i="1" a="1"/>
  <c r="Q2410" i="1" a="1"/>
  <c r="Q2411" i="1" a="1"/>
  <c r="Q2412" i="1" a="1"/>
  <c r="Q2413" i="1" a="1"/>
  <c r="Q2414" i="1" a="1"/>
  <c r="Q2415" i="1" a="1"/>
  <c r="Q2416" i="1" a="1"/>
  <c r="Q2417" i="1" a="1"/>
  <c r="Q2418" i="1" a="1"/>
  <c r="Q2419" i="1" a="1"/>
  <c r="Q2420" i="1" a="1"/>
  <c r="Q2421" i="1" a="1"/>
  <c r="Q2422" i="1" a="1"/>
  <c r="Q2423" i="1" a="1"/>
  <c r="Q2424" i="1" a="1"/>
  <c r="Q2425" i="1" a="1"/>
  <c r="Q2426" i="1" a="1"/>
  <c r="Q2427" i="1" a="1"/>
  <c r="Q2428" i="1" a="1"/>
  <c r="Q2429" i="1" a="1"/>
  <c r="Q2430" i="1" a="1"/>
  <c r="Q2431" i="1" a="1"/>
  <c r="Q2432" i="1" a="1"/>
  <c r="Q2433" i="1" a="1"/>
  <c r="Q2434" i="1" a="1"/>
  <c r="Q2435" i="1" a="1"/>
  <c r="Q2436" i="1" a="1"/>
  <c r="Q2437" i="1" a="1"/>
  <c r="Q2438" i="1" a="1"/>
  <c r="Q2439" i="1" a="1"/>
  <c r="Q2440" i="1" a="1"/>
  <c r="Q2441" i="1" a="1"/>
  <c r="Q2442" i="1" a="1"/>
  <c r="Q2443" i="1" a="1"/>
  <c r="Q2444" i="1" a="1"/>
  <c r="Q2445" i="1" a="1"/>
  <c r="Q2446" i="1" a="1"/>
  <c r="Q2447" i="1" a="1"/>
  <c r="Q2448" i="1" a="1"/>
  <c r="Q2449" i="1" a="1"/>
  <c r="Q2450" i="1" a="1"/>
  <c r="Q2451" i="1" a="1"/>
  <c r="Q2452" i="1" a="1"/>
  <c r="Q2453" i="1" a="1"/>
  <c r="Q2454" i="1" a="1"/>
  <c r="Q2455" i="1" a="1"/>
  <c r="Q2456" i="1" a="1"/>
  <c r="Q2457" i="1" a="1"/>
  <c r="Q2458" i="1" a="1"/>
  <c r="Q2459" i="1" a="1"/>
  <c r="Q2460" i="1" a="1"/>
  <c r="Q2461" i="1" a="1"/>
  <c r="Q2462" i="1" a="1"/>
  <c r="Q2463" i="1" a="1"/>
  <c r="Q2464" i="1" a="1"/>
  <c r="Q2465" i="1" a="1"/>
  <c r="Q2466" i="1" a="1"/>
  <c r="Q2467" i="1" a="1"/>
  <c r="Q2468" i="1" a="1"/>
  <c r="Q2469" i="1" a="1"/>
  <c r="Q2470" i="1" a="1"/>
  <c r="Q2471" i="1" a="1"/>
  <c r="Q2472" i="1" a="1"/>
  <c r="Q2473" i="1" a="1"/>
  <c r="Q2474" i="1" a="1"/>
  <c r="Q2475" i="1" a="1"/>
  <c r="Q2476" i="1" a="1"/>
  <c r="Q2477" i="1" a="1"/>
  <c r="Q2478" i="1" a="1"/>
  <c r="Q2479" i="1" a="1"/>
  <c r="Q2480" i="1" a="1"/>
  <c r="Q2481" i="1" a="1"/>
  <c r="Q2482" i="1" a="1"/>
  <c r="Q2483" i="1" a="1"/>
  <c r="Q2484" i="1" a="1"/>
  <c r="Q2485" i="1" a="1"/>
  <c r="Q2486" i="1" a="1"/>
  <c r="Q2487" i="1" a="1"/>
  <c r="Q2488" i="1" a="1"/>
  <c r="Q2489" i="1" a="1"/>
  <c r="Q2490" i="1" a="1"/>
  <c r="Q2491" i="1" a="1"/>
  <c r="Q2492" i="1" a="1"/>
  <c r="Q2493" i="1" a="1"/>
  <c r="Q2494" i="1" a="1"/>
  <c r="Q2495" i="1" a="1"/>
  <c r="Q2496" i="1" a="1"/>
  <c r="Q2497" i="1" a="1"/>
  <c r="Q2498" i="1" a="1"/>
  <c r="Q2499" i="1" a="1"/>
  <c r="Q2500" i="1" a="1"/>
  <c r="Q2501" i="1" a="1"/>
  <c r="Q2502" i="1" a="1"/>
  <c r="Q2503" i="1" a="1"/>
  <c r="Q2504" i="1" a="1"/>
  <c r="Q2505" i="1" a="1"/>
  <c r="Q2506" i="1" a="1"/>
  <c r="Q2507" i="1" a="1"/>
  <c r="Q2508" i="1" a="1"/>
  <c r="Q2509" i="1" a="1"/>
  <c r="Q2510" i="1" a="1"/>
  <c r="Q2511" i="1" a="1"/>
  <c r="Q2512" i="1" a="1"/>
  <c r="Q2513" i="1" a="1"/>
  <c r="Q2514" i="1" a="1"/>
  <c r="Q2515" i="1" a="1"/>
  <c r="Q2516" i="1" a="1"/>
  <c r="Q2517" i="1" a="1"/>
  <c r="Q2518" i="1" a="1"/>
  <c r="Q2519" i="1" a="1"/>
  <c r="Q2520" i="1" a="1"/>
  <c r="Q2521" i="1" a="1"/>
  <c r="Q2522" i="1" a="1"/>
  <c r="Q2523" i="1" a="1"/>
  <c r="Q2524" i="1" a="1"/>
  <c r="Q2525" i="1" a="1"/>
  <c r="Q2526" i="1" a="1"/>
  <c r="Q2527" i="1" a="1"/>
  <c r="Q2528" i="1" a="1"/>
  <c r="Q2529" i="1" a="1"/>
  <c r="Q2530" i="1" a="1"/>
  <c r="Q2531" i="1" a="1"/>
  <c r="Q2532" i="1" a="1"/>
  <c r="Q2533" i="1" a="1"/>
  <c r="Q2534" i="1" a="1"/>
  <c r="Q2535" i="1" a="1"/>
  <c r="Q2536" i="1" a="1"/>
  <c r="Q2537" i="1" a="1"/>
  <c r="Q2538" i="1" a="1"/>
  <c r="Q2539" i="1" a="1"/>
  <c r="Q2540" i="1" a="1"/>
  <c r="Q2541" i="1" a="1"/>
  <c r="Q2542" i="1" a="1"/>
  <c r="Q2543" i="1" a="1"/>
  <c r="Q2544" i="1" a="1"/>
  <c r="Q2545" i="1" a="1"/>
  <c r="Q2546" i="1" a="1"/>
  <c r="Q2547" i="1" a="1"/>
  <c r="Q2548" i="1" a="1"/>
  <c r="Q2549" i="1" a="1"/>
  <c r="Q2550" i="1" a="1"/>
  <c r="Q2551" i="1" a="1"/>
  <c r="Q2552" i="1" a="1"/>
  <c r="Q2553" i="1" a="1"/>
  <c r="Q2554" i="1" a="1"/>
  <c r="Q2555" i="1" a="1"/>
  <c r="Q2556" i="1" a="1"/>
  <c r="Q2557" i="1" a="1"/>
  <c r="Q2558" i="1" a="1"/>
  <c r="Q2559" i="1" a="1"/>
  <c r="Q2560" i="1" a="1"/>
  <c r="Q2561" i="1" a="1"/>
  <c r="Q2562" i="1" a="1"/>
  <c r="Q2563" i="1" a="1"/>
  <c r="Q2564" i="1" a="1"/>
  <c r="Q2565" i="1" a="1"/>
  <c r="Q2566" i="1" a="1"/>
  <c r="Q2567" i="1" a="1"/>
  <c r="Q2568" i="1" a="1"/>
  <c r="Q2569" i="1" a="1"/>
  <c r="Q2570" i="1" a="1"/>
  <c r="Q2571" i="1" a="1"/>
  <c r="Q2572" i="1" a="1"/>
  <c r="Q2573" i="1" a="1"/>
  <c r="Q2574" i="1" a="1"/>
  <c r="Q2575" i="1" a="1"/>
  <c r="Q2576" i="1" a="1"/>
  <c r="Q2577" i="1" a="1"/>
  <c r="Q2578" i="1" a="1"/>
  <c r="Q2579" i="1" a="1"/>
  <c r="Q2580" i="1" a="1"/>
  <c r="Q2581" i="1" a="1"/>
  <c r="Q2582" i="1" a="1"/>
  <c r="Q2583" i="1" a="1"/>
  <c r="Q2584" i="1" a="1"/>
  <c r="Q2585" i="1" a="1"/>
  <c r="Q2586" i="1" a="1"/>
  <c r="Q2587" i="1" a="1"/>
  <c r="Q2588" i="1" a="1"/>
  <c r="Q2589" i="1" a="1"/>
  <c r="Q2590" i="1" a="1"/>
  <c r="Q2591" i="1" a="1"/>
  <c r="Q2592" i="1" a="1"/>
  <c r="Q2593" i="1" a="1"/>
  <c r="Q2594" i="1" a="1"/>
  <c r="Q2595" i="1" a="1"/>
  <c r="Q2596" i="1" a="1"/>
  <c r="Q2597" i="1" a="1"/>
  <c r="Q2598" i="1" a="1"/>
  <c r="Q2599" i="1" a="1"/>
  <c r="Q2600" i="1" a="1"/>
  <c r="Q2601" i="1" a="1"/>
  <c r="Q2602" i="1" a="1"/>
  <c r="Q2603" i="1" a="1"/>
  <c r="Q2604" i="1" a="1"/>
  <c r="Q2605" i="1" a="1"/>
  <c r="Q2606" i="1" a="1"/>
  <c r="Q2607" i="1" a="1"/>
  <c r="Q2608" i="1" a="1"/>
  <c r="Q2609" i="1" a="1"/>
  <c r="Q2610" i="1" a="1"/>
  <c r="Q2611" i="1" a="1"/>
  <c r="Q2612" i="1" a="1"/>
  <c r="Q2613" i="1" a="1"/>
  <c r="Q2614" i="1" a="1"/>
  <c r="Q2615" i="1" a="1"/>
  <c r="Q2616" i="1" a="1"/>
  <c r="Q2617" i="1" a="1"/>
  <c r="Q2618" i="1" a="1"/>
  <c r="Q2619" i="1" a="1"/>
  <c r="Q2620" i="1" a="1"/>
  <c r="Q2621" i="1" a="1"/>
  <c r="Q2622" i="1" a="1"/>
  <c r="Q2623" i="1" a="1"/>
  <c r="Q2624" i="1" a="1"/>
  <c r="Q2625" i="1" a="1"/>
  <c r="Q2626" i="1" a="1"/>
  <c r="Q2627" i="1" a="1"/>
  <c r="Q2628" i="1" a="1"/>
  <c r="Q2629" i="1" a="1"/>
  <c r="Q2630" i="1" a="1"/>
  <c r="Q2631" i="1" a="1"/>
  <c r="Q2632" i="1" a="1"/>
  <c r="Q2633" i="1" a="1"/>
  <c r="Q2634" i="1" a="1"/>
  <c r="Q2635" i="1" a="1"/>
  <c r="Q2636" i="1" a="1"/>
  <c r="Q2637" i="1" a="1"/>
  <c r="Q2638" i="1" a="1"/>
  <c r="Q2639" i="1" a="1"/>
  <c r="Q2640" i="1" a="1"/>
  <c r="Q2641" i="1" a="1"/>
  <c r="Q2642" i="1" a="1"/>
  <c r="Q2643" i="1" a="1"/>
  <c r="Q2644" i="1" a="1"/>
  <c r="Q2645" i="1" a="1"/>
  <c r="Q2646" i="1" a="1"/>
  <c r="Q2647" i="1" a="1"/>
  <c r="Q2648" i="1" a="1"/>
  <c r="Q2649" i="1" a="1"/>
  <c r="Q2650" i="1" a="1"/>
  <c r="Q2651" i="1" a="1"/>
  <c r="Q2652" i="1" a="1"/>
  <c r="Q2653" i="1" a="1"/>
  <c r="Q2654" i="1" a="1"/>
  <c r="Q2655" i="1" a="1"/>
  <c r="Q2656" i="1" a="1"/>
  <c r="Q2657" i="1" a="1"/>
  <c r="Q2658" i="1" a="1"/>
  <c r="Q2659" i="1" a="1"/>
  <c r="Q2660" i="1" a="1"/>
  <c r="Q2661" i="1" a="1"/>
  <c r="Q2662" i="1" a="1"/>
  <c r="Q2663" i="1" a="1"/>
  <c r="Q2664" i="1" a="1"/>
  <c r="Q2665" i="1" a="1"/>
  <c r="Q2666" i="1" a="1"/>
  <c r="Q2667" i="1" a="1"/>
  <c r="Q2668" i="1" a="1"/>
  <c r="Q2669" i="1" a="1"/>
  <c r="Q2670" i="1" a="1"/>
  <c r="Q2671" i="1" a="1"/>
  <c r="Q2672" i="1" a="1"/>
  <c r="Q2673" i="1" a="1"/>
  <c r="Q2674" i="1" a="1"/>
  <c r="Q2675" i="1" a="1"/>
  <c r="Q2676" i="1" a="1"/>
  <c r="Q2677" i="1" a="1"/>
  <c r="Q2678" i="1" a="1"/>
  <c r="Q2679" i="1" a="1"/>
  <c r="Q2680" i="1" a="1"/>
  <c r="Q2681" i="1" a="1"/>
  <c r="Q2682" i="1" a="1"/>
  <c r="Q2683" i="1" a="1"/>
  <c r="Q2684" i="1" a="1"/>
  <c r="Q2685" i="1" a="1"/>
  <c r="Q2686" i="1" a="1"/>
  <c r="Q2687" i="1" a="1"/>
  <c r="Q2688" i="1" a="1"/>
  <c r="Q2689" i="1" a="1"/>
  <c r="Q2690" i="1" a="1"/>
  <c r="Q2691" i="1" a="1"/>
  <c r="Q2692" i="1" a="1"/>
  <c r="Q2693" i="1" a="1"/>
  <c r="Q2694" i="1" a="1"/>
  <c r="Q2695" i="1" a="1"/>
  <c r="Q2696" i="1" a="1"/>
  <c r="Q2697" i="1" a="1"/>
  <c r="Q2698" i="1" a="1"/>
  <c r="Q2699" i="1" a="1"/>
  <c r="Q2700" i="1" a="1"/>
  <c r="Q2701" i="1" a="1"/>
  <c r="Q2702" i="1" a="1"/>
  <c r="Q2703" i="1" a="1"/>
  <c r="Q2704" i="1" a="1"/>
  <c r="Q2705" i="1" a="1"/>
  <c r="Q2706" i="1" a="1"/>
  <c r="Q2707" i="1" a="1"/>
  <c r="Q2708" i="1" a="1"/>
  <c r="Q2709" i="1" a="1"/>
  <c r="Q2710" i="1" a="1"/>
  <c r="Q2711" i="1" a="1"/>
  <c r="Q2712" i="1" a="1"/>
  <c r="Q2713" i="1" a="1"/>
  <c r="Q2714" i="1" a="1"/>
  <c r="Q2715" i="1" a="1"/>
  <c r="Q2716" i="1" a="1"/>
  <c r="Q2717" i="1" a="1"/>
  <c r="Q2718" i="1" a="1"/>
  <c r="Q2719" i="1" a="1"/>
  <c r="Q2720" i="1" a="1"/>
  <c r="Q2721" i="1" a="1"/>
  <c r="Q2722" i="1" a="1"/>
  <c r="Q2723" i="1" a="1"/>
  <c r="Q2724" i="1" a="1"/>
  <c r="Q2725" i="1" a="1"/>
  <c r="Q2726" i="1" a="1"/>
  <c r="Q2727" i="1" a="1"/>
  <c r="Q2728" i="1" a="1"/>
  <c r="Q2729" i="1" a="1"/>
  <c r="Q2730" i="1" a="1"/>
  <c r="Q2731" i="1" a="1"/>
  <c r="Q2732" i="1" a="1"/>
  <c r="Q2733" i="1" a="1"/>
  <c r="Q2734" i="1" a="1"/>
  <c r="Q2735" i="1" a="1"/>
  <c r="Q2736" i="1" a="1"/>
  <c r="Q2737" i="1" a="1"/>
  <c r="Q2738" i="1" a="1"/>
  <c r="Q2739" i="1" a="1"/>
  <c r="Q2740" i="1" a="1"/>
  <c r="Q2741" i="1" a="1"/>
  <c r="Q2742" i="1" a="1"/>
  <c r="Q2743" i="1" a="1"/>
  <c r="Q2744" i="1" a="1"/>
  <c r="Q2745" i="1" a="1"/>
  <c r="Q2746" i="1" a="1"/>
  <c r="Q2747" i="1" a="1"/>
  <c r="Q2748" i="1" a="1"/>
  <c r="Q2749" i="1" a="1"/>
  <c r="Q2750" i="1" a="1"/>
  <c r="Q2751" i="1" a="1"/>
  <c r="Q2752" i="1" a="1"/>
  <c r="Q2753" i="1" a="1"/>
  <c r="Q2754" i="1" a="1"/>
  <c r="Q2755" i="1" a="1"/>
  <c r="Q2756" i="1" a="1"/>
  <c r="Q2757" i="1" a="1"/>
  <c r="Q2758" i="1" a="1"/>
  <c r="Q2759" i="1" a="1"/>
  <c r="Q2760" i="1" a="1"/>
  <c r="Q2761" i="1" a="1"/>
  <c r="Q2762" i="1" a="1"/>
  <c r="Q2763" i="1" a="1"/>
  <c r="Q2764" i="1" a="1"/>
  <c r="Q2765" i="1" a="1"/>
  <c r="Q2766" i="1" a="1"/>
  <c r="Q2767" i="1" a="1"/>
  <c r="Q2768" i="1" a="1"/>
  <c r="Q2769" i="1" a="1"/>
  <c r="Q2770" i="1" a="1"/>
  <c r="Q2771" i="1" a="1"/>
  <c r="Q2772" i="1" a="1"/>
  <c r="Q2773" i="1" a="1"/>
  <c r="Q2774" i="1" a="1"/>
  <c r="Q2775" i="1" a="1"/>
  <c r="Q2776" i="1" a="1"/>
  <c r="Q2777" i="1" a="1"/>
  <c r="Q2778" i="1" a="1"/>
  <c r="Q2779" i="1" a="1"/>
  <c r="Q2780" i="1" a="1"/>
  <c r="Q2781" i="1" a="1"/>
  <c r="Q2782" i="1" a="1"/>
  <c r="Q2783" i="1" a="1"/>
  <c r="Q2784" i="1" a="1"/>
  <c r="Q2785" i="1" a="1"/>
  <c r="Q2786" i="1" a="1"/>
  <c r="Q2787" i="1" a="1"/>
  <c r="Q2788" i="1" a="1"/>
  <c r="Q2789" i="1" a="1"/>
  <c r="Q2790" i="1" a="1"/>
  <c r="Q2791" i="1" a="1"/>
  <c r="Q2792" i="1" a="1"/>
  <c r="Q2793" i="1" a="1"/>
  <c r="Q2794" i="1" a="1"/>
  <c r="Q2795" i="1" a="1"/>
  <c r="Q2796" i="1" a="1"/>
  <c r="Q2797" i="1" a="1"/>
  <c r="Q2798" i="1" a="1"/>
  <c r="Q2799" i="1" a="1"/>
  <c r="Q2800" i="1" a="1"/>
  <c r="Q2801" i="1" a="1"/>
  <c r="Q2802" i="1" a="1"/>
  <c r="Q2803" i="1" a="1"/>
  <c r="Q2804" i="1" a="1"/>
  <c r="Q2805" i="1" a="1"/>
  <c r="Q2806" i="1" a="1"/>
  <c r="Q2807" i="1" a="1"/>
  <c r="Q2808" i="1" a="1"/>
  <c r="Q2809" i="1" a="1"/>
  <c r="Q2810" i="1" a="1"/>
  <c r="Q2811" i="1" a="1"/>
  <c r="Q2812" i="1" a="1"/>
  <c r="Q2813" i="1" a="1"/>
  <c r="Q2814" i="1" a="1"/>
  <c r="Q2815" i="1" a="1"/>
  <c r="Q2816" i="1" a="1"/>
  <c r="Q2817" i="1" a="1"/>
  <c r="Q2818" i="1" a="1"/>
  <c r="Q2819" i="1" a="1"/>
  <c r="Q2820" i="1" a="1"/>
  <c r="Q2821" i="1" a="1"/>
  <c r="Q2822" i="1" a="1"/>
  <c r="Q2823" i="1" a="1"/>
  <c r="Q2824" i="1" a="1"/>
  <c r="Q2825" i="1" a="1"/>
  <c r="Q2826" i="1" a="1"/>
  <c r="Q2827" i="1" a="1"/>
  <c r="Q2828" i="1" a="1"/>
  <c r="Q2829" i="1" a="1"/>
  <c r="Q2830" i="1" a="1"/>
  <c r="Q2831" i="1" a="1"/>
  <c r="Q2832" i="1" a="1"/>
  <c r="Q2833" i="1" a="1"/>
  <c r="Q2834" i="1" a="1"/>
  <c r="Q2835" i="1" a="1"/>
  <c r="Q2836" i="1" a="1"/>
  <c r="Q2837" i="1" a="1"/>
  <c r="Q2838" i="1" a="1"/>
  <c r="Q2839" i="1" a="1"/>
  <c r="Q2840" i="1" a="1"/>
  <c r="Q2841" i="1" a="1"/>
  <c r="Q2842" i="1" a="1"/>
  <c r="Q2843" i="1" a="1"/>
  <c r="Q2844" i="1" a="1"/>
  <c r="Q2845" i="1" a="1"/>
  <c r="Q2846" i="1" a="1"/>
  <c r="Q2847" i="1" a="1"/>
  <c r="Q2848" i="1" a="1"/>
  <c r="Q2849" i="1" a="1"/>
  <c r="Q2850" i="1" a="1"/>
  <c r="Q2851" i="1" a="1"/>
  <c r="Q2852" i="1" a="1"/>
  <c r="Q2853" i="1" a="1"/>
  <c r="Q2854" i="1" a="1"/>
  <c r="Q2855" i="1" a="1"/>
  <c r="Q2856" i="1" a="1"/>
  <c r="Q2857" i="1" a="1"/>
  <c r="Q2858" i="1" a="1"/>
  <c r="Q2859" i="1" a="1"/>
  <c r="Q2860" i="1" a="1"/>
  <c r="Q2861" i="1" a="1"/>
  <c r="Q2862" i="1" a="1"/>
  <c r="Q2863" i="1" a="1"/>
  <c r="Q2864" i="1" a="1"/>
  <c r="Q2865" i="1" a="1"/>
  <c r="Q2866" i="1" a="1"/>
  <c r="Q2867" i="1" a="1"/>
  <c r="Q2868" i="1" a="1"/>
  <c r="Q2869" i="1" a="1"/>
  <c r="Q2870" i="1" a="1"/>
  <c r="Q2871" i="1" a="1"/>
  <c r="Q2872" i="1" a="1"/>
  <c r="Q2873" i="1" a="1"/>
  <c r="Q2874" i="1" a="1"/>
  <c r="Q2875" i="1" a="1"/>
  <c r="Q2876" i="1" a="1"/>
  <c r="Q2877" i="1" a="1"/>
  <c r="Q2878" i="1" a="1"/>
  <c r="Q2879" i="1" a="1"/>
  <c r="Q2880" i="1" a="1"/>
  <c r="Q2881" i="1" a="1"/>
  <c r="Q2882" i="1" a="1"/>
  <c r="Q2883" i="1" a="1"/>
  <c r="Q2884" i="1" a="1"/>
  <c r="Q2885" i="1" a="1"/>
  <c r="Q2886" i="1" a="1"/>
  <c r="Q2887" i="1" a="1"/>
  <c r="Q2888" i="1" a="1"/>
  <c r="Q2889" i="1" a="1"/>
  <c r="Q2890" i="1" a="1"/>
  <c r="Q2891" i="1" a="1"/>
  <c r="Q2892" i="1" a="1"/>
  <c r="Q2893" i="1" a="1"/>
  <c r="Q2894" i="1" a="1"/>
  <c r="Q2895" i="1" a="1"/>
  <c r="Q2896" i="1" a="1"/>
  <c r="Q2897" i="1" a="1"/>
  <c r="Q2898" i="1" a="1"/>
  <c r="Q2899" i="1" a="1"/>
  <c r="Q2900" i="1" a="1"/>
  <c r="Q2901" i="1" a="1"/>
  <c r="Q2902" i="1" a="1"/>
  <c r="Q2903" i="1" a="1"/>
  <c r="Q2904" i="1" a="1"/>
  <c r="Q2905" i="1" a="1"/>
  <c r="Q2906" i="1" a="1"/>
  <c r="Q2907" i="1" a="1"/>
  <c r="Q2908" i="1" a="1"/>
  <c r="Q2909" i="1" a="1"/>
  <c r="Q2910" i="1" a="1"/>
  <c r="Q2911" i="1" a="1"/>
  <c r="Q2912" i="1" a="1"/>
  <c r="Q2913" i="1" a="1"/>
  <c r="Q2914" i="1" a="1"/>
  <c r="Q2915" i="1" a="1"/>
  <c r="Q2916" i="1" a="1"/>
  <c r="Q2917" i="1" a="1"/>
  <c r="Q2918" i="1" a="1"/>
  <c r="Q2919" i="1" a="1"/>
  <c r="Q2920" i="1" a="1"/>
  <c r="Q2921" i="1" a="1"/>
  <c r="Q2922" i="1" a="1"/>
  <c r="Q2923" i="1" a="1"/>
  <c r="Q2924" i="1" a="1"/>
  <c r="Q2925" i="1" a="1"/>
  <c r="Q2926" i="1" a="1"/>
  <c r="Q2927" i="1" a="1"/>
  <c r="Q2928" i="1" a="1"/>
  <c r="Q2929" i="1" a="1"/>
  <c r="Q2930" i="1" a="1"/>
  <c r="Q2931" i="1" a="1"/>
  <c r="Q2932" i="1" a="1"/>
  <c r="Q2933" i="1" a="1"/>
  <c r="Q2934" i="1" a="1"/>
  <c r="Q2935" i="1" a="1"/>
  <c r="Q2936" i="1" a="1"/>
  <c r="Q2937" i="1" a="1"/>
  <c r="Q2938" i="1" a="1"/>
  <c r="Q2939" i="1" a="1"/>
  <c r="Q2940" i="1" a="1"/>
  <c r="Q2941" i="1" a="1"/>
  <c r="Q2942" i="1" a="1"/>
  <c r="Q2943" i="1" a="1"/>
  <c r="Q2944" i="1" a="1"/>
  <c r="Q2945" i="1" a="1"/>
  <c r="Q2946" i="1" a="1"/>
  <c r="Q2947" i="1" a="1"/>
  <c r="Q2948" i="1" a="1"/>
  <c r="Q2949" i="1" a="1"/>
  <c r="Q2950" i="1" a="1"/>
  <c r="Q2951" i="1" a="1"/>
  <c r="Q2952" i="1" a="1"/>
  <c r="Q2953" i="1" a="1"/>
  <c r="Q2954" i="1" a="1"/>
  <c r="Q2955" i="1" a="1"/>
  <c r="Q2956" i="1" a="1"/>
  <c r="Q2957" i="1" a="1"/>
  <c r="Q2958" i="1" a="1"/>
  <c r="Q2959" i="1" a="1"/>
  <c r="Q2960" i="1" a="1"/>
  <c r="Q2961" i="1" a="1"/>
  <c r="Q2962" i="1" a="1"/>
  <c r="Q2963" i="1" a="1"/>
  <c r="Q2964" i="1" a="1"/>
  <c r="Q2965" i="1" a="1"/>
  <c r="Q2966" i="1" a="1"/>
  <c r="Q2967" i="1" a="1"/>
  <c r="Q2968" i="1" a="1"/>
  <c r="Q2969" i="1" a="1"/>
  <c r="Q2970" i="1" a="1"/>
  <c r="Q2971" i="1" a="1"/>
  <c r="Q2972" i="1" a="1"/>
  <c r="Q2973" i="1" a="1"/>
  <c r="Q2974" i="1" a="1"/>
  <c r="Q2975" i="1" a="1"/>
  <c r="Q2976" i="1" a="1"/>
  <c r="Q2977" i="1" a="1"/>
  <c r="Q2978" i="1" a="1"/>
  <c r="Q2979" i="1" a="1"/>
  <c r="Q2980" i="1" a="1"/>
  <c r="Q2981" i="1" a="1"/>
  <c r="Q2982" i="1" a="1"/>
  <c r="Q2983" i="1" a="1"/>
  <c r="Q2984" i="1" a="1"/>
  <c r="Q2985" i="1" a="1"/>
  <c r="Q2986" i="1" a="1"/>
  <c r="Q2987" i="1" a="1"/>
  <c r="Q2988" i="1" a="1"/>
  <c r="Q2989" i="1" a="1"/>
  <c r="Q2990" i="1" a="1"/>
  <c r="Q2991" i="1" a="1"/>
  <c r="Q2992" i="1" a="1"/>
  <c r="Q2993" i="1" a="1"/>
  <c r="Q2994" i="1" a="1"/>
  <c r="Q2995" i="1" a="1"/>
  <c r="Q2996" i="1" a="1"/>
  <c r="Q2997" i="1" a="1"/>
  <c r="Q2998" i="1" a="1"/>
  <c r="Q2999" i="1" a="1"/>
  <c r="Q3000" i="1" a="1"/>
  <c r="Q3001" i="1" a="1"/>
  <c r="Q3002" i="1" a="1"/>
  <c r="Q3003" i="1" a="1"/>
  <c r="Q3004" i="1" a="1"/>
  <c r="Q3005" i="1" a="1"/>
  <c r="Q3006" i="1" a="1"/>
  <c r="Q3007" i="1" a="1"/>
  <c r="Q3008" i="1" a="1"/>
  <c r="Q3009" i="1" a="1"/>
  <c r="Q3010" i="1" a="1"/>
  <c r="Q3011" i="1" a="1"/>
  <c r="Q3012" i="1" a="1"/>
  <c r="Q3013" i="1" a="1"/>
  <c r="Q3014" i="1" a="1"/>
  <c r="Q3015" i="1" a="1"/>
  <c r="Q3016" i="1" a="1"/>
  <c r="Q3017" i="1" a="1"/>
  <c r="Q3018" i="1" a="1"/>
  <c r="Q3019" i="1" a="1"/>
  <c r="Q3020" i="1" a="1"/>
  <c r="Q3021" i="1" a="1"/>
  <c r="Q3022" i="1" a="1"/>
  <c r="Q3023" i="1" a="1"/>
  <c r="Q3024" i="1" a="1"/>
  <c r="Q3025" i="1" a="1"/>
  <c r="Q3026" i="1" a="1"/>
  <c r="Q3027" i="1" a="1"/>
  <c r="Q3028" i="1" a="1"/>
  <c r="Q3029" i="1" a="1"/>
  <c r="Q3030" i="1" a="1"/>
  <c r="Q3031" i="1" a="1"/>
  <c r="Q3032" i="1" a="1"/>
  <c r="Q3033" i="1" a="1"/>
  <c r="Q3034" i="1" a="1"/>
  <c r="Q3035" i="1" a="1"/>
  <c r="Q3036" i="1" a="1"/>
  <c r="Q3037" i="1" a="1"/>
  <c r="Q3038" i="1" a="1"/>
  <c r="Q3039" i="1" a="1"/>
  <c r="Q3040" i="1" a="1"/>
  <c r="Q3041" i="1" a="1"/>
  <c r="Q3042" i="1" a="1"/>
  <c r="Q2" i="1" a="1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<sst xmlns="http://schemas.openxmlformats.org/spreadsheetml/2006/main" count="51158" uniqueCount="3266">
  <si>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</si>
  <si>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</si>
  <si>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</si>
  <si>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</si>
  <si>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</si>
  <si>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</si>
  <si>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</si>
  <si>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</si>
  <si>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</si>
  <si>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Indicador impuestos</t>
  </si>
  <si>
    <t>Doc.compensación</t>
  </si>
  <si>
    <t>Nombre</t>
  </si>
  <si>
    <t>Documento compras</t>
  </si>
  <si>
    <t>Posición</t>
  </si>
  <si>
    <t/>
  </si>
  <si>
    <t>1900011914</t>
  </si>
  <si>
    <t>GG</t>
  </si>
  <si>
    <t>96</t>
  </si>
  <si>
    <t>ARS</t>
  </si>
  <si>
    <t>C1</t>
  </si>
  <si>
    <t>AURELIA SACIYF</t>
  </si>
  <si>
    <t>4500121598</t>
  </si>
  <si>
    <t>20</t>
  </si>
  <si>
    <t>40</t>
  </si>
  <si>
    <t>1900000693</t>
  </si>
  <si>
    <t>8000</t>
  </si>
  <si>
    <t>GR</t>
  </si>
  <si>
    <t>86</t>
  </si>
  <si>
    <t>LA LILY S.A</t>
  </si>
  <si>
    <t>4500112140</t>
  </si>
  <si>
    <t>10</t>
  </si>
  <si>
    <t>1900004712</t>
  </si>
  <si>
    <t>3000</t>
  </si>
  <si>
    <t>TIGRE ARGENTINA S.A.</t>
  </si>
  <si>
    <t>4500120177</t>
  </si>
  <si>
    <t>30</t>
  </si>
  <si>
    <t>1900004715</t>
  </si>
  <si>
    <t>4500120178</t>
  </si>
  <si>
    <t>1900005391</t>
  </si>
  <si>
    <t>C9</t>
  </si>
  <si>
    <t>SERVICIOS CIPOLLETTI SRL</t>
  </si>
  <si>
    <t>4500119831</t>
  </si>
  <si>
    <t>1900005470</t>
  </si>
  <si>
    <t>EQUIPEL SRL</t>
  </si>
  <si>
    <t>4500120570</t>
  </si>
  <si>
    <t>100</t>
  </si>
  <si>
    <t>1900005622</t>
  </si>
  <si>
    <t>GASES ROSARIO S.R.L.</t>
  </si>
  <si>
    <t>4500121166</t>
  </si>
  <si>
    <t>1900006657</t>
  </si>
  <si>
    <t>CICCIOELEC SA</t>
  </si>
  <si>
    <t>4500122510</t>
  </si>
  <si>
    <t>80</t>
  </si>
  <si>
    <t>170</t>
  </si>
  <si>
    <t>1900007490</t>
  </si>
  <si>
    <t>BUNTECH DEL LAGO SOCIEDAD ANONIMA</t>
  </si>
  <si>
    <t>4500123321</t>
  </si>
  <si>
    <t>1900007491</t>
  </si>
  <si>
    <t>1900008023</t>
  </si>
  <si>
    <t>CASELLA GUILLERMO CESAR</t>
  </si>
  <si>
    <t>4500096318</t>
  </si>
  <si>
    <t>1900008202</t>
  </si>
  <si>
    <t>FELRRO SRL</t>
  </si>
  <si>
    <t>4500125959</t>
  </si>
  <si>
    <t>4500120744</t>
  </si>
  <si>
    <t>1900009204</t>
  </si>
  <si>
    <t>LOPEZ DIESEL S.A.</t>
  </si>
  <si>
    <t>4500099273</t>
  </si>
  <si>
    <t>150</t>
  </si>
  <si>
    <t>1900009592</t>
  </si>
  <si>
    <t>RANAWEL SA</t>
  </si>
  <si>
    <t>4500125561</t>
  </si>
  <si>
    <t>1900009882</t>
  </si>
  <si>
    <t>GLOBAL OIL S.R.L.</t>
  </si>
  <si>
    <t>4500125979</t>
  </si>
  <si>
    <t>1900010163</t>
  </si>
  <si>
    <t>4500128112</t>
  </si>
  <si>
    <t>1900010553</t>
  </si>
  <si>
    <t>ALFREDO CRIOLANI E HIJOS S.A.</t>
  </si>
  <si>
    <t>4500123477</t>
  </si>
  <si>
    <t>1900011121</t>
  </si>
  <si>
    <t>4500129914</t>
  </si>
  <si>
    <t>1900011346</t>
  </si>
  <si>
    <t>1900011895</t>
  </si>
  <si>
    <t>Z000</t>
  </si>
  <si>
    <t>GRIMALDI G.H. S.R.L.</t>
  </si>
  <si>
    <t>4500130791</t>
  </si>
  <si>
    <t>1900012054</t>
  </si>
  <si>
    <t>FERRARO Y CIA S.A.</t>
  </si>
  <si>
    <t>4500119904</t>
  </si>
  <si>
    <t>1900012395</t>
  </si>
  <si>
    <t>MADETEC S.A.</t>
  </si>
  <si>
    <t>4500132626</t>
  </si>
  <si>
    <t>1900013217</t>
  </si>
  <si>
    <t>EMILIA MASSARELLI SRL</t>
  </si>
  <si>
    <t>4500134840</t>
  </si>
  <si>
    <t>1900013834</t>
  </si>
  <si>
    <t>J.M.F. VIAL &amp; PARTS SAS</t>
  </si>
  <si>
    <t>4500132643</t>
  </si>
  <si>
    <t>1900014527</t>
  </si>
  <si>
    <t>4500135995</t>
  </si>
  <si>
    <t>1900014616</t>
  </si>
  <si>
    <t>CARLOS BOERO S.R.L.</t>
  </si>
  <si>
    <t>4500134748</t>
  </si>
  <si>
    <t>1900014664</t>
  </si>
  <si>
    <t>ANDRES N. BERTOTTO SAIC</t>
  </si>
  <si>
    <t>4500078458</t>
  </si>
  <si>
    <t>1900014774</t>
  </si>
  <si>
    <t>EMPRESA DEL OESTE SAT</t>
  </si>
  <si>
    <t>4500137489</t>
  </si>
  <si>
    <t>1900014837</t>
  </si>
  <si>
    <t>DASTEC SRL</t>
  </si>
  <si>
    <t>4500138303</t>
  </si>
  <si>
    <t>1900014871</t>
  </si>
  <si>
    <t>BRAVO ENERGY ARGENTINA S.C.A.</t>
  </si>
  <si>
    <t>4500080101</t>
  </si>
  <si>
    <t>1900014995</t>
  </si>
  <si>
    <t>AGRONORTE S.R.L.</t>
  </si>
  <si>
    <t>4500136283</t>
  </si>
  <si>
    <t>590</t>
  </si>
  <si>
    <t>1900015018</t>
  </si>
  <si>
    <t>4500139504</t>
  </si>
  <si>
    <t>1900015040</t>
  </si>
  <si>
    <t>NIC SA</t>
  </si>
  <si>
    <t>4500131150</t>
  </si>
  <si>
    <t>SUDAMERICANA CAMIONES SA</t>
  </si>
  <si>
    <t>260</t>
  </si>
  <si>
    <t>190</t>
  </si>
  <si>
    <t>250</t>
  </si>
  <si>
    <t>160</t>
  </si>
  <si>
    <t>180</t>
  </si>
  <si>
    <t>140</t>
  </si>
  <si>
    <t>120</t>
  </si>
  <si>
    <t>280</t>
  </si>
  <si>
    <t>70</t>
  </si>
  <si>
    <t>340</t>
  </si>
  <si>
    <t>210</t>
  </si>
  <si>
    <t>230</t>
  </si>
  <si>
    <t>90</t>
  </si>
  <si>
    <t>350</t>
  </si>
  <si>
    <t>220</t>
  </si>
  <si>
    <t>60</t>
  </si>
  <si>
    <t>130</t>
  </si>
  <si>
    <t>240</t>
  </si>
  <si>
    <t>50</t>
  </si>
  <si>
    <t>300</t>
  </si>
  <si>
    <t>270</t>
  </si>
  <si>
    <t>310</t>
  </si>
  <si>
    <t>610</t>
  </si>
  <si>
    <t>640</t>
  </si>
  <si>
    <t>320</t>
  </si>
  <si>
    <t>540</t>
  </si>
  <si>
    <t>600</t>
  </si>
  <si>
    <t>550</t>
  </si>
  <si>
    <t>330</t>
  </si>
  <si>
    <t>420</t>
  </si>
  <si>
    <t>110</t>
  </si>
  <si>
    <t>410</t>
  </si>
  <si>
    <t>390</t>
  </si>
  <si>
    <t>510</t>
  </si>
  <si>
    <t>500</t>
  </si>
  <si>
    <t>200</t>
  </si>
  <si>
    <t>370</t>
  </si>
  <si>
    <t>580</t>
  </si>
  <si>
    <t>440</t>
  </si>
  <si>
    <t>630</t>
  </si>
  <si>
    <t>430</t>
  </si>
  <si>
    <t>530</t>
  </si>
  <si>
    <t>360</t>
  </si>
  <si>
    <t>450</t>
  </si>
  <si>
    <t>460</t>
  </si>
  <si>
    <t>470</t>
  </si>
  <si>
    <t>480</t>
  </si>
  <si>
    <t>290</t>
  </si>
  <si>
    <t>650</t>
  </si>
  <si>
    <t>620</t>
  </si>
  <si>
    <t>560</t>
  </si>
  <si>
    <t>570</t>
  </si>
  <si>
    <t>400</t>
  </si>
  <si>
    <t>660</t>
  </si>
  <si>
    <t>670</t>
  </si>
  <si>
    <t>CONTRERAS BRIAN ALEXANDER</t>
  </si>
  <si>
    <t>1700001136</t>
  </si>
  <si>
    <t>KG</t>
  </si>
  <si>
    <t>CAMICO REPUESTOS PESADOS S.R.L.</t>
  </si>
  <si>
    <t>4500118256</t>
  </si>
  <si>
    <t>1700001910</t>
  </si>
  <si>
    <t>A.S. TURTURICI S.A.</t>
  </si>
  <si>
    <t>4500113051</t>
  </si>
  <si>
    <t>1700003342</t>
  </si>
  <si>
    <t>LUPARINI ACOPARTES SRL</t>
  </si>
  <si>
    <t>4500135356</t>
  </si>
  <si>
    <t>2000</t>
  </si>
  <si>
    <t>5100004502</t>
  </si>
  <si>
    <t>RE</t>
  </si>
  <si>
    <t>LA ELENA S.A.</t>
  </si>
  <si>
    <t>4500118543</t>
  </si>
  <si>
    <t>5100005229</t>
  </si>
  <si>
    <t>ANTINORO FRANCISCO ERNESTO</t>
  </si>
  <si>
    <t>4500119450</t>
  </si>
  <si>
    <t>5100006022</t>
  </si>
  <si>
    <t>EXPRESO LUJAN DE CUYO SA</t>
  </si>
  <si>
    <t>4500083703</t>
  </si>
  <si>
    <t>5100006202</t>
  </si>
  <si>
    <t>QUIROGA CRISTIAN ROBERTO</t>
  </si>
  <si>
    <t>4500119065</t>
  </si>
  <si>
    <t>5100006420</t>
  </si>
  <si>
    <t>IZAZA PAULA SOLEDAD</t>
  </si>
  <si>
    <t>4500057080</t>
  </si>
  <si>
    <t>5100007125</t>
  </si>
  <si>
    <t>DIESEL LANGE S.R.L</t>
  </si>
  <si>
    <t>4500119340</t>
  </si>
  <si>
    <t>5100007777</t>
  </si>
  <si>
    <t>FURIASSE GUSTAVO WALTER</t>
  </si>
  <si>
    <t>4500119365</t>
  </si>
  <si>
    <t>5100008080</t>
  </si>
  <si>
    <t>TUBI-FLEX S.A.</t>
  </si>
  <si>
    <t>4500122424</t>
  </si>
  <si>
    <t>5100008413</t>
  </si>
  <si>
    <t>4500123704</t>
  </si>
  <si>
    <t>5100008878</t>
  </si>
  <si>
    <t>NEURALSOFT S.R.L.</t>
  </si>
  <si>
    <t>4500118745</t>
  </si>
  <si>
    <t>5100009408</t>
  </si>
  <si>
    <t>4500125505</t>
  </si>
  <si>
    <t>5100009415</t>
  </si>
  <si>
    <t>GRUPO RP AICHI S.A.S.</t>
  </si>
  <si>
    <t>4500123984</t>
  </si>
  <si>
    <t>5100009433</t>
  </si>
  <si>
    <t>BULONERA FENIX S.R.L</t>
  </si>
  <si>
    <t>4500125533</t>
  </si>
  <si>
    <t>5100009436</t>
  </si>
  <si>
    <t>GRUAS SAN BLAS S.A</t>
  </si>
  <si>
    <t>4500125534</t>
  </si>
  <si>
    <t>5100009441</t>
  </si>
  <si>
    <t>4500125538</t>
  </si>
  <si>
    <t>5100009559</t>
  </si>
  <si>
    <t>4500122097</t>
  </si>
  <si>
    <t>5100009598</t>
  </si>
  <si>
    <t>5100009638</t>
  </si>
  <si>
    <t>SI (SERVICIOS INDUSTRIALES) SIERRA</t>
  </si>
  <si>
    <t>4500125118</t>
  </si>
  <si>
    <t>5100010082</t>
  </si>
  <si>
    <t>LA RONTONDA DE DANIEL MORAN</t>
  </si>
  <si>
    <t>4500119329</t>
  </si>
  <si>
    <t>5100010217</t>
  </si>
  <si>
    <t>BUREAU VERITAS ARG. S.A.</t>
  </si>
  <si>
    <t>4500115783</t>
  </si>
  <si>
    <t>5100010272</t>
  </si>
  <si>
    <t>5100010318</t>
  </si>
  <si>
    <t>C2</t>
  </si>
  <si>
    <t>INGENIERIA BOGGIO S.A</t>
  </si>
  <si>
    <t>4500125894</t>
  </si>
  <si>
    <t>5100010583</t>
  </si>
  <si>
    <t>BASUALDO NECCHI MARCOS GABRIEL</t>
  </si>
  <si>
    <t>4500125472</t>
  </si>
  <si>
    <t>5100010584</t>
  </si>
  <si>
    <t>5100010754</t>
  </si>
  <si>
    <t>4500127285</t>
  </si>
  <si>
    <t>5100010909</t>
  </si>
  <si>
    <t>5100011081</t>
  </si>
  <si>
    <t>4500122376</t>
  </si>
  <si>
    <t>5100011448</t>
  </si>
  <si>
    <t>MACHAIN LUCIANO</t>
  </si>
  <si>
    <t>4500127387</t>
  </si>
  <si>
    <t>5100011454</t>
  </si>
  <si>
    <t>RIVESTIMENTO SRL</t>
  </si>
  <si>
    <t>4500125483</t>
  </si>
  <si>
    <t>5100011594</t>
  </si>
  <si>
    <t>FERNANDEZ INSUA S.A.</t>
  </si>
  <si>
    <t>4500126929</t>
  </si>
  <si>
    <t>5100011978</t>
  </si>
  <si>
    <t>4500128665</t>
  </si>
  <si>
    <t>5100011981</t>
  </si>
  <si>
    <t>BERTEC S.A</t>
  </si>
  <si>
    <t>4500128664</t>
  </si>
  <si>
    <t>5100011983</t>
  </si>
  <si>
    <t>4500128663</t>
  </si>
  <si>
    <t>5100012129</t>
  </si>
  <si>
    <t>ANDREANI LOGISTICA SA</t>
  </si>
  <si>
    <t>4500128612</t>
  </si>
  <si>
    <t>5100012458</t>
  </si>
  <si>
    <t>4500121004</t>
  </si>
  <si>
    <t>5100012477</t>
  </si>
  <si>
    <t>5100012559</t>
  </si>
  <si>
    <t>AUTOMOTORES MEGA S.A.</t>
  </si>
  <si>
    <t>4500125101</t>
  </si>
  <si>
    <t>5100013058</t>
  </si>
  <si>
    <t>4500129936</t>
  </si>
  <si>
    <t>5100013059</t>
  </si>
  <si>
    <t>4500128909</t>
  </si>
  <si>
    <t>5100013132</t>
  </si>
  <si>
    <t>4500129259</t>
  </si>
  <si>
    <t>5100013525</t>
  </si>
  <si>
    <t>IME-GMBH</t>
  </si>
  <si>
    <t>4500096168</t>
  </si>
  <si>
    <t>5100013938</t>
  </si>
  <si>
    <t>4500130808</t>
  </si>
  <si>
    <t>5100013986</t>
  </si>
  <si>
    <t>TOYOTA ARGENTINA S.A.</t>
  </si>
  <si>
    <t>4500130908</t>
  </si>
  <si>
    <t>5100013987</t>
  </si>
  <si>
    <t>5100013988</t>
  </si>
  <si>
    <t>5100013989</t>
  </si>
  <si>
    <t>5100013990</t>
  </si>
  <si>
    <t>5100013991</t>
  </si>
  <si>
    <t>5100013992</t>
  </si>
  <si>
    <t>5100013993</t>
  </si>
  <si>
    <t>5100014004</t>
  </si>
  <si>
    <t>5100014005</t>
  </si>
  <si>
    <t>5100014008</t>
  </si>
  <si>
    <t>5100014010</t>
  </si>
  <si>
    <t>5100014011</t>
  </si>
  <si>
    <t>5100014012</t>
  </si>
  <si>
    <t>5100014075</t>
  </si>
  <si>
    <t>5100014077</t>
  </si>
  <si>
    <t>5100014081</t>
  </si>
  <si>
    <t>5100014082</t>
  </si>
  <si>
    <t>5100014083</t>
  </si>
  <si>
    <t>5100014281</t>
  </si>
  <si>
    <t>YPF S.A.</t>
  </si>
  <si>
    <t>4500129068</t>
  </si>
  <si>
    <t>5100014326</t>
  </si>
  <si>
    <t>5100014327</t>
  </si>
  <si>
    <t>5100014331</t>
  </si>
  <si>
    <t>5100014362</t>
  </si>
  <si>
    <t>5100014472</t>
  </si>
  <si>
    <t>5100014474</t>
  </si>
  <si>
    <t>5100014560</t>
  </si>
  <si>
    <t>5100014667</t>
  </si>
  <si>
    <t>5100014694</t>
  </si>
  <si>
    <t>5100014699</t>
  </si>
  <si>
    <t>5100014701</t>
  </si>
  <si>
    <t>5100014761</t>
  </si>
  <si>
    <t>5100015333</t>
  </si>
  <si>
    <t>PETROTRES SA</t>
  </si>
  <si>
    <t>4500131243</t>
  </si>
  <si>
    <t>5100015417</t>
  </si>
  <si>
    <t>4500133154</t>
  </si>
  <si>
    <t>5100015503</t>
  </si>
  <si>
    <t>FINNING ARGENTINA S.A.</t>
  </si>
  <si>
    <t>4500130271</t>
  </si>
  <si>
    <t>5100015670</t>
  </si>
  <si>
    <t>RESORTES LACAS SRL</t>
  </si>
  <si>
    <t>4500133333</t>
  </si>
  <si>
    <t>5100015743</t>
  </si>
  <si>
    <t>CENTRO HIDRAULICO S.A.</t>
  </si>
  <si>
    <t>4500131076</t>
  </si>
  <si>
    <t>5100015802</t>
  </si>
  <si>
    <t>5100015804</t>
  </si>
  <si>
    <t>5100015950</t>
  </si>
  <si>
    <t>SITECH SOUTHERN CONE S.P.A.</t>
  </si>
  <si>
    <t>4500124245</t>
  </si>
  <si>
    <t>5100015958</t>
  </si>
  <si>
    <t>4500133972</t>
  </si>
  <si>
    <t>5100016109</t>
  </si>
  <si>
    <t>5100016407</t>
  </si>
  <si>
    <t>5100016598</t>
  </si>
  <si>
    <t>5100016925</t>
  </si>
  <si>
    <t>DIRECTO SUR S. R. L.</t>
  </si>
  <si>
    <t>4500133342</t>
  </si>
  <si>
    <t>5100016927</t>
  </si>
  <si>
    <t>5100016931</t>
  </si>
  <si>
    <t>5100016934</t>
  </si>
  <si>
    <t>5100017151</t>
  </si>
  <si>
    <t>5100017523</t>
  </si>
  <si>
    <t>LOPEZ - FORCINITI S.A.</t>
  </si>
  <si>
    <t>4500104896</t>
  </si>
  <si>
    <t>5100017530</t>
  </si>
  <si>
    <t>5100017696</t>
  </si>
  <si>
    <t>ELASTICOS  SAITA S.R.L.</t>
  </si>
  <si>
    <t>4500133393</t>
  </si>
  <si>
    <t>5100017697</t>
  </si>
  <si>
    <t>4500127434</t>
  </si>
  <si>
    <t>5100018008</t>
  </si>
  <si>
    <t>SA IMPORTADORA Y EXP. DE LA PA</t>
  </si>
  <si>
    <t>4500130230</t>
  </si>
  <si>
    <t>5100018133</t>
  </si>
  <si>
    <t>5100018377</t>
  </si>
  <si>
    <t>SIPAR ACEROS S.A.</t>
  </si>
  <si>
    <t>4500137653</t>
  </si>
  <si>
    <t>5100018398</t>
  </si>
  <si>
    <t>4500085400</t>
  </si>
  <si>
    <t>5100018481</t>
  </si>
  <si>
    <t>AVILA ARGENTINA SOCIEDAD ANONIMAAVI</t>
  </si>
  <si>
    <t>4500134741</t>
  </si>
  <si>
    <t>5100018552</t>
  </si>
  <si>
    <t>5100018731</t>
  </si>
  <si>
    <t>HEELT  SRL</t>
  </si>
  <si>
    <t>4500138067</t>
  </si>
  <si>
    <t>5100018791</t>
  </si>
  <si>
    <t>GANDINI DANIEL HORACIO</t>
  </si>
  <si>
    <t>4500133396</t>
  </si>
  <si>
    <t>5100019044</t>
  </si>
  <si>
    <t>4500138299</t>
  </si>
  <si>
    <t>5100019361</t>
  </si>
  <si>
    <t>MALDONADO ELVA</t>
  </si>
  <si>
    <t>4500132186</t>
  </si>
  <si>
    <t>5100019442</t>
  </si>
  <si>
    <t>ESCANDINAVIA DEL PLATA SA</t>
  </si>
  <si>
    <t>4500130212</t>
  </si>
  <si>
    <t>5100019609</t>
  </si>
  <si>
    <t>4500137906</t>
  </si>
  <si>
    <t>5100019771</t>
  </si>
  <si>
    <t>4500136768</t>
  </si>
  <si>
    <t>5100019874</t>
  </si>
  <si>
    <t>5100020002</t>
  </si>
  <si>
    <t>5100020155</t>
  </si>
  <si>
    <t>JAR COMPUTACION SRL</t>
  </si>
  <si>
    <t>4500137841</t>
  </si>
  <si>
    <t>5100020189</t>
  </si>
  <si>
    <t>5100020190</t>
  </si>
  <si>
    <t>ELECTRICIDAD SERRA S.R.L.</t>
  </si>
  <si>
    <t>4500138912</t>
  </si>
  <si>
    <t>5100020234</t>
  </si>
  <si>
    <t>4500136840</t>
  </si>
  <si>
    <t>5100020253</t>
  </si>
  <si>
    <t>INDAQUIM SA</t>
  </si>
  <si>
    <t>4500131399</t>
  </si>
  <si>
    <t>5100020319</t>
  </si>
  <si>
    <t>TANKE S A</t>
  </si>
  <si>
    <t>4500139783</t>
  </si>
  <si>
    <t>5100020401</t>
  </si>
  <si>
    <t>5100020419</t>
  </si>
  <si>
    <t>EL ARTE DEL SELLO SRL</t>
  </si>
  <si>
    <t>4500139799</t>
  </si>
  <si>
    <t>5100020443</t>
  </si>
  <si>
    <t>PERIMETRAR S.A.S.</t>
  </si>
  <si>
    <t>4500139716</t>
  </si>
  <si>
    <t>5100020447</t>
  </si>
  <si>
    <t>TORRI S.R.L.</t>
  </si>
  <si>
    <t>4500139879</t>
  </si>
  <si>
    <t>4500136739</t>
  </si>
  <si>
    <t>SADER AUTOPARTES S.A</t>
  </si>
  <si>
    <t>BETA S.A.</t>
  </si>
  <si>
    <t>5100020482</t>
  </si>
  <si>
    <t>4500139224</t>
  </si>
  <si>
    <t>NUEVA REGINA S.R.L.</t>
  </si>
  <si>
    <t>YEMA REPUESTOS SRL</t>
  </si>
  <si>
    <t>TRUCKSTORE S.A.</t>
  </si>
  <si>
    <t>4500135658</t>
  </si>
  <si>
    <t>DISTRIBUIDORA TRIGOMA DE BERTO</t>
  </si>
  <si>
    <t>PROVIARG SRL</t>
  </si>
  <si>
    <t>4500138270</t>
  </si>
  <si>
    <t>PARABRISAS BURZA S.R.L.</t>
  </si>
  <si>
    <t>5100020517</t>
  </si>
  <si>
    <t>INGENIERIA Y REPRESENTACIONES BAHIE</t>
  </si>
  <si>
    <t>4500139856</t>
  </si>
  <si>
    <t>GUSTAVO CANO NEUMATICOS S.A.</t>
  </si>
  <si>
    <t>GOMERIA ALICIA S.A.</t>
  </si>
  <si>
    <t>5100020530</t>
  </si>
  <si>
    <t>5100020534</t>
  </si>
  <si>
    <t>URQUIOLA FERNANDO ANTONIO</t>
  </si>
  <si>
    <t>4500139661</t>
  </si>
  <si>
    <t>5100020535</t>
  </si>
  <si>
    <t>5100020536</t>
  </si>
  <si>
    <t>4500139955</t>
  </si>
  <si>
    <t>LENOR SRL</t>
  </si>
  <si>
    <t>COMPLEMET SRL</t>
  </si>
  <si>
    <t>4500137125</t>
  </si>
  <si>
    <t>5100020552</t>
  </si>
  <si>
    <t>GIORLANDO AGROPECUARIA SRL</t>
  </si>
  <si>
    <t>4500139973</t>
  </si>
  <si>
    <t>5200000010</t>
  </si>
  <si>
    <t>RG</t>
  </si>
  <si>
    <t>5000000199</t>
  </si>
  <si>
    <t>WE</t>
  </si>
  <si>
    <t>5000000734</t>
  </si>
  <si>
    <t>5000000735</t>
  </si>
  <si>
    <t>5000001031</t>
  </si>
  <si>
    <t>5000001032</t>
  </si>
  <si>
    <t>5000001033</t>
  </si>
  <si>
    <t>5000001034</t>
  </si>
  <si>
    <t>5000001132</t>
  </si>
  <si>
    <t>4500113148</t>
  </si>
  <si>
    <t>5000001559</t>
  </si>
  <si>
    <t>5000001561</t>
  </si>
  <si>
    <t>5000001568</t>
  </si>
  <si>
    <t>5000002175</t>
  </si>
  <si>
    <t>5000002246</t>
  </si>
  <si>
    <t>5000002483</t>
  </si>
  <si>
    <t>5000002657</t>
  </si>
  <si>
    <t>5000002658</t>
  </si>
  <si>
    <t>5000003394</t>
  </si>
  <si>
    <t>SERVICIOS Y MATERIALES CUYO S.A.</t>
  </si>
  <si>
    <t>4500090236</t>
  </si>
  <si>
    <t>5000003984</t>
  </si>
  <si>
    <t>RM DEL SUR S. R. L</t>
  </si>
  <si>
    <t>4500108692</t>
  </si>
  <si>
    <t>5000003990</t>
  </si>
  <si>
    <t>TRANSPORTES SAN JOSE SRL</t>
  </si>
  <si>
    <t>4500100044</t>
  </si>
  <si>
    <t>5000004332</t>
  </si>
  <si>
    <t>4500117175</t>
  </si>
  <si>
    <t>5000004554</t>
  </si>
  <si>
    <t>5000004579</t>
  </si>
  <si>
    <t>4500117243</t>
  </si>
  <si>
    <t>5000004601</t>
  </si>
  <si>
    <t>GOMA 2000 DE TECNO PART S.A.</t>
  </si>
  <si>
    <t>4500116764</t>
  </si>
  <si>
    <t>5000004864</t>
  </si>
  <si>
    <t>MALTESE ROBERTO VICENTE</t>
  </si>
  <si>
    <t>4500117791</t>
  </si>
  <si>
    <t>5000004865</t>
  </si>
  <si>
    <t>5000004866</t>
  </si>
  <si>
    <t>5000004867</t>
  </si>
  <si>
    <t>5000004880</t>
  </si>
  <si>
    <t>DAEMO ENGINEERING CO., LTD.</t>
  </si>
  <si>
    <t>4500109625</t>
  </si>
  <si>
    <t>5000004909</t>
  </si>
  <si>
    <t>ACEROS COCO S.A.</t>
  </si>
  <si>
    <t>4500117653</t>
  </si>
  <si>
    <t>5000005081</t>
  </si>
  <si>
    <t>4500114426</t>
  </si>
  <si>
    <t>5000005104</t>
  </si>
  <si>
    <t>5000005105</t>
  </si>
  <si>
    <t>5000005569</t>
  </si>
  <si>
    <t>4500118712</t>
  </si>
  <si>
    <t>5000005777</t>
  </si>
  <si>
    <t>1263 S. R. L.</t>
  </si>
  <si>
    <t>4500117676</t>
  </si>
  <si>
    <t>5000005821</t>
  </si>
  <si>
    <t>DEVOL S.A.</t>
  </si>
  <si>
    <t>4500118932</t>
  </si>
  <si>
    <t>5000005978</t>
  </si>
  <si>
    <t>4500119198</t>
  </si>
  <si>
    <t>5000005992</t>
  </si>
  <si>
    <t>XYLEM WATER SOLUTIONS ARGENTINA S.R</t>
  </si>
  <si>
    <t>4500109666</t>
  </si>
  <si>
    <t>5000006130</t>
  </si>
  <si>
    <t>REMOLQUES OMBU SA</t>
  </si>
  <si>
    <t>4500119031</t>
  </si>
  <si>
    <t>5000006248</t>
  </si>
  <si>
    <t>5000006314</t>
  </si>
  <si>
    <t>5000006361</t>
  </si>
  <si>
    <t>5000006606</t>
  </si>
  <si>
    <t>5000006767</t>
  </si>
  <si>
    <t>HEINZ LOOS S R L</t>
  </si>
  <si>
    <t>4500110829</t>
  </si>
  <si>
    <t>5000006772</t>
  </si>
  <si>
    <t>5000006773</t>
  </si>
  <si>
    <t>5000007134</t>
  </si>
  <si>
    <t>4500114148</t>
  </si>
  <si>
    <t>5000007661</t>
  </si>
  <si>
    <t>5000007680</t>
  </si>
  <si>
    <t>4500112343</t>
  </si>
  <si>
    <t>5000007779</t>
  </si>
  <si>
    <t>LACIAR LEANDRO ADOLFO</t>
  </si>
  <si>
    <t>4500095512</t>
  </si>
  <si>
    <t>5000007811</t>
  </si>
  <si>
    <t>5000007832</t>
  </si>
  <si>
    <t>5000007865</t>
  </si>
  <si>
    <t>4500120604</t>
  </si>
  <si>
    <t>5000008067</t>
  </si>
  <si>
    <t>5000008151</t>
  </si>
  <si>
    <t>4500117490</t>
  </si>
  <si>
    <t>5000008181</t>
  </si>
  <si>
    <t>CAEIRO JOSE FRANCISCO</t>
  </si>
  <si>
    <t>4500119848</t>
  </si>
  <si>
    <t>5000008260</t>
  </si>
  <si>
    <t>ACINDAR I.A.A.S.A.</t>
  </si>
  <si>
    <t>4500119529</t>
  </si>
  <si>
    <t>5000008442</t>
  </si>
  <si>
    <t>5000008482</t>
  </si>
  <si>
    <t>5000008575</t>
  </si>
  <si>
    <t>BIO-LIMP SOLUCIONES DE CALIDAD S.A</t>
  </si>
  <si>
    <t>4500121885</t>
  </si>
  <si>
    <t>5000008627</t>
  </si>
  <si>
    <t>CASA MAGNANI S.R.L.</t>
  </si>
  <si>
    <t>4500122083</t>
  </si>
  <si>
    <t>1090</t>
  </si>
  <si>
    <t>5000008677</t>
  </si>
  <si>
    <t>5000008678</t>
  </si>
  <si>
    <t>5000009173</t>
  </si>
  <si>
    <t>5000009372</t>
  </si>
  <si>
    <t>FERRETERA SAN LUIS</t>
  </si>
  <si>
    <t>4500122637</t>
  </si>
  <si>
    <t>5000009400</t>
  </si>
  <si>
    <t>790</t>
  </si>
  <si>
    <t>5000009483</t>
  </si>
  <si>
    <t>4500112721</t>
  </si>
  <si>
    <t>5000009488</t>
  </si>
  <si>
    <t>4500123215</t>
  </si>
  <si>
    <t>5000009534</t>
  </si>
  <si>
    <t>4500123254</t>
  </si>
  <si>
    <t>5000009655</t>
  </si>
  <si>
    <t>SCAFATI ARIEL GILBERTO</t>
  </si>
  <si>
    <t>4500097010</t>
  </si>
  <si>
    <t>5000009666</t>
  </si>
  <si>
    <t>HAULOTTE ARGENTINA S.A.</t>
  </si>
  <si>
    <t>4500111808</t>
  </si>
  <si>
    <t>5000009905</t>
  </si>
  <si>
    <t>REUTEMANN AUTOMOTORES S.A.</t>
  </si>
  <si>
    <t>4500122979</t>
  </si>
  <si>
    <t>5000009974</t>
  </si>
  <si>
    <t>4500109016</t>
  </si>
  <si>
    <t>5000010000</t>
  </si>
  <si>
    <t>ELECTRICIDAD PANAMERICANA S.A.</t>
  </si>
  <si>
    <t>4500123476</t>
  </si>
  <si>
    <t>5000010043</t>
  </si>
  <si>
    <t>LOOPING REPUESTOS SOCIEDAD ANONIMA</t>
  </si>
  <si>
    <t>4500123956</t>
  </si>
  <si>
    <t>5000010079</t>
  </si>
  <si>
    <t>BOSCO GERMAN, BOSCO LUCIO Y BOSCO</t>
  </si>
  <si>
    <t>4500123620</t>
  </si>
  <si>
    <t>5000010308</t>
  </si>
  <si>
    <t>D'AMICO DARIO RUBEN</t>
  </si>
  <si>
    <t>4500123173</t>
  </si>
  <si>
    <t>5000010324</t>
  </si>
  <si>
    <t>4500098102</t>
  </si>
  <si>
    <t>5000010356</t>
  </si>
  <si>
    <t>SCHVAB JULIO CESAR</t>
  </si>
  <si>
    <t>4500123478</t>
  </si>
  <si>
    <t>5000010738</t>
  </si>
  <si>
    <t>SANY INTERNACIONAL</t>
  </si>
  <si>
    <t>4500120830</t>
  </si>
  <si>
    <t>5000010759</t>
  </si>
  <si>
    <t>REPUESTOS CARLITOS</t>
  </si>
  <si>
    <t>4500124729</t>
  </si>
  <si>
    <t>5000010833</t>
  </si>
  <si>
    <t>4500119928</t>
  </si>
  <si>
    <t>5000010904</t>
  </si>
  <si>
    <t>5000010906</t>
  </si>
  <si>
    <t>5000010960</t>
  </si>
  <si>
    <t>5000011023</t>
  </si>
  <si>
    <t>5000011025</t>
  </si>
  <si>
    <t>5000011070</t>
  </si>
  <si>
    <t>RAIZEN ARGENTINA S.A.U.</t>
  </si>
  <si>
    <t>4500110043</t>
  </si>
  <si>
    <t>5000011194</t>
  </si>
  <si>
    <t>5000011210</t>
  </si>
  <si>
    <t>5000011363</t>
  </si>
  <si>
    <t>4500125347</t>
  </si>
  <si>
    <t>5000011371</t>
  </si>
  <si>
    <t>METALURGICA RP SRL</t>
  </si>
  <si>
    <t>4500117589</t>
  </si>
  <si>
    <t>5000011595</t>
  </si>
  <si>
    <t>5000011608</t>
  </si>
  <si>
    <t>4500125250</t>
  </si>
  <si>
    <t>5000011616</t>
  </si>
  <si>
    <t>4500125027</t>
  </si>
  <si>
    <t>5000011778</t>
  </si>
  <si>
    <t>4500119142</t>
  </si>
  <si>
    <t>5000011781</t>
  </si>
  <si>
    <t>5000011828</t>
  </si>
  <si>
    <t>5000011948</t>
  </si>
  <si>
    <t>4500125468</t>
  </si>
  <si>
    <t>5000011970</t>
  </si>
  <si>
    <t>5000011971</t>
  </si>
  <si>
    <t>5000011973</t>
  </si>
  <si>
    <t>5000011974</t>
  </si>
  <si>
    <t>5000011975</t>
  </si>
  <si>
    <t>5000011976</t>
  </si>
  <si>
    <t>5000011978</t>
  </si>
  <si>
    <t>5000011991</t>
  </si>
  <si>
    <t>5000012018</t>
  </si>
  <si>
    <t>5000012108</t>
  </si>
  <si>
    <t>5000012161</t>
  </si>
  <si>
    <t>4500125416</t>
  </si>
  <si>
    <t>5000012183</t>
  </si>
  <si>
    <t>4500121902</t>
  </si>
  <si>
    <t>5000012231</t>
  </si>
  <si>
    <t>5000012243</t>
  </si>
  <si>
    <t>KUHN MATIAS DANIEL</t>
  </si>
  <si>
    <t>4500100552</t>
  </si>
  <si>
    <t>5000012477</t>
  </si>
  <si>
    <t>4500121967</t>
  </si>
  <si>
    <t>5000012490</t>
  </si>
  <si>
    <t>4500123919</t>
  </si>
  <si>
    <t>5000012510</t>
  </si>
  <si>
    <t>5000012605</t>
  </si>
  <si>
    <t>T Y G S.A.</t>
  </si>
  <si>
    <t>4500126234</t>
  </si>
  <si>
    <t>5000012628</t>
  </si>
  <si>
    <t>5000012714</t>
  </si>
  <si>
    <t>ACCESORIOS Y REPUESTOS DON CARLOS S</t>
  </si>
  <si>
    <t>4500126381</t>
  </si>
  <si>
    <t>5000012735</t>
  </si>
  <si>
    <t>5000012760</t>
  </si>
  <si>
    <t>5000012769</t>
  </si>
  <si>
    <t>4500098344</t>
  </si>
  <si>
    <t>4500101064</t>
  </si>
  <si>
    <t>5000012936</t>
  </si>
  <si>
    <t>ANGEL M.ALVAREZ S.A.</t>
  </si>
  <si>
    <t>4500074832</t>
  </si>
  <si>
    <t>5000013126</t>
  </si>
  <si>
    <t>5000013158</t>
  </si>
  <si>
    <t>4500124874</t>
  </si>
  <si>
    <t>5000013215</t>
  </si>
  <si>
    <t>5000013319</t>
  </si>
  <si>
    <t>PROSEIND SA</t>
  </si>
  <si>
    <t>4500126565</t>
  </si>
  <si>
    <t>5000013322</t>
  </si>
  <si>
    <t>5000013323</t>
  </si>
  <si>
    <t>5000013450</t>
  </si>
  <si>
    <t>HOROFE GAS SRL</t>
  </si>
  <si>
    <t>4500127359</t>
  </si>
  <si>
    <t>5000013578</t>
  </si>
  <si>
    <t>7000</t>
  </si>
  <si>
    <t>EL CANARIO TRANSPORTES Y MONTAJES</t>
  </si>
  <si>
    <t>4500101409</t>
  </si>
  <si>
    <t>5000013657</t>
  </si>
  <si>
    <t>4500127451</t>
  </si>
  <si>
    <t>5000013723</t>
  </si>
  <si>
    <t>COLOR INDUSTRIAL S.A.</t>
  </si>
  <si>
    <t>4500102171</t>
  </si>
  <si>
    <t>5000013997</t>
  </si>
  <si>
    <t>4500126486</t>
  </si>
  <si>
    <t>5000014032</t>
  </si>
  <si>
    <t>5000014098</t>
  </si>
  <si>
    <t>5000014221</t>
  </si>
  <si>
    <t>4500112391</t>
  </si>
  <si>
    <t>5000014274</t>
  </si>
  <si>
    <t>5000014380</t>
  </si>
  <si>
    <t>5000014398</t>
  </si>
  <si>
    <t>4500128275</t>
  </si>
  <si>
    <t>5000014458</t>
  </si>
  <si>
    <t>4500118829</t>
  </si>
  <si>
    <t>5000014478</t>
  </si>
  <si>
    <t>5000014479</t>
  </si>
  <si>
    <t>TECNO CONSULTING SA</t>
  </si>
  <si>
    <t>4500128161</t>
  </si>
  <si>
    <t>5000014486</t>
  </si>
  <si>
    <t>4500128443</t>
  </si>
  <si>
    <t>5000014519</t>
  </si>
  <si>
    <t>5000014534</t>
  </si>
  <si>
    <t>4500118039</t>
  </si>
  <si>
    <t>5000014554</t>
  </si>
  <si>
    <t>4500128692</t>
  </si>
  <si>
    <t>5000014555</t>
  </si>
  <si>
    <t>4500128751</t>
  </si>
  <si>
    <t>5000014556</t>
  </si>
  <si>
    <t>4500128752</t>
  </si>
  <si>
    <t>5000014623</t>
  </si>
  <si>
    <t>4500128628</t>
  </si>
  <si>
    <t>5000014645</t>
  </si>
  <si>
    <t>5000014660</t>
  </si>
  <si>
    <t>FAMEIM S.A.</t>
  </si>
  <si>
    <t>4500124880</t>
  </si>
  <si>
    <t>5000014676</t>
  </si>
  <si>
    <t>4500128833</t>
  </si>
  <si>
    <t>5000014773</t>
  </si>
  <si>
    <t>5000014774</t>
  </si>
  <si>
    <t>5000014776</t>
  </si>
  <si>
    <t>5000014777</t>
  </si>
  <si>
    <t>5000014781</t>
  </si>
  <si>
    <t>5000014782</t>
  </si>
  <si>
    <t>5000014903</t>
  </si>
  <si>
    <t>SOLUCIONES AMBIENTALES PATAGONIA</t>
  </si>
  <si>
    <t>4500128287</t>
  </si>
  <si>
    <t>5000014971</t>
  </si>
  <si>
    <t>4500119057</t>
  </si>
  <si>
    <t>5000015196</t>
  </si>
  <si>
    <t>SASSIA DANIEL EDUARDO</t>
  </si>
  <si>
    <t>4500126244</t>
  </si>
  <si>
    <t>5000015285</t>
  </si>
  <si>
    <t>4500129288</t>
  </si>
  <si>
    <t>5000015297</t>
  </si>
  <si>
    <t>5000015328</t>
  </si>
  <si>
    <t>MAINETE JAVIER ALBERTO</t>
  </si>
  <si>
    <t>4500129427</t>
  </si>
  <si>
    <t>5000015341</t>
  </si>
  <si>
    <t>4500129429</t>
  </si>
  <si>
    <t>5000015351</t>
  </si>
  <si>
    <t>5000015401</t>
  </si>
  <si>
    <t>4500128301</t>
  </si>
  <si>
    <t>5000015471</t>
  </si>
  <si>
    <t>5000015536</t>
  </si>
  <si>
    <t>4500129638</t>
  </si>
  <si>
    <t>5000015560</t>
  </si>
  <si>
    <t>5000015610</t>
  </si>
  <si>
    <t>5000015611</t>
  </si>
  <si>
    <t>ZAMOLO HNOS SA</t>
  </si>
  <si>
    <t>4500129593</t>
  </si>
  <si>
    <t>5000015639</t>
  </si>
  <si>
    <t>MIGNANI HNOS. S.R.L.</t>
  </si>
  <si>
    <t>4500113557</t>
  </si>
  <si>
    <t>5000015800</t>
  </si>
  <si>
    <t>MEI GROUP PTY. LTD.SUC. ARG.</t>
  </si>
  <si>
    <t>4500129446</t>
  </si>
  <si>
    <t>5000015811</t>
  </si>
  <si>
    <t>5000015814</t>
  </si>
  <si>
    <t>5000015815</t>
  </si>
  <si>
    <t>5000015816</t>
  </si>
  <si>
    <t>5000015817</t>
  </si>
  <si>
    <t>5000015818</t>
  </si>
  <si>
    <t>RUMAOS S.A.</t>
  </si>
  <si>
    <t>4500104646</t>
  </si>
  <si>
    <t>5000015845</t>
  </si>
  <si>
    <t>CARLOS A DIORIO</t>
  </si>
  <si>
    <t>4500129954</t>
  </si>
  <si>
    <t>5000015897</t>
  </si>
  <si>
    <t>ARGELEC S.A.</t>
  </si>
  <si>
    <t>4500130042</t>
  </si>
  <si>
    <t>5000015967</t>
  </si>
  <si>
    <t>4500117515</t>
  </si>
  <si>
    <t>5000016011</t>
  </si>
  <si>
    <t>5000016020</t>
  </si>
  <si>
    <t>5000016023</t>
  </si>
  <si>
    <t>5000016050</t>
  </si>
  <si>
    <t>5000016072</t>
  </si>
  <si>
    <t>5000016073</t>
  </si>
  <si>
    <t>4500128693</t>
  </si>
  <si>
    <t>5000016133</t>
  </si>
  <si>
    <t>5000016134</t>
  </si>
  <si>
    <t>5000016167</t>
  </si>
  <si>
    <t>5000016170</t>
  </si>
  <si>
    <t>780</t>
  </si>
  <si>
    <t>5000016172</t>
  </si>
  <si>
    <t>ABASTO SERVICIOS PATAGONICOS S. A.</t>
  </si>
  <si>
    <t>4500100669</t>
  </si>
  <si>
    <t>5000016173</t>
  </si>
  <si>
    <t>5000016176</t>
  </si>
  <si>
    <t>830</t>
  </si>
  <si>
    <t>5000016179</t>
  </si>
  <si>
    <t>5000016182</t>
  </si>
  <si>
    <t>5000016209</t>
  </si>
  <si>
    <t>5000016210</t>
  </si>
  <si>
    <t>690</t>
  </si>
  <si>
    <t>5000016288</t>
  </si>
  <si>
    <t>4500130441</t>
  </si>
  <si>
    <t>5000016347</t>
  </si>
  <si>
    <t>AC SAT S.R.L.</t>
  </si>
  <si>
    <t>4500130507</t>
  </si>
  <si>
    <t>5000016509</t>
  </si>
  <si>
    <t>4500130671</t>
  </si>
  <si>
    <t>5000016527</t>
  </si>
  <si>
    <t>5000016563</t>
  </si>
  <si>
    <t>5000016566</t>
  </si>
  <si>
    <t>5000016603</t>
  </si>
  <si>
    <t>HYDRASER SA</t>
  </si>
  <si>
    <t>4500130801</t>
  </si>
  <si>
    <t>5000016620</t>
  </si>
  <si>
    <t>5000016650</t>
  </si>
  <si>
    <t>5000016820</t>
  </si>
  <si>
    <t>5000016863</t>
  </si>
  <si>
    <t>5000016940</t>
  </si>
  <si>
    <t>5000016950</t>
  </si>
  <si>
    <t>5000016970</t>
  </si>
  <si>
    <t>5000016973</t>
  </si>
  <si>
    <t>5000017059</t>
  </si>
  <si>
    <t>5000017113</t>
  </si>
  <si>
    <t>5000017115</t>
  </si>
  <si>
    <t>5000017134</t>
  </si>
  <si>
    <t>SALDAÑA LEANDRO EZEQUIEL</t>
  </si>
  <si>
    <t>4500125484</t>
  </si>
  <si>
    <t>5000017136</t>
  </si>
  <si>
    <t>4500127093</t>
  </si>
  <si>
    <t>5000017138</t>
  </si>
  <si>
    <t>5000017160</t>
  </si>
  <si>
    <t>4500128170</t>
  </si>
  <si>
    <t>5000017164</t>
  </si>
  <si>
    <t>5000017184</t>
  </si>
  <si>
    <t>5000017240</t>
  </si>
  <si>
    <t>LO GRIPPO JORGE ALBERTO</t>
  </si>
  <si>
    <t>4500129406</t>
  </si>
  <si>
    <t>5000017252</t>
  </si>
  <si>
    <t>5000017397</t>
  </si>
  <si>
    <t>5000017410</t>
  </si>
  <si>
    <t>5000017412</t>
  </si>
  <si>
    <t>4500094705</t>
  </si>
  <si>
    <t>5000017535</t>
  </si>
  <si>
    <t>5000017546</t>
  </si>
  <si>
    <t>4500126086</t>
  </si>
  <si>
    <t>5000017615</t>
  </si>
  <si>
    <t>CHICO VANESA SOLEDAD</t>
  </si>
  <si>
    <t>4500132034</t>
  </si>
  <si>
    <t>5000017655</t>
  </si>
  <si>
    <t>5000017727</t>
  </si>
  <si>
    <t>5000017885</t>
  </si>
  <si>
    <t>5000017888</t>
  </si>
  <si>
    <t>5000017889</t>
  </si>
  <si>
    <t>5000017907</t>
  </si>
  <si>
    <t>4500131535</t>
  </si>
  <si>
    <t>5000017953</t>
  </si>
  <si>
    <t>5000018006</t>
  </si>
  <si>
    <t>4500131493</t>
  </si>
  <si>
    <t>5000018016</t>
  </si>
  <si>
    <t>4500131049</t>
  </si>
  <si>
    <t>5000018084</t>
  </si>
  <si>
    <t>5000018087</t>
  </si>
  <si>
    <t>5000018088</t>
  </si>
  <si>
    <t>5000018089</t>
  </si>
  <si>
    <t>5000018090</t>
  </si>
  <si>
    <t>5000018091</t>
  </si>
  <si>
    <t>5000018171</t>
  </si>
  <si>
    <t>4500132582</t>
  </si>
  <si>
    <t>5000018194</t>
  </si>
  <si>
    <t>4500109598</t>
  </si>
  <si>
    <t>5000018209</t>
  </si>
  <si>
    <t>5000018254</t>
  </si>
  <si>
    <t>5000018304</t>
  </si>
  <si>
    <t>FORTIN REPUBLICA SA</t>
  </si>
  <si>
    <t>4500131237</t>
  </si>
  <si>
    <t>5000018353</t>
  </si>
  <si>
    <t>4500132886</t>
  </si>
  <si>
    <t>5000018399</t>
  </si>
  <si>
    <t>4500132941</t>
  </si>
  <si>
    <t>5000018431</t>
  </si>
  <si>
    <t>4500132895</t>
  </si>
  <si>
    <t>5000018432</t>
  </si>
  <si>
    <t>5000018441</t>
  </si>
  <si>
    <t>4500132699</t>
  </si>
  <si>
    <t>5000018512</t>
  </si>
  <si>
    <t>ELECTROMECANICA OMAR S.R.L.</t>
  </si>
  <si>
    <t>4500130859</t>
  </si>
  <si>
    <t>5000018513</t>
  </si>
  <si>
    <t>4500132094</t>
  </si>
  <si>
    <t>5000018515</t>
  </si>
  <si>
    <t>PINTURERIAS DIN COLOR S. A.</t>
  </si>
  <si>
    <t>4500133014</t>
  </si>
  <si>
    <t>5000018516</t>
  </si>
  <si>
    <t>PITTACOLO WALTER Y PITTACOLO JUAN</t>
  </si>
  <si>
    <t>4500132990</t>
  </si>
  <si>
    <t>5000018587</t>
  </si>
  <si>
    <t>MADRYN REPUESTOS Y SERVICIOS SAS</t>
  </si>
  <si>
    <t>4500129632</t>
  </si>
  <si>
    <t>5000018621</t>
  </si>
  <si>
    <t>SIDERCHAP S.A.</t>
  </si>
  <si>
    <t>4500107234</t>
  </si>
  <si>
    <t>5000018731</t>
  </si>
  <si>
    <t>4500132604</t>
  </si>
  <si>
    <t>5000018758</t>
  </si>
  <si>
    <t>4500132908</t>
  </si>
  <si>
    <t>5000018877</t>
  </si>
  <si>
    <t>4500132602</t>
  </si>
  <si>
    <t>5000018946</t>
  </si>
  <si>
    <t>4500133555</t>
  </si>
  <si>
    <t>5000019032</t>
  </si>
  <si>
    <t>5000019034</t>
  </si>
  <si>
    <t>4500128657</t>
  </si>
  <si>
    <t>5000019035</t>
  </si>
  <si>
    <t>5000019066</t>
  </si>
  <si>
    <t>BASANI SA</t>
  </si>
  <si>
    <t>4500122327</t>
  </si>
  <si>
    <t>5000019076</t>
  </si>
  <si>
    <t>5000019137</t>
  </si>
  <si>
    <t>TECNODIESEL S.R.L.</t>
  </si>
  <si>
    <t>4500125529</t>
  </si>
  <si>
    <t>5000019207</t>
  </si>
  <si>
    <t>4500133782</t>
  </si>
  <si>
    <t>5000019208</t>
  </si>
  <si>
    <t>4500133785</t>
  </si>
  <si>
    <t>5000019317</t>
  </si>
  <si>
    <t>ZANOTTI HERMANOS SRL</t>
  </si>
  <si>
    <t>4500124290</t>
  </si>
  <si>
    <t>5000019322</t>
  </si>
  <si>
    <t>4500124291</t>
  </si>
  <si>
    <t>5000019328</t>
  </si>
  <si>
    <t>SALDAÑA CARLOS ALBERTO</t>
  </si>
  <si>
    <t>4500130354</t>
  </si>
  <si>
    <t>5000019355</t>
  </si>
  <si>
    <t>CRISTALES PATAGONICOS SRL</t>
  </si>
  <si>
    <t>4500134054</t>
  </si>
  <si>
    <t>5000019358</t>
  </si>
  <si>
    <t>4500127026</t>
  </si>
  <si>
    <t>5000019359</t>
  </si>
  <si>
    <t>COLLADO SAITA ELASTICOS SRL</t>
  </si>
  <si>
    <t>4500134062</t>
  </si>
  <si>
    <t>5000019439</t>
  </si>
  <si>
    <t>4500132469</t>
  </si>
  <si>
    <t>5000019440</t>
  </si>
  <si>
    <t>5000019462</t>
  </si>
  <si>
    <t>4500134075</t>
  </si>
  <si>
    <t>5000019591</t>
  </si>
  <si>
    <t>PIRLES GUSTAVO JOSE</t>
  </si>
  <si>
    <t>4500128496</t>
  </si>
  <si>
    <t>5000019660</t>
  </si>
  <si>
    <t>5000019698</t>
  </si>
  <si>
    <t>4500134065</t>
  </si>
  <si>
    <t>5000019715</t>
  </si>
  <si>
    <t>4500120000</t>
  </si>
  <si>
    <t>5000019726</t>
  </si>
  <si>
    <t>S.A. INGENIERO CARLOS KUSSMAUL</t>
  </si>
  <si>
    <t>4500133726</t>
  </si>
  <si>
    <t>5000019758</t>
  </si>
  <si>
    <t>JAWIT S.A.</t>
  </si>
  <si>
    <t>4500123944</t>
  </si>
  <si>
    <t>5000019802</t>
  </si>
  <si>
    <t>5000019803</t>
  </si>
  <si>
    <t>5000019804</t>
  </si>
  <si>
    <t>GPS SERVICE SPA</t>
  </si>
  <si>
    <t>4500130930</t>
  </si>
  <si>
    <t>5000019817</t>
  </si>
  <si>
    <t>SCARONE FEDERICO AGUSTIN</t>
  </si>
  <si>
    <t>4500134145</t>
  </si>
  <si>
    <t>5000019819</t>
  </si>
  <si>
    <t>ECOPORTATILES SA</t>
  </si>
  <si>
    <t>4500131626</t>
  </si>
  <si>
    <t>5000019820</t>
  </si>
  <si>
    <t>5000019833</t>
  </si>
  <si>
    <t>SAKURA MOTORS S. A.</t>
  </si>
  <si>
    <t>4500133983</t>
  </si>
  <si>
    <t>5000019930</t>
  </si>
  <si>
    <t>TURBOLAR S.A.</t>
  </si>
  <si>
    <t>4500134494</t>
  </si>
  <si>
    <t>5000019954</t>
  </si>
  <si>
    <t>ARROYITO MAQUINARIAS S.R.L.</t>
  </si>
  <si>
    <t>4500130492</t>
  </si>
  <si>
    <t>5000019961</t>
  </si>
  <si>
    <t>L-A PINTURAS INDUSTRIALES SRL</t>
  </si>
  <si>
    <t>4500109264</t>
  </si>
  <si>
    <t>5000019973</t>
  </si>
  <si>
    <t>4500127589</t>
  </si>
  <si>
    <t>5000019997</t>
  </si>
  <si>
    <t>5000020028</t>
  </si>
  <si>
    <t>4500134443</t>
  </si>
  <si>
    <t>5000020059</t>
  </si>
  <si>
    <t>RECTIFICADORA COLON SRL</t>
  </si>
  <si>
    <t>4500126537</t>
  </si>
  <si>
    <t>5000020145</t>
  </si>
  <si>
    <t>5000020219</t>
  </si>
  <si>
    <t>ABIUSI ANALIA VERONICA</t>
  </si>
  <si>
    <t>4500132662</t>
  </si>
  <si>
    <t>5000020246</t>
  </si>
  <si>
    <t>5000020250</t>
  </si>
  <si>
    <t>4500134817</t>
  </si>
  <si>
    <t>5000020417</t>
  </si>
  <si>
    <t>5000020449</t>
  </si>
  <si>
    <t>5000020495</t>
  </si>
  <si>
    <t>4500135042</t>
  </si>
  <si>
    <t>5000020496</t>
  </si>
  <si>
    <t>5000020499</t>
  </si>
  <si>
    <t>RODRIGUEZ HUGO HORACIO</t>
  </si>
  <si>
    <t>4500126327</t>
  </si>
  <si>
    <t>5000020545</t>
  </si>
  <si>
    <t>4500135325</t>
  </si>
  <si>
    <t>5000020589</t>
  </si>
  <si>
    <t>PASARON FABIO ALEXIS</t>
  </si>
  <si>
    <t>4500123250</t>
  </si>
  <si>
    <t>5000020598</t>
  </si>
  <si>
    <t>4500123988</t>
  </si>
  <si>
    <t>5000020625</t>
  </si>
  <si>
    <t>5000020665</t>
  </si>
  <si>
    <t>ALASUR S.A.</t>
  </si>
  <si>
    <t>4500135198</t>
  </si>
  <si>
    <t>5000020704</t>
  </si>
  <si>
    <t>4500106096</t>
  </si>
  <si>
    <t>5000020742</t>
  </si>
  <si>
    <t>FEDERICO ENGEL TALLER FEDERICO</t>
  </si>
  <si>
    <t>4500134815</t>
  </si>
  <si>
    <t>5000020754</t>
  </si>
  <si>
    <t>4500130840</t>
  </si>
  <si>
    <t>5000020828</t>
  </si>
  <si>
    <t>5000020867</t>
  </si>
  <si>
    <t>5000020868</t>
  </si>
  <si>
    <t>5000020884</t>
  </si>
  <si>
    <t>5000020892</t>
  </si>
  <si>
    <t>OSVALDO L.SANTILLI E HIJOS S.A</t>
  </si>
  <si>
    <t>4500131415</t>
  </si>
  <si>
    <t>5000020896</t>
  </si>
  <si>
    <t>ELECTRINET SRL</t>
  </si>
  <si>
    <t>4500134375</t>
  </si>
  <si>
    <t>5000020902</t>
  </si>
  <si>
    <t>4500135590</t>
  </si>
  <si>
    <t>5000020915</t>
  </si>
  <si>
    <t>ANGIULLI SERGIO RAUL</t>
  </si>
  <si>
    <t>4500134686</t>
  </si>
  <si>
    <t>5000020969</t>
  </si>
  <si>
    <t>4500135429</t>
  </si>
  <si>
    <t>5000020983</t>
  </si>
  <si>
    <t>4500121621</t>
  </si>
  <si>
    <t>5000020993</t>
  </si>
  <si>
    <t>4500134436</t>
  </si>
  <si>
    <t>5000020997</t>
  </si>
  <si>
    <t>5000021042</t>
  </si>
  <si>
    <t>4500123608</t>
  </si>
  <si>
    <t>5000021047</t>
  </si>
  <si>
    <t>5000021128</t>
  </si>
  <si>
    <t>4500136122</t>
  </si>
  <si>
    <t>5000021135</t>
  </si>
  <si>
    <t>5000021136</t>
  </si>
  <si>
    <t>5000021165</t>
  </si>
  <si>
    <t>4500136228</t>
  </si>
  <si>
    <t>5000021197</t>
  </si>
  <si>
    <t>IND. QUIMICAS KAISER S.R.L.</t>
  </si>
  <si>
    <t>4500135895</t>
  </si>
  <si>
    <t>5000021220</t>
  </si>
  <si>
    <t>GONZALEZ ROLANDO CLAUDIO</t>
  </si>
  <si>
    <t>4500123878</t>
  </si>
  <si>
    <t>5000021262</t>
  </si>
  <si>
    <t>4500136077</t>
  </si>
  <si>
    <t>5000021270</t>
  </si>
  <si>
    <t>ROBERTO CALZAVARA S.R.L.</t>
  </si>
  <si>
    <t>4500136148</t>
  </si>
  <si>
    <t>5000021302</t>
  </si>
  <si>
    <t>5000021306</t>
  </si>
  <si>
    <t>CABRERA ADRIAN ALFREDO RAMON</t>
  </si>
  <si>
    <t>4500135168</t>
  </si>
  <si>
    <t>5000021341</t>
  </si>
  <si>
    <t>4500110803</t>
  </si>
  <si>
    <t>5000021401</t>
  </si>
  <si>
    <t>5000021402</t>
  </si>
  <si>
    <t>4500136448</t>
  </si>
  <si>
    <t>5000021433</t>
  </si>
  <si>
    <t>4500134426</t>
  </si>
  <si>
    <t>5000021473</t>
  </si>
  <si>
    <t>5000021478</t>
  </si>
  <si>
    <t>5000021498</t>
  </si>
  <si>
    <t>5000021518</t>
  </si>
  <si>
    <t>MAXIGOMA S.R.L.</t>
  </si>
  <si>
    <t>4500125058</t>
  </si>
  <si>
    <t>5000021534</t>
  </si>
  <si>
    <t>MONFORT JUAN CARLOS</t>
  </si>
  <si>
    <t>4500135832</t>
  </si>
  <si>
    <t>5000021626</t>
  </si>
  <si>
    <t>ELECTROMECANICA BOMEQ SA</t>
  </si>
  <si>
    <t>4500136499</t>
  </si>
  <si>
    <t>5000021653</t>
  </si>
  <si>
    <t>4500136731</t>
  </si>
  <si>
    <t>5000021655</t>
  </si>
  <si>
    <t>5000021692</t>
  </si>
  <si>
    <t>PARANA MAQUINARIAS SRL</t>
  </si>
  <si>
    <t>4500136864</t>
  </si>
  <si>
    <t>5000021707</t>
  </si>
  <si>
    <t>5000021726</t>
  </si>
  <si>
    <t>4500136173</t>
  </si>
  <si>
    <t>5000021764</t>
  </si>
  <si>
    <t>4500136725</t>
  </si>
  <si>
    <t>5000021777</t>
  </si>
  <si>
    <t>ZHEJIANG DINGLI MACHINERY CO., LTD.</t>
  </si>
  <si>
    <t>4500129925</t>
  </si>
  <si>
    <t>5000021780</t>
  </si>
  <si>
    <t>4500136297</t>
  </si>
  <si>
    <t>5000021783</t>
  </si>
  <si>
    <t>4500136726</t>
  </si>
  <si>
    <t>5000021786</t>
  </si>
  <si>
    <t>5000021835</t>
  </si>
  <si>
    <t>INBELT S.R.L.</t>
  </si>
  <si>
    <t>4500132755</t>
  </si>
  <si>
    <t>5000021845</t>
  </si>
  <si>
    <t>4500135589</t>
  </si>
  <si>
    <t>380</t>
  </si>
  <si>
    <t>490</t>
  </si>
  <si>
    <t>520</t>
  </si>
  <si>
    <t>5000021853</t>
  </si>
  <si>
    <t>WURTH ARGENTINA S.A.</t>
  </si>
  <si>
    <t>4500136352</t>
  </si>
  <si>
    <t>5000021856</t>
  </si>
  <si>
    <t>4500136816</t>
  </si>
  <si>
    <t>5000021859</t>
  </si>
  <si>
    <t>5000021860</t>
  </si>
  <si>
    <t>5000021862</t>
  </si>
  <si>
    <t>5000021869</t>
  </si>
  <si>
    <t>5000021873</t>
  </si>
  <si>
    <t>POBERAJ S.A.</t>
  </si>
  <si>
    <t>4500130152</t>
  </si>
  <si>
    <t>5000021881</t>
  </si>
  <si>
    <t>4500136484</t>
  </si>
  <si>
    <t>5000021887</t>
  </si>
  <si>
    <t>5000021909</t>
  </si>
  <si>
    <t>NEUMATICOS GOODYEAR S R L</t>
  </si>
  <si>
    <t>4500136701</t>
  </si>
  <si>
    <t>5000021911</t>
  </si>
  <si>
    <t>5000021918</t>
  </si>
  <si>
    <t>HUGO SANCHEZ S.A.</t>
  </si>
  <si>
    <t>4500136907</t>
  </si>
  <si>
    <t>5000021924</t>
  </si>
  <si>
    <t>4500136865</t>
  </si>
  <si>
    <t>5000021953</t>
  </si>
  <si>
    <t>4500137140</t>
  </si>
  <si>
    <t>5000021955</t>
  </si>
  <si>
    <t>700</t>
  </si>
  <si>
    <t>5000021957</t>
  </si>
  <si>
    <t>PIAZZA MARCOS LUCIANO</t>
  </si>
  <si>
    <t>4500136752</t>
  </si>
  <si>
    <t>5000021981</t>
  </si>
  <si>
    <t>4500136784</t>
  </si>
  <si>
    <t>5000021987</t>
  </si>
  <si>
    <t>4500126452</t>
  </si>
  <si>
    <t>5000022017</t>
  </si>
  <si>
    <t>JORGE ALBERTO SOTO S.A.S.</t>
  </si>
  <si>
    <t>4500124649</t>
  </si>
  <si>
    <t>5000022018</t>
  </si>
  <si>
    <t>4500116386</t>
  </si>
  <si>
    <t>5000022026</t>
  </si>
  <si>
    <t>4500117290</t>
  </si>
  <si>
    <t>5000022034</t>
  </si>
  <si>
    <t>5000022063</t>
  </si>
  <si>
    <t>DISTRIBUIDORA DIQUE S.R.L.</t>
  </si>
  <si>
    <t>4500135431</t>
  </si>
  <si>
    <t>5000022065</t>
  </si>
  <si>
    <t>RIAL JOSE ANGEL</t>
  </si>
  <si>
    <t>4500137269</t>
  </si>
  <si>
    <t>5000022066</t>
  </si>
  <si>
    <t>4500137272</t>
  </si>
  <si>
    <t>5000022136</t>
  </si>
  <si>
    <t>4500136385</t>
  </si>
  <si>
    <t>5000022137</t>
  </si>
  <si>
    <t>4500137401</t>
  </si>
  <si>
    <t>5000022161</t>
  </si>
  <si>
    <t>5000022162</t>
  </si>
  <si>
    <t>4500137273</t>
  </si>
  <si>
    <t>5000022163</t>
  </si>
  <si>
    <t>4500137281</t>
  </si>
  <si>
    <t>5000022164</t>
  </si>
  <si>
    <t>5000022241</t>
  </si>
  <si>
    <t>4500136824</t>
  </si>
  <si>
    <t>5000022278</t>
  </si>
  <si>
    <t>5000022294</t>
  </si>
  <si>
    <t>5000022300</t>
  </si>
  <si>
    <t>5000022302</t>
  </si>
  <si>
    <t>HARDTEC S.R.L.</t>
  </si>
  <si>
    <t>4500130397</t>
  </si>
  <si>
    <t>5000022319</t>
  </si>
  <si>
    <t>5000022323</t>
  </si>
  <si>
    <t>BUSTOS MARIA LORENA</t>
  </si>
  <si>
    <t>4500137496</t>
  </si>
  <si>
    <t>5000022342</t>
  </si>
  <si>
    <t>4500133190</t>
  </si>
  <si>
    <t>5000022357</t>
  </si>
  <si>
    <t>IGARRETA MAQUINAS S.A.</t>
  </si>
  <si>
    <t>4500136806</t>
  </si>
  <si>
    <t>5000022359</t>
  </si>
  <si>
    <t>4500137315</t>
  </si>
  <si>
    <t>5000022360</t>
  </si>
  <si>
    <t>4500134641</t>
  </si>
  <si>
    <t>5000022365</t>
  </si>
  <si>
    <t>5000022371</t>
  </si>
  <si>
    <t>EMAVE S.A.</t>
  </si>
  <si>
    <t>4500137126</t>
  </si>
  <si>
    <t>5000022398</t>
  </si>
  <si>
    <t>5000022402</t>
  </si>
  <si>
    <t>5000022455</t>
  </si>
  <si>
    <t>5000022460</t>
  </si>
  <si>
    <t>5000022471</t>
  </si>
  <si>
    <t>5000022488</t>
  </si>
  <si>
    <t>4500137745</t>
  </si>
  <si>
    <t>5000022490</t>
  </si>
  <si>
    <t>4500137538</t>
  </si>
  <si>
    <t>5000022562</t>
  </si>
  <si>
    <t>DIRECTV ARGENTINA S.A.</t>
  </si>
  <si>
    <t>4500124865</t>
  </si>
  <si>
    <t>5000022567</t>
  </si>
  <si>
    <t>5000022570</t>
  </si>
  <si>
    <t>5000022571</t>
  </si>
  <si>
    <t>5000022572</t>
  </si>
  <si>
    <t>5000022598</t>
  </si>
  <si>
    <t>SULLAIR ARGENTINA S.A</t>
  </si>
  <si>
    <t>4500137116</t>
  </si>
  <si>
    <t>5000022611</t>
  </si>
  <si>
    <t>5000022612</t>
  </si>
  <si>
    <t>CONFLUENCIA HORMIGON</t>
  </si>
  <si>
    <t>4500122496</t>
  </si>
  <si>
    <t>5000022613</t>
  </si>
  <si>
    <t>4500125631</t>
  </si>
  <si>
    <t>5000022628</t>
  </si>
  <si>
    <t>LA CASA DE FILTRO DE L.VENTURA</t>
  </si>
  <si>
    <t>4500134685</t>
  </si>
  <si>
    <t>5000022660</t>
  </si>
  <si>
    <t>4500115546</t>
  </si>
  <si>
    <t>4500116508</t>
  </si>
  <si>
    <t>4500116810</t>
  </si>
  <si>
    <t>4500126382</t>
  </si>
  <si>
    <t>5000022661</t>
  </si>
  <si>
    <t>5000022668</t>
  </si>
  <si>
    <t>4500136375</t>
  </si>
  <si>
    <t>5000022672</t>
  </si>
  <si>
    <t>MOLINA SOTO MATIAS FABIAN</t>
  </si>
  <si>
    <t>4500137787</t>
  </si>
  <si>
    <t>5000022682</t>
  </si>
  <si>
    <t>ELEVA MUNDO S.R.L.</t>
  </si>
  <si>
    <t>4500135692</t>
  </si>
  <si>
    <t>5000022699</t>
  </si>
  <si>
    <t>5000022700</t>
  </si>
  <si>
    <t>5000022738</t>
  </si>
  <si>
    <t>LABORATORIO TECNOPLUS S. A. S.</t>
  </si>
  <si>
    <t>4500137926</t>
  </si>
  <si>
    <t>5000022739</t>
  </si>
  <si>
    <t>4500137919</t>
  </si>
  <si>
    <t>5000022746</t>
  </si>
  <si>
    <t>4500137933</t>
  </si>
  <si>
    <t>5000022762</t>
  </si>
  <si>
    <t>4500137618</t>
  </si>
  <si>
    <t>5000022766</t>
  </si>
  <si>
    <t>4500137593</t>
  </si>
  <si>
    <t>5000022773</t>
  </si>
  <si>
    <t>5000022775</t>
  </si>
  <si>
    <t>4500137819</t>
  </si>
  <si>
    <t>5000022776</t>
  </si>
  <si>
    <t>4500137960</t>
  </si>
  <si>
    <t>5000022778</t>
  </si>
  <si>
    <t>4500137352</t>
  </si>
  <si>
    <t>5000022782</t>
  </si>
  <si>
    <t>4500137689</t>
  </si>
  <si>
    <t>5000022784</t>
  </si>
  <si>
    <t>TECNICA Y SISTEMAS SRL</t>
  </si>
  <si>
    <t>4500130346</t>
  </si>
  <si>
    <t>5000022788</t>
  </si>
  <si>
    <t>SERVICIOS VIALES DE STA. FE SA</t>
  </si>
  <si>
    <t>4500137017</t>
  </si>
  <si>
    <t>5000022796</t>
  </si>
  <si>
    <t>4500136386</t>
  </si>
  <si>
    <t>5000022807</t>
  </si>
  <si>
    <t>4500137542</t>
  </si>
  <si>
    <t>5000022808</t>
  </si>
  <si>
    <t>5000022823</t>
  </si>
  <si>
    <t>4500138056</t>
  </si>
  <si>
    <t>5000022830</t>
  </si>
  <si>
    <t>5000022840</t>
  </si>
  <si>
    <t>4500133439</t>
  </si>
  <si>
    <t>5000022841</t>
  </si>
  <si>
    <t>4500135346</t>
  </si>
  <si>
    <t>5000022844</t>
  </si>
  <si>
    <t>5000022849</t>
  </si>
  <si>
    <t>4500135935</t>
  </si>
  <si>
    <t>5000022864</t>
  </si>
  <si>
    <t>HR INDUSTRIAL SAS</t>
  </si>
  <si>
    <t>4500127351</t>
  </si>
  <si>
    <t>5000022868</t>
  </si>
  <si>
    <t>4500137535</t>
  </si>
  <si>
    <t>5000022876</t>
  </si>
  <si>
    <t>4500136796</t>
  </si>
  <si>
    <t>5000022916</t>
  </si>
  <si>
    <t>4500137382</t>
  </si>
  <si>
    <t>5000022917</t>
  </si>
  <si>
    <t>4500138138</t>
  </si>
  <si>
    <t>5000022932</t>
  </si>
  <si>
    <t>INTEGRA ECODINAMICA S.A</t>
  </si>
  <si>
    <t>4500130032</t>
  </si>
  <si>
    <t>5000022953</t>
  </si>
  <si>
    <t>5000022958</t>
  </si>
  <si>
    <t>4500137598</t>
  </si>
  <si>
    <t>5000022967</t>
  </si>
  <si>
    <t>4500137623</t>
  </si>
  <si>
    <t>5000022972</t>
  </si>
  <si>
    <t>4500135770</t>
  </si>
  <si>
    <t>5000022979</t>
  </si>
  <si>
    <t>5000022980</t>
  </si>
  <si>
    <t>4500135544</t>
  </si>
  <si>
    <t>5000022992</t>
  </si>
  <si>
    <t>5000023013</t>
  </si>
  <si>
    <t>5000023014</t>
  </si>
  <si>
    <t>5000023016</t>
  </si>
  <si>
    <t>4500138132</t>
  </si>
  <si>
    <t>5000023029</t>
  </si>
  <si>
    <t>4500137151</t>
  </si>
  <si>
    <t>5000023035</t>
  </si>
  <si>
    <t>4500138072</t>
  </si>
  <si>
    <t>5000023037</t>
  </si>
  <si>
    <t>4500138071</t>
  </si>
  <si>
    <t>5000023038</t>
  </si>
  <si>
    <t>5000023039</t>
  </si>
  <si>
    <t>4500138078</t>
  </si>
  <si>
    <t>5000023062</t>
  </si>
  <si>
    <t>4500137651</t>
  </si>
  <si>
    <t>5000023067</t>
  </si>
  <si>
    <t>4500133364</t>
  </si>
  <si>
    <t>5000023068</t>
  </si>
  <si>
    <t>4500133684</t>
  </si>
  <si>
    <t>5000023070</t>
  </si>
  <si>
    <t>5000023071</t>
  </si>
  <si>
    <t>5000023078</t>
  </si>
  <si>
    <t>5000023080</t>
  </si>
  <si>
    <t>4500137586</t>
  </si>
  <si>
    <t>5000023081</t>
  </si>
  <si>
    <t>5000023086</t>
  </si>
  <si>
    <t>WARDES SA ARGENTINA</t>
  </si>
  <si>
    <t>4500137472</t>
  </si>
  <si>
    <t>5000023087</t>
  </si>
  <si>
    <t>FABRICIO MUÑOZ</t>
  </si>
  <si>
    <t>4500120827</t>
  </si>
  <si>
    <t>5000023097</t>
  </si>
  <si>
    <t>4500134761</t>
  </si>
  <si>
    <t>5000023100</t>
  </si>
  <si>
    <t>4500136853</t>
  </si>
  <si>
    <t>5000023103</t>
  </si>
  <si>
    <t>4500137579</t>
  </si>
  <si>
    <t>5000023108</t>
  </si>
  <si>
    <t>4500136289</t>
  </si>
  <si>
    <t>5000023115</t>
  </si>
  <si>
    <t>5000023117</t>
  </si>
  <si>
    <t>5000023143</t>
  </si>
  <si>
    <t>5000023144</t>
  </si>
  <si>
    <t>4500137341</t>
  </si>
  <si>
    <t>5000023145</t>
  </si>
  <si>
    <t>5000023146</t>
  </si>
  <si>
    <t>5000023147</t>
  </si>
  <si>
    <t>5000023153</t>
  </si>
  <si>
    <t>BESTNOR SAS</t>
  </si>
  <si>
    <t>4500136539</t>
  </si>
  <si>
    <t>5000023156</t>
  </si>
  <si>
    <t>4500130562</t>
  </si>
  <si>
    <t>5000023159</t>
  </si>
  <si>
    <t>4500121562</t>
  </si>
  <si>
    <t>5000023165</t>
  </si>
  <si>
    <t>OLIVERA NOELIA ELISABETH</t>
  </si>
  <si>
    <t>4500138252</t>
  </si>
  <si>
    <t>5000023171</t>
  </si>
  <si>
    <t>4500138331</t>
  </si>
  <si>
    <t>5000023185</t>
  </si>
  <si>
    <t>4500138363</t>
  </si>
  <si>
    <t>5000023188</t>
  </si>
  <si>
    <t>4500138221</t>
  </si>
  <si>
    <t>5000023190</t>
  </si>
  <si>
    <t>4500138244</t>
  </si>
  <si>
    <t>5000023220</t>
  </si>
  <si>
    <t>GRUPO AUSTRAL CHUBUT SRL</t>
  </si>
  <si>
    <t>4500137674</t>
  </si>
  <si>
    <t>5000023238</t>
  </si>
  <si>
    <t>ROMAGNOLI SILVANA LORENA</t>
  </si>
  <si>
    <t>4500137763</t>
  </si>
  <si>
    <t>5000023242</t>
  </si>
  <si>
    <t>4500137883</t>
  </si>
  <si>
    <t>5000023252</t>
  </si>
  <si>
    <t>4500134311</t>
  </si>
  <si>
    <t>5000023253</t>
  </si>
  <si>
    <t>4500138196</t>
  </si>
  <si>
    <t>5000023268</t>
  </si>
  <si>
    <t>5000023269</t>
  </si>
  <si>
    <t>5000023270</t>
  </si>
  <si>
    <t>5000023273</t>
  </si>
  <si>
    <t>4500136231</t>
  </si>
  <si>
    <t>5000023275</t>
  </si>
  <si>
    <t>4500135728</t>
  </si>
  <si>
    <t>5000023278</t>
  </si>
  <si>
    <t>4500137299</t>
  </si>
  <si>
    <t>5000023291</t>
  </si>
  <si>
    <t>5000023293</t>
  </si>
  <si>
    <t>5000023294</t>
  </si>
  <si>
    <t>5000023295</t>
  </si>
  <si>
    <t>4500138289</t>
  </si>
  <si>
    <t>5000023304</t>
  </si>
  <si>
    <t>4500138383</t>
  </si>
  <si>
    <t>5000023316</t>
  </si>
  <si>
    <t>4500138384</t>
  </si>
  <si>
    <t>5000023328</t>
  </si>
  <si>
    <t>4500138328</t>
  </si>
  <si>
    <t>5000023329</t>
  </si>
  <si>
    <t>4500138511</t>
  </si>
  <si>
    <t>5000023330</t>
  </si>
  <si>
    <t>Q - SIETE SRL.</t>
  </si>
  <si>
    <t>4500134014</t>
  </si>
  <si>
    <t>5000023347</t>
  </si>
  <si>
    <t>4500138105</t>
  </si>
  <si>
    <t>5000023375</t>
  </si>
  <si>
    <t>4500136684</t>
  </si>
  <si>
    <t>5000023384</t>
  </si>
  <si>
    <t>SORIA NATALIA NAZARENA</t>
  </si>
  <si>
    <t>4500138091</t>
  </si>
  <si>
    <t>5000023387</t>
  </si>
  <si>
    <t>FLORES JUAN MANUEL</t>
  </si>
  <si>
    <t>4500138505</t>
  </si>
  <si>
    <t>5000023388</t>
  </si>
  <si>
    <t>4500138113</t>
  </si>
  <si>
    <t>5000023390</t>
  </si>
  <si>
    <t>4500138164</t>
  </si>
  <si>
    <t>5000023393</t>
  </si>
  <si>
    <t>4500137210</t>
  </si>
  <si>
    <t>5000023400</t>
  </si>
  <si>
    <t>5000023406</t>
  </si>
  <si>
    <t>4500138366</t>
  </si>
  <si>
    <t>5000023407</t>
  </si>
  <si>
    <t>5000023408</t>
  </si>
  <si>
    <t>5000023409</t>
  </si>
  <si>
    <t>4500138025</t>
  </si>
  <si>
    <t>5000023411</t>
  </si>
  <si>
    <t>4500137728</t>
  </si>
  <si>
    <t>5000023413</t>
  </si>
  <si>
    <t>4500138077</t>
  </si>
  <si>
    <t>5000023416</t>
  </si>
  <si>
    <t>PELIQUIN S.R.L.</t>
  </si>
  <si>
    <t>4500138433</t>
  </si>
  <si>
    <t>5000023428</t>
  </si>
  <si>
    <t>SEBRE SRL TRANSPORTE</t>
  </si>
  <si>
    <t>4500135923</t>
  </si>
  <si>
    <t>5000023438</t>
  </si>
  <si>
    <t>4500137503</t>
  </si>
  <si>
    <t>5000023445</t>
  </si>
  <si>
    <t>4500137837</t>
  </si>
  <si>
    <t>5000023451</t>
  </si>
  <si>
    <t>DAFER INDUSTRIAL S.R.L.</t>
  </si>
  <si>
    <t>4500132140</t>
  </si>
  <si>
    <t>5000023452</t>
  </si>
  <si>
    <t>4500137261</t>
  </si>
  <si>
    <t>5000023454</t>
  </si>
  <si>
    <t>4500137190</t>
  </si>
  <si>
    <t>5000023457</t>
  </si>
  <si>
    <t>4500138592</t>
  </si>
  <si>
    <t>5000023471</t>
  </si>
  <si>
    <t>4500137956</t>
  </si>
  <si>
    <t>5000023473</t>
  </si>
  <si>
    <t>4500138179</t>
  </si>
  <si>
    <t>5000023480</t>
  </si>
  <si>
    <t>5000023497</t>
  </si>
  <si>
    <t>ALL DRILL S.A.</t>
  </si>
  <si>
    <t>4500134775</t>
  </si>
  <si>
    <t>5000023519</t>
  </si>
  <si>
    <t>5000023532</t>
  </si>
  <si>
    <t>5000023534</t>
  </si>
  <si>
    <t>4500132131</t>
  </si>
  <si>
    <t>5000023544</t>
  </si>
  <si>
    <t>4500132215</t>
  </si>
  <si>
    <t>5000023568</t>
  </si>
  <si>
    <t>5000023569</t>
  </si>
  <si>
    <t>4500138515</t>
  </si>
  <si>
    <t>5000023571</t>
  </si>
  <si>
    <t>EPIROC ARGENTINA S.A.</t>
  </si>
  <si>
    <t>4500135407</t>
  </si>
  <si>
    <t>5000023581</t>
  </si>
  <si>
    <t>4500138541</t>
  </si>
  <si>
    <t>5000023582</t>
  </si>
  <si>
    <t>4500138562</t>
  </si>
  <si>
    <t>5000023583</t>
  </si>
  <si>
    <t>4500138561</t>
  </si>
  <si>
    <t>5000023584</t>
  </si>
  <si>
    <t>4500138580</t>
  </si>
  <si>
    <t>5000023588</t>
  </si>
  <si>
    <t>DICO ACEROS SRL</t>
  </si>
  <si>
    <t>4500138371</t>
  </si>
  <si>
    <t>5000023590</t>
  </si>
  <si>
    <t>4500137826</t>
  </si>
  <si>
    <t>5000023592</t>
  </si>
  <si>
    <t>5000023594</t>
  </si>
  <si>
    <t>4500135896</t>
  </si>
  <si>
    <t>5000023595</t>
  </si>
  <si>
    <t>4500138011</t>
  </si>
  <si>
    <t>5000023598</t>
  </si>
  <si>
    <t>4500138734</t>
  </si>
  <si>
    <t>5000023602</t>
  </si>
  <si>
    <t>CARLOS ANDRETICH S.A</t>
  </si>
  <si>
    <t>4500138376</t>
  </si>
  <si>
    <t>5000023603</t>
  </si>
  <si>
    <t>5000023609</t>
  </si>
  <si>
    <t>4500138590</t>
  </si>
  <si>
    <t>5000023610</t>
  </si>
  <si>
    <t>5000023616</t>
  </si>
  <si>
    <t>5000023629</t>
  </si>
  <si>
    <t>4500137950</t>
  </si>
  <si>
    <t>5000023647</t>
  </si>
  <si>
    <t>4500138426</t>
  </si>
  <si>
    <t>5000023650</t>
  </si>
  <si>
    <t>4500130836</t>
  </si>
  <si>
    <t>5000023653</t>
  </si>
  <si>
    <t>B&amp;N Soluciones SPA</t>
  </si>
  <si>
    <t>4500134267</t>
  </si>
  <si>
    <t>5000023654</t>
  </si>
  <si>
    <t>5000023656</t>
  </si>
  <si>
    <t>MEDINA MIGUEL ANGEL</t>
  </si>
  <si>
    <t>4500137732</t>
  </si>
  <si>
    <t>5000023665</t>
  </si>
  <si>
    <t>5000023671</t>
  </si>
  <si>
    <t>4500138618</t>
  </si>
  <si>
    <t>5000023672</t>
  </si>
  <si>
    <t>4500138835</t>
  </si>
  <si>
    <t>5000023684</t>
  </si>
  <si>
    <t>5000023698</t>
  </si>
  <si>
    <t>4500137478</t>
  </si>
  <si>
    <t>5000023708</t>
  </si>
  <si>
    <t>IMPERIAL MOTOR S.A.</t>
  </si>
  <si>
    <t>4500138513</t>
  </si>
  <si>
    <t>5000023709</t>
  </si>
  <si>
    <t>5000023718</t>
  </si>
  <si>
    <t>5000023720</t>
  </si>
  <si>
    <t>4500138075</t>
  </si>
  <si>
    <t>5000023724</t>
  </si>
  <si>
    <t>5000023726</t>
  </si>
  <si>
    <t>5000023730</t>
  </si>
  <si>
    <t>5000023731</t>
  </si>
  <si>
    <t>4500138126</t>
  </si>
  <si>
    <t>5000023732</t>
  </si>
  <si>
    <t>4500138236</t>
  </si>
  <si>
    <t>5000023733</t>
  </si>
  <si>
    <t>4500137738</t>
  </si>
  <si>
    <t>5000023734</t>
  </si>
  <si>
    <t>4500138626</t>
  </si>
  <si>
    <t>5000023735</t>
  </si>
  <si>
    <t>4500137857</t>
  </si>
  <si>
    <t>5000023749</t>
  </si>
  <si>
    <t>ARAMBERRI LUIS ALFREDO</t>
  </si>
  <si>
    <t>4500136698</t>
  </si>
  <si>
    <t>5000023758</t>
  </si>
  <si>
    <t>5000023762</t>
  </si>
  <si>
    <t>FRENOS Y EMBRAGUES LITORAL SRL</t>
  </si>
  <si>
    <t>4500138887</t>
  </si>
  <si>
    <t>5000023763</t>
  </si>
  <si>
    <t>5000023764</t>
  </si>
  <si>
    <t>5000023768</t>
  </si>
  <si>
    <t>4500136160</t>
  </si>
  <si>
    <t>5000023778</t>
  </si>
  <si>
    <t>4500138852</t>
  </si>
  <si>
    <t>5000023782</t>
  </si>
  <si>
    <t>4500138123</t>
  </si>
  <si>
    <t>5000023785</t>
  </si>
  <si>
    <t>5000023786</t>
  </si>
  <si>
    <t>5000023787</t>
  </si>
  <si>
    <t>5000023801</t>
  </si>
  <si>
    <t>4500135951</t>
  </si>
  <si>
    <t>5000023813</t>
  </si>
  <si>
    <t>4500136984</t>
  </si>
  <si>
    <t>800</t>
  </si>
  <si>
    <t>850</t>
  </si>
  <si>
    <t>860</t>
  </si>
  <si>
    <t>890</t>
  </si>
  <si>
    <t>750</t>
  </si>
  <si>
    <t>740</t>
  </si>
  <si>
    <t>760</t>
  </si>
  <si>
    <t>770</t>
  </si>
  <si>
    <t>680</t>
  </si>
  <si>
    <t>710</t>
  </si>
  <si>
    <t>720</t>
  </si>
  <si>
    <t>730</t>
  </si>
  <si>
    <t>810</t>
  </si>
  <si>
    <t>820</t>
  </si>
  <si>
    <t>840</t>
  </si>
  <si>
    <t>870</t>
  </si>
  <si>
    <t>880</t>
  </si>
  <si>
    <t>900</t>
  </si>
  <si>
    <t>5000023815</t>
  </si>
  <si>
    <t>5000023818</t>
  </si>
  <si>
    <t>5000023829</t>
  </si>
  <si>
    <t>5000023839</t>
  </si>
  <si>
    <t>4500137149</t>
  </si>
  <si>
    <t>5000023848</t>
  </si>
  <si>
    <t>4500138993</t>
  </si>
  <si>
    <t>5000023849</t>
  </si>
  <si>
    <t>5000023870</t>
  </si>
  <si>
    <t>4500138995</t>
  </si>
  <si>
    <t>5000023871</t>
  </si>
  <si>
    <t>4500138908</t>
  </si>
  <si>
    <t>5000023873</t>
  </si>
  <si>
    <t>5000023876</t>
  </si>
  <si>
    <t>5000023883</t>
  </si>
  <si>
    <t>5000023893</t>
  </si>
  <si>
    <t>4500138620</t>
  </si>
  <si>
    <t>5000023894</t>
  </si>
  <si>
    <t>4500138365</t>
  </si>
  <si>
    <t>5000023895</t>
  </si>
  <si>
    <t>4500134504</t>
  </si>
  <si>
    <t>5000023912</t>
  </si>
  <si>
    <t>5000023917</t>
  </si>
  <si>
    <t>5000023920</t>
  </si>
  <si>
    <t>5000023924</t>
  </si>
  <si>
    <t>5000023930</t>
  </si>
  <si>
    <t>4500136770</t>
  </si>
  <si>
    <t>5000023933</t>
  </si>
  <si>
    <t>4500136906</t>
  </si>
  <si>
    <t>5000023938</t>
  </si>
  <si>
    <t>4500138644</t>
  </si>
  <si>
    <t>5000023939</t>
  </si>
  <si>
    <t>4500139010</t>
  </si>
  <si>
    <t>5000023942</t>
  </si>
  <si>
    <t>5000023948</t>
  </si>
  <si>
    <t>PATAGONIA MAXIM SAS</t>
  </si>
  <si>
    <t>4500136747</t>
  </si>
  <si>
    <t>5000023963</t>
  </si>
  <si>
    <t>5000023968</t>
  </si>
  <si>
    <t>TINTA NEGRA S. A. S.</t>
  </si>
  <si>
    <t>4500138563</t>
  </si>
  <si>
    <t>5000023973</t>
  </si>
  <si>
    <t>BLAS MARTINUCCI E HIJOS S.A.</t>
  </si>
  <si>
    <t>4500139012</t>
  </si>
  <si>
    <t>5000023976</t>
  </si>
  <si>
    <t>4500138949</t>
  </si>
  <si>
    <t>5000023977</t>
  </si>
  <si>
    <t>IRT- MEDICINA P/EMPRESAS S.A.</t>
  </si>
  <si>
    <t>4500121411</t>
  </si>
  <si>
    <t>5000023994</t>
  </si>
  <si>
    <t>GRUPO AUTOPARTISTA S.A.</t>
  </si>
  <si>
    <t>4500139187</t>
  </si>
  <si>
    <t>5000024000</t>
  </si>
  <si>
    <t>4500138507</t>
  </si>
  <si>
    <t>5000024003</t>
  </si>
  <si>
    <t>FICAMEN SA</t>
  </si>
  <si>
    <t>4500138857</t>
  </si>
  <si>
    <t>5000024011</t>
  </si>
  <si>
    <t>NUEVO SUR S.A</t>
  </si>
  <si>
    <t>4500138582</t>
  </si>
  <si>
    <t>5000024017</t>
  </si>
  <si>
    <t>5000024033</t>
  </si>
  <si>
    <t>MORALES MIGUEL ALBERTO</t>
  </si>
  <si>
    <t>4500138634</t>
  </si>
  <si>
    <t>5000024037</t>
  </si>
  <si>
    <t>5000024038</t>
  </si>
  <si>
    <t>5000024049</t>
  </si>
  <si>
    <t>4500139248</t>
  </si>
  <si>
    <t>5000024060</t>
  </si>
  <si>
    <t>4500137807</t>
  </si>
  <si>
    <t>5000024070</t>
  </si>
  <si>
    <t>VARELA GERARDO DANIEL</t>
  </si>
  <si>
    <t>4500138855</t>
  </si>
  <si>
    <t>5000024074</t>
  </si>
  <si>
    <t>4500138718</t>
  </si>
  <si>
    <t>5000024077</t>
  </si>
  <si>
    <t>4500138485</t>
  </si>
  <si>
    <t>5000024078</t>
  </si>
  <si>
    <t>4500138958</t>
  </si>
  <si>
    <t>5000024087</t>
  </si>
  <si>
    <t>5000024096</t>
  </si>
  <si>
    <t>5000024103</t>
  </si>
  <si>
    <t>BRENT ENERGIA Y SERVICIOS S.A</t>
  </si>
  <si>
    <t>4500139108</t>
  </si>
  <si>
    <t>5000024106</t>
  </si>
  <si>
    <t>SYLWAN S.A. BOMBAS</t>
  </si>
  <si>
    <t>4500137510</t>
  </si>
  <si>
    <t>5000024108</t>
  </si>
  <si>
    <t>4500138327</t>
  </si>
  <si>
    <t>5000024109</t>
  </si>
  <si>
    <t>4500136658</t>
  </si>
  <si>
    <t>5000024114</t>
  </si>
  <si>
    <t>FIDEICOMISO MUJERES ARGENTINAS</t>
  </si>
  <si>
    <t>4500136979</t>
  </si>
  <si>
    <t>5000024115</t>
  </si>
  <si>
    <t>5000024119</t>
  </si>
  <si>
    <t>4500137405</t>
  </si>
  <si>
    <t>5000024121</t>
  </si>
  <si>
    <t>4500137118</t>
  </si>
  <si>
    <t>5000024122</t>
  </si>
  <si>
    <t>5000024123</t>
  </si>
  <si>
    <t>5000024124</t>
  </si>
  <si>
    <t>4500135226</t>
  </si>
  <si>
    <t>5000024128</t>
  </si>
  <si>
    <t>4500139045</t>
  </si>
  <si>
    <t>5000024130</t>
  </si>
  <si>
    <t>COMERCIAL ARGENTINA SRL</t>
  </si>
  <si>
    <t>4500139217</t>
  </si>
  <si>
    <t>5000024135</t>
  </si>
  <si>
    <t>4500135983</t>
  </si>
  <si>
    <t>5000024137</t>
  </si>
  <si>
    <t>5000024144</t>
  </si>
  <si>
    <t>5000024153</t>
  </si>
  <si>
    <t>4500139092</t>
  </si>
  <si>
    <t>5000024156</t>
  </si>
  <si>
    <t>4500135414</t>
  </si>
  <si>
    <t>5000024159</t>
  </si>
  <si>
    <t>4500137487</t>
  </si>
  <si>
    <t>5000024160</t>
  </si>
  <si>
    <t>AMERICAN HEAVY PARTS S.R.L.</t>
  </si>
  <si>
    <t>4500139020</t>
  </si>
  <si>
    <t>5000024165</t>
  </si>
  <si>
    <t>5000024166</t>
  </si>
  <si>
    <t>4500139191</t>
  </si>
  <si>
    <t>5000024168</t>
  </si>
  <si>
    <t>4500137758</t>
  </si>
  <si>
    <t>5000024170</t>
  </si>
  <si>
    <t>4500138670</t>
  </si>
  <si>
    <t>5000024173</t>
  </si>
  <si>
    <t>4500138559</t>
  </si>
  <si>
    <t>5000024185</t>
  </si>
  <si>
    <t>4500138643</t>
  </si>
  <si>
    <t>5000024186</t>
  </si>
  <si>
    <t>4500139253</t>
  </si>
  <si>
    <t>5000024191</t>
  </si>
  <si>
    <t>4500137167</t>
  </si>
  <si>
    <t>5000024197</t>
  </si>
  <si>
    <t>5000024199</t>
  </si>
  <si>
    <t>4500138962</t>
  </si>
  <si>
    <t>5000024201</t>
  </si>
  <si>
    <t>RODAMAR SRL</t>
  </si>
  <si>
    <t>4500138824</t>
  </si>
  <si>
    <t>5000024202</t>
  </si>
  <si>
    <t>VAHUME S.A.</t>
  </si>
  <si>
    <t>4500134130</t>
  </si>
  <si>
    <t>5000024205</t>
  </si>
  <si>
    <t>5000024229</t>
  </si>
  <si>
    <t>5000024237</t>
  </si>
  <si>
    <t>MELQUI PABLO</t>
  </si>
  <si>
    <t>4500138552</t>
  </si>
  <si>
    <t>5000024243</t>
  </si>
  <si>
    <t>BORSELLINO IMPRESOS SRL</t>
  </si>
  <si>
    <t>4500138093</t>
  </si>
  <si>
    <t>5000024249</t>
  </si>
  <si>
    <t>4500135711</t>
  </si>
  <si>
    <t>5000024258</t>
  </si>
  <si>
    <t>4500138572</t>
  </si>
  <si>
    <t>5000024260</t>
  </si>
  <si>
    <t>5000024261</t>
  </si>
  <si>
    <t>5000024263</t>
  </si>
  <si>
    <t>4500138818</t>
  </si>
  <si>
    <t>5000024265</t>
  </si>
  <si>
    <t>PRODUCTORES DE ACERO PROAR SRL</t>
  </si>
  <si>
    <t>4500138845</t>
  </si>
  <si>
    <t>5000024266</t>
  </si>
  <si>
    <t>S&amp;B SERVICIOS S. R. L.</t>
  </si>
  <si>
    <t>4500138234</t>
  </si>
  <si>
    <t>5000024269</t>
  </si>
  <si>
    <t>GRUPO V SRL</t>
  </si>
  <si>
    <t>4500138883</t>
  </si>
  <si>
    <t>5000024272</t>
  </si>
  <si>
    <t>4500139055</t>
  </si>
  <si>
    <t>5000024274</t>
  </si>
  <si>
    <t>5000024275</t>
  </si>
  <si>
    <t>4500139368</t>
  </si>
  <si>
    <t>5000024276</t>
  </si>
  <si>
    <t>4500139446</t>
  </si>
  <si>
    <t>5000024280</t>
  </si>
  <si>
    <t>4500139344</t>
  </si>
  <si>
    <t>5000024281</t>
  </si>
  <si>
    <t>5000024288</t>
  </si>
  <si>
    <t>4500135136</t>
  </si>
  <si>
    <t>5000024296</t>
  </si>
  <si>
    <t>4500139544</t>
  </si>
  <si>
    <t>5000024298</t>
  </si>
  <si>
    <t>4500138859</t>
  </si>
  <si>
    <t>5000024299</t>
  </si>
  <si>
    <t>4500138624</t>
  </si>
  <si>
    <t>5000024303</t>
  </si>
  <si>
    <t>5000024304</t>
  </si>
  <si>
    <t>4500136389</t>
  </si>
  <si>
    <t>5000024307</t>
  </si>
  <si>
    <t>GUGLIELMETTI AMERICO ANTONIO Y GUGL</t>
  </si>
  <si>
    <t>4500139449</t>
  </si>
  <si>
    <t>5000024310</t>
  </si>
  <si>
    <t>SOSA JOSE JAVIER</t>
  </si>
  <si>
    <t>4500136250</t>
  </si>
  <si>
    <t>5000024314</t>
  </si>
  <si>
    <t>4500138584</t>
  </si>
  <si>
    <t>5000024316</t>
  </si>
  <si>
    <t>5000024317</t>
  </si>
  <si>
    <t>5000024320</t>
  </si>
  <si>
    <t>5000024326</t>
  </si>
  <si>
    <t>4500139508</t>
  </si>
  <si>
    <t>5000024330</t>
  </si>
  <si>
    <t>DUCA SEBASTIAN ENRIQUE</t>
  </si>
  <si>
    <t>4500138851</t>
  </si>
  <si>
    <t>5000024332</t>
  </si>
  <si>
    <t>4500138856</t>
  </si>
  <si>
    <t>5000024336</t>
  </si>
  <si>
    <t>BLANCO GRUP SA</t>
  </si>
  <si>
    <t>4500139442</t>
  </si>
  <si>
    <t>5000024337</t>
  </si>
  <si>
    <t>4500139477</t>
  </si>
  <si>
    <t>5000024339</t>
  </si>
  <si>
    <t>4500128894</t>
  </si>
  <si>
    <t>5000024344</t>
  </si>
  <si>
    <t>5000024345</t>
  </si>
  <si>
    <t>4500139565</t>
  </si>
  <si>
    <t>5000024347</t>
  </si>
  <si>
    <t>4500138577</t>
  </si>
  <si>
    <t>5000024357</t>
  </si>
  <si>
    <t>4500139259</t>
  </si>
  <si>
    <t>5000024358</t>
  </si>
  <si>
    <t>LA CASA DE LAS HERRAMIENTAS SA</t>
  </si>
  <si>
    <t>4500139564</t>
  </si>
  <si>
    <t>5000024360</t>
  </si>
  <si>
    <t>4500138984</t>
  </si>
  <si>
    <t>5000024363</t>
  </si>
  <si>
    <t>5000024364</t>
  </si>
  <si>
    <t>4500137050</t>
  </si>
  <si>
    <t>5000024366</t>
  </si>
  <si>
    <t>4500139065</t>
  </si>
  <si>
    <t>5000024376</t>
  </si>
  <si>
    <t>4500139483</t>
  </si>
  <si>
    <t>5000024378</t>
  </si>
  <si>
    <t>5000024380</t>
  </si>
  <si>
    <t>4500139485</t>
  </si>
  <si>
    <t>5000024386</t>
  </si>
  <si>
    <t>4500139014</t>
  </si>
  <si>
    <t>5000024389</t>
  </si>
  <si>
    <t>4500139431</t>
  </si>
  <si>
    <t>5000024402</t>
  </si>
  <si>
    <t>4500139595</t>
  </si>
  <si>
    <t>5000024406</t>
  </si>
  <si>
    <t>DUBRAWSKI MAURICIO DARIO</t>
  </si>
  <si>
    <t>4500139551</t>
  </si>
  <si>
    <t>5000024410</t>
  </si>
  <si>
    <t>5000024411</t>
  </si>
  <si>
    <t>4500138052</t>
  </si>
  <si>
    <t>5000024412</t>
  </si>
  <si>
    <t>4500139319</t>
  </si>
  <si>
    <t>5000024418</t>
  </si>
  <si>
    <t>GRUPO AIVIL SRL</t>
  </si>
  <si>
    <t>4500138864</t>
  </si>
  <si>
    <t>5000024420</t>
  </si>
  <si>
    <t>5000024423</t>
  </si>
  <si>
    <t>4500139523</t>
  </si>
  <si>
    <t>5000024424</t>
  </si>
  <si>
    <t>ARCE JAIME WALTER</t>
  </si>
  <si>
    <t>4500118284</t>
  </si>
  <si>
    <t>5000024431</t>
  </si>
  <si>
    <t>4500139480</t>
  </si>
  <si>
    <t>5000024433</t>
  </si>
  <si>
    <t>4500135796</t>
  </si>
  <si>
    <t>5000024435</t>
  </si>
  <si>
    <t>4500132243</t>
  </si>
  <si>
    <t>5000024439</t>
  </si>
  <si>
    <t>4500138815</t>
  </si>
  <si>
    <t>5000024441</t>
  </si>
  <si>
    <t>4500138946</t>
  </si>
  <si>
    <t>5000024443</t>
  </si>
  <si>
    <t>NATALIO AUTOMOTORES S.A.</t>
  </si>
  <si>
    <t>4500135880</t>
  </si>
  <si>
    <t>5000024446</t>
  </si>
  <si>
    <t>4500138163</t>
  </si>
  <si>
    <t>5000024447</t>
  </si>
  <si>
    <t>4500139043</t>
  </si>
  <si>
    <t>5000024448</t>
  </si>
  <si>
    <t>5000024449</t>
  </si>
  <si>
    <t>5000024450</t>
  </si>
  <si>
    <t>4500139432</t>
  </si>
  <si>
    <t>5000024451</t>
  </si>
  <si>
    <t>5000024453</t>
  </si>
  <si>
    <t>4500138831</t>
  </si>
  <si>
    <t>5000024455</t>
  </si>
  <si>
    <t>4500139535</t>
  </si>
  <si>
    <t>5000024456</t>
  </si>
  <si>
    <t>4500139529</t>
  </si>
  <si>
    <t>MARILLAN HECTOR GERVASIO</t>
  </si>
  <si>
    <t>5000024464</t>
  </si>
  <si>
    <t>4500139381</t>
  </si>
  <si>
    <t>5000024471</t>
  </si>
  <si>
    <t>4500138006</t>
  </si>
  <si>
    <t>5000024472</t>
  </si>
  <si>
    <t>5000024473</t>
  </si>
  <si>
    <t>MGF FIJACIONES SA</t>
  </si>
  <si>
    <t>4500138632</t>
  </si>
  <si>
    <t>5000024474</t>
  </si>
  <si>
    <t>4500138274</t>
  </si>
  <si>
    <t>5000024475</t>
  </si>
  <si>
    <t>4500138905</t>
  </si>
  <si>
    <t>5000024476</t>
  </si>
  <si>
    <t>5000024477</t>
  </si>
  <si>
    <t>5000024478</t>
  </si>
  <si>
    <t>5000024479</t>
  </si>
  <si>
    <t>5000024480</t>
  </si>
  <si>
    <t>5000024481</t>
  </si>
  <si>
    <t>5000024486</t>
  </si>
  <si>
    <t>CASA PATRICELLI SOC. LEY 19550 CAP.</t>
  </si>
  <si>
    <t>4500139687</t>
  </si>
  <si>
    <t>5000024493</t>
  </si>
  <si>
    <t>5000024497</t>
  </si>
  <si>
    <t>5000024500</t>
  </si>
  <si>
    <t>4500132087</t>
  </si>
  <si>
    <t>5000024501</t>
  </si>
  <si>
    <t>5000024502</t>
  </si>
  <si>
    <t>5000024505</t>
  </si>
  <si>
    <t>5000024508</t>
  </si>
  <si>
    <t>5000024511</t>
  </si>
  <si>
    <t>4500139288</t>
  </si>
  <si>
    <t>5000024517</t>
  </si>
  <si>
    <t>4500139061</t>
  </si>
  <si>
    <t>5000024518</t>
  </si>
  <si>
    <t>4500139152</t>
  </si>
  <si>
    <t>5000024519</t>
  </si>
  <si>
    <t>4500138850</t>
  </si>
  <si>
    <t>5000024520</t>
  </si>
  <si>
    <t>5000024525</t>
  </si>
  <si>
    <t>4500139744</t>
  </si>
  <si>
    <t>5000024527</t>
  </si>
  <si>
    <t>4500136964</t>
  </si>
  <si>
    <t>5000024529</t>
  </si>
  <si>
    <t>4500139426</t>
  </si>
  <si>
    <t>5000024531</t>
  </si>
  <si>
    <t>5000024534</t>
  </si>
  <si>
    <t>NICOSIA ORLANDO</t>
  </si>
  <si>
    <t>4500139740</t>
  </si>
  <si>
    <t>5000024535</t>
  </si>
  <si>
    <t>4500139464</t>
  </si>
  <si>
    <t>5000024537</t>
  </si>
  <si>
    <t>4500138402</t>
  </si>
  <si>
    <t>5000024539</t>
  </si>
  <si>
    <t>HORCADA MARCELO,GUSTAVO Y FERN</t>
  </si>
  <si>
    <t>4500136300</t>
  </si>
  <si>
    <t>5000024542</t>
  </si>
  <si>
    <t>4500136576</t>
  </si>
  <si>
    <t>5000024544</t>
  </si>
  <si>
    <t>4500138688</t>
  </si>
  <si>
    <t>5000024546</t>
  </si>
  <si>
    <t>4500138526</t>
  </si>
  <si>
    <t>5000024547</t>
  </si>
  <si>
    <t>4500137242</t>
  </si>
  <si>
    <t>5000024548</t>
  </si>
  <si>
    <t>4500139390</t>
  </si>
  <si>
    <t>5000024550</t>
  </si>
  <si>
    <t>5000024554</t>
  </si>
  <si>
    <t>4500138782</t>
  </si>
  <si>
    <t>5000024555</t>
  </si>
  <si>
    <t>4500139080</t>
  </si>
  <si>
    <t>5000024558</t>
  </si>
  <si>
    <t>FARCA SRL</t>
  </si>
  <si>
    <t>4500138040</t>
  </si>
  <si>
    <t>5000024561</t>
  </si>
  <si>
    <t>4500139497</t>
  </si>
  <si>
    <t>5000024573</t>
  </si>
  <si>
    <t>5000024575</t>
  </si>
  <si>
    <t>5000024576</t>
  </si>
  <si>
    <t>D'AGOSTINO LUCIANO MATIAS</t>
  </si>
  <si>
    <t>4500138518</t>
  </si>
  <si>
    <t>5000024581</t>
  </si>
  <si>
    <t>5000024584</t>
  </si>
  <si>
    <t>4500138970</t>
  </si>
  <si>
    <t>5000024585</t>
  </si>
  <si>
    <t>4500138921</t>
  </si>
  <si>
    <t>5000024586</t>
  </si>
  <si>
    <t>4500139705</t>
  </si>
  <si>
    <t>5000024587</t>
  </si>
  <si>
    <t>4500137385</t>
  </si>
  <si>
    <t>5000024588</t>
  </si>
  <si>
    <t>4500139466</t>
  </si>
  <si>
    <t>5000024589</t>
  </si>
  <si>
    <t>SIDERCAM S.A.</t>
  </si>
  <si>
    <t>4500139612</t>
  </si>
  <si>
    <t>5000024590</t>
  </si>
  <si>
    <t>4500139370</t>
  </si>
  <si>
    <t>5000024591</t>
  </si>
  <si>
    <t>4500137507</t>
  </si>
  <si>
    <t>5000024593</t>
  </si>
  <si>
    <t>5000024594</t>
  </si>
  <si>
    <t>4500139631</t>
  </si>
  <si>
    <t>5000024599</t>
  </si>
  <si>
    <t>4500138716</t>
  </si>
  <si>
    <t>5000024603</t>
  </si>
  <si>
    <t>GEVA SRL</t>
  </si>
  <si>
    <t>4500139690</t>
  </si>
  <si>
    <t>5000024604</t>
  </si>
  <si>
    <t>4500136263</t>
  </si>
  <si>
    <t>5000024605</t>
  </si>
  <si>
    <t>TECNOBAHIA S.A.</t>
  </si>
  <si>
    <t>4500139721</t>
  </si>
  <si>
    <t>5000024606</t>
  </si>
  <si>
    <t>5000024607</t>
  </si>
  <si>
    <t>4500139190</t>
  </si>
  <si>
    <t>5000024609</t>
  </si>
  <si>
    <t>5000024611</t>
  </si>
  <si>
    <t>5000024612</t>
  </si>
  <si>
    <t>4500139132</t>
  </si>
  <si>
    <t>5000024613</t>
  </si>
  <si>
    <t>4500139704</t>
  </si>
  <si>
    <t>5000024614</t>
  </si>
  <si>
    <t>4500138640</t>
  </si>
  <si>
    <t>5000024615</t>
  </si>
  <si>
    <t>NALDO LOMBARDI SA</t>
  </si>
  <si>
    <t>4500139750</t>
  </si>
  <si>
    <t>5000024618</t>
  </si>
  <si>
    <t>CENTRO BULONERO TRES ARROYOS SRL</t>
  </si>
  <si>
    <t>4500139796</t>
  </si>
  <si>
    <t>5000024619</t>
  </si>
  <si>
    <t>WARATHABS S.A.</t>
  </si>
  <si>
    <t>4500139761</t>
  </si>
  <si>
    <t>5000024626</t>
  </si>
  <si>
    <t>4500138312</t>
  </si>
  <si>
    <t>5000024627</t>
  </si>
  <si>
    <t>4500139097</t>
  </si>
  <si>
    <t>5000024629</t>
  </si>
  <si>
    <t>PSB SERVICIOS INDUSTRIALES S.R.L.</t>
  </si>
  <si>
    <t>4500139849</t>
  </si>
  <si>
    <t>5000024632</t>
  </si>
  <si>
    <t>5000024633</t>
  </si>
  <si>
    <t>5000024634</t>
  </si>
  <si>
    <t>4500139561</t>
  </si>
  <si>
    <t>5000024636</t>
  </si>
  <si>
    <t>4500138639</t>
  </si>
  <si>
    <t>5000024638</t>
  </si>
  <si>
    <t>4500139433</t>
  </si>
  <si>
    <t>5000024639</t>
  </si>
  <si>
    <t>4500139465</t>
  </si>
  <si>
    <t>5000024645</t>
  </si>
  <si>
    <t>4500138150</t>
  </si>
  <si>
    <t>5000024651</t>
  </si>
  <si>
    <t>4500137417</t>
  </si>
  <si>
    <t>5000024652</t>
  </si>
  <si>
    <t>4500139327</t>
  </si>
  <si>
    <t>5000024653</t>
  </si>
  <si>
    <t>4500137295</t>
  </si>
  <si>
    <t>5000024654</t>
  </si>
  <si>
    <t>4500138765</t>
  </si>
  <si>
    <t>5000024660</t>
  </si>
  <si>
    <t>INGEAP S.A.S.</t>
  </si>
  <si>
    <t>4500132114</t>
  </si>
  <si>
    <t>5000024661</t>
  </si>
  <si>
    <t>4500134858</t>
  </si>
  <si>
    <t>5000024662</t>
  </si>
  <si>
    <t>CAEFE S.A.</t>
  </si>
  <si>
    <t>4500118334</t>
  </si>
  <si>
    <t>5000024664</t>
  </si>
  <si>
    <t>4500136073</t>
  </si>
  <si>
    <t>5000024665</t>
  </si>
  <si>
    <t>HILTI ARGENTINA SRL</t>
  </si>
  <si>
    <t>4500139699</t>
  </si>
  <si>
    <t>5000024666</t>
  </si>
  <si>
    <t>4500139617</t>
  </si>
  <si>
    <t>5000024668</t>
  </si>
  <si>
    <t>4500139725</t>
  </si>
  <si>
    <t>5000024669</t>
  </si>
  <si>
    <t>4500139752</t>
  </si>
  <si>
    <t>5000024671</t>
  </si>
  <si>
    <t>4500130425</t>
  </si>
  <si>
    <t>5000024672</t>
  </si>
  <si>
    <t>5000024673</t>
  </si>
  <si>
    <t>TERAR S.A.</t>
  </si>
  <si>
    <t>4500139609</t>
  </si>
  <si>
    <t>5000024674</t>
  </si>
  <si>
    <t>5000024675</t>
  </si>
  <si>
    <t>MCF BRACHETTA S.A.S.</t>
  </si>
  <si>
    <t>4500139532</t>
  </si>
  <si>
    <t>5000024677</t>
  </si>
  <si>
    <t>FORESTAL PICO S.A.</t>
  </si>
  <si>
    <t>4500139760</t>
  </si>
  <si>
    <t>5000024678</t>
  </si>
  <si>
    <t>PAIRON SA</t>
  </si>
  <si>
    <t>4500139891</t>
  </si>
  <si>
    <t>5000024682</t>
  </si>
  <si>
    <t>LIMPITO SRL</t>
  </si>
  <si>
    <t>4500139741</t>
  </si>
  <si>
    <t>5000024684</t>
  </si>
  <si>
    <t>4500138918</t>
  </si>
  <si>
    <t>5000024685</t>
  </si>
  <si>
    <t>TECNOSTORE S. A.</t>
  </si>
  <si>
    <t>4500137314</t>
  </si>
  <si>
    <t>5000024686</t>
  </si>
  <si>
    <t>4500139844</t>
  </si>
  <si>
    <t>5000024687</t>
  </si>
  <si>
    <t>SALVADOR Y BARBIERI S.R.L.</t>
  </si>
  <si>
    <t>4500138653</t>
  </si>
  <si>
    <t>4500139172</t>
  </si>
  <si>
    <t>5000024688</t>
  </si>
  <si>
    <t>INDUSTRIAS SAVINI S. R. L.</t>
  </si>
  <si>
    <t>4500138910</t>
  </si>
  <si>
    <t>5000024692</t>
  </si>
  <si>
    <t>4500139715</t>
  </si>
  <si>
    <t>5000024693</t>
  </si>
  <si>
    <t>5000024694</t>
  </si>
  <si>
    <t>4500139717</t>
  </si>
  <si>
    <t>5000024695</t>
  </si>
  <si>
    <t>COLQUE ELISA</t>
  </si>
  <si>
    <t>4500139915</t>
  </si>
  <si>
    <t>5000024696</t>
  </si>
  <si>
    <t>4500139669</t>
  </si>
  <si>
    <t>5000024697</t>
  </si>
  <si>
    <t>4500139767</t>
  </si>
  <si>
    <t>5000024698</t>
  </si>
  <si>
    <t>4500137836</t>
  </si>
  <si>
    <t>5000024700</t>
  </si>
  <si>
    <t>CLEAN PEL SRL</t>
  </si>
  <si>
    <t>4500139247</t>
  </si>
  <si>
    <t>5000024704</t>
  </si>
  <si>
    <t>4500138622</t>
  </si>
  <si>
    <t>5000024705</t>
  </si>
  <si>
    <t>4500139196</t>
  </si>
  <si>
    <t>5000024706</t>
  </si>
  <si>
    <t>OMEDES MARTIN MARCELO</t>
  </si>
  <si>
    <t>4500119989</t>
  </si>
  <si>
    <t>5000024707</t>
  </si>
  <si>
    <t>ECONO JOURNAL SRL</t>
  </si>
  <si>
    <t>4500132116</t>
  </si>
  <si>
    <t>5000024708</t>
  </si>
  <si>
    <t>4500139580</t>
  </si>
  <si>
    <t>5000024709</t>
  </si>
  <si>
    <t>4500139787</t>
  </si>
  <si>
    <t>5000024713</t>
  </si>
  <si>
    <t>4500128368</t>
  </si>
  <si>
    <t>5000024714</t>
  </si>
  <si>
    <t>COMPAÑIA ARGENTINA PRODUCTOS</t>
  </si>
  <si>
    <t>4500139771</t>
  </si>
  <si>
    <t>5000024715</t>
  </si>
  <si>
    <t>5000024717</t>
  </si>
  <si>
    <t>4500139439</t>
  </si>
  <si>
    <t>5000024718</t>
  </si>
  <si>
    <t>5000024719</t>
  </si>
  <si>
    <t>4500139739</t>
  </si>
  <si>
    <t>5000024722</t>
  </si>
  <si>
    <t>GB ENERGIA SAU</t>
  </si>
  <si>
    <t>4500138414</t>
  </si>
  <si>
    <t>5000024723</t>
  </si>
  <si>
    <t>4500139854</t>
  </si>
  <si>
    <t>5000024727</t>
  </si>
  <si>
    <t>4500138757</t>
  </si>
  <si>
    <t>5000024728</t>
  </si>
  <si>
    <t>5000024730</t>
  </si>
  <si>
    <t>4500139946</t>
  </si>
  <si>
    <t>5000024731</t>
  </si>
  <si>
    <t>BULMAD SAS</t>
  </si>
  <si>
    <t>4500139591</t>
  </si>
  <si>
    <t>5000024733</t>
  </si>
  <si>
    <t>ANDRADE ERIC ALEXIS</t>
  </si>
  <si>
    <t>4500136126</t>
  </si>
  <si>
    <t>5000024736</t>
  </si>
  <si>
    <t>4500139463</t>
  </si>
  <si>
    <t>5000024737</t>
  </si>
  <si>
    <t>5000024738</t>
  </si>
  <si>
    <t>5000024739</t>
  </si>
  <si>
    <t>5000024740</t>
  </si>
  <si>
    <t>4500139041</t>
  </si>
  <si>
    <t>5000024742</t>
  </si>
  <si>
    <t>4500139123</t>
  </si>
  <si>
    <t>5000024746</t>
  </si>
  <si>
    <t>5000024747</t>
  </si>
  <si>
    <t>4500138641</t>
  </si>
  <si>
    <t>5000024750</t>
  </si>
  <si>
    <t>4500139841</t>
  </si>
  <si>
    <t>5000024752</t>
  </si>
  <si>
    <t>5000024753</t>
  </si>
  <si>
    <t>ADROGUE MARQUES ZABALA &amp; ASOC.</t>
  </si>
  <si>
    <t>4500135135</t>
  </si>
  <si>
    <t>5000024754</t>
  </si>
  <si>
    <t>4500139388</t>
  </si>
  <si>
    <t>5000024755</t>
  </si>
  <si>
    <t>MINICUCCI NANCY MARIA</t>
  </si>
  <si>
    <t>4500138031</t>
  </si>
  <si>
    <t>5000024756</t>
  </si>
  <si>
    <t>4500139419</t>
  </si>
  <si>
    <t>5000024758</t>
  </si>
  <si>
    <t>4500138972</t>
  </si>
  <si>
    <t>5000024760</t>
  </si>
  <si>
    <t>C25</t>
  </si>
  <si>
    <t>C24</t>
  </si>
  <si>
    <t>C03</t>
  </si>
  <si>
    <t>C15</t>
  </si>
  <si>
    <t>C07</t>
  </si>
  <si>
    <t>C17</t>
  </si>
  <si>
    <t>C27</t>
  </si>
  <si>
    <t>C14</t>
  </si>
  <si>
    <t>C12</t>
  </si>
  <si>
    <t>C21</t>
  </si>
  <si>
    <t>C29</t>
  </si>
  <si>
    <t>C06</t>
  </si>
  <si>
    <t>C04</t>
  </si>
  <si>
    <t>EFO</t>
  </si>
  <si>
    <t>C09</t>
  </si>
  <si>
    <t>C23</t>
  </si>
  <si>
    <t>C26</t>
  </si>
  <si>
    <t>C08</t>
  </si>
  <si>
    <t>C11</t>
  </si>
  <si>
    <t>C18</t>
  </si>
  <si>
    <t>910</t>
  </si>
  <si>
    <t>920</t>
  </si>
  <si>
    <t>930</t>
  </si>
  <si>
    <t>940</t>
  </si>
  <si>
    <t>960</t>
  </si>
  <si>
    <t>950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</si>
  <si>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</si>
  <si>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</si>
  <si>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</si>
  <si>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</si>
  <si>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</si>
  <si>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</si>
  <si>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</si>
  <si>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</si>
  <si>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</si>
  <si>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</si>
  <si>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</si>
  <si>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</si>
  <si>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1100</t>
  </si>
  <si>
    <t>C28</t>
  </si>
  <si>
    <t>C19</t>
  </si>
  <si>
    <t>C01</t>
  </si>
  <si>
    <t>C42</t>
  </si>
  <si>
    <t>C20</t>
  </si>
  <si>
    <t>377</t>
  </si>
  <si>
    <t>C38</t>
  </si>
  <si>
    <t>C22</t>
  </si>
  <si>
    <t>374</t>
  </si>
  <si>
    <t>G04</t>
  </si>
  <si>
    <t>L01</t>
  </si>
  <si>
    <t>F07</t>
  </si>
  <si>
    <t>C05</t>
  </si>
  <si>
    <t>378</t>
  </si>
  <si>
    <t>F05</t>
  </si>
  <si>
    <t>C52</t>
  </si>
  <si>
    <t>F06</t>
  </si>
  <si>
    <t>L02</t>
  </si>
  <si>
    <t>F04</t>
  </si>
  <si>
    <t>C48</t>
  </si>
  <si>
    <t>C49</t>
  </si>
  <si>
    <t>F13</t>
  </si>
  <si>
    <t>G05</t>
  </si>
  <si>
    <t>F03</t>
  </si>
  <si>
    <t>G01</t>
  </si>
  <si>
    <t>C37</t>
  </si>
  <si>
    <t>Fe.contabilización</t>
  </si>
  <si>
    <t>5100020560</t>
  </si>
  <si>
    <t>DIST. MOTOR METAL ROSARIO SRL</t>
  </si>
  <si>
    <t>4500140010</t>
  </si>
  <si>
    <t>5100020571</t>
  </si>
  <si>
    <t>5100020572</t>
  </si>
  <si>
    <t>5100020574</t>
  </si>
  <si>
    <t>5000024765</t>
  </si>
  <si>
    <t>4500117664</t>
  </si>
  <si>
    <t>5000024766</t>
  </si>
  <si>
    <t>DATUM S.A.</t>
  </si>
  <si>
    <t>4500134851</t>
  </si>
  <si>
    <t>5000024767</t>
  </si>
  <si>
    <t>4500119930</t>
  </si>
  <si>
    <t>5000024768</t>
  </si>
  <si>
    <t>MIRASOLES SRL</t>
  </si>
  <si>
    <t>4500128666</t>
  </si>
  <si>
    <t>5000024769</t>
  </si>
  <si>
    <t>4500139456</t>
  </si>
  <si>
    <t>5000024770</t>
  </si>
  <si>
    <t>5000024771</t>
  </si>
  <si>
    <t>MAXIMIA S.A.</t>
  </si>
  <si>
    <t>4500139815</t>
  </si>
  <si>
    <t>5000024772</t>
  </si>
  <si>
    <t>4500135553</t>
  </si>
  <si>
    <t>5000024773</t>
  </si>
  <si>
    <t>4500125233</t>
  </si>
  <si>
    <t>5000024774</t>
  </si>
  <si>
    <t>4500136671</t>
  </si>
  <si>
    <t>5000024775</t>
  </si>
  <si>
    <t>TECPOINT SA</t>
  </si>
  <si>
    <t>4500139081</t>
  </si>
  <si>
    <t>5000024777</t>
  </si>
  <si>
    <t>4500138136</t>
  </si>
  <si>
    <t>5000024778</t>
  </si>
  <si>
    <t>4500139877</t>
  </si>
  <si>
    <t>5000024781</t>
  </si>
  <si>
    <t>4500139864</t>
  </si>
  <si>
    <t>5000024782</t>
  </si>
  <si>
    <t>4500139977</t>
  </si>
  <si>
    <t>5000024783</t>
  </si>
  <si>
    <t>4500139913</t>
  </si>
  <si>
    <t>5000024784</t>
  </si>
  <si>
    <t>4500139949</t>
  </si>
  <si>
    <t>5000024785</t>
  </si>
  <si>
    <t>4500139929</t>
  </si>
  <si>
    <t>5000024786</t>
  </si>
  <si>
    <t>4500139828</t>
  </si>
  <si>
    <t>5000024787</t>
  </si>
  <si>
    <t>4500139930</t>
  </si>
  <si>
    <t>5000024788</t>
  </si>
  <si>
    <t>4500139840</t>
  </si>
  <si>
    <t>5000024789</t>
  </si>
  <si>
    <t>DOHKO S.R.L.</t>
  </si>
  <si>
    <t>4500139917</t>
  </si>
  <si>
    <t>5000024790</t>
  </si>
  <si>
    <t>4500136627</t>
  </si>
  <si>
    <t>5000024791</t>
  </si>
  <si>
    <t>5000024792</t>
  </si>
  <si>
    <t>4500136810</t>
  </si>
  <si>
    <t>5000024793</t>
  </si>
  <si>
    <t>EXTER NEQUEN SRL</t>
  </si>
  <si>
    <t>4500120629</t>
  </si>
  <si>
    <t>5000024794</t>
  </si>
  <si>
    <t>INTEPLA SRL</t>
  </si>
  <si>
    <t>4500137154</t>
  </si>
  <si>
    <t>5000024795</t>
  </si>
  <si>
    <t>4500136124</t>
  </si>
  <si>
    <t>5000024796</t>
  </si>
  <si>
    <t>4500139492</t>
  </si>
  <si>
    <t>5000024797</t>
  </si>
  <si>
    <t>PROVASI NICOLAS MARTIN</t>
  </si>
  <si>
    <t>4500139652</t>
  </si>
  <si>
    <t>5000024798</t>
  </si>
  <si>
    <t>4500139616</t>
  </si>
  <si>
    <t>5000024799</t>
  </si>
  <si>
    <t>VIALSA DE PIACENZA CARLOS EDUARDO</t>
  </si>
  <si>
    <t>4500139593</t>
  </si>
  <si>
    <t>5000024800</t>
  </si>
  <si>
    <t>5000024801</t>
  </si>
  <si>
    <t>4500139452</t>
  </si>
  <si>
    <t>5000024803</t>
  </si>
  <si>
    <t>ORLANDI INDUST. Y COMERC. S.A</t>
  </si>
  <si>
    <t>4500139613</t>
  </si>
  <si>
    <t>5000024804</t>
  </si>
  <si>
    <t>5000024805</t>
  </si>
  <si>
    <t>PRINTER SRL</t>
  </si>
  <si>
    <t>4500135677</t>
  </si>
  <si>
    <t>5000024806</t>
  </si>
  <si>
    <t>5000024807</t>
  </si>
  <si>
    <t>4500137077</t>
  </si>
  <si>
    <t>5000024808</t>
  </si>
  <si>
    <t>4500139866</t>
  </si>
  <si>
    <t>5000024809</t>
  </si>
  <si>
    <t>4500139948</t>
  </si>
  <si>
    <t>5000024810</t>
  </si>
  <si>
    <t>4500136790</t>
  </si>
  <si>
    <t>5000024811</t>
  </si>
  <si>
    <t>4500139271</t>
  </si>
  <si>
    <t>5000024812</t>
  </si>
  <si>
    <t>4500137921</t>
  </si>
  <si>
    <t>4500118607</t>
  </si>
  <si>
    <t>4500121508</t>
  </si>
  <si>
    <t>5000024813</t>
  </si>
  <si>
    <t>4500140033</t>
  </si>
  <si>
    <t>5000024814</t>
  </si>
  <si>
    <t>KRIGER ALEJANDRO SEBASTIAN</t>
  </si>
  <si>
    <t>4500124511</t>
  </si>
  <si>
    <t>5000024815</t>
  </si>
  <si>
    <t>4500136303</t>
  </si>
  <si>
    <t>5000024816</t>
  </si>
  <si>
    <t>NOALE CLAUDIA ELISABETH VIVIANA</t>
  </si>
  <si>
    <t>4500114127</t>
  </si>
  <si>
    <t>5000024817</t>
  </si>
  <si>
    <t>PAZ PABLO FABIAN</t>
  </si>
  <si>
    <t>4500115290</t>
  </si>
  <si>
    <t>5000024818</t>
  </si>
  <si>
    <t>4500139257</t>
  </si>
  <si>
    <t>5000024819</t>
  </si>
  <si>
    <t>4500139636</t>
  </si>
  <si>
    <t>5000024820</t>
  </si>
  <si>
    <t>4500137748</t>
  </si>
  <si>
    <t>5000024821</t>
  </si>
  <si>
    <t>5000024823</t>
  </si>
  <si>
    <t>CESCHIN GABRIELA ROSANA</t>
  </si>
  <si>
    <t>4500139837</t>
  </si>
  <si>
    <t>5000024825</t>
  </si>
  <si>
    <t>DI CROCE RICARDO DANIEL</t>
  </si>
  <si>
    <t>4500139727</t>
  </si>
  <si>
    <t>5000024826</t>
  </si>
  <si>
    <t>5000024827</t>
  </si>
  <si>
    <t>4500138881</t>
  </si>
  <si>
    <t>5000024828</t>
  </si>
  <si>
    <t>5000024829</t>
  </si>
  <si>
    <t>5000024830</t>
  </si>
  <si>
    <t>5000024831</t>
  </si>
  <si>
    <t>5000024832</t>
  </si>
  <si>
    <t>4500139923</t>
  </si>
  <si>
    <t>5000024833</t>
  </si>
  <si>
    <t>TKW S.A.</t>
  </si>
  <si>
    <t>4500139751</t>
  </si>
  <si>
    <t>5000024834</t>
  </si>
  <si>
    <t>4500139749</t>
  </si>
  <si>
    <t>5000024835</t>
  </si>
  <si>
    <t>Proveedor/Centro suministrador</t>
  </si>
  <si>
    <t>Fecha de entrega</t>
  </si>
  <si>
    <t>Grupo de compras</t>
  </si>
  <si>
    <t>1000000065 SA IMPORTADORA Y EXP. DE LA PA</t>
  </si>
  <si>
    <t>1000011965 DIRECTO SUR S. R. L.</t>
  </si>
  <si>
    <t>1000006796 SERVICIOS CIPOLLETTI SRL</t>
  </si>
  <si>
    <t>1000012180 ANDRADE ERIC ALEXIS</t>
  </si>
  <si>
    <t>1000000808 GLOBAL OIL S.R.L.</t>
  </si>
  <si>
    <t>1000011488 RM DEL SUR S. R. L</t>
  </si>
  <si>
    <t>1000005191 INDAQUIM SA</t>
  </si>
  <si>
    <t>1000002215 MIRASOLES SRL</t>
  </si>
  <si>
    <t>1000012924 KRIGER ALEJANDRO SEBASTIAN</t>
  </si>
  <si>
    <t>1000002236 MAXIMIA S.A.</t>
  </si>
  <si>
    <t>1000011676 ARCE JAIME WALTER</t>
  </si>
  <si>
    <t>1000013302 PETROTRES SA</t>
  </si>
  <si>
    <t>1000001657 ECOPORTATILES SA</t>
  </si>
  <si>
    <t>1000011498 1263 S. R. L.</t>
  </si>
  <si>
    <t>1000008956 PERIMETRAR S.A.S.</t>
  </si>
  <si>
    <t>1000000826 GEVA SRL</t>
  </si>
  <si>
    <t>1000011567 MALDONADO ELVA</t>
  </si>
  <si>
    <t>1000000062 FINNING ARGENTINA S.A.</t>
  </si>
  <si>
    <t>1000011539 PAZ PABLO FABIAN</t>
  </si>
  <si>
    <t>1000011590 NOALE CLAUDIA ELISABETH VIVIANA</t>
  </si>
  <si>
    <t>1000008581 IZAZA PAULA SOLEDAD</t>
  </si>
  <si>
    <t>1000000486 BRAVO ENERGY ARGENTINA S.C.A.</t>
  </si>
  <si>
    <t>1000012680 ABIUSI ANALIA VERONICA</t>
  </si>
  <si>
    <t>1000013585 S&amp;B SERVICIOS S. R. L.</t>
  </si>
  <si>
    <t>1000013253 PIAZZA MARCOS LUCIANO</t>
  </si>
  <si>
    <t>1000012710 URQUIOLA FERNANDO ANTONIO</t>
  </si>
  <si>
    <t>1000007373 ANGIULLI SERGIO RAUL</t>
  </si>
  <si>
    <t>1000001418 SEBRE SRL TRANSPORTE</t>
  </si>
  <si>
    <t>1000000301 CASA MAGNANI S.R.L.</t>
  </si>
  <si>
    <t>1000012630 DATUM S.A.</t>
  </si>
  <si>
    <t>1000012787 FELRRO SRL</t>
  </si>
  <si>
    <t>1000000681 LA LILY S.A</t>
  </si>
  <si>
    <t>1000000226 CONFLUENCIA HORMIGON</t>
  </si>
  <si>
    <t>1000000190 FERNANDEZ INSUA S.A.</t>
  </si>
  <si>
    <t>1000000161 BOSCO GERMAN, BOSCO LUCIO Y BOSCO</t>
  </si>
  <si>
    <t>1000012797 INGENIERIA Y REPRESENTACIONES BAHIE</t>
  </si>
  <si>
    <t>1000011427 NICOSIA ORLANDO</t>
  </si>
  <si>
    <t>1000012967 PATAGONIA MAXIM SAS</t>
  </si>
  <si>
    <t>1000000015 MADETEC S.A.</t>
  </si>
  <si>
    <t>1000011461 CONTRERAS BRIAN ALEXANDER</t>
  </si>
  <si>
    <t>1000008171 CAEFE S.A.</t>
  </si>
  <si>
    <t>1000009527 ELECTRICIDAD PANAMERICANA S.A.</t>
  </si>
  <si>
    <t>1000000571 TOYOTA ARGENTINA S.A.</t>
  </si>
  <si>
    <t>1000003158 EMILIA MASSARELLI SRL</t>
  </si>
  <si>
    <t>1000000093 ELECTRICIDAD SERRA S.R.L.</t>
  </si>
  <si>
    <t>1000012179 TINTA NEGRA S. A. S.</t>
  </si>
  <si>
    <t>1000011072 NEUMATICOS GOODYEAR S R L</t>
  </si>
  <si>
    <t>1000011415 SI (SERVICIOS INDUSTRIALES) SIERRA</t>
  </si>
  <si>
    <t>1000001129 AGRONORTE S.R.L.</t>
  </si>
  <si>
    <t>1000006943 SIDERCHAP S.A.</t>
  </si>
  <si>
    <t>1000000894 FORTIN REPUBLICA SA</t>
  </si>
  <si>
    <t>1000000072 BERTEC S.A</t>
  </si>
  <si>
    <t>1000002644 GRUPO AIVIL SRL</t>
  </si>
  <si>
    <t>1000001123 HAULOTTE ARGENTINA S.A.</t>
  </si>
  <si>
    <t>1000000929 ANTINORO FRANCISCO ERNESTO</t>
  </si>
  <si>
    <t>1000000561 ESCANDINAVIA DEL PLATA SA</t>
  </si>
  <si>
    <t>1000003014 DICO ACEROS SRL</t>
  </si>
  <si>
    <t>1000000038 YPF S.A.</t>
  </si>
  <si>
    <t>1000008037 OMEDES MARTIN MARCELO</t>
  </si>
  <si>
    <t>1000003358 DIRECTV ARGENTINA S.A.</t>
  </si>
  <si>
    <t>1000003230 RESORTES LACAS SRL</t>
  </si>
  <si>
    <t>1000000907 SERVICIOS VIALES DE STA. FE SA</t>
  </si>
  <si>
    <t>1000011891 MACHAIN LUCIANO</t>
  </si>
  <si>
    <t>1000002283 TECNICA Y SISTEMAS SRL</t>
  </si>
  <si>
    <t>1000000003 ARROYITO MAQUINARIAS S.R.L.</t>
  </si>
  <si>
    <t>1000000435 NUEVO SUR S.A</t>
  </si>
  <si>
    <t>1000013171 CENTRO BULONERO TRES ARROYOS SRL</t>
  </si>
  <si>
    <t>1000013247 INTEGRA ECODINAMICA S.A</t>
  </si>
  <si>
    <t>1000007752 VAHUME S.A.</t>
  </si>
  <si>
    <t>1000011378 AVILA ARGENTINA SOCIEDAD ANONIMAAVI</t>
  </si>
  <si>
    <t>1000000286 SULLAIR ARGENTINA S.A</t>
  </si>
  <si>
    <t>1000013296 ARAMBERRI LUIS ALFREDO</t>
  </si>
  <si>
    <t>1000000012 IGARRETA MAQUINAS S.A.</t>
  </si>
  <si>
    <t>1000000355 TORRI S.R.L.</t>
  </si>
  <si>
    <t>1000008021 GIORLANDO AGROPECUARIA SRL</t>
  </si>
  <si>
    <t>1000007795 JAWIT S.A.</t>
  </si>
  <si>
    <t>1000002120 INGEAP S.A.S.</t>
  </si>
  <si>
    <t>1000006685 ECONO JOURNAL SRL</t>
  </si>
  <si>
    <t>1000000540 INBELT S.R.L.</t>
  </si>
  <si>
    <t>1000000968 DASTEC SRL</t>
  </si>
  <si>
    <t>1000005102 EL ARTE DEL SELLO SRL</t>
  </si>
  <si>
    <t>1000002365 FABRICIO MUÑOZ</t>
  </si>
  <si>
    <t>1000000572 GRUAS SAN BLAS S.A</t>
  </si>
  <si>
    <t>1000006585 SALDAÑA LEANDRO EZEQUIEL</t>
  </si>
  <si>
    <t>1000000754 AURELIA SACIYF</t>
  </si>
  <si>
    <t>1000001470 SUDAMERICANA CAMIONES SA</t>
  </si>
  <si>
    <t>1000000016 OSVALDO L.SANTILLI E HIJOS S.A</t>
  </si>
  <si>
    <t>1000000098 CARLOS BOERO S.R.L.</t>
  </si>
  <si>
    <t>1000013097 BESTNOR SAS</t>
  </si>
  <si>
    <t>1000001653 RIAL JOSE ANGEL</t>
  </si>
  <si>
    <t>1000013631 TANKE S A</t>
  </si>
  <si>
    <t>1000000185 BUREAU VERITAS ARG. S.A.</t>
  </si>
  <si>
    <t>1000011497 MAINETE JAVIER ALBERTO</t>
  </si>
  <si>
    <t>2000000157 SITECH SOUTHERN CONE S.P.A.</t>
  </si>
  <si>
    <t>1000001268 BULONERA FENIX S.R.L</t>
  </si>
  <si>
    <t>1000009051 GRUPO RP AICHI S.A.S.</t>
  </si>
  <si>
    <t>2000000261 ZHEJIANG DINGLI MACHINERY CO., LTD.</t>
  </si>
  <si>
    <t>1000003117 SALDAÑA CARLOS ALBERTO</t>
  </si>
  <si>
    <t>1000000483 GRIMALDI G.H. S.R.L.</t>
  </si>
  <si>
    <t>1000000958 NIC SA</t>
  </si>
  <si>
    <t>1000002834 J.M.F. VIAL &amp; PARTS SAS</t>
  </si>
  <si>
    <t>1000000551 SADER AUTOPARTES S.A</t>
  </si>
  <si>
    <t>1000002626 GANDINI DANIEL HORACIO</t>
  </si>
  <si>
    <t>1000001756 EPIROC ARGENTINA S.A.</t>
  </si>
  <si>
    <t>1000009722 PRINTER SRL</t>
  </si>
  <si>
    <t>1000009474 JORGE ALBERTO SOTO S.A.S.</t>
  </si>
  <si>
    <t>1000001379 TECNO CONSULTING SA</t>
  </si>
  <si>
    <t>1000013552 EMPRESA DEL OESTE SAT</t>
  </si>
  <si>
    <t>1000001192 HEELT  SRL</t>
  </si>
  <si>
    <t>1000000488 BETA S.A.</t>
  </si>
  <si>
    <t>1000002138 AMERICAN HEAVY PARTS S.R.L.</t>
  </si>
  <si>
    <t>1000000099 DIST. MOTOR METAL ROSARIO SRL</t>
  </si>
  <si>
    <t>1000000500 HARDTEC S.R.L.</t>
  </si>
  <si>
    <t>1000000464 ANGEL M.ALVAREZ S.A.</t>
  </si>
  <si>
    <t>1000001457 ANDRES N. BERTOTTO SAIC</t>
  </si>
  <si>
    <t>1000007158 EXPRESO LUJAN DE CUYO SA</t>
  </si>
  <si>
    <t>C31</t>
  </si>
  <si>
    <t>1000011182 SERVICIOS Y MATERIALES CUYO S.A.</t>
  </si>
  <si>
    <t>1000002964 LACIAR LEANDRO ADOLFO</t>
  </si>
  <si>
    <t>2000000106 IME-GMBH</t>
  </si>
  <si>
    <t>1000000850 CASELLA GUILLERMO CESAR</t>
  </si>
  <si>
    <t>1000011151 SCAFATI ARIEL GILBERTO</t>
  </si>
  <si>
    <t>1000000037 LA ELENA S.A.</t>
  </si>
  <si>
    <t>1000010190 ANDREANI LOGISTICA SA</t>
  </si>
  <si>
    <t>1000003040 LOPEZ DIESEL S.A.</t>
  </si>
  <si>
    <t>1000001107 TRANSPORTES SAN JOSE SRL</t>
  </si>
  <si>
    <t>1000001250 KUHN MATIAS DANIEL</t>
  </si>
  <si>
    <t>1000011899 ABASTO SERVICIOS PATAGONICOS S. A.</t>
  </si>
  <si>
    <t>1000010405 EL CANARIO TRANSPORTES Y MONTAJES</t>
  </si>
  <si>
    <t>1000008072 COLOR INDUSTRIAL S.A.</t>
  </si>
  <si>
    <t>1000008055 RUMAOS S.A.</t>
  </si>
  <si>
    <t>1000000014 LOPEZ - FORCINITI S.A.</t>
  </si>
  <si>
    <t>1000002348 L-A PINTURAS INDUSTRIALES SRL</t>
  </si>
  <si>
    <t>2000000007 DAEMO ENGINEERING CO., LTD.</t>
  </si>
  <si>
    <t>1000008079 XYLEM WATER SOLUTIONS ARGENTINA S.R</t>
  </si>
  <si>
    <t>1000000634 RAIZEN ARGENTINA S.A.U.</t>
  </si>
  <si>
    <t>1000003270 MALTESE ROBERTO VICENTE</t>
  </si>
  <si>
    <t>1000003447 HEINZ LOOS S R L</t>
  </si>
  <si>
    <t>1000000001 FERRETERA SAN LUIS</t>
  </si>
  <si>
    <t>1000000447 A.S. TURTURICI S.A.</t>
  </si>
  <si>
    <t>1000000046 MIGNANI HNOS. S.R.L.</t>
  </si>
  <si>
    <t>1000001935 ACEROS COCO S.A.</t>
  </si>
  <si>
    <t>1000000453 GOMA 2000 DE TECNO PART S.A.</t>
  </si>
  <si>
    <t>1000000010 GASES ROSARIO S.R.L.</t>
  </si>
  <si>
    <t>1000000052 DEVOL S.A.</t>
  </si>
  <si>
    <t>1000001211 EQUIPEL SRL</t>
  </si>
  <si>
    <t>1000002945 METALURGICA RP SRL</t>
  </si>
  <si>
    <t>1000012464 LOOPING REPUESTOS SOCIEDAD ANONIMA</t>
  </si>
  <si>
    <t>1000009436 CAMICO REPUESTOS PESADOS S.R.L.</t>
  </si>
  <si>
    <t>1000000026 NEURALSOFT S.R.L.</t>
  </si>
  <si>
    <t>1000002106 REMOLQUES OMBU SA</t>
  </si>
  <si>
    <t>1000012704 QUIROGA CRISTIAN ROBERTO</t>
  </si>
  <si>
    <t>1000005043 LA RONTONDA DE DANIEL MORAN</t>
  </si>
  <si>
    <t>1000002607 DIESEL LANGE S.R.L</t>
  </si>
  <si>
    <t>1000009658 FURIASSE GUSTAVO WALTER</t>
  </si>
  <si>
    <t>1000000103 ACINDAR I.A.A.S.A.</t>
  </si>
  <si>
    <t>1000004886 CAEIRO JOSE FRANCISCO</t>
  </si>
  <si>
    <t>1000004906 FERRARO Y CIA S.A.</t>
  </si>
  <si>
    <t>1000000417 TIGRE ARGENTINA S.A.</t>
  </si>
  <si>
    <t>1000001286 EXTER NEQUEN SRL</t>
  </si>
  <si>
    <t>2000000164 SANY INTERNACIONAL</t>
  </si>
  <si>
    <t>1000000454 IRT- MEDICINA P/EMPRESAS S.A.</t>
  </si>
  <si>
    <t>1000011954 BIO-LIMP SOLUCIONES DE CALIDAD S.A</t>
  </si>
  <si>
    <t>1000003063 CICCIOELEC SA</t>
  </si>
  <si>
    <t>1000000545 BASANI SA</t>
  </si>
  <si>
    <t>1000000861 TUBI-FLEX S.A.</t>
  </si>
  <si>
    <t>1000000482 REUTEMANN AUTOMOTORES S.A.</t>
  </si>
  <si>
    <t>1000012359 D'AMICO DARIO RUBEN</t>
  </si>
  <si>
    <t>1000012593 PASARON FABIO ALEXIS</t>
  </si>
  <si>
    <t>1000001146 BUNTECH DEL LAGO SOCIEDAD ANONIMA</t>
  </si>
  <si>
    <t>1000000229 ALFREDO CRIOLANI E HIJOS S.A.</t>
  </si>
  <si>
    <t>1000011432 SCHVAB JULIO CESAR</t>
  </si>
  <si>
    <t>1000000931 GONZALEZ ROLANDO CLAUDIO</t>
  </si>
  <si>
    <t>1000002439 CRISTALES PATAGONICOS SRL</t>
  </si>
  <si>
    <t>1000012647 ZANOTTI HERMANOS SRL</t>
  </si>
  <si>
    <t>1000000018 REPUESTOS CARLITOS</t>
  </si>
  <si>
    <t>1000003841 FAMEIM S.A.</t>
  </si>
  <si>
    <t>1000000134 SIPAR ACEROS S.A.</t>
  </si>
  <si>
    <t>1000000212 MAXIGOMA S.R.L.</t>
  </si>
  <si>
    <t>1000008600 AUTOMOTORES MEGA S.A.</t>
  </si>
  <si>
    <t>1000007907 CENTRO HIDRAULICO S.A.</t>
  </si>
  <si>
    <t>1000010401 BASUALDO NECCHI MARCOS GABRIEL</t>
  </si>
  <si>
    <t>1000000530 RIVESTIMENTO SRL</t>
  </si>
  <si>
    <t>1000000411 TECNODIESEL S.R.L.</t>
  </si>
  <si>
    <t>1000011064 RANAWEL SA</t>
  </si>
  <si>
    <t>1000000452 INGENIERIA BOGGIO S.A</t>
  </si>
  <si>
    <t>1000009549 T Y G S.A.</t>
  </si>
  <si>
    <t>1000000772 SASSIA DANIEL EDUARDO</t>
  </si>
  <si>
    <t>1000011333 RODRIGUEZ HUGO HORACIO</t>
  </si>
  <si>
    <t>1000008423 ACCESORIOS Y REPUESTOS DON CARLOS S</t>
  </si>
  <si>
    <t>1000012463 RECTIFICADORA COLON SRL</t>
  </si>
  <si>
    <t>1000000669 PROSEIND SA</t>
  </si>
  <si>
    <t>1000012055 HR INDUSTRIAL SAS</t>
  </si>
  <si>
    <t>1000000714 HOROFE GAS SRL</t>
  </si>
  <si>
    <t>1000000050 ELASTICOS  SAITA S.R.L.</t>
  </si>
  <si>
    <t>1000011671 SOLUCIONES AMBIENTALES PATAGONIA</t>
  </si>
  <si>
    <t>1000001060 PIRLES GUSTAVO JOSE</t>
  </si>
  <si>
    <t>1000012852 LO GRIPPO JORGE ALBERTO</t>
  </si>
  <si>
    <t>1000003716 MEI GROUP PTY. LTD.SUC. ARG.</t>
  </si>
  <si>
    <t>1000003606 ZAMOLO HNOS SA</t>
  </si>
  <si>
    <t>1000013162 MADRYN REPUESTOS Y SERVICIOS SAS</t>
  </si>
  <si>
    <t>1000000011 GOMERIA ALICIA S.A.</t>
  </si>
  <si>
    <t>1000003548 CARLOS A DIORIO</t>
  </si>
  <si>
    <t>1000000004 ARGELEC S.A.</t>
  </si>
  <si>
    <t>1000000189 POBERAJ S.A.</t>
  </si>
  <si>
    <t>1000009543 AC SAT S.R.L.</t>
  </si>
  <si>
    <t>1000000756 HYDRASER SA</t>
  </si>
  <si>
    <t>1000009559 ELECTROMECANICA OMAR S.R.L.</t>
  </si>
  <si>
    <t>2000000291 GPS SERVICE SPA</t>
  </si>
  <si>
    <t>1000000029 PARABRISAS BURZA S.R.L.</t>
  </si>
  <si>
    <t>1000013272 CHICO VANESA SOLEDAD</t>
  </si>
  <si>
    <t>1000003804 ALL DRILL S.A.</t>
  </si>
  <si>
    <t>1000000949 DAFER INDUSTRIAL S.R.L.</t>
  </si>
  <si>
    <t>1000009217 PITTACOLO WALTER Y PITTACOLO JUAN</t>
  </si>
  <si>
    <t>1000009691 PINTURERIAS DIN COLOR S. A.</t>
  </si>
  <si>
    <t>1000000078 S.A. INGENIERO CARLOS KUSSMAUL</t>
  </si>
  <si>
    <t>1000008805 SAKURA MOTORS S. A.</t>
  </si>
  <si>
    <t>1000002428 Q - SIETE SRL.</t>
  </si>
  <si>
    <t>1000013408 COLLADO SAITA ELASTICOS SRL</t>
  </si>
  <si>
    <t>1000009554 SCARONE FEDERICO AGUSTIN</t>
  </si>
  <si>
    <t>2000000224 B&amp;N Soluciones SPA</t>
  </si>
  <si>
    <t>1000001432 ELECTRINET SRL</t>
  </si>
  <si>
    <t>1000012776 TURBOLAR S.A.</t>
  </si>
  <si>
    <t>1000000045 LA CASA DE FILTRO DE L.VENTURA</t>
  </si>
  <si>
    <t>1000002753 FEDERICO ENGEL TALLER FEDERICO</t>
  </si>
  <si>
    <t>1000002731 ADROGUE MARQUES ZABALA &amp; ASOC.</t>
  </si>
  <si>
    <t>1000000326 CABRERA ADRIAN ALFREDO RAMON</t>
  </si>
  <si>
    <t>1000006826 ALASUR S.A.</t>
  </si>
  <si>
    <t>1000000517 LUPARINI ACOPARTES SRL</t>
  </si>
  <si>
    <t>1000000374 DISTRIBUIDORA TRIGOMA DE BERTO</t>
  </si>
  <si>
    <t>1000000008 DISTRIBUIDORA DIQUE S.R.L.</t>
  </si>
  <si>
    <t>1000009607 ELEVA MUNDO S.R.L.</t>
  </si>
  <si>
    <t>1000013182 MONFORT JUAN CARLOS</t>
  </si>
  <si>
    <t>1000000112 NATALIO AUTOMOTORES S.A.</t>
  </si>
  <si>
    <t>1000000023 IND. QUIMICAS KAISER S.R.L.</t>
  </si>
  <si>
    <t>1000001691 LENOR SRL</t>
  </si>
  <si>
    <t>1000000073 ROBERTO CALZAVARA S.R.L.</t>
  </si>
  <si>
    <t>1000008978 SOSA JOSE JAVIER</t>
  </si>
  <si>
    <t>1000000462 HORCADA MARCELO,GUSTAVO Y FERN</t>
  </si>
  <si>
    <t>1000000388 WURTH ARGENTINA S.A.</t>
  </si>
  <si>
    <t>1000001726 ELECTROMECANICA BOMEQ SA</t>
  </si>
  <si>
    <t>1000006932 GUSTAVO CANO NEUMATICOS S.A.</t>
  </si>
  <si>
    <t>1000012006 MORALES MIGUEL ALBERTO</t>
  </si>
  <si>
    <t>1000000077 HUGO SANCHEZ S.A.</t>
  </si>
  <si>
    <t>1000000261 PARANA MAQUINARIAS SRL</t>
  </si>
  <si>
    <t>1000000707 FIDEICOMISO MUJERES ARGENTINAS</t>
  </si>
  <si>
    <t>1000007438 EMAVE S.A.</t>
  </si>
  <si>
    <t>1000012650 INTEPLA SRL</t>
  </si>
  <si>
    <t>1000010685 TECNOSTORE S. A.</t>
  </si>
  <si>
    <t>1000000592 WARDES SA ARGENTINA</t>
  </si>
  <si>
    <t>1000010380 BUSTOS MARIA LORENA</t>
  </si>
  <si>
    <t>1000000125 SYLWAN S.A. BOMBAS</t>
  </si>
  <si>
    <t>1000010923 PROVIARG SRL</t>
  </si>
  <si>
    <t>1000001808 GRUPO AUSTRAL CHUBUT SRL</t>
  </si>
  <si>
    <t>1000013547 MEDINA MIGUEL ANGEL</t>
  </si>
  <si>
    <t>1000001871 ROMAGNOLI SILVANA LORENA</t>
  </si>
  <si>
    <t>1000011987 MOLINA SOTO MATIAS FABIAN</t>
  </si>
  <si>
    <t>1000001306 JAR COMPUTACION SRL</t>
  </si>
  <si>
    <t>1000010264 LABORATORIO TECNOPLUS S. A. S.</t>
  </si>
  <si>
    <t>1000013586 MINICUCCI NANCY MARIA</t>
  </si>
  <si>
    <t>1000004840 FARCA SRL</t>
  </si>
  <si>
    <t>1000010102 SORIA NATALIA NAZARENA</t>
  </si>
  <si>
    <t>1000000672 BORSELLINO IMPRESOS SRL</t>
  </si>
  <si>
    <t>1000000075 NUEVA REGINA S.R.L.</t>
  </si>
  <si>
    <t>1000011491 OLIVERA NOELIA ELISABETH</t>
  </si>
  <si>
    <t>1000000940 MELQUI PABLO</t>
  </si>
  <si>
    <t>1000010268 YEMA REPUESTOS SRL</t>
  </si>
  <si>
    <t>1000000657 CARLOS ANDRETICH S.A</t>
  </si>
  <si>
    <t>1000013361 GB ENERGIA SAU</t>
  </si>
  <si>
    <t>1000003297 PELIQUIN S.R.L.</t>
  </si>
  <si>
    <t>1000012812 FLORES JUAN MANUEL</t>
  </si>
  <si>
    <t>1000000577 IMPERIAL MOTOR S.A.</t>
  </si>
  <si>
    <t>1000001481 D'AGOSTINO LUCIANO MATIAS</t>
  </si>
  <si>
    <t>1000006578 MGF FIJACIONES SA</t>
  </si>
  <si>
    <t>1000000273 SALVADOR Y BARBIERI S.R.L.</t>
  </si>
  <si>
    <t>1000000257 RODAMAR SRL</t>
  </si>
  <si>
    <t>1000001292 PRODUCTORES DE ACERO PROAR SRL</t>
  </si>
  <si>
    <t>1000001289 DUCA SEBASTIAN ENRIQUE</t>
  </si>
  <si>
    <t>1000012365 VARELA GERARDO DANIEL</t>
  </si>
  <si>
    <t>1000000797 FICAMEN SA</t>
  </si>
  <si>
    <t>1000013666 GRUPO V SRL</t>
  </si>
  <si>
    <t>1000000523 FRENOS Y EMBRAGUES LITORAL SRL</t>
  </si>
  <si>
    <t>1000013187 INDUSTRIAS SAVINI S. R. L.</t>
  </si>
  <si>
    <t>1000000884 TRUCKSTORE S.A.</t>
  </si>
  <si>
    <t>1000000074 BLAS MARTINUCCI E HIJOS S.A.</t>
  </si>
  <si>
    <t>1000002720 TECPOINT SA</t>
  </si>
  <si>
    <t>1000013555 MARILLAN HECTOR GERVASIO</t>
  </si>
  <si>
    <t>1000013647 BRENT ENERGIA Y SERVICIOS S.A</t>
  </si>
  <si>
    <t>1000000487 GRUPO AUTOPARTISTA S.A.</t>
  </si>
  <si>
    <t>1000000501 COMERCIAL ARGENTINA SRL</t>
  </si>
  <si>
    <t>1000012324 CLEAN PEL SRL</t>
  </si>
  <si>
    <t>1000003121 BLANCO GRUP SA</t>
  </si>
  <si>
    <t>1000013691 GUGLIELMETTI AMERICO ANTONIO Y GUGL</t>
  </si>
  <si>
    <t>1000009488 MCF BRACHETTA S.A.S.</t>
  </si>
  <si>
    <t>1000013456 DUBRAWSKI MAURICIO DARIO</t>
  </si>
  <si>
    <t>1000000211 LA CASA DE LAS HERRAMIENTAS SA</t>
  </si>
  <si>
    <t>1000012652 BULMAD SAS</t>
  </si>
  <si>
    <t>1000000048 VIALSA DE PIACENZA CARLOS EDUARDO</t>
  </si>
  <si>
    <t>1000009483 TERAR S.A.</t>
  </si>
  <si>
    <t>1000008359 SIDERCAM S.A.</t>
  </si>
  <si>
    <t>1000000095 ORLANDI INDUST. Y COMERC. S.A</t>
  </si>
  <si>
    <t>1000001368 PROVASI NICOLAS MARTIN</t>
  </si>
  <si>
    <t>1000011463 CASA PATRICELLI SOC. LEY 19550 CAP.</t>
  </si>
  <si>
    <t>1000000418 HILTI ARGENTINA SRL</t>
  </si>
  <si>
    <t>1000000390 TECNOBAHIA S.A.</t>
  </si>
  <si>
    <t>1000013178 DI CROCE RICARDO DANIEL</t>
  </si>
  <si>
    <t>1000000369 LIMPITO SRL</t>
  </si>
  <si>
    <t>1000008983 TKW S.A.</t>
  </si>
  <si>
    <t>1000003638 NALDO LOMBARDI SA</t>
  </si>
  <si>
    <t>1000009238 FORESTAL PICO S.A.</t>
  </si>
  <si>
    <t>1000013227 WARATHABS S.A.</t>
  </si>
  <si>
    <t>1000013060 COMPAÑIA ARGENTINA PRODUCTOS</t>
  </si>
  <si>
    <t>1000002909 CESCHIN GABRIELA ROSANA</t>
  </si>
  <si>
    <t>1000012926 PSB SERVICIOS INDUSTRIALES S.R.L.</t>
  </si>
  <si>
    <t>1000000895 COMPLEMET SRL</t>
  </si>
  <si>
    <t>1000003039 PAIRON SA</t>
  </si>
  <si>
    <t>1000011824 COLQUE ELISA</t>
  </si>
  <si>
    <t>1000008315 DOHKO S.R.L.</t>
  </si>
  <si>
    <t>5100020573</t>
  </si>
  <si>
    <t>5100020575</t>
  </si>
  <si>
    <t>5100020576</t>
  </si>
  <si>
    <t>5100020577</t>
  </si>
  <si>
    <t>5100020578</t>
  </si>
  <si>
    <t>5100020580</t>
  </si>
  <si>
    <t>5100020582</t>
  </si>
  <si>
    <t>5100020590</t>
  </si>
  <si>
    <t>5100020594</t>
  </si>
  <si>
    <t>5100020601</t>
  </si>
  <si>
    <t>5000024836</t>
  </si>
  <si>
    <t>MACER S.A.</t>
  </si>
  <si>
    <t>4500137424</t>
  </si>
  <si>
    <t>5000024837</t>
  </si>
  <si>
    <t>4500139478</t>
  </si>
  <si>
    <t>5000024838</t>
  </si>
  <si>
    <t>CARDALDA S A</t>
  </si>
  <si>
    <t>4500139604</t>
  </si>
  <si>
    <t>5000024839</t>
  </si>
  <si>
    <t>4500139691</t>
  </si>
  <si>
    <t>5000024840</t>
  </si>
  <si>
    <t>4500115871</t>
  </si>
  <si>
    <t>5000024841</t>
  </si>
  <si>
    <t>ASOC.CIVIL PROF TECRADIOL ROSA</t>
  </si>
  <si>
    <t>4500128560</t>
  </si>
  <si>
    <t>4500119666</t>
  </si>
  <si>
    <t>5000024842</t>
  </si>
  <si>
    <t>4500139909</t>
  </si>
  <si>
    <t>5000024843</t>
  </si>
  <si>
    <t>4500137534</t>
  </si>
  <si>
    <t>5000024844</t>
  </si>
  <si>
    <t>4500139493</t>
  </si>
  <si>
    <t>5000024845</t>
  </si>
  <si>
    <t>4500140044</t>
  </si>
  <si>
    <t>5000024846</t>
  </si>
  <si>
    <t>4500139228</t>
  </si>
  <si>
    <t>5000024847</t>
  </si>
  <si>
    <t>5000024848</t>
  </si>
  <si>
    <t>5000024849</t>
  </si>
  <si>
    <t>MAGRI TELEFONIA S.R.L.</t>
  </si>
  <si>
    <t>4500132142</t>
  </si>
  <si>
    <t>5000024850</t>
  </si>
  <si>
    <t>5000024851</t>
  </si>
  <si>
    <t>4500137409</t>
  </si>
  <si>
    <t>5000024852</t>
  </si>
  <si>
    <t>4500138269</t>
  </si>
  <si>
    <t>5000024853</t>
  </si>
  <si>
    <t>G&amp;M INFINITE ENERGY S. A.</t>
  </si>
  <si>
    <t>4500139422</t>
  </si>
  <si>
    <t>5000024854</t>
  </si>
  <si>
    <t>KINKURO SAS</t>
  </si>
  <si>
    <t>4500134716</t>
  </si>
  <si>
    <t>5000024855</t>
  </si>
  <si>
    <t>4500134671</t>
  </si>
  <si>
    <t>5000024856</t>
  </si>
  <si>
    <t>4500139895</t>
  </si>
  <si>
    <t>5000024857</t>
  </si>
  <si>
    <t>5000024858</t>
  </si>
  <si>
    <t>RAMIREZ RUBEN DARIO</t>
  </si>
  <si>
    <t>4500128332</t>
  </si>
  <si>
    <t>1000004488 ASOC.CIVIL PROF TECRADIOL ROSA</t>
  </si>
  <si>
    <t>1000007599 MAGRI TELEFONIA S.R.L.</t>
  </si>
  <si>
    <t>1000013078 RAMIREZ RUBEN DARIO</t>
  </si>
  <si>
    <t>1000013445 KINKURO SAS</t>
  </si>
  <si>
    <t>1000011214 MACER S.A.</t>
  </si>
  <si>
    <t>1000012282 G&amp;M INFINITE ENERGY S. A.</t>
  </si>
  <si>
    <t>1000009946 CARDALDA S A</t>
  </si>
  <si>
    <t>CONCATENA</t>
  </si>
  <si>
    <t>1900015314</t>
  </si>
  <si>
    <t>BETONSUR SRL</t>
  </si>
  <si>
    <t>4500137929</t>
  </si>
  <si>
    <t>1900015315</t>
  </si>
  <si>
    <t>4500133616</t>
  </si>
  <si>
    <t>1900015319</t>
  </si>
  <si>
    <t>1900015321</t>
  </si>
  <si>
    <t>1900015323</t>
  </si>
  <si>
    <t>1900015324</t>
  </si>
  <si>
    <t>1900015325</t>
  </si>
  <si>
    <t>1900015326</t>
  </si>
  <si>
    <t>1900015327</t>
  </si>
  <si>
    <t>1900015332</t>
  </si>
  <si>
    <t>5100020579</t>
  </si>
  <si>
    <t>5100020581</t>
  </si>
  <si>
    <t>5100020583</t>
  </si>
  <si>
    <t>5100020584</t>
  </si>
  <si>
    <t>5100020585</t>
  </si>
  <si>
    <t>5100020586</t>
  </si>
  <si>
    <t>5100020587</t>
  </si>
  <si>
    <t>5100020588</t>
  </si>
  <si>
    <t>5100020589</t>
  </si>
  <si>
    <t>5100020591</t>
  </si>
  <si>
    <t>5100020595</t>
  </si>
  <si>
    <t>5100020596</t>
  </si>
  <si>
    <t>C0</t>
  </si>
  <si>
    <t>5100020597</t>
  </si>
  <si>
    <t>5100020598</t>
  </si>
  <si>
    <t>5100020599</t>
  </si>
  <si>
    <t>5100020600</t>
  </si>
  <si>
    <t>5100020602</t>
  </si>
  <si>
    <t>5100020603</t>
  </si>
  <si>
    <t>5100020604</t>
  </si>
  <si>
    <t>5100020605</t>
  </si>
  <si>
    <t>5100020606</t>
  </si>
  <si>
    <t>5100020607</t>
  </si>
  <si>
    <t>5100020610</t>
  </si>
  <si>
    <t>5100020611</t>
  </si>
  <si>
    <t>5100020612</t>
  </si>
  <si>
    <t>5100020613</t>
  </si>
  <si>
    <t>5100020614</t>
  </si>
  <si>
    <t>5100020615</t>
  </si>
  <si>
    <t>5100020616</t>
  </si>
  <si>
    <t>MASTROSIMONE GUSTAVO DOMINGO</t>
  </si>
  <si>
    <t>4500140060</t>
  </si>
  <si>
    <t>5100020617</t>
  </si>
  <si>
    <t>4500140099</t>
  </si>
  <si>
    <t>5100020618</t>
  </si>
  <si>
    <t>TONELLI CRISTIAN ADRIAN</t>
  </si>
  <si>
    <t>4500140090</t>
  </si>
  <si>
    <t>5100020621</t>
  </si>
  <si>
    <t>4500129142</t>
  </si>
  <si>
    <t>5100020622</t>
  </si>
  <si>
    <t>5100020623</t>
  </si>
  <si>
    <t>5100020624</t>
  </si>
  <si>
    <t>5100020625</t>
  </si>
  <si>
    <t>5100020627</t>
  </si>
  <si>
    <t>5100020628</t>
  </si>
  <si>
    <t>5100020629</t>
  </si>
  <si>
    <t>5100020630</t>
  </si>
  <si>
    <t>5100020631</t>
  </si>
  <si>
    <t>5100020632</t>
  </si>
  <si>
    <t>5100020633</t>
  </si>
  <si>
    <t>5100020634</t>
  </si>
  <si>
    <t>5100020635</t>
  </si>
  <si>
    <t>5100020636</t>
  </si>
  <si>
    <t>4500139537</t>
  </si>
  <si>
    <t>5100020637</t>
  </si>
  <si>
    <t>5100020638</t>
  </si>
  <si>
    <t>4500139395</t>
  </si>
  <si>
    <t>5100020639</t>
  </si>
  <si>
    <t>5100020640</t>
  </si>
  <si>
    <t>5100020642</t>
  </si>
  <si>
    <t>5100020643</t>
  </si>
  <si>
    <t>5100020644</t>
  </si>
  <si>
    <t>5100020645</t>
  </si>
  <si>
    <t>5100020646</t>
  </si>
  <si>
    <t>5100020647</t>
  </si>
  <si>
    <t>4500139706</t>
  </si>
  <si>
    <t>5100020650</t>
  </si>
  <si>
    <t>5100020652</t>
  </si>
  <si>
    <t>5100020653</t>
  </si>
  <si>
    <t>CHEN WENRONG</t>
  </si>
  <si>
    <t>4500139759</t>
  </si>
  <si>
    <t>5100020654</t>
  </si>
  <si>
    <t>5100020655</t>
  </si>
  <si>
    <t>SINELLI MAURICIO ALEJANDRO</t>
  </si>
  <si>
    <t>4500140053</t>
  </si>
  <si>
    <t>5100020656</t>
  </si>
  <si>
    <t>5100020657</t>
  </si>
  <si>
    <t>5100020658</t>
  </si>
  <si>
    <t>5100020659</t>
  </si>
  <si>
    <t>5100020660</t>
  </si>
  <si>
    <t>4500139594</t>
  </si>
  <si>
    <t>5100020661</t>
  </si>
  <si>
    <t>5100020662</t>
  </si>
  <si>
    <t>5100020663</t>
  </si>
  <si>
    <t>5100020664</t>
  </si>
  <si>
    <t>5100020665</t>
  </si>
  <si>
    <t>CUYUL LUIS FRANCISCO</t>
  </si>
  <si>
    <t>4500137782</t>
  </si>
  <si>
    <t>5100020666</t>
  </si>
  <si>
    <t>4500140139</t>
  </si>
  <si>
    <t>5100020667</t>
  </si>
  <si>
    <t>5100020668</t>
  </si>
  <si>
    <t>C6</t>
  </si>
  <si>
    <t>SEVA FLAVIA SUSANA</t>
  </si>
  <si>
    <t>4500134410</t>
  </si>
  <si>
    <t>5100020669</t>
  </si>
  <si>
    <t>5100020670</t>
  </si>
  <si>
    <t>PROPUNA SAS</t>
  </si>
  <si>
    <t>4500133088</t>
  </si>
  <si>
    <t>5100020671</t>
  </si>
  <si>
    <t>5000024859</t>
  </si>
  <si>
    <t>4500140047</t>
  </si>
  <si>
    <t>5000024860</t>
  </si>
  <si>
    <t>5000024861</t>
  </si>
  <si>
    <t>GIOVAGNOLI S.R.L.</t>
  </si>
  <si>
    <t>4500140017</t>
  </si>
  <si>
    <t>5000024862</t>
  </si>
  <si>
    <t>MARADONA, RICARDO WALTER</t>
  </si>
  <si>
    <t>4500139555</t>
  </si>
  <si>
    <t>5000024863</t>
  </si>
  <si>
    <t>POMA SCIANCA &amp; ASOCIADOS SA</t>
  </si>
  <si>
    <t>4500118979</t>
  </si>
  <si>
    <t>5000024864</t>
  </si>
  <si>
    <t>5000024865</t>
  </si>
  <si>
    <t>5000024866</t>
  </si>
  <si>
    <t>5000024867</t>
  </si>
  <si>
    <t>5000024868</t>
  </si>
  <si>
    <t>4500139543</t>
  </si>
  <si>
    <t>5000024869</t>
  </si>
  <si>
    <t>5000024870</t>
  </si>
  <si>
    <t>4500139883</t>
  </si>
  <si>
    <t>5000024871</t>
  </si>
  <si>
    <t>4500140045</t>
  </si>
  <si>
    <t>5000024872</t>
  </si>
  <si>
    <t>5000024873</t>
  </si>
  <si>
    <t>5000024874</t>
  </si>
  <si>
    <t>5000024875</t>
  </si>
  <si>
    <t>4500139824</t>
  </si>
  <si>
    <t>5000024876</t>
  </si>
  <si>
    <t>4500139131</t>
  </si>
  <si>
    <t>5000024877</t>
  </si>
  <si>
    <t>4500138412</t>
  </si>
  <si>
    <t>5000024878</t>
  </si>
  <si>
    <t>5000024879</t>
  </si>
  <si>
    <t>CROS SERVICIOS GENERALES SRL</t>
  </si>
  <si>
    <t>4500132284</t>
  </si>
  <si>
    <t>5000024880</t>
  </si>
  <si>
    <t>5000024881</t>
  </si>
  <si>
    <t>5000024882</t>
  </si>
  <si>
    <t>GINZA S.A.</t>
  </si>
  <si>
    <t>4500139090</t>
  </si>
  <si>
    <t>5000024883</t>
  </si>
  <si>
    <t>5000024884</t>
  </si>
  <si>
    <t>4500139932</t>
  </si>
  <si>
    <t>5000024885</t>
  </si>
  <si>
    <t>4500139133</t>
  </si>
  <si>
    <t>5000024886</t>
  </si>
  <si>
    <t>5000024887</t>
  </si>
  <si>
    <t>4500139662</t>
  </si>
  <si>
    <t>5000024888</t>
  </si>
  <si>
    <t>CAVALLONE HERMANOS S. R. L.</t>
  </si>
  <si>
    <t>4500138119</t>
  </si>
  <si>
    <t>5000024889</t>
  </si>
  <si>
    <t>4500139516</t>
  </si>
  <si>
    <t>5000024890</t>
  </si>
  <si>
    <t>4500138841</t>
  </si>
  <si>
    <t>5000024891</t>
  </si>
  <si>
    <t>4500139656</t>
  </si>
  <si>
    <t>5000024892</t>
  </si>
  <si>
    <t>FACORSA S.A.</t>
  </si>
  <si>
    <t>4500138842</t>
  </si>
  <si>
    <t>5000024893</t>
  </si>
  <si>
    <t>NEXSYS ARGENTINA SA</t>
  </si>
  <si>
    <t>4500139833</t>
  </si>
  <si>
    <t>5000024894</t>
  </si>
  <si>
    <t>5000024895</t>
  </si>
  <si>
    <t>5000024896</t>
  </si>
  <si>
    <t>4500136723</t>
  </si>
  <si>
    <t>5000024897</t>
  </si>
  <si>
    <t>4500138134</t>
  </si>
  <si>
    <t>5000024898</t>
  </si>
  <si>
    <t>SANTIA LUCAS EZEQUIEL</t>
  </si>
  <si>
    <t>4500139668</t>
  </si>
  <si>
    <t>5000024899</t>
  </si>
  <si>
    <t>TRANSPORTE ANA S.R.L.</t>
  </si>
  <si>
    <t>4500139663</t>
  </si>
  <si>
    <t>5000024900</t>
  </si>
  <si>
    <t>TRANSLOGISTICA VESPRINI S. R. L.</t>
  </si>
  <si>
    <t>4500139665</t>
  </si>
  <si>
    <t>5000024901</t>
  </si>
  <si>
    <t>5000024902</t>
  </si>
  <si>
    <t>4500139887</t>
  </si>
  <si>
    <t>5000024903</t>
  </si>
  <si>
    <t>4500137571</t>
  </si>
  <si>
    <t>5000024904</t>
  </si>
  <si>
    <t>4500129970</t>
  </si>
  <si>
    <t>4500130191</t>
  </si>
  <si>
    <t>4500110746</t>
  </si>
  <si>
    <t>5000024905</t>
  </si>
  <si>
    <t>4500131864</t>
  </si>
  <si>
    <t>5000024906</t>
  </si>
  <si>
    <t>DASH SRL</t>
  </si>
  <si>
    <t>4500135132</t>
  </si>
  <si>
    <t>5000024907</t>
  </si>
  <si>
    <t>4500137318</t>
  </si>
  <si>
    <t>5000024908</t>
  </si>
  <si>
    <t>RECONSTRUCTORA UNION SA</t>
  </si>
  <si>
    <t>4500137940</t>
  </si>
  <si>
    <t>5000024909</t>
  </si>
  <si>
    <t>GIANNELLI OSCAR RUBEN</t>
  </si>
  <si>
    <t>4500136798</t>
  </si>
  <si>
    <t>5000024910</t>
  </si>
  <si>
    <t>5000024911</t>
  </si>
  <si>
    <t>4500140032</t>
  </si>
  <si>
    <t>5000024912</t>
  </si>
  <si>
    <t>4500139414</t>
  </si>
  <si>
    <t>5000024913</t>
  </si>
  <si>
    <t>5000024914</t>
  </si>
  <si>
    <t>SILVA MENA JOSE MARIA</t>
  </si>
  <si>
    <t>4500126451</t>
  </si>
  <si>
    <t>5000024915</t>
  </si>
  <si>
    <t>ASOCIACION CIVIL LA HIGUERA</t>
  </si>
  <si>
    <t>4500116756</t>
  </si>
  <si>
    <t>5000024916</t>
  </si>
  <si>
    <t>GRAFIKARE SRL</t>
  </si>
  <si>
    <t>4500119659</t>
  </si>
  <si>
    <t>5000024917</t>
  </si>
  <si>
    <t>5000024918</t>
  </si>
  <si>
    <t>GLOBAL VM SRL</t>
  </si>
  <si>
    <t>4500132118</t>
  </si>
  <si>
    <t>5000024919</t>
  </si>
  <si>
    <t>CORRALON GUEMES S.R.L.</t>
  </si>
  <si>
    <t>4500140097</t>
  </si>
  <si>
    <t>5000024920</t>
  </si>
  <si>
    <t>PAZ DIEGO ADRIAN</t>
  </si>
  <si>
    <t>4500120745</t>
  </si>
  <si>
    <t>5000024921</t>
  </si>
  <si>
    <t>4500139684</t>
  </si>
  <si>
    <t>5000024922</t>
  </si>
  <si>
    <t>4500139657</t>
  </si>
  <si>
    <t>5000024923</t>
  </si>
  <si>
    <t>5000024924</t>
  </si>
  <si>
    <t>GALVAN ADELA GLADYS</t>
  </si>
  <si>
    <t>4500139912</t>
  </si>
  <si>
    <t>5000024925</t>
  </si>
  <si>
    <t>4500133808</t>
  </si>
  <si>
    <t>5000024926</t>
  </si>
  <si>
    <t>COLONNA OMAR RODOLFO</t>
  </si>
  <si>
    <t>4500131564</t>
  </si>
  <si>
    <t>5000024927</t>
  </si>
  <si>
    <t>4500139707</t>
  </si>
  <si>
    <t>5000024928</t>
  </si>
  <si>
    <t>4500139942</t>
  </si>
  <si>
    <t>5000024929</t>
  </si>
  <si>
    <t>5000024930</t>
  </si>
  <si>
    <t>4500139821</t>
  </si>
  <si>
    <t>5000024931</t>
  </si>
  <si>
    <t>DISTRIBUIDORA ALVEAR S.R.L</t>
  </si>
  <si>
    <t>4500139980</t>
  </si>
  <si>
    <t>5000024932</t>
  </si>
  <si>
    <t>4500139922</t>
  </si>
  <si>
    <t>5000024933</t>
  </si>
  <si>
    <t>4500129215</t>
  </si>
  <si>
    <t>5000024934</t>
  </si>
  <si>
    <t>ESTRELLA LUIS ALBERTO</t>
  </si>
  <si>
    <t>4500139947</t>
  </si>
  <si>
    <t>5000024935</t>
  </si>
  <si>
    <t>4500138635</t>
  </si>
  <si>
    <t>5000024936</t>
  </si>
  <si>
    <t>5000024937</t>
  </si>
  <si>
    <t>5000024938</t>
  </si>
  <si>
    <t>4500135058</t>
  </si>
  <si>
    <t>5000024939</t>
  </si>
  <si>
    <t>5000024940</t>
  </si>
  <si>
    <t>5000024941</t>
  </si>
  <si>
    <t>CATEX SRL</t>
  </si>
  <si>
    <t>4500135942</t>
  </si>
  <si>
    <t>5000024942</t>
  </si>
  <si>
    <t>5000024943</t>
  </si>
  <si>
    <t>5000024944</t>
  </si>
  <si>
    <t>5000024945</t>
  </si>
  <si>
    <t>4500140135</t>
  </si>
  <si>
    <t>5000024946</t>
  </si>
  <si>
    <t>5000024947</t>
  </si>
  <si>
    <t>4500139959</t>
  </si>
  <si>
    <t>5000024948</t>
  </si>
  <si>
    <t>4500139983</t>
  </si>
  <si>
    <t>5000024949</t>
  </si>
  <si>
    <t>SOLUTION SERVICES SRL</t>
  </si>
  <si>
    <t>4500139988</t>
  </si>
  <si>
    <t>5000024950</t>
  </si>
  <si>
    <t>4500139241</t>
  </si>
  <si>
    <t>5000024951</t>
  </si>
  <si>
    <t>5000024952</t>
  </si>
  <si>
    <t>5000024953</t>
  </si>
  <si>
    <t>CORTESI MIGUEL ANGEL</t>
  </si>
  <si>
    <t>4500139685</t>
  </si>
  <si>
    <t>5000024955</t>
  </si>
  <si>
    <t>4500140116</t>
  </si>
  <si>
    <t>5000024956</t>
  </si>
  <si>
    <t>4500139960</t>
  </si>
  <si>
    <t>5000024957</t>
  </si>
  <si>
    <t>5000024958</t>
  </si>
  <si>
    <t>4500139969</t>
  </si>
  <si>
    <t>5000024959</t>
  </si>
  <si>
    <t>4500139762</t>
  </si>
  <si>
    <t>5000024960</t>
  </si>
  <si>
    <t>TABLADA OSCAR MAXIMO</t>
  </si>
  <si>
    <t>4500140142</t>
  </si>
  <si>
    <t>5000024961</t>
  </si>
  <si>
    <t>HAY ARGENTINA SA</t>
  </si>
  <si>
    <t>4500139804</t>
  </si>
  <si>
    <t>5000024962</t>
  </si>
  <si>
    <t>ARQUIMIA S A</t>
  </si>
  <si>
    <t>4500122458</t>
  </si>
  <si>
    <t>5000024963</t>
  </si>
  <si>
    <t>PEREZ MARZO SAS</t>
  </si>
  <si>
    <t>4500118104</t>
  </si>
  <si>
    <t>5000024964</t>
  </si>
  <si>
    <t>5000024965</t>
  </si>
  <si>
    <t>4500140075</t>
  </si>
  <si>
    <t>5000024966</t>
  </si>
  <si>
    <t>4500140145</t>
  </si>
  <si>
    <t>5000024967</t>
  </si>
  <si>
    <t>4500139998</t>
  </si>
  <si>
    <t>5000024968</t>
  </si>
  <si>
    <t>4500140147</t>
  </si>
  <si>
    <t>5000024969</t>
  </si>
  <si>
    <t>AM OUTSOURCING PARTNER SRL</t>
  </si>
  <si>
    <t>4500114885</t>
  </si>
  <si>
    <t>5000024970</t>
  </si>
  <si>
    <t>4500139205</t>
  </si>
  <si>
    <t>5000024971</t>
  </si>
  <si>
    <t>5000024972</t>
  </si>
  <si>
    <t>4500140156</t>
  </si>
  <si>
    <t>5000024973</t>
  </si>
  <si>
    <t>SALLAGO FEDERICO MIGUEL</t>
  </si>
  <si>
    <t>4500140155</t>
  </si>
  <si>
    <t>5000024974</t>
  </si>
  <si>
    <t>SAP ARGENTINA SA</t>
  </si>
  <si>
    <t>4500056475</t>
  </si>
  <si>
    <t>5000024975</t>
  </si>
  <si>
    <t>4500080559</t>
  </si>
  <si>
    <t>5000024976</t>
  </si>
  <si>
    <t>4500041032</t>
  </si>
  <si>
    <t>5000024977</t>
  </si>
  <si>
    <t>4500126226</t>
  </si>
  <si>
    <t>5000024978</t>
  </si>
  <si>
    <t>4500139263</t>
  </si>
  <si>
    <t>5000024979</t>
  </si>
  <si>
    <t>4500139256</t>
  </si>
  <si>
    <t>5000024980</t>
  </si>
  <si>
    <t>4500126227</t>
  </si>
  <si>
    <t>5000024981</t>
  </si>
  <si>
    <t>4500139458</t>
  </si>
  <si>
    <t>5000024982</t>
  </si>
  <si>
    <t>TRAVEL FILTERS SRL</t>
  </si>
  <si>
    <t>4500139907</t>
  </si>
  <si>
    <t>5000024983</t>
  </si>
  <si>
    <t>LAS GRUTAS S A</t>
  </si>
  <si>
    <t>4500114323</t>
  </si>
  <si>
    <t>4500119963</t>
  </si>
  <si>
    <t>5000024984</t>
  </si>
  <si>
    <t>5000024985</t>
  </si>
  <si>
    <t>4500140144</t>
  </si>
  <si>
    <t>5000024986</t>
  </si>
  <si>
    <t>4500140148</t>
  </si>
  <si>
    <t>5000024987</t>
  </si>
  <si>
    <t>4500139820</t>
  </si>
  <si>
    <t>5000024988</t>
  </si>
  <si>
    <t>4500139843</t>
  </si>
  <si>
    <t>5000024989</t>
  </si>
  <si>
    <t>5000024990</t>
  </si>
  <si>
    <t>4500140170</t>
  </si>
  <si>
    <t>5000024991</t>
  </si>
  <si>
    <t>4500140067</t>
  </si>
  <si>
    <t>5000024992</t>
  </si>
  <si>
    <t>SEGURIDAD Y RESGUARDO SRL</t>
  </si>
  <si>
    <t>4500129761</t>
  </si>
  <si>
    <t>5000024993</t>
  </si>
  <si>
    <t>CLEAN CITY S.A.</t>
  </si>
  <si>
    <t>4500121214</t>
  </si>
  <si>
    <t>5000024994</t>
  </si>
  <si>
    <t>SOMA SA</t>
  </si>
  <si>
    <t>4500119106</t>
  </si>
  <si>
    <t>5000024995</t>
  </si>
  <si>
    <t>CEPEDA LEANDRO ESTEBAN</t>
  </si>
  <si>
    <t>4500130030</t>
  </si>
  <si>
    <t>5000024996</t>
  </si>
  <si>
    <t>GEA ROSARIO SA</t>
  </si>
  <si>
    <t>4500126458</t>
  </si>
  <si>
    <t>5000024997</t>
  </si>
  <si>
    <t>4500127691</t>
  </si>
  <si>
    <t>5000024998</t>
  </si>
  <si>
    <t>4500139885</t>
  </si>
  <si>
    <t>5000024999</t>
  </si>
  <si>
    <t>4500139115</t>
  </si>
  <si>
    <t>5000025000</t>
  </si>
  <si>
    <t>4500139125</t>
  </si>
  <si>
    <t>5000025001</t>
  </si>
  <si>
    <t>CONSULDAR SRL</t>
  </si>
  <si>
    <t>4500137951</t>
  </si>
  <si>
    <t>5000025002</t>
  </si>
  <si>
    <t>4500139153</t>
  </si>
  <si>
    <t>5000025003</t>
  </si>
  <si>
    <t>RD REPRESENTACIONES S. R. L.</t>
  </si>
  <si>
    <t>4500136579</t>
  </si>
  <si>
    <t>5000025004</t>
  </si>
  <si>
    <t>4500139377</t>
  </si>
  <si>
    <t>5000025005</t>
  </si>
  <si>
    <t>4500138657</t>
  </si>
  <si>
    <t>5000025006</t>
  </si>
  <si>
    <t>4500128917</t>
  </si>
  <si>
    <t>5000025007</t>
  </si>
  <si>
    <t>4500139289</t>
  </si>
  <si>
    <t>5000025008</t>
  </si>
  <si>
    <t>4500124485</t>
  </si>
  <si>
    <t>5000025009</t>
  </si>
  <si>
    <t>5000025010</t>
  </si>
  <si>
    <t>4500139287</t>
  </si>
  <si>
    <t>1000000527 SEGURIDAD Y RESGUARDO SRL</t>
  </si>
  <si>
    <t>1000013326 COLONNA OMAR RODOLFO</t>
  </si>
  <si>
    <t>1000011505 GALVAN ADELA GLADYS</t>
  </si>
  <si>
    <t>1000001737 BETONSUR SRL</t>
  </si>
  <si>
    <t>1000000997 ARQUIMIA S A</t>
  </si>
  <si>
    <t>1000011470 LAS GRUTAS S A</t>
  </si>
  <si>
    <t>1000004810 SOLUTION SERVICES SRL</t>
  </si>
  <si>
    <t>1000012833 CROS SERVICIOS GENERALES SRL</t>
  </si>
  <si>
    <t>1000010024 CEPEDA LEANDRO ESTEBAN</t>
  </si>
  <si>
    <t>1000002651 AM OUTSOURCING PARTNER SRL</t>
  </si>
  <si>
    <t>1000012175 SINELLI MAURICIO ALEJANDRO</t>
  </si>
  <si>
    <t>1000002939 CATEX SRL</t>
  </si>
  <si>
    <t>1000011773 SILVA MENA JOSE MARIA</t>
  </si>
  <si>
    <t>1000002961 DASH SRL</t>
  </si>
  <si>
    <t>1000001485 SOMA SA</t>
  </si>
  <si>
    <t>1000002862 SAP ARGENTINA SA</t>
  </si>
  <si>
    <t>1000004924 GEA ROSARIO SA</t>
  </si>
  <si>
    <t>1000004571 ASOCIACION CIVIL LA HIGUERA</t>
  </si>
  <si>
    <t>1000002621 PEREZ MARZO SAS</t>
  </si>
  <si>
    <t>1000002819 POMA SCIANCA &amp; ASOCIADOS SA</t>
  </si>
  <si>
    <t>1000000860 GRAFIKARE SRL</t>
  </si>
  <si>
    <t>1000011933 PAZ DIEGO ADRIAN</t>
  </si>
  <si>
    <t>1000001448 CLEAN CITY S.A.</t>
  </si>
  <si>
    <t>1000013418 SEVA FLAVIA SUSANA</t>
  </si>
  <si>
    <t>1000003096 GLOBAL VM SRL</t>
  </si>
  <si>
    <t>1000013382 PROPUNA SAS</t>
  </si>
  <si>
    <t>1000008157 CONSULDAR SRL</t>
  </si>
  <si>
    <t>1000008446 GIANNELLI OSCAR RUBEN</t>
  </si>
  <si>
    <t>1000013731 MASTROSIMONE GUSTAVO DOMINGO</t>
  </si>
  <si>
    <t>1000013504 RD REPRESENTACIONES S. R. L.</t>
  </si>
  <si>
    <t>1000011436 CUYUL LUIS FRANCISCO</t>
  </si>
  <si>
    <t>1000002663 RECONSTRUCTORA UNION SA</t>
  </si>
  <si>
    <t>1000011901 CAVALLONE HERMANOS S. R. L.</t>
  </si>
  <si>
    <t>1000000753 FACORSA S.A.</t>
  </si>
  <si>
    <t>1000000581 GINZA S.A.</t>
  </si>
  <si>
    <t>1000000811 MARADONA, RICARDO WALTER</t>
  </si>
  <si>
    <t>1000009284 TRANSPORTE ANA S.R.L.</t>
  </si>
  <si>
    <t>1000012940 TRANSLOGISTICA VESPRINI S. R. L.</t>
  </si>
  <si>
    <t>1000006833 SANTIA LUCAS EZEQUIEL</t>
  </si>
  <si>
    <t>1000013101 CORTESI MIGUEL ANGEL</t>
  </si>
  <si>
    <t>1000011738 CHEN WENRONG</t>
  </si>
  <si>
    <t>1000001326 HAY ARGENTINA SA</t>
  </si>
  <si>
    <t>1000007233 NEXSYS ARGENTINA SA</t>
  </si>
  <si>
    <t>1000001154 TRAVEL FILTERS SRL</t>
  </si>
  <si>
    <t>1000009235 ESTRELLA LUIS ALBERTO</t>
  </si>
  <si>
    <t>1000003828 DISTRIBUIDORA ALVEAR S.R.L</t>
  </si>
  <si>
    <t>1000000636 GIOVAGNOLI S.R.L.</t>
  </si>
  <si>
    <t>1000009410 TONELLI CRISTIAN ADRIAN</t>
  </si>
  <si>
    <t>1000013179 CORRALON GUEMES S.R.L.</t>
  </si>
  <si>
    <t>1000004040 TABLADA OSCAR MAXIMO</t>
  </si>
  <si>
    <t>1000011519 SALLAGO FEDERICO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</si>
</sst>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4" fontId="0" fillId="0" borderId="0" xfId="0" applyNumberForma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quotePrefix="1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C\QPendientes@" descr="@5C\QPendientes@">
          <a:extLst>
            <a:ext uri="{FF2B5EF4-FFF2-40B4-BE49-F238E27FC236}">
              <a16:creationId xmlns:a16="http://schemas.microsoft.com/office/drawing/2014/main" id="{A6B67E45-D112-43C1-BDEE-BE52FA680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Pendientes@" descr="@5C\QPendientes@">
          <a:extLst>
            <a:ext uri="{FF2B5EF4-FFF2-40B4-BE49-F238E27FC236}">
              <a16:creationId xmlns:a16="http://schemas.microsoft.com/office/drawing/2014/main" id="{9FACDD9C-320F-48B7-9D5D-DB6195F61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Pendientes@" descr="@5C\QPendientes@">
          <a:extLst>
            <a:ext uri="{FF2B5EF4-FFF2-40B4-BE49-F238E27FC236}">
              <a16:creationId xmlns:a16="http://schemas.microsoft.com/office/drawing/2014/main" id="{19C739F8-F17D-409C-B92E-02D7B0F70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Pendientes@" descr="@5C\QPendientes@">
          <a:extLst>
            <a:ext uri="{FF2B5EF4-FFF2-40B4-BE49-F238E27FC236}">
              <a16:creationId xmlns:a16="http://schemas.microsoft.com/office/drawing/2014/main" id="{5BB57240-A25B-457D-9385-D07F3D4CD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Pendientes@" descr="@5C\QPendientes@">
          <a:extLst>
            <a:ext uri="{FF2B5EF4-FFF2-40B4-BE49-F238E27FC236}">
              <a16:creationId xmlns:a16="http://schemas.microsoft.com/office/drawing/2014/main" id="{27F81811-4B1D-45E1-81EC-27E6D92FDF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Pendientes@" descr="@5C\QPendientes@">
          <a:extLst>
            <a:ext uri="{FF2B5EF4-FFF2-40B4-BE49-F238E27FC236}">
              <a16:creationId xmlns:a16="http://schemas.microsoft.com/office/drawing/2014/main" id="{AFFCE863-3294-4719-AA95-501B4EB73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" name="Picture@5C\QPendientes@" descr="@5C\QPendientes@">
          <a:extLst>
            <a:ext uri="{FF2B5EF4-FFF2-40B4-BE49-F238E27FC236}">
              <a16:creationId xmlns:a16="http://schemas.microsoft.com/office/drawing/2014/main" id="{37F49930-B30C-440F-A521-AF736DA9A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" name="Picture@5C\QPendientes@" descr="@5C\QPendientes@">
          <a:extLst>
            <a:ext uri="{FF2B5EF4-FFF2-40B4-BE49-F238E27FC236}">
              <a16:creationId xmlns:a16="http://schemas.microsoft.com/office/drawing/2014/main" id="{753EB899-F3CC-48D6-8AF1-CD3D2D0C4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0" name="Picture@5C\QPendientes@" descr="@5C\QPendientes@">
          <a:extLst>
            <a:ext uri="{FF2B5EF4-FFF2-40B4-BE49-F238E27FC236}">
              <a16:creationId xmlns:a16="http://schemas.microsoft.com/office/drawing/2014/main" id="{E41591DC-952E-4504-AD86-084BCA701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1" name="Picture@5C\QPendientes@" descr="@5C\QPendientes@">
          <a:extLst>
            <a:ext uri="{FF2B5EF4-FFF2-40B4-BE49-F238E27FC236}">
              <a16:creationId xmlns:a16="http://schemas.microsoft.com/office/drawing/2014/main" id="{53629F4D-69D7-4001-9DEE-1C86A52A2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2" name="Picture@5C\QPendientes@" descr="@5C\QPendientes@">
          <a:extLst>
            <a:ext uri="{FF2B5EF4-FFF2-40B4-BE49-F238E27FC236}">
              <a16:creationId xmlns:a16="http://schemas.microsoft.com/office/drawing/2014/main" id="{E34177DE-071F-4484-A122-6F6167525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3" name="Picture@5C\QPendientes@" descr="@5C\QPendientes@">
          <a:extLst>
            <a:ext uri="{FF2B5EF4-FFF2-40B4-BE49-F238E27FC236}">
              <a16:creationId xmlns:a16="http://schemas.microsoft.com/office/drawing/2014/main" id="{A219EF58-0CD2-49FC-B159-7862918ED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4" name="Picture@5C\QPendientes@" descr="@5C\QPendientes@">
          <a:extLst>
            <a:ext uri="{FF2B5EF4-FFF2-40B4-BE49-F238E27FC236}">
              <a16:creationId xmlns:a16="http://schemas.microsoft.com/office/drawing/2014/main" id="{F2AD322A-0518-4F3A-A99B-6A8689F58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5" name="Picture@5C\QPendientes@" descr="@5C\QPendientes@">
          <a:extLst>
            <a:ext uri="{FF2B5EF4-FFF2-40B4-BE49-F238E27FC236}">
              <a16:creationId xmlns:a16="http://schemas.microsoft.com/office/drawing/2014/main" id="{09966FFC-4785-466F-A15F-551FC6432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6" name="Picture@5C\QPendientes@" descr="@5C\QPendientes@">
          <a:extLst>
            <a:ext uri="{FF2B5EF4-FFF2-40B4-BE49-F238E27FC236}">
              <a16:creationId xmlns:a16="http://schemas.microsoft.com/office/drawing/2014/main" id="{5A1DA0A4-92BB-4683-9A14-88D322E99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7" name="Picture@5C\QPendientes@" descr="@5C\QPendientes@">
          <a:extLst>
            <a:ext uri="{FF2B5EF4-FFF2-40B4-BE49-F238E27FC236}">
              <a16:creationId xmlns:a16="http://schemas.microsoft.com/office/drawing/2014/main" id="{B8D7546A-E462-4CE0-9E67-9129B0BF2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8" name="Picture@5C\QPendientes@" descr="@5C\QPendientes@">
          <a:extLst>
            <a:ext uri="{FF2B5EF4-FFF2-40B4-BE49-F238E27FC236}">
              <a16:creationId xmlns:a16="http://schemas.microsoft.com/office/drawing/2014/main" id="{3D1915C7-19FB-453B-99B0-6BE0ECAA2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9" name="Picture@5C\QPendientes@" descr="@5C\QPendientes@">
          <a:extLst>
            <a:ext uri="{FF2B5EF4-FFF2-40B4-BE49-F238E27FC236}">
              <a16:creationId xmlns:a16="http://schemas.microsoft.com/office/drawing/2014/main" id="{B5785BB3-FBB5-43A3-A3AB-8674A10D7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0" name="Picture@5C\QPendientes@" descr="@5C\QPendientes@">
          <a:extLst>
            <a:ext uri="{FF2B5EF4-FFF2-40B4-BE49-F238E27FC236}">
              <a16:creationId xmlns:a16="http://schemas.microsoft.com/office/drawing/2014/main" id="{0B97ADBA-2F00-4FE6-A79D-607DB4079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1" name="Picture@5C\QPendientes@" descr="@5C\QPendientes@">
          <a:extLst>
            <a:ext uri="{FF2B5EF4-FFF2-40B4-BE49-F238E27FC236}">
              <a16:creationId xmlns:a16="http://schemas.microsoft.com/office/drawing/2014/main" id="{DEF753D8-F343-4CBA-9898-ECB4D6B6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2" name="Picture@5C\QPendientes@" descr="@5C\QPendientes@">
          <a:extLst>
            <a:ext uri="{FF2B5EF4-FFF2-40B4-BE49-F238E27FC236}">
              <a16:creationId xmlns:a16="http://schemas.microsoft.com/office/drawing/2014/main" id="{CABAF530-F8FE-4EDF-A0D0-7FFBD3551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" name="Picture@5C\QPendientes@" descr="@5C\QPendientes@">
          <a:extLst>
            <a:ext uri="{FF2B5EF4-FFF2-40B4-BE49-F238E27FC236}">
              <a16:creationId xmlns:a16="http://schemas.microsoft.com/office/drawing/2014/main" id="{9DECF656-2979-4E68-9642-CEE217B9D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" name="Picture@5C\QPendientes@" descr="@5C\QPendientes@">
          <a:extLst>
            <a:ext uri="{FF2B5EF4-FFF2-40B4-BE49-F238E27FC236}">
              <a16:creationId xmlns:a16="http://schemas.microsoft.com/office/drawing/2014/main" id="{CEB37274-7220-4854-9A8A-081E4562C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" name="Picture@5C\QPendientes@" descr="@5C\QPendientes@">
          <a:extLst>
            <a:ext uri="{FF2B5EF4-FFF2-40B4-BE49-F238E27FC236}">
              <a16:creationId xmlns:a16="http://schemas.microsoft.com/office/drawing/2014/main" id="{C5BF2684-6758-4204-A6D9-3C88B45AF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6" name="Picture@5C\QPendientes@" descr="@5C\QPendientes@">
          <a:extLst>
            <a:ext uri="{FF2B5EF4-FFF2-40B4-BE49-F238E27FC236}">
              <a16:creationId xmlns:a16="http://schemas.microsoft.com/office/drawing/2014/main" id="{BA38D9B4-DB7E-49C6-AFA0-7A632EC08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7" name="Picture@5C\QPendientes@" descr="@5C\QPendientes@">
          <a:extLst>
            <a:ext uri="{FF2B5EF4-FFF2-40B4-BE49-F238E27FC236}">
              <a16:creationId xmlns:a16="http://schemas.microsoft.com/office/drawing/2014/main" id="{AFA2D6D9-F80F-40A4-9FF7-40805643C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8" name="Picture@5C\QPendientes@" descr="@5C\QPendientes@">
          <a:extLst>
            <a:ext uri="{FF2B5EF4-FFF2-40B4-BE49-F238E27FC236}">
              <a16:creationId xmlns:a16="http://schemas.microsoft.com/office/drawing/2014/main" id="{4C8F7785-1A01-44C2-8393-73115E5C1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" name="Picture@5C\QPendientes@" descr="@5C\QPendientes@">
          <a:extLst>
            <a:ext uri="{FF2B5EF4-FFF2-40B4-BE49-F238E27FC236}">
              <a16:creationId xmlns:a16="http://schemas.microsoft.com/office/drawing/2014/main" id="{0EC4104C-4785-461B-A98E-2CE3F96CA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0" name="Picture@5C\QPendientes@" descr="@5C\QPendientes@">
          <a:extLst>
            <a:ext uri="{FF2B5EF4-FFF2-40B4-BE49-F238E27FC236}">
              <a16:creationId xmlns:a16="http://schemas.microsoft.com/office/drawing/2014/main" id="{B9E79F79-0EA9-4199-AF5C-3A6D9A231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" name="Picture@5C\QPendientes@" descr="@5C\QPendientes@">
          <a:extLst>
            <a:ext uri="{FF2B5EF4-FFF2-40B4-BE49-F238E27FC236}">
              <a16:creationId xmlns:a16="http://schemas.microsoft.com/office/drawing/2014/main" id="{807DBADA-2561-42CD-8927-3D6ACF634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2" name="Picture@5C\QPendientes@" descr="@5C\QPendientes@">
          <a:extLst>
            <a:ext uri="{FF2B5EF4-FFF2-40B4-BE49-F238E27FC236}">
              <a16:creationId xmlns:a16="http://schemas.microsoft.com/office/drawing/2014/main" id="{6542D026-E0E2-4C38-87DB-8DE8CD162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3" name="Picture@5C\QPendientes@" descr="@5C\QPendientes@">
          <a:extLst>
            <a:ext uri="{FF2B5EF4-FFF2-40B4-BE49-F238E27FC236}">
              <a16:creationId xmlns:a16="http://schemas.microsoft.com/office/drawing/2014/main" id="{62702419-52F7-43D7-9DC5-8E8E15C87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4" name="Picture@5C\QPendientes@" descr="@5C\QPendientes@">
          <a:extLst>
            <a:ext uri="{FF2B5EF4-FFF2-40B4-BE49-F238E27FC236}">
              <a16:creationId xmlns:a16="http://schemas.microsoft.com/office/drawing/2014/main" id="{2311BB0B-2D7A-464E-B366-9D888433B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5" name="Picture@5C\QPendientes@" descr="@5C\QPendientes@">
          <a:extLst>
            <a:ext uri="{FF2B5EF4-FFF2-40B4-BE49-F238E27FC236}">
              <a16:creationId xmlns:a16="http://schemas.microsoft.com/office/drawing/2014/main" id="{1BC25191-7EA3-46EC-95A5-BF78116DA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6" name="Picture@5C\QPendientes@" descr="@5C\QPendientes@">
          <a:extLst>
            <a:ext uri="{FF2B5EF4-FFF2-40B4-BE49-F238E27FC236}">
              <a16:creationId xmlns:a16="http://schemas.microsoft.com/office/drawing/2014/main" id="{06A8738A-D8DA-4019-8A26-48628A6C1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" name="Picture@5C\QPendientes@" descr="@5C\QPendientes@">
          <a:extLst>
            <a:ext uri="{FF2B5EF4-FFF2-40B4-BE49-F238E27FC236}">
              <a16:creationId xmlns:a16="http://schemas.microsoft.com/office/drawing/2014/main" id="{2366C319-E30D-4D40-8CAB-3E2DA5C79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8" name="Picture@5C\QPendientes@" descr="@5C\QPendientes@">
          <a:extLst>
            <a:ext uri="{FF2B5EF4-FFF2-40B4-BE49-F238E27FC236}">
              <a16:creationId xmlns:a16="http://schemas.microsoft.com/office/drawing/2014/main" id="{1BB21314-F91B-44DB-B0D7-C921A4D76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9" name="Picture@5C\QPendientes@" descr="@5C\QPendientes@">
          <a:extLst>
            <a:ext uri="{FF2B5EF4-FFF2-40B4-BE49-F238E27FC236}">
              <a16:creationId xmlns:a16="http://schemas.microsoft.com/office/drawing/2014/main" id="{6D9E6305-DF50-4408-9798-8B599F538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0" name="Picture@5C\QPendientes@" descr="@5C\QPendientes@">
          <a:extLst>
            <a:ext uri="{FF2B5EF4-FFF2-40B4-BE49-F238E27FC236}">
              <a16:creationId xmlns:a16="http://schemas.microsoft.com/office/drawing/2014/main" id="{E0B59EAE-E8A4-40C2-99B9-9C5379195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" name="Picture@5C\QPendientes@" descr="@5C\QPendientes@">
          <a:extLst>
            <a:ext uri="{FF2B5EF4-FFF2-40B4-BE49-F238E27FC236}">
              <a16:creationId xmlns:a16="http://schemas.microsoft.com/office/drawing/2014/main" id="{6C192211-3D6C-47B5-9286-1D4CA8D77E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2" name="Picture@5C\QPendientes@" descr="@5C\QPendientes@">
          <a:extLst>
            <a:ext uri="{FF2B5EF4-FFF2-40B4-BE49-F238E27FC236}">
              <a16:creationId xmlns:a16="http://schemas.microsoft.com/office/drawing/2014/main" id="{4530A987-0972-4AE9-9714-FD5999671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3" name="Picture@5C\QPendientes@" descr="@5C\QPendientes@">
          <a:extLst>
            <a:ext uri="{FF2B5EF4-FFF2-40B4-BE49-F238E27FC236}">
              <a16:creationId xmlns:a16="http://schemas.microsoft.com/office/drawing/2014/main" id="{71F513F0-0E46-468A-8C72-B2619701F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4" name="Picture@5C\QPendientes@" descr="@5C\QPendientes@">
          <a:extLst>
            <a:ext uri="{FF2B5EF4-FFF2-40B4-BE49-F238E27FC236}">
              <a16:creationId xmlns:a16="http://schemas.microsoft.com/office/drawing/2014/main" id="{277454BE-760F-41F2-908F-BEAE446E9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5" name="Picture@5C\QPendientes@" descr="@5C\QPendientes@">
          <a:extLst>
            <a:ext uri="{FF2B5EF4-FFF2-40B4-BE49-F238E27FC236}">
              <a16:creationId xmlns:a16="http://schemas.microsoft.com/office/drawing/2014/main" id="{503BFADB-7C6D-4315-931D-200041070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6" name="Picture@5C\QPendientes@" descr="@5C\QPendientes@">
          <a:extLst>
            <a:ext uri="{FF2B5EF4-FFF2-40B4-BE49-F238E27FC236}">
              <a16:creationId xmlns:a16="http://schemas.microsoft.com/office/drawing/2014/main" id="{39BA640C-70FD-4610-A0DB-C8FBFBE51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7" name="Picture@5C\QPendientes@" descr="@5C\QPendientes@">
          <a:extLst>
            <a:ext uri="{FF2B5EF4-FFF2-40B4-BE49-F238E27FC236}">
              <a16:creationId xmlns:a16="http://schemas.microsoft.com/office/drawing/2014/main" id="{2FE6414E-84CF-4940-B1AE-7606A04C0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8" name="Picture@5C\QPendientes@" descr="@5C\QPendientes@">
          <a:extLst>
            <a:ext uri="{FF2B5EF4-FFF2-40B4-BE49-F238E27FC236}">
              <a16:creationId xmlns:a16="http://schemas.microsoft.com/office/drawing/2014/main" id="{C1ABB81F-90B9-4255-B3EF-5A880206A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9" name="Picture@5C\QPendientes@" descr="@5C\QPendientes@">
          <a:extLst>
            <a:ext uri="{FF2B5EF4-FFF2-40B4-BE49-F238E27FC236}">
              <a16:creationId xmlns:a16="http://schemas.microsoft.com/office/drawing/2014/main" id="{78DDBBB7-0F58-494F-9DC0-DAC9D3EDF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0" name="Picture@5C\QPendientes@" descr="@5C\QPendientes@">
          <a:extLst>
            <a:ext uri="{FF2B5EF4-FFF2-40B4-BE49-F238E27FC236}">
              <a16:creationId xmlns:a16="http://schemas.microsoft.com/office/drawing/2014/main" id="{B5EB9B3D-20E1-4A19-881E-A6DCFD1E7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1" name="Picture@5C\QPendientes@" descr="@5C\QPendientes@">
          <a:extLst>
            <a:ext uri="{FF2B5EF4-FFF2-40B4-BE49-F238E27FC236}">
              <a16:creationId xmlns:a16="http://schemas.microsoft.com/office/drawing/2014/main" id="{5A68B883-99E4-4081-AC86-0D5A724FC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2" name="Picture@5C\QPendientes@" descr="@5C\QPendientes@">
          <a:extLst>
            <a:ext uri="{FF2B5EF4-FFF2-40B4-BE49-F238E27FC236}">
              <a16:creationId xmlns:a16="http://schemas.microsoft.com/office/drawing/2014/main" id="{2B87D975-C651-4300-9796-81871B687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3" name="Picture@5C\QPendientes@" descr="@5C\QPendientes@">
          <a:extLst>
            <a:ext uri="{FF2B5EF4-FFF2-40B4-BE49-F238E27FC236}">
              <a16:creationId xmlns:a16="http://schemas.microsoft.com/office/drawing/2014/main" id="{2FD32B80-53A8-4CC3-8572-6E2BDC1C3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4" name="Picture@5C\QPendientes@" descr="@5C\QPendientes@">
          <a:extLst>
            <a:ext uri="{FF2B5EF4-FFF2-40B4-BE49-F238E27FC236}">
              <a16:creationId xmlns:a16="http://schemas.microsoft.com/office/drawing/2014/main" id="{12F23DCF-ADB4-485B-83AD-27E0697ED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5" name="Picture@5C\QPendientes@" descr="@5C\QPendientes@">
          <a:extLst>
            <a:ext uri="{FF2B5EF4-FFF2-40B4-BE49-F238E27FC236}">
              <a16:creationId xmlns:a16="http://schemas.microsoft.com/office/drawing/2014/main" id="{46D9640E-6BCC-4E2F-924F-90BDF6628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6" name="Picture@5C\QPendientes@" descr="@5C\QPendientes@">
          <a:extLst>
            <a:ext uri="{FF2B5EF4-FFF2-40B4-BE49-F238E27FC236}">
              <a16:creationId xmlns:a16="http://schemas.microsoft.com/office/drawing/2014/main" id="{BDAC1416-F402-4A9F-B0DB-4859A12AA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7" name="Picture@5C\QPendientes@" descr="@5C\QPendientes@">
          <a:extLst>
            <a:ext uri="{FF2B5EF4-FFF2-40B4-BE49-F238E27FC236}">
              <a16:creationId xmlns:a16="http://schemas.microsoft.com/office/drawing/2014/main" id="{7965022E-B25A-4ADC-9BA6-10C068019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" name="Picture@5C\QPendientes@" descr="@5C\QPendientes@">
          <a:extLst>
            <a:ext uri="{FF2B5EF4-FFF2-40B4-BE49-F238E27FC236}">
              <a16:creationId xmlns:a16="http://schemas.microsoft.com/office/drawing/2014/main" id="{8B156842-E774-4622-A957-9D1C4F1E4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9" name="Picture@5C\QPendientes@" descr="@5C\QPendientes@">
          <a:extLst>
            <a:ext uri="{FF2B5EF4-FFF2-40B4-BE49-F238E27FC236}">
              <a16:creationId xmlns:a16="http://schemas.microsoft.com/office/drawing/2014/main" id="{7F72476D-BD85-4D7A-9775-7E4A474FD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0" name="Picture@5C\QPendientes@" descr="@5C\QPendientes@">
          <a:extLst>
            <a:ext uri="{FF2B5EF4-FFF2-40B4-BE49-F238E27FC236}">
              <a16:creationId xmlns:a16="http://schemas.microsoft.com/office/drawing/2014/main" id="{C713F74F-1B53-4B59-8436-7375E0F53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1" name="Picture@5C\QPendientes@" descr="@5C\QPendientes@">
          <a:extLst>
            <a:ext uri="{FF2B5EF4-FFF2-40B4-BE49-F238E27FC236}">
              <a16:creationId xmlns:a16="http://schemas.microsoft.com/office/drawing/2014/main" id="{C78861C6-D714-4887-8C0F-4623AF484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2" name="Picture@5C\QPendientes@" descr="@5C\QPendientes@">
          <a:extLst>
            <a:ext uri="{FF2B5EF4-FFF2-40B4-BE49-F238E27FC236}">
              <a16:creationId xmlns:a16="http://schemas.microsoft.com/office/drawing/2014/main" id="{0A543D64-6F10-4590-B2AE-6A1571405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3" name="Picture@5C\QPendientes@" descr="@5C\QPendientes@">
          <a:extLst>
            <a:ext uri="{FF2B5EF4-FFF2-40B4-BE49-F238E27FC236}">
              <a16:creationId xmlns:a16="http://schemas.microsoft.com/office/drawing/2014/main" id="{622B4A43-17D9-4E7F-940F-1A20A0D5B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2880" name="Picture@5C\QPendientes@" descr="@5C\QPendientes@">
          <a:extLst>
            <a:ext uri="{FF2B5EF4-FFF2-40B4-BE49-F238E27FC236}">
              <a16:creationId xmlns:a16="http://schemas.microsoft.com/office/drawing/2014/main" id="{5DB06E4B-A7A1-4526-8D5A-1F5804651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2881" name="Picture@5C\QPendientes@" descr="@5C\QPendientes@">
          <a:extLst>
            <a:ext uri="{FF2B5EF4-FFF2-40B4-BE49-F238E27FC236}">
              <a16:creationId xmlns:a16="http://schemas.microsoft.com/office/drawing/2014/main" id="{60F4AD18-59A0-43D4-9D8C-978800C2A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5328" name="Picture@5C\QPendientes@" descr="@5C\QPendientes@">
          <a:extLst>
            <a:ext uri="{FF2B5EF4-FFF2-40B4-BE49-F238E27FC236}">
              <a16:creationId xmlns:a16="http://schemas.microsoft.com/office/drawing/2014/main" id="{D146E78B-5061-4307-8D9D-8DC2BE4CD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5329" name="Picture@5C\QPendientes@" descr="@5C\QPendientes@">
          <a:extLst>
            <a:ext uri="{FF2B5EF4-FFF2-40B4-BE49-F238E27FC236}">
              <a16:creationId xmlns:a16="http://schemas.microsoft.com/office/drawing/2014/main" id="{95BE7277-58B5-47AC-A096-B04C51A63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5330" name="Picture@5C\QPendientes@" descr="@5C\QPendientes@">
          <a:extLst>
            <a:ext uri="{FF2B5EF4-FFF2-40B4-BE49-F238E27FC236}">
              <a16:creationId xmlns:a16="http://schemas.microsoft.com/office/drawing/2014/main" id="{912F0AA1-BE23-4599-8E4F-914C4E9E2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5331" name="Picture@5C\QPendientes@" descr="@5C\QPendientes@">
          <a:extLst>
            <a:ext uri="{FF2B5EF4-FFF2-40B4-BE49-F238E27FC236}">
              <a16:creationId xmlns:a16="http://schemas.microsoft.com/office/drawing/2014/main" id="{CBB3B64A-6630-4EAF-A955-6A3E146AB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5332" name="Picture@5C\QPendientes@" descr="@5C\QPendientes@">
          <a:extLst>
            <a:ext uri="{FF2B5EF4-FFF2-40B4-BE49-F238E27FC236}">
              <a16:creationId xmlns:a16="http://schemas.microsoft.com/office/drawing/2014/main" id="{6CA161CF-3E31-4E57-AB7A-906AA7875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5333" name="Picture@5C\QPendientes@" descr="@5C\QPendientes@">
          <a:extLst>
            <a:ext uri="{FF2B5EF4-FFF2-40B4-BE49-F238E27FC236}">
              <a16:creationId xmlns:a16="http://schemas.microsoft.com/office/drawing/2014/main" id="{384AEAA0-37F9-4021-9BC1-2F329A92D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5334" name="Picture@5C\QPendientes@" descr="@5C\QPendientes@">
          <a:extLst>
            <a:ext uri="{FF2B5EF4-FFF2-40B4-BE49-F238E27FC236}">
              <a16:creationId xmlns:a16="http://schemas.microsoft.com/office/drawing/2014/main" id="{D6FA1743-5712-424C-BD45-62D8502FD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5335" name="Picture@5C\QPendientes@" descr="@5C\QPendientes@">
          <a:extLst>
            <a:ext uri="{FF2B5EF4-FFF2-40B4-BE49-F238E27FC236}">
              <a16:creationId xmlns:a16="http://schemas.microsoft.com/office/drawing/2014/main" id="{C6FCD91B-B66D-47F5-91EE-9FAE436E6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5336" name="Picture@5C\QPendientes@" descr="@5C\QPendientes@">
          <a:extLst>
            <a:ext uri="{FF2B5EF4-FFF2-40B4-BE49-F238E27FC236}">
              <a16:creationId xmlns:a16="http://schemas.microsoft.com/office/drawing/2014/main" id="{5B8AD96E-1A48-4CE5-B63F-DC997B076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5337" name="Picture@5C\QPendientes@" descr="@5C\QPendientes@">
          <a:extLst>
            <a:ext uri="{FF2B5EF4-FFF2-40B4-BE49-F238E27FC236}">
              <a16:creationId xmlns:a16="http://schemas.microsoft.com/office/drawing/2014/main" id="{55C3C59D-3490-4798-9E3B-91CEF068D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5338" name="Picture@5C\QPendientes@" descr="@5C\QPendientes@">
          <a:extLst>
            <a:ext uri="{FF2B5EF4-FFF2-40B4-BE49-F238E27FC236}">
              <a16:creationId xmlns:a16="http://schemas.microsoft.com/office/drawing/2014/main" id="{855DC568-1E4C-41D9-A93C-5265B9E54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5339" name="Picture@5C\QPendientes@" descr="@5C\QPendientes@">
          <a:extLst>
            <a:ext uri="{FF2B5EF4-FFF2-40B4-BE49-F238E27FC236}">
              <a16:creationId xmlns:a16="http://schemas.microsoft.com/office/drawing/2014/main" id="{490A4F9B-17DB-472D-BFF9-C9E2CD579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5340" name="Picture@5C\QPendientes@" descr="@5C\QPendientes@">
          <a:extLst>
            <a:ext uri="{FF2B5EF4-FFF2-40B4-BE49-F238E27FC236}">
              <a16:creationId xmlns:a16="http://schemas.microsoft.com/office/drawing/2014/main" id="{58657F91-4ED7-4EA9-B7A5-DA83746F1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5341" name="Picture@5C\QPendientes@" descr="@5C\QPendientes@">
          <a:extLst>
            <a:ext uri="{FF2B5EF4-FFF2-40B4-BE49-F238E27FC236}">
              <a16:creationId xmlns:a16="http://schemas.microsoft.com/office/drawing/2014/main" id="{C67A1629-C526-4A52-8C87-4D5B06DC1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5342" name="Picture@5C\QPendientes@" descr="@5C\QPendientes@">
          <a:extLst>
            <a:ext uri="{FF2B5EF4-FFF2-40B4-BE49-F238E27FC236}">
              <a16:creationId xmlns:a16="http://schemas.microsoft.com/office/drawing/2014/main" id="{C42359C5-D696-40A2-89E4-6222E67544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5343" name="Picture@5C\QPendientes@" descr="@5C\QPendientes@">
          <a:extLst>
            <a:ext uri="{FF2B5EF4-FFF2-40B4-BE49-F238E27FC236}">
              <a16:creationId xmlns:a16="http://schemas.microsoft.com/office/drawing/2014/main" id="{115400F8-B977-40AA-8852-BBD8610C1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5344" name="Picture@5C\QPendientes@" descr="@5C\QPendientes@">
          <a:extLst>
            <a:ext uri="{FF2B5EF4-FFF2-40B4-BE49-F238E27FC236}">
              <a16:creationId xmlns:a16="http://schemas.microsoft.com/office/drawing/2014/main" id="{64006BB2-3193-4C90-8EE5-413ADD571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5345" name="Picture@5C\QPendientes@" descr="@5C\QPendientes@">
          <a:extLst>
            <a:ext uri="{FF2B5EF4-FFF2-40B4-BE49-F238E27FC236}">
              <a16:creationId xmlns:a16="http://schemas.microsoft.com/office/drawing/2014/main" id="{28F6AFF6-ACDE-46E1-B3E9-6481DD7EC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5346" name="Picture@5C\QPendientes@" descr="@5C\QPendientes@">
          <a:extLst>
            <a:ext uri="{FF2B5EF4-FFF2-40B4-BE49-F238E27FC236}">
              <a16:creationId xmlns:a16="http://schemas.microsoft.com/office/drawing/2014/main" id="{2882C635-DE6F-4A0E-9799-E212DAE9C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5347" name="Picture@5C\QPendientes@" descr="@5C\QPendientes@">
          <a:extLst>
            <a:ext uri="{FF2B5EF4-FFF2-40B4-BE49-F238E27FC236}">
              <a16:creationId xmlns:a16="http://schemas.microsoft.com/office/drawing/2014/main" id="{63A532B3-143F-40EF-B7ED-B953F24B7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5348" name="Picture@5C\QPendientes@" descr="@5C\QPendientes@">
          <a:extLst>
            <a:ext uri="{FF2B5EF4-FFF2-40B4-BE49-F238E27FC236}">
              <a16:creationId xmlns:a16="http://schemas.microsoft.com/office/drawing/2014/main" id="{91A96995-B2ED-48D1-9FB9-F6DE230BC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5349" name="Picture@5C\QPendientes@" descr="@5C\QPendientes@">
          <a:extLst>
            <a:ext uri="{FF2B5EF4-FFF2-40B4-BE49-F238E27FC236}">
              <a16:creationId xmlns:a16="http://schemas.microsoft.com/office/drawing/2014/main" id="{CAA355D5-CF43-4EC2-8F0D-06C61F018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5350" name="Picture@5C\QPendientes@" descr="@5C\QPendientes@">
          <a:extLst>
            <a:ext uri="{FF2B5EF4-FFF2-40B4-BE49-F238E27FC236}">
              <a16:creationId xmlns:a16="http://schemas.microsoft.com/office/drawing/2014/main" id="{235CF020-B06D-48C1-A4C7-895A6F031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5351" name="Picture@5C\QPendientes@" descr="@5C\QPendientes@">
          <a:extLst>
            <a:ext uri="{FF2B5EF4-FFF2-40B4-BE49-F238E27FC236}">
              <a16:creationId xmlns:a16="http://schemas.microsoft.com/office/drawing/2014/main" id="{34C1231C-183C-498A-AB69-A0F33CF6F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5352" name="Picture@5C\QPendientes@" descr="@5C\QPendientes@">
          <a:extLst>
            <a:ext uri="{FF2B5EF4-FFF2-40B4-BE49-F238E27FC236}">
              <a16:creationId xmlns:a16="http://schemas.microsoft.com/office/drawing/2014/main" id="{6B611AC3-6A66-4933-BE27-150F3D5E3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5353" name="Picture@5C\QPendientes@" descr="@5C\QPendientes@">
          <a:extLst>
            <a:ext uri="{FF2B5EF4-FFF2-40B4-BE49-F238E27FC236}">
              <a16:creationId xmlns:a16="http://schemas.microsoft.com/office/drawing/2014/main" id="{85A2FF82-F425-4006-8B2C-A83F205D2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5354" name="Picture@5C\QPendientes@" descr="@5C\QPendientes@">
          <a:extLst>
            <a:ext uri="{FF2B5EF4-FFF2-40B4-BE49-F238E27FC236}">
              <a16:creationId xmlns:a16="http://schemas.microsoft.com/office/drawing/2014/main" id="{B0AD8D60-01A9-4109-9033-27EABF2CD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5355" name="Picture@5C\QPendientes@" descr="@5C\QPendientes@">
          <a:extLst>
            <a:ext uri="{FF2B5EF4-FFF2-40B4-BE49-F238E27FC236}">
              <a16:creationId xmlns:a16="http://schemas.microsoft.com/office/drawing/2014/main" id="{484EC9C3-28CA-4B5D-AC62-6FB8E95BAB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5356" name="Picture@5C\QPendientes@" descr="@5C\QPendientes@">
          <a:extLst>
            <a:ext uri="{FF2B5EF4-FFF2-40B4-BE49-F238E27FC236}">
              <a16:creationId xmlns:a16="http://schemas.microsoft.com/office/drawing/2014/main" id="{4172CCFE-1251-4185-B65D-E6577B6F0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5357" name="Picture@5C\QPendientes@" descr="@5C\QPendientes@">
          <a:extLst>
            <a:ext uri="{FF2B5EF4-FFF2-40B4-BE49-F238E27FC236}">
              <a16:creationId xmlns:a16="http://schemas.microsoft.com/office/drawing/2014/main" id="{FDBFA9BE-C9A0-4445-834D-A0DEDCD89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5358" name="Picture@5C\QPendientes@" descr="@5C\QPendientes@">
          <a:extLst>
            <a:ext uri="{FF2B5EF4-FFF2-40B4-BE49-F238E27FC236}">
              <a16:creationId xmlns:a16="http://schemas.microsoft.com/office/drawing/2014/main" id="{D99AFF26-DEAF-4138-9708-DEDCDCFB4B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5359" name="Picture@5C\QPendientes@" descr="@5C\QPendientes@">
          <a:extLst>
            <a:ext uri="{FF2B5EF4-FFF2-40B4-BE49-F238E27FC236}">
              <a16:creationId xmlns:a16="http://schemas.microsoft.com/office/drawing/2014/main" id="{706C97D7-1F25-4F72-9CFB-F0D2B313F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5360" name="Picture@5C\QPendientes@" descr="@5C\QPendientes@">
          <a:extLst>
            <a:ext uri="{FF2B5EF4-FFF2-40B4-BE49-F238E27FC236}">
              <a16:creationId xmlns:a16="http://schemas.microsoft.com/office/drawing/2014/main" id="{70F0B446-9C5D-4D10-92A5-4DFD8504E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5361" name="Picture@5C\QPendientes@" descr="@5C\QPendientes@">
          <a:extLst>
            <a:ext uri="{FF2B5EF4-FFF2-40B4-BE49-F238E27FC236}">
              <a16:creationId xmlns:a16="http://schemas.microsoft.com/office/drawing/2014/main" id="{A8B2CA0B-31E9-46A0-A4B3-DF0BF4C90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5362" name="Picture@5C\QPendientes@" descr="@5C\QPendientes@">
          <a:extLst>
            <a:ext uri="{FF2B5EF4-FFF2-40B4-BE49-F238E27FC236}">
              <a16:creationId xmlns:a16="http://schemas.microsoft.com/office/drawing/2014/main" id="{C968F277-6C97-4D02-9A1A-118F41E3E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5363" name="Picture@5C\QPendientes@" descr="@5C\QPendientes@">
          <a:extLst>
            <a:ext uri="{FF2B5EF4-FFF2-40B4-BE49-F238E27FC236}">
              <a16:creationId xmlns:a16="http://schemas.microsoft.com/office/drawing/2014/main" id="{62721058-E917-4F36-AA4A-EAE7D1FF3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5364" name="Picture@5C\QPendientes@" descr="@5C\QPendientes@">
          <a:extLst>
            <a:ext uri="{FF2B5EF4-FFF2-40B4-BE49-F238E27FC236}">
              <a16:creationId xmlns:a16="http://schemas.microsoft.com/office/drawing/2014/main" id="{B345196D-BCCB-4786-B82F-64BA10F8C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5365" name="Picture@5C\QPendientes@" descr="@5C\QPendientes@">
          <a:extLst>
            <a:ext uri="{FF2B5EF4-FFF2-40B4-BE49-F238E27FC236}">
              <a16:creationId xmlns:a16="http://schemas.microsoft.com/office/drawing/2014/main" id="{E04FDF57-6F62-47D9-8C37-E7426D871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5366" name="Picture@5C\QPendientes@" descr="@5C\QPendientes@">
          <a:extLst>
            <a:ext uri="{FF2B5EF4-FFF2-40B4-BE49-F238E27FC236}">
              <a16:creationId xmlns:a16="http://schemas.microsoft.com/office/drawing/2014/main" id="{348EC54F-DE02-42BA-A758-5C7C7D077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5367" name="Picture@5C\QPendientes@" descr="@5C\QPendientes@">
          <a:extLst>
            <a:ext uri="{FF2B5EF4-FFF2-40B4-BE49-F238E27FC236}">
              <a16:creationId xmlns:a16="http://schemas.microsoft.com/office/drawing/2014/main" id="{9DED8B25-1D83-4679-9BAE-2C7E74DBC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5368" name="Picture@5C\QPendientes@" descr="@5C\QPendientes@">
          <a:extLst>
            <a:ext uri="{FF2B5EF4-FFF2-40B4-BE49-F238E27FC236}">
              <a16:creationId xmlns:a16="http://schemas.microsoft.com/office/drawing/2014/main" id="{8AEC0F06-86CE-4ED4-9733-7C725D7DE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5369" name="Picture@5C\QPendientes@" descr="@5C\QPendientes@">
          <a:extLst>
            <a:ext uri="{FF2B5EF4-FFF2-40B4-BE49-F238E27FC236}">
              <a16:creationId xmlns:a16="http://schemas.microsoft.com/office/drawing/2014/main" id="{F909D832-45A5-43EF-B805-CFB7D7F2F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5370" name="Picture@5C\QPendientes@" descr="@5C\QPendientes@">
          <a:extLst>
            <a:ext uri="{FF2B5EF4-FFF2-40B4-BE49-F238E27FC236}">
              <a16:creationId xmlns:a16="http://schemas.microsoft.com/office/drawing/2014/main" id="{612DD939-3B3F-4CE4-A7BF-8A13A5320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5371" name="Picture@5C\QPendientes@" descr="@5C\QPendientes@">
          <a:extLst>
            <a:ext uri="{FF2B5EF4-FFF2-40B4-BE49-F238E27FC236}">
              <a16:creationId xmlns:a16="http://schemas.microsoft.com/office/drawing/2014/main" id="{E548B534-4D20-44E4-A09E-45A0631C9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5372" name="Picture@5C\QPendientes@" descr="@5C\QPendientes@">
          <a:extLst>
            <a:ext uri="{FF2B5EF4-FFF2-40B4-BE49-F238E27FC236}">
              <a16:creationId xmlns:a16="http://schemas.microsoft.com/office/drawing/2014/main" id="{557E9E71-2941-4D27-A717-03CBF3E38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5373" name="Picture@5C\QPendientes@" descr="@5C\QPendientes@">
          <a:extLst>
            <a:ext uri="{FF2B5EF4-FFF2-40B4-BE49-F238E27FC236}">
              <a16:creationId xmlns:a16="http://schemas.microsoft.com/office/drawing/2014/main" id="{6D563095-1737-4320-B5A1-36EC5C926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5374" name="Picture@5C\QPendientes@" descr="@5C\QPendientes@">
          <a:extLst>
            <a:ext uri="{FF2B5EF4-FFF2-40B4-BE49-F238E27FC236}">
              <a16:creationId xmlns:a16="http://schemas.microsoft.com/office/drawing/2014/main" id="{DE7A819D-4961-4E94-8EAA-2E233A4CA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5375" name="Picture@5C\QPendientes@" descr="@5C\QPendientes@">
          <a:extLst>
            <a:ext uri="{FF2B5EF4-FFF2-40B4-BE49-F238E27FC236}">
              <a16:creationId xmlns:a16="http://schemas.microsoft.com/office/drawing/2014/main" id="{81AEF7CD-D0DA-41D9-99E0-40A3CE4C0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5376" name="Picture@5C\QPendientes@" descr="@5C\QPendientes@">
          <a:extLst>
            <a:ext uri="{FF2B5EF4-FFF2-40B4-BE49-F238E27FC236}">
              <a16:creationId xmlns:a16="http://schemas.microsoft.com/office/drawing/2014/main" id="{8DDE4EBA-83E5-49DC-8487-E036FF77C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5377" name="Picture@5C\QPendientes@" descr="@5C\QPendientes@">
          <a:extLst>
            <a:ext uri="{FF2B5EF4-FFF2-40B4-BE49-F238E27FC236}">
              <a16:creationId xmlns:a16="http://schemas.microsoft.com/office/drawing/2014/main" id="{C249A41D-E26B-45F5-886F-679DD2E6B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5378" name="Picture@5C\QPendientes@" descr="@5C\QPendientes@">
          <a:extLst>
            <a:ext uri="{FF2B5EF4-FFF2-40B4-BE49-F238E27FC236}">
              <a16:creationId xmlns:a16="http://schemas.microsoft.com/office/drawing/2014/main" id="{30C54C58-A668-422D-B4EE-2C1067BD0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5379" name="Picture@5C\QPendientes@" descr="@5C\QPendientes@">
          <a:extLst>
            <a:ext uri="{FF2B5EF4-FFF2-40B4-BE49-F238E27FC236}">
              <a16:creationId xmlns:a16="http://schemas.microsoft.com/office/drawing/2014/main" id="{962E9F64-8E4A-41EC-B895-4F6850FEB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5380" name="Picture@5C\QPendientes@" descr="@5C\QPendientes@">
          <a:extLst>
            <a:ext uri="{FF2B5EF4-FFF2-40B4-BE49-F238E27FC236}">
              <a16:creationId xmlns:a16="http://schemas.microsoft.com/office/drawing/2014/main" id="{4A47700D-9442-4515-9D66-3FD74F20C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5381" name="Picture@5C\QPendientes@" descr="@5C\QPendientes@">
          <a:extLst>
            <a:ext uri="{FF2B5EF4-FFF2-40B4-BE49-F238E27FC236}">
              <a16:creationId xmlns:a16="http://schemas.microsoft.com/office/drawing/2014/main" id="{6F0D0771-0874-4CFF-9DFA-517EE1563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5382" name="Picture@5C\QPendientes@" descr="@5C\QPendientes@">
          <a:extLst>
            <a:ext uri="{FF2B5EF4-FFF2-40B4-BE49-F238E27FC236}">
              <a16:creationId xmlns:a16="http://schemas.microsoft.com/office/drawing/2014/main" id="{518C5144-BBFD-42BF-A3C2-B6B8BADEE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5383" name="Picture@5C\QPendientes@" descr="@5C\QPendientes@">
          <a:extLst>
            <a:ext uri="{FF2B5EF4-FFF2-40B4-BE49-F238E27FC236}">
              <a16:creationId xmlns:a16="http://schemas.microsoft.com/office/drawing/2014/main" id="{00A64B2D-30A4-44B9-A0F3-106401566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5384" name="Picture@5C\QPendientes@" descr="@5C\QPendientes@">
          <a:extLst>
            <a:ext uri="{FF2B5EF4-FFF2-40B4-BE49-F238E27FC236}">
              <a16:creationId xmlns:a16="http://schemas.microsoft.com/office/drawing/2014/main" id="{ED19A53D-FBB3-4846-B11A-3857E735E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5385" name="Picture@5C\QPendientes@" descr="@5C\QPendientes@">
          <a:extLst>
            <a:ext uri="{FF2B5EF4-FFF2-40B4-BE49-F238E27FC236}">
              <a16:creationId xmlns:a16="http://schemas.microsoft.com/office/drawing/2014/main" id="{943029E4-73D8-4810-8C69-F6E2D3C82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5386" name="Picture@5C\QPendientes@" descr="@5C\QPendientes@">
          <a:extLst>
            <a:ext uri="{FF2B5EF4-FFF2-40B4-BE49-F238E27FC236}">
              <a16:creationId xmlns:a16="http://schemas.microsoft.com/office/drawing/2014/main" id="{F7190F4C-0C9E-4325-82F9-6569E9A99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5387" name="Picture@5C\QPendientes@" descr="@5C\QPendientes@">
          <a:extLst>
            <a:ext uri="{FF2B5EF4-FFF2-40B4-BE49-F238E27FC236}">
              <a16:creationId xmlns:a16="http://schemas.microsoft.com/office/drawing/2014/main" id="{8FA58C49-BFBA-49DC-88D4-1CE10AEDD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5388" name="Picture@5C\QPendientes@" descr="@5C\QPendientes@">
          <a:extLst>
            <a:ext uri="{FF2B5EF4-FFF2-40B4-BE49-F238E27FC236}">
              <a16:creationId xmlns:a16="http://schemas.microsoft.com/office/drawing/2014/main" id="{D312C74A-7C81-4FF6-8C6F-FE609C32F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5389" name="Picture@5C\QPendientes@" descr="@5C\QPendientes@">
          <a:extLst>
            <a:ext uri="{FF2B5EF4-FFF2-40B4-BE49-F238E27FC236}">
              <a16:creationId xmlns:a16="http://schemas.microsoft.com/office/drawing/2014/main" id="{B2462BC1-26F5-43E1-8CF9-DD455DBFE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5390" name="Picture@5C\QPendientes@" descr="@5C\QPendientes@">
          <a:extLst>
            <a:ext uri="{FF2B5EF4-FFF2-40B4-BE49-F238E27FC236}">
              <a16:creationId xmlns:a16="http://schemas.microsoft.com/office/drawing/2014/main" id="{0F52A59E-60F8-41F4-98F5-C509FEB3F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5391" name="Picture@5C\QPendientes@" descr="@5C\QPendientes@">
          <a:extLst>
            <a:ext uri="{FF2B5EF4-FFF2-40B4-BE49-F238E27FC236}">
              <a16:creationId xmlns:a16="http://schemas.microsoft.com/office/drawing/2014/main" id="{5CC80B65-6CF8-48EA-94E0-22EA5F796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5392" name="Picture@5C\QPendientes@" descr="@5C\QPendientes@">
          <a:extLst>
            <a:ext uri="{FF2B5EF4-FFF2-40B4-BE49-F238E27FC236}">
              <a16:creationId xmlns:a16="http://schemas.microsoft.com/office/drawing/2014/main" id="{F60BE740-01DA-4C06-8746-420251576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5393" name="Picture@5C\QPendientes@" descr="@5C\QPendientes@">
          <a:extLst>
            <a:ext uri="{FF2B5EF4-FFF2-40B4-BE49-F238E27FC236}">
              <a16:creationId xmlns:a16="http://schemas.microsoft.com/office/drawing/2014/main" id="{76F4371C-3F81-4D77-AB44-A8D03FF58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5394" name="Picture@5C\QPendientes@" descr="@5C\QPendientes@">
          <a:extLst>
            <a:ext uri="{FF2B5EF4-FFF2-40B4-BE49-F238E27FC236}">
              <a16:creationId xmlns:a16="http://schemas.microsoft.com/office/drawing/2014/main" id="{1A282439-96D7-4415-9AA1-29E57E650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5395" name="Picture@5C\QPendientes@" descr="@5C\QPendientes@">
          <a:extLst>
            <a:ext uri="{FF2B5EF4-FFF2-40B4-BE49-F238E27FC236}">
              <a16:creationId xmlns:a16="http://schemas.microsoft.com/office/drawing/2014/main" id="{F71C2D3B-1358-4EE0-B057-E58D11A52A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5396" name="Picture@5C\QPendientes@" descr="@5C\QPendientes@">
          <a:extLst>
            <a:ext uri="{FF2B5EF4-FFF2-40B4-BE49-F238E27FC236}">
              <a16:creationId xmlns:a16="http://schemas.microsoft.com/office/drawing/2014/main" id="{65B14603-5757-477B-80C0-EA7648936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5397" name="Picture@5C\QPendientes@" descr="@5C\QPendientes@">
          <a:extLst>
            <a:ext uri="{FF2B5EF4-FFF2-40B4-BE49-F238E27FC236}">
              <a16:creationId xmlns:a16="http://schemas.microsoft.com/office/drawing/2014/main" id="{9D8A7D00-E096-4A30-AFA0-376CFA282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5398" name="Picture@5C\QPendientes@" descr="@5C\QPendientes@">
          <a:extLst>
            <a:ext uri="{FF2B5EF4-FFF2-40B4-BE49-F238E27FC236}">
              <a16:creationId xmlns:a16="http://schemas.microsoft.com/office/drawing/2014/main" id="{8B79E049-1507-4F45-87F5-3B0D1A085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5399" name="Picture@5C\QPendientes@" descr="@5C\QPendientes@">
          <a:extLst>
            <a:ext uri="{FF2B5EF4-FFF2-40B4-BE49-F238E27FC236}">
              <a16:creationId xmlns:a16="http://schemas.microsoft.com/office/drawing/2014/main" id="{1994CC41-C9EF-465E-9407-A87BD6953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5400" name="Picture@5C\QPendientes@" descr="@5C\QPendientes@">
          <a:extLst>
            <a:ext uri="{FF2B5EF4-FFF2-40B4-BE49-F238E27FC236}">
              <a16:creationId xmlns:a16="http://schemas.microsoft.com/office/drawing/2014/main" id="{F843FB45-E6C2-4302-A221-100972FDA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5401" name="Picture@5C\QPendientes@" descr="@5C\QPendientes@">
          <a:extLst>
            <a:ext uri="{FF2B5EF4-FFF2-40B4-BE49-F238E27FC236}">
              <a16:creationId xmlns:a16="http://schemas.microsoft.com/office/drawing/2014/main" id="{A7E41CA7-0548-476F-A36A-B92CDA994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5402" name="Picture@5C\QPendientes@" descr="@5C\QPendientes@">
          <a:extLst>
            <a:ext uri="{FF2B5EF4-FFF2-40B4-BE49-F238E27FC236}">
              <a16:creationId xmlns:a16="http://schemas.microsoft.com/office/drawing/2014/main" id="{15B51841-9477-481B-B102-91E82D4BB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5403" name="Picture@5C\QPendientes@" descr="@5C\QPendientes@">
          <a:extLst>
            <a:ext uri="{FF2B5EF4-FFF2-40B4-BE49-F238E27FC236}">
              <a16:creationId xmlns:a16="http://schemas.microsoft.com/office/drawing/2014/main" id="{875A4A97-FEBA-4817-AB0B-EB3C21B6E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5404" name="Picture@5C\QPendientes@" descr="@5C\QPendientes@">
          <a:extLst>
            <a:ext uri="{FF2B5EF4-FFF2-40B4-BE49-F238E27FC236}">
              <a16:creationId xmlns:a16="http://schemas.microsoft.com/office/drawing/2014/main" id="{2B2CB228-12A7-4E16-91D3-28FD80DB5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5405" name="Picture@5C\QPendientes@" descr="@5C\QPendientes@">
          <a:extLst>
            <a:ext uri="{FF2B5EF4-FFF2-40B4-BE49-F238E27FC236}">
              <a16:creationId xmlns:a16="http://schemas.microsoft.com/office/drawing/2014/main" id="{B46A3E6B-DD87-486F-8176-33DE95D1B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5406" name="Picture@5C\QPendientes@" descr="@5C\QPendientes@">
          <a:extLst>
            <a:ext uri="{FF2B5EF4-FFF2-40B4-BE49-F238E27FC236}">
              <a16:creationId xmlns:a16="http://schemas.microsoft.com/office/drawing/2014/main" id="{24CF7649-2C25-497C-9CDD-79449814F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5407" name="Picture@5C\QPendientes@" descr="@5C\QPendientes@">
          <a:extLst>
            <a:ext uri="{FF2B5EF4-FFF2-40B4-BE49-F238E27FC236}">
              <a16:creationId xmlns:a16="http://schemas.microsoft.com/office/drawing/2014/main" id="{4348A186-7BF0-4C5A-9E40-CD4B89358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5408" name="Picture@5C\QPendientes@" descr="@5C\QPendientes@">
          <a:extLst>
            <a:ext uri="{FF2B5EF4-FFF2-40B4-BE49-F238E27FC236}">
              <a16:creationId xmlns:a16="http://schemas.microsoft.com/office/drawing/2014/main" id="{A0F088CE-747D-44D6-B041-A904F6F5B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5409" name="Picture@5C\QPendientes@" descr="@5C\QPendientes@">
          <a:extLst>
            <a:ext uri="{FF2B5EF4-FFF2-40B4-BE49-F238E27FC236}">
              <a16:creationId xmlns:a16="http://schemas.microsoft.com/office/drawing/2014/main" id="{2E2FA261-8023-4338-922B-CA75E2634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5410" name="Picture@5C\QPendientes@" descr="@5C\QPendientes@">
          <a:extLst>
            <a:ext uri="{FF2B5EF4-FFF2-40B4-BE49-F238E27FC236}">
              <a16:creationId xmlns:a16="http://schemas.microsoft.com/office/drawing/2014/main" id="{63AB270A-886C-4475-954B-BF45DBD59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5411" name="Picture@5C\QPendientes@" descr="@5C\QPendientes@">
          <a:extLst>
            <a:ext uri="{FF2B5EF4-FFF2-40B4-BE49-F238E27FC236}">
              <a16:creationId xmlns:a16="http://schemas.microsoft.com/office/drawing/2014/main" id="{15E8A29E-F335-4989-B4BD-665DE9688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5412" name="Picture@5C\QPendientes@" descr="@5C\QPendientes@">
          <a:extLst>
            <a:ext uri="{FF2B5EF4-FFF2-40B4-BE49-F238E27FC236}">
              <a16:creationId xmlns:a16="http://schemas.microsoft.com/office/drawing/2014/main" id="{39708D5C-6219-4A14-8BB7-3C2755B61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5413" name="Picture@5C\QPendientes@" descr="@5C\QPendientes@">
          <a:extLst>
            <a:ext uri="{FF2B5EF4-FFF2-40B4-BE49-F238E27FC236}">
              <a16:creationId xmlns:a16="http://schemas.microsoft.com/office/drawing/2014/main" id="{A0709B5E-75AC-4457-8742-C0D0AE149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5414" name="Picture@5C\QPendientes@" descr="@5C\QPendientes@">
          <a:extLst>
            <a:ext uri="{FF2B5EF4-FFF2-40B4-BE49-F238E27FC236}">
              <a16:creationId xmlns:a16="http://schemas.microsoft.com/office/drawing/2014/main" id="{78614B51-6C2A-41C7-97C3-E393F76B6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5415" name="Picture@5C\QPendientes@" descr="@5C\QPendientes@">
          <a:extLst>
            <a:ext uri="{FF2B5EF4-FFF2-40B4-BE49-F238E27FC236}">
              <a16:creationId xmlns:a16="http://schemas.microsoft.com/office/drawing/2014/main" id="{B29E40AF-E5D4-41D3-9C33-0251898D4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5416" name="Picture@5C\QPendientes@" descr="@5C\QPendientes@">
          <a:extLst>
            <a:ext uri="{FF2B5EF4-FFF2-40B4-BE49-F238E27FC236}">
              <a16:creationId xmlns:a16="http://schemas.microsoft.com/office/drawing/2014/main" id="{E1C4D2B5-74DD-4DCB-86D4-6473FB5F6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5417" name="Picture@5C\QPendientes@" descr="@5C\QPendientes@">
          <a:extLst>
            <a:ext uri="{FF2B5EF4-FFF2-40B4-BE49-F238E27FC236}">
              <a16:creationId xmlns:a16="http://schemas.microsoft.com/office/drawing/2014/main" id="{148E5090-A1E8-49A2-ACDD-04329B94D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5418" name="Picture@5C\QPendientes@" descr="@5C\QPendientes@">
          <a:extLst>
            <a:ext uri="{FF2B5EF4-FFF2-40B4-BE49-F238E27FC236}">
              <a16:creationId xmlns:a16="http://schemas.microsoft.com/office/drawing/2014/main" id="{DABB34EB-EB53-4705-81F1-CC36E12AC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5419" name="Picture@5C\QPendientes@" descr="@5C\QPendientes@">
          <a:extLst>
            <a:ext uri="{FF2B5EF4-FFF2-40B4-BE49-F238E27FC236}">
              <a16:creationId xmlns:a16="http://schemas.microsoft.com/office/drawing/2014/main" id="{024EAEDD-0777-46EC-B5C4-5FED4FE28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5420" name="Picture@5C\QPendientes@" descr="@5C\QPendientes@">
          <a:extLst>
            <a:ext uri="{FF2B5EF4-FFF2-40B4-BE49-F238E27FC236}">
              <a16:creationId xmlns:a16="http://schemas.microsoft.com/office/drawing/2014/main" id="{FD610A23-0642-43AF-A947-081C2EBE9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5421" name="Picture@5C\QPendientes@" descr="@5C\QPendientes@">
          <a:extLst>
            <a:ext uri="{FF2B5EF4-FFF2-40B4-BE49-F238E27FC236}">
              <a16:creationId xmlns:a16="http://schemas.microsoft.com/office/drawing/2014/main" id="{CE5D1E59-6F4D-41E0-A9EA-54B92B183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5422" name="Picture@5C\QPendientes@" descr="@5C\QPendientes@">
          <a:extLst>
            <a:ext uri="{FF2B5EF4-FFF2-40B4-BE49-F238E27FC236}">
              <a16:creationId xmlns:a16="http://schemas.microsoft.com/office/drawing/2014/main" id="{A6863392-FEC9-484B-BCB6-68CF5AD1D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5423" name="Picture@5C\QPendientes@" descr="@5C\QPendientes@">
          <a:extLst>
            <a:ext uri="{FF2B5EF4-FFF2-40B4-BE49-F238E27FC236}">
              <a16:creationId xmlns:a16="http://schemas.microsoft.com/office/drawing/2014/main" id="{748CFE54-8C84-4661-A1DD-8B2B09735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5424" name="Picture@5C\QPendientes@" descr="@5C\QPendientes@">
          <a:extLst>
            <a:ext uri="{FF2B5EF4-FFF2-40B4-BE49-F238E27FC236}">
              <a16:creationId xmlns:a16="http://schemas.microsoft.com/office/drawing/2014/main" id="{C4B522CA-1565-4DEB-A7C3-2E2EF2B3A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5425" name="Picture@5C\QPendientes@" descr="@5C\QPendientes@">
          <a:extLst>
            <a:ext uri="{FF2B5EF4-FFF2-40B4-BE49-F238E27FC236}">
              <a16:creationId xmlns:a16="http://schemas.microsoft.com/office/drawing/2014/main" id="{3319224A-407E-402E-8E12-334E33868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5426" name="Picture@5C\QPendientes@" descr="@5C\QPendientes@">
          <a:extLst>
            <a:ext uri="{FF2B5EF4-FFF2-40B4-BE49-F238E27FC236}">
              <a16:creationId xmlns:a16="http://schemas.microsoft.com/office/drawing/2014/main" id="{C070BCBC-E832-4C6A-B22D-D7109E447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5427" name="Picture@5C\QPendientes@" descr="@5C\QPendientes@">
          <a:extLst>
            <a:ext uri="{FF2B5EF4-FFF2-40B4-BE49-F238E27FC236}">
              <a16:creationId xmlns:a16="http://schemas.microsoft.com/office/drawing/2014/main" id="{61136AC7-070D-4597-AC62-4DFC795F4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5428" name="Picture@5C\QPendientes@" descr="@5C\QPendientes@">
          <a:extLst>
            <a:ext uri="{FF2B5EF4-FFF2-40B4-BE49-F238E27FC236}">
              <a16:creationId xmlns:a16="http://schemas.microsoft.com/office/drawing/2014/main" id="{F8ED53B1-25EF-4A91-94C0-118675B992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5429" name="Picture@5C\QPendientes@" descr="@5C\QPendientes@">
          <a:extLst>
            <a:ext uri="{FF2B5EF4-FFF2-40B4-BE49-F238E27FC236}">
              <a16:creationId xmlns:a16="http://schemas.microsoft.com/office/drawing/2014/main" id="{4B5F949B-E5F4-4B09-A1CF-7B6BF12F7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5430" name="Picture@5C\QPendientes@" descr="@5C\QPendientes@">
          <a:extLst>
            <a:ext uri="{FF2B5EF4-FFF2-40B4-BE49-F238E27FC236}">
              <a16:creationId xmlns:a16="http://schemas.microsoft.com/office/drawing/2014/main" id="{B0D5D8E7-E41D-4ED1-84DF-130974ED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5431" name="Picture@5C\QPendientes@" descr="@5C\QPendientes@">
          <a:extLst>
            <a:ext uri="{FF2B5EF4-FFF2-40B4-BE49-F238E27FC236}">
              <a16:creationId xmlns:a16="http://schemas.microsoft.com/office/drawing/2014/main" id="{A7D51E80-AD9B-4F5A-88E8-E7E0E8988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5432" name="Picture@5C\QPendientes@" descr="@5C\QPendientes@">
          <a:extLst>
            <a:ext uri="{FF2B5EF4-FFF2-40B4-BE49-F238E27FC236}">
              <a16:creationId xmlns:a16="http://schemas.microsoft.com/office/drawing/2014/main" id="{E53232D8-DCD4-461E-9332-F53FB6263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5433" name="Picture@5C\QPendientes@" descr="@5C\QPendientes@">
          <a:extLst>
            <a:ext uri="{FF2B5EF4-FFF2-40B4-BE49-F238E27FC236}">
              <a16:creationId xmlns:a16="http://schemas.microsoft.com/office/drawing/2014/main" id="{6F53B36D-5FE5-4509-902D-EB962B247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5434" name="Picture@5C\QPendientes@" descr="@5C\QPendientes@">
          <a:extLst>
            <a:ext uri="{FF2B5EF4-FFF2-40B4-BE49-F238E27FC236}">
              <a16:creationId xmlns:a16="http://schemas.microsoft.com/office/drawing/2014/main" id="{2E8782B8-B49C-4DC2-8C9B-35AF57ACA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5435" name="Picture@5C\QPendientes@" descr="@5C\QPendientes@">
          <a:extLst>
            <a:ext uri="{FF2B5EF4-FFF2-40B4-BE49-F238E27FC236}">
              <a16:creationId xmlns:a16="http://schemas.microsoft.com/office/drawing/2014/main" id="{227F6059-6C4C-43EB-B5A1-0A01DF2BC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5436" name="Picture@5C\QPendientes@" descr="@5C\QPendientes@">
          <a:extLst>
            <a:ext uri="{FF2B5EF4-FFF2-40B4-BE49-F238E27FC236}">
              <a16:creationId xmlns:a16="http://schemas.microsoft.com/office/drawing/2014/main" id="{2F2B18D1-3F4D-4912-AEEC-E32D2AA6C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5437" name="Picture@5C\QPendientes@" descr="@5C\QPendientes@">
          <a:extLst>
            <a:ext uri="{FF2B5EF4-FFF2-40B4-BE49-F238E27FC236}">
              <a16:creationId xmlns:a16="http://schemas.microsoft.com/office/drawing/2014/main" id="{FDF73DA9-F799-4F7C-B7CC-D2261E6EC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5438" name="Picture@5C\QPendientes@" descr="@5C\QPendientes@">
          <a:extLst>
            <a:ext uri="{FF2B5EF4-FFF2-40B4-BE49-F238E27FC236}">
              <a16:creationId xmlns:a16="http://schemas.microsoft.com/office/drawing/2014/main" id="{96C64FAA-249B-41EE-8EFE-A63FF1E0F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5439" name="Picture@5C\QPendientes@" descr="@5C\QPendientes@">
          <a:extLst>
            <a:ext uri="{FF2B5EF4-FFF2-40B4-BE49-F238E27FC236}">
              <a16:creationId xmlns:a16="http://schemas.microsoft.com/office/drawing/2014/main" id="{1D87581B-ED95-4582-98D7-F40CD62E5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5440" name="Picture@5C\QPendientes@" descr="@5C\QPendientes@">
          <a:extLst>
            <a:ext uri="{FF2B5EF4-FFF2-40B4-BE49-F238E27FC236}">
              <a16:creationId xmlns:a16="http://schemas.microsoft.com/office/drawing/2014/main" id="{B39B556C-59F5-4E9F-99E8-10BEE339E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5441" name="Picture@5C\QPendientes@" descr="@5C\QPendientes@">
          <a:extLst>
            <a:ext uri="{FF2B5EF4-FFF2-40B4-BE49-F238E27FC236}">
              <a16:creationId xmlns:a16="http://schemas.microsoft.com/office/drawing/2014/main" id="{3BDB4808-FE4D-458B-A678-B10E3A2A2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5442" name="Picture@5C\QPendientes@" descr="@5C\QPendientes@">
          <a:extLst>
            <a:ext uri="{FF2B5EF4-FFF2-40B4-BE49-F238E27FC236}">
              <a16:creationId xmlns:a16="http://schemas.microsoft.com/office/drawing/2014/main" id="{0BE072B5-87CF-4DC2-9F72-4D4335E19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5443" name="Picture@5C\QPendientes@" descr="@5C\QPendientes@">
          <a:extLst>
            <a:ext uri="{FF2B5EF4-FFF2-40B4-BE49-F238E27FC236}">
              <a16:creationId xmlns:a16="http://schemas.microsoft.com/office/drawing/2014/main" id="{BDC6A0F7-D5FC-4D94-86E9-051211F3C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5444" name="Picture@5C\QPendientes@" descr="@5C\QPendientes@">
          <a:extLst>
            <a:ext uri="{FF2B5EF4-FFF2-40B4-BE49-F238E27FC236}">
              <a16:creationId xmlns:a16="http://schemas.microsoft.com/office/drawing/2014/main" id="{FCE2C483-AB70-4BBC-9F0C-AC2E8C282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5445" name="Picture@5C\QPendientes@" descr="@5C\QPendientes@">
          <a:extLst>
            <a:ext uri="{FF2B5EF4-FFF2-40B4-BE49-F238E27FC236}">
              <a16:creationId xmlns:a16="http://schemas.microsoft.com/office/drawing/2014/main" id="{1350B45D-B3F8-4F15-B87B-A9A490B83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5446" name="Picture@5C\QPendientes@" descr="@5C\QPendientes@">
          <a:extLst>
            <a:ext uri="{FF2B5EF4-FFF2-40B4-BE49-F238E27FC236}">
              <a16:creationId xmlns:a16="http://schemas.microsoft.com/office/drawing/2014/main" id="{06C62267-0D5F-410C-B3F8-B99B6D3DD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5447" name="Picture@5C\QPendientes@" descr="@5C\QPendientes@">
          <a:extLst>
            <a:ext uri="{FF2B5EF4-FFF2-40B4-BE49-F238E27FC236}">
              <a16:creationId xmlns:a16="http://schemas.microsoft.com/office/drawing/2014/main" id="{7B45BA3D-9281-4BF6-8D50-FDF8E80D8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5448" name="Picture@5C\QPendientes@" descr="@5C\QPendientes@">
          <a:extLst>
            <a:ext uri="{FF2B5EF4-FFF2-40B4-BE49-F238E27FC236}">
              <a16:creationId xmlns:a16="http://schemas.microsoft.com/office/drawing/2014/main" id="{C65A6742-65D0-4E01-B265-C32E3B007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5449" name="Picture@5C\QPendientes@" descr="@5C\QPendientes@">
          <a:extLst>
            <a:ext uri="{FF2B5EF4-FFF2-40B4-BE49-F238E27FC236}">
              <a16:creationId xmlns:a16="http://schemas.microsoft.com/office/drawing/2014/main" id="{36BB7A00-25DD-4140-9A53-990CD0D60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5450" name="Picture@5C\QPendientes@" descr="@5C\QPendientes@">
          <a:extLst>
            <a:ext uri="{FF2B5EF4-FFF2-40B4-BE49-F238E27FC236}">
              <a16:creationId xmlns:a16="http://schemas.microsoft.com/office/drawing/2014/main" id="{653B9E10-6508-4708-A962-06090D6F4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5451" name="Picture@5C\QPendientes@" descr="@5C\QPendientes@">
          <a:extLst>
            <a:ext uri="{FF2B5EF4-FFF2-40B4-BE49-F238E27FC236}">
              <a16:creationId xmlns:a16="http://schemas.microsoft.com/office/drawing/2014/main" id="{F4737B2C-6B57-4712-809E-702DE9A87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5452" name="Picture@5C\QPendientes@" descr="@5C\QPendientes@">
          <a:extLst>
            <a:ext uri="{FF2B5EF4-FFF2-40B4-BE49-F238E27FC236}">
              <a16:creationId xmlns:a16="http://schemas.microsoft.com/office/drawing/2014/main" id="{44694913-8CCD-4169-BFB7-8FD4B9CF3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5453" name="Picture@5C\QPendientes@" descr="@5C\QPendientes@">
          <a:extLst>
            <a:ext uri="{FF2B5EF4-FFF2-40B4-BE49-F238E27FC236}">
              <a16:creationId xmlns:a16="http://schemas.microsoft.com/office/drawing/2014/main" id="{63C9A6A8-C21E-4ACD-9F78-5A7CD4930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5454" name="Picture@5C\QPendientes@" descr="@5C\QPendientes@">
          <a:extLst>
            <a:ext uri="{FF2B5EF4-FFF2-40B4-BE49-F238E27FC236}">
              <a16:creationId xmlns:a16="http://schemas.microsoft.com/office/drawing/2014/main" id="{6B0C792B-B42E-444B-BA39-333AEBE2D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5455" name="Picture@5C\QPendientes@" descr="@5C\QPendientes@">
          <a:extLst>
            <a:ext uri="{FF2B5EF4-FFF2-40B4-BE49-F238E27FC236}">
              <a16:creationId xmlns:a16="http://schemas.microsoft.com/office/drawing/2014/main" id="{18AFF13F-6318-4F09-BCD2-0BC72DE51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5456" name="Picture@5C\QPendientes@" descr="@5C\QPendientes@">
          <a:extLst>
            <a:ext uri="{FF2B5EF4-FFF2-40B4-BE49-F238E27FC236}">
              <a16:creationId xmlns:a16="http://schemas.microsoft.com/office/drawing/2014/main" id="{039CB303-B881-4859-BFDC-3815C78B7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5457" name="Picture@5C\QPendientes@" descr="@5C\QPendientes@">
          <a:extLst>
            <a:ext uri="{FF2B5EF4-FFF2-40B4-BE49-F238E27FC236}">
              <a16:creationId xmlns:a16="http://schemas.microsoft.com/office/drawing/2014/main" id="{A2709A5C-8BF8-4BF0-861C-F9C6F072D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5458" name="Picture@5C\QPendientes@" descr="@5C\QPendientes@">
          <a:extLst>
            <a:ext uri="{FF2B5EF4-FFF2-40B4-BE49-F238E27FC236}">
              <a16:creationId xmlns:a16="http://schemas.microsoft.com/office/drawing/2014/main" id="{301FA6F1-3970-4D29-8449-0D322C8EB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5459" name="Picture@5C\QPendientes@" descr="@5C\QPendientes@">
          <a:extLst>
            <a:ext uri="{FF2B5EF4-FFF2-40B4-BE49-F238E27FC236}">
              <a16:creationId xmlns:a16="http://schemas.microsoft.com/office/drawing/2014/main" id="{B0E47A36-BB7A-4438-83EC-C905BE410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5460" name="Picture@5C\QPendientes@" descr="@5C\QPendientes@">
          <a:extLst>
            <a:ext uri="{FF2B5EF4-FFF2-40B4-BE49-F238E27FC236}">
              <a16:creationId xmlns:a16="http://schemas.microsoft.com/office/drawing/2014/main" id="{853BD19D-9F02-418A-894F-E3AA33CA0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5461" name="Picture@5C\QPendientes@" descr="@5C\QPendientes@">
          <a:extLst>
            <a:ext uri="{FF2B5EF4-FFF2-40B4-BE49-F238E27FC236}">
              <a16:creationId xmlns:a16="http://schemas.microsoft.com/office/drawing/2014/main" id="{EB2A3D40-D8F4-4DEC-AA71-09E83451B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5462" name="Picture@5C\QPendientes@" descr="@5C\QPendientes@">
          <a:extLst>
            <a:ext uri="{FF2B5EF4-FFF2-40B4-BE49-F238E27FC236}">
              <a16:creationId xmlns:a16="http://schemas.microsoft.com/office/drawing/2014/main" id="{5F833018-6632-43EF-BFF8-3B27B666E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5463" name="Picture@5C\QPendientes@" descr="@5C\QPendientes@">
          <a:extLst>
            <a:ext uri="{FF2B5EF4-FFF2-40B4-BE49-F238E27FC236}">
              <a16:creationId xmlns:a16="http://schemas.microsoft.com/office/drawing/2014/main" id="{60F207B1-37D4-482E-986C-D5C064C37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5464" name="Picture@5C\QPendientes@" descr="@5C\QPendientes@">
          <a:extLst>
            <a:ext uri="{FF2B5EF4-FFF2-40B4-BE49-F238E27FC236}">
              <a16:creationId xmlns:a16="http://schemas.microsoft.com/office/drawing/2014/main" id="{B82F6E31-D270-4CEA-86FC-3F2083AD2B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5465" name="Picture@5C\QPendientes@" descr="@5C\QPendientes@">
          <a:extLst>
            <a:ext uri="{FF2B5EF4-FFF2-40B4-BE49-F238E27FC236}">
              <a16:creationId xmlns:a16="http://schemas.microsoft.com/office/drawing/2014/main" id="{4AC4F6FE-E052-49BA-8139-33113B177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5466" name="Picture@5C\QPendientes@" descr="@5C\QPendientes@">
          <a:extLst>
            <a:ext uri="{FF2B5EF4-FFF2-40B4-BE49-F238E27FC236}">
              <a16:creationId xmlns:a16="http://schemas.microsoft.com/office/drawing/2014/main" id="{8AA761C9-7DA6-4EB6-A224-C2F7F6990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5467" name="Picture@5C\QPendientes@" descr="@5C\QPendientes@">
          <a:extLst>
            <a:ext uri="{FF2B5EF4-FFF2-40B4-BE49-F238E27FC236}">
              <a16:creationId xmlns:a16="http://schemas.microsoft.com/office/drawing/2014/main" id="{4F7804FA-55D6-490F-A631-A093AC2E3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5468" name="Picture@5C\QPendientes@" descr="@5C\QPendientes@">
          <a:extLst>
            <a:ext uri="{FF2B5EF4-FFF2-40B4-BE49-F238E27FC236}">
              <a16:creationId xmlns:a16="http://schemas.microsoft.com/office/drawing/2014/main" id="{B51EB084-49D8-43F3-B986-8FF95A56E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5469" name="Picture@5C\QPendientes@" descr="@5C\QPendientes@">
          <a:extLst>
            <a:ext uri="{FF2B5EF4-FFF2-40B4-BE49-F238E27FC236}">
              <a16:creationId xmlns:a16="http://schemas.microsoft.com/office/drawing/2014/main" id="{65C38E03-8148-479A-A1F4-E76C68BD8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5470" name="Picture@5C\QPendientes@" descr="@5C\QPendientes@">
          <a:extLst>
            <a:ext uri="{FF2B5EF4-FFF2-40B4-BE49-F238E27FC236}">
              <a16:creationId xmlns:a16="http://schemas.microsoft.com/office/drawing/2014/main" id="{89823E90-359C-4341-8539-0F1C08636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5471" name="Picture@5C\QPendientes@" descr="@5C\QPendientes@">
          <a:extLst>
            <a:ext uri="{FF2B5EF4-FFF2-40B4-BE49-F238E27FC236}">
              <a16:creationId xmlns:a16="http://schemas.microsoft.com/office/drawing/2014/main" id="{634B6B17-EE98-4103-BA0A-4DBEA78FC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5472" name="Picture@5C\QPendientes@" descr="@5C\QPendientes@">
          <a:extLst>
            <a:ext uri="{FF2B5EF4-FFF2-40B4-BE49-F238E27FC236}">
              <a16:creationId xmlns:a16="http://schemas.microsoft.com/office/drawing/2014/main" id="{CAEAFD06-98C3-4E0B-9BB1-371BE4DFB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5473" name="Picture@5C\QPendientes@" descr="@5C\QPendientes@">
          <a:extLst>
            <a:ext uri="{FF2B5EF4-FFF2-40B4-BE49-F238E27FC236}">
              <a16:creationId xmlns:a16="http://schemas.microsoft.com/office/drawing/2014/main" id="{09E63FBE-FA3B-4C58-A066-638F986B5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5474" name="Picture@5C\QPendientes@" descr="@5C\QPendientes@">
          <a:extLst>
            <a:ext uri="{FF2B5EF4-FFF2-40B4-BE49-F238E27FC236}">
              <a16:creationId xmlns:a16="http://schemas.microsoft.com/office/drawing/2014/main" id="{383F83D3-B053-4DFE-8F6E-BCDA916C7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5475" name="Picture@5C\QPendientes@" descr="@5C\QPendientes@">
          <a:extLst>
            <a:ext uri="{FF2B5EF4-FFF2-40B4-BE49-F238E27FC236}">
              <a16:creationId xmlns:a16="http://schemas.microsoft.com/office/drawing/2014/main" id="{CEF85B07-FCAF-49AF-96FD-D74407D78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5476" name="Picture@5C\QPendientes@" descr="@5C\QPendientes@">
          <a:extLst>
            <a:ext uri="{FF2B5EF4-FFF2-40B4-BE49-F238E27FC236}">
              <a16:creationId xmlns:a16="http://schemas.microsoft.com/office/drawing/2014/main" id="{818CA0F3-4ABF-4837-8F03-28AB07C8E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5477" name="Picture@5C\QPendientes@" descr="@5C\QPendientes@">
          <a:extLst>
            <a:ext uri="{FF2B5EF4-FFF2-40B4-BE49-F238E27FC236}">
              <a16:creationId xmlns:a16="http://schemas.microsoft.com/office/drawing/2014/main" id="{18894F2C-CCA1-4F5A-92F2-868643816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5478" name="Picture@5C\QPendientes@" descr="@5C\QPendientes@">
          <a:extLst>
            <a:ext uri="{FF2B5EF4-FFF2-40B4-BE49-F238E27FC236}">
              <a16:creationId xmlns:a16="http://schemas.microsoft.com/office/drawing/2014/main" id="{55E4D65A-E611-4E38-80CE-E25867F6D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5479" name="Picture@5C\QPendientes@" descr="@5C\QPendientes@">
          <a:extLst>
            <a:ext uri="{FF2B5EF4-FFF2-40B4-BE49-F238E27FC236}">
              <a16:creationId xmlns:a16="http://schemas.microsoft.com/office/drawing/2014/main" id="{23262A3B-82C1-4D11-BB89-3A20D12E2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5480" name="Picture@5C\QPendientes@" descr="@5C\QPendientes@">
          <a:extLst>
            <a:ext uri="{FF2B5EF4-FFF2-40B4-BE49-F238E27FC236}">
              <a16:creationId xmlns:a16="http://schemas.microsoft.com/office/drawing/2014/main" id="{01D2D806-3E4A-4D7A-BEA4-D352E1654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5481" name="Picture@5C\QPendientes@" descr="@5C\QPendientes@">
          <a:extLst>
            <a:ext uri="{FF2B5EF4-FFF2-40B4-BE49-F238E27FC236}">
              <a16:creationId xmlns:a16="http://schemas.microsoft.com/office/drawing/2014/main" id="{1BFD9208-2E3A-4AF2-87D8-B79CA4D53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5482" name="Picture@5C\QPendientes@" descr="@5C\QPendientes@">
          <a:extLst>
            <a:ext uri="{FF2B5EF4-FFF2-40B4-BE49-F238E27FC236}">
              <a16:creationId xmlns:a16="http://schemas.microsoft.com/office/drawing/2014/main" id="{59594208-6549-4B7B-8F22-BFFE1A72D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5483" name="Picture@5C\QPendientes@" descr="@5C\QPendientes@">
          <a:extLst>
            <a:ext uri="{FF2B5EF4-FFF2-40B4-BE49-F238E27FC236}">
              <a16:creationId xmlns:a16="http://schemas.microsoft.com/office/drawing/2014/main" id="{1747C9FA-AEAD-4E40-9AF7-2CCB498AF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5484" name="Picture@5C\QPendientes@" descr="@5C\QPendientes@">
          <a:extLst>
            <a:ext uri="{FF2B5EF4-FFF2-40B4-BE49-F238E27FC236}">
              <a16:creationId xmlns:a16="http://schemas.microsoft.com/office/drawing/2014/main" id="{E1FD8E85-341C-482F-BE59-D636B806C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5485" name="Picture@5C\QPendientes@" descr="@5C\QPendientes@">
          <a:extLst>
            <a:ext uri="{FF2B5EF4-FFF2-40B4-BE49-F238E27FC236}">
              <a16:creationId xmlns:a16="http://schemas.microsoft.com/office/drawing/2014/main" id="{7BF7D225-CB95-4859-A746-17A017F5E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5486" name="Picture@5C\QPendientes@" descr="@5C\QPendientes@">
          <a:extLst>
            <a:ext uri="{FF2B5EF4-FFF2-40B4-BE49-F238E27FC236}">
              <a16:creationId xmlns:a16="http://schemas.microsoft.com/office/drawing/2014/main" id="{255DB23B-A68B-41DB-BF02-BD118809B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5487" name="Picture@5C\QPendientes@" descr="@5C\QPendientes@">
          <a:extLst>
            <a:ext uri="{FF2B5EF4-FFF2-40B4-BE49-F238E27FC236}">
              <a16:creationId xmlns:a16="http://schemas.microsoft.com/office/drawing/2014/main" id="{2577888B-39A3-4B40-921C-86B526814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5488" name="Picture@5C\QPendientes@" descr="@5C\QPendientes@">
          <a:extLst>
            <a:ext uri="{FF2B5EF4-FFF2-40B4-BE49-F238E27FC236}">
              <a16:creationId xmlns:a16="http://schemas.microsoft.com/office/drawing/2014/main" id="{8229E4D1-7612-4400-98EB-0F9EA76D8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5489" name="Picture@5C\QPendientes@" descr="@5C\QPendientes@">
          <a:extLst>
            <a:ext uri="{FF2B5EF4-FFF2-40B4-BE49-F238E27FC236}">
              <a16:creationId xmlns:a16="http://schemas.microsoft.com/office/drawing/2014/main" id="{49B916A2-E97D-44CC-9DFA-051C3CB22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5490" name="Picture@5C\QPendientes@" descr="@5C\QPendientes@">
          <a:extLst>
            <a:ext uri="{FF2B5EF4-FFF2-40B4-BE49-F238E27FC236}">
              <a16:creationId xmlns:a16="http://schemas.microsoft.com/office/drawing/2014/main" id="{2BBA97F5-68FC-4FB9-ACB2-120FC24CA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5491" name="Picture@5C\QPendientes@" descr="@5C\QPendientes@">
          <a:extLst>
            <a:ext uri="{FF2B5EF4-FFF2-40B4-BE49-F238E27FC236}">
              <a16:creationId xmlns:a16="http://schemas.microsoft.com/office/drawing/2014/main" id="{D52936C3-2D32-47AA-9ADD-34F776B2C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5492" name="Picture@5C\QPendientes@" descr="@5C\QPendientes@">
          <a:extLst>
            <a:ext uri="{FF2B5EF4-FFF2-40B4-BE49-F238E27FC236}">
              <a16:creationId xmlns:a16="http://schemas.microsoft.com/office/drawing/2014/main" id="{2CBFC09A-3FB4-4720-B4F1-10BA671E1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5493" name="Picture@5C\QPendientes@" descr="@5C\QPendientes@">
          <a:extLst>
            <a:ext uri="{FF2B5EF4-FFF2-40B4-BE49-F238E27FC236}">
              <a16:creationId xmlns:a16="http://schemas.microsoft.com/office/drawing/2014/main" id="{33DA7C2A-324A-4FC8-82C4-5C546AB3C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5494" name="Picture@5C\QPendientes@" descr="@5C\QPendientes@">
          <a:extLst>
            <a:ext uri="{FF2B5EF4-FFF2-40B4-BE49-F238E27FC236}">
              <a16:creationId xmlns:a16="http://schemas.microsoft.com/office/drawing/2014/main" id="{12754C3F-554F-43F1-B5C7-53A829E3E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5495" name="Picture@5C\QPendientes@" descr="@5C\QPendientes@">
          <a:extLst>
            <a:ext uri="{FF2B5EF4-FFF2-40B4-BE49-F238E27FC236}">
              <a16:creationId xmlns:a16="http://schemas.microsoft.com/office/drawing/2014/main" id="{8F206CDE-57C4-42B0-99A4-9674864AC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5496" name="Picture@5C\QPendientes@" descr="@5C\QPendientes@">
          <a:extLst>
            <a:ext uri="{FF2B5EF4-FFF2-40B4-BE49-F238E27FC236}">
              <a16:creationId xmlns:a16="http://schemas.microsoft.com/office/drawing/2014/main" id="{A52DB3AB-E7D1-4506-A25C-E15F3B47F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5497" name="Picture@5C\QPendientes@" descr="@5C\QPendientes@">
          <a:extLst>
            <a:ext uri="{FF2B5EF4-FFF2-40B4-BE49-F238E27FC236}">
              <a16:creationId xmlns:a16="http://schemas.microsoft.com/office/drawing/2014/main" id="{81EFEF31-22B8-423B-8988-0F040E9C5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5498" name="Picture@5C\QPendientes@" descr="@5C\QPendientes@">
          <a:extLst>
            <a:ext uri="{FF2B5EF4-FFF2-40B4-BE49-F238E27FC236}">
              <a16:creationId xmlns:a16="http://schemas.microsoft.com/office/drawing/2014/main" id="{3E5FB6E4-1AE2-46F3-89ED-1163EF892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5499" name="Picture@5C\QPendientes@" descr="@5C\QPendientes@">
          <a:extLst>
            <a:ext uri="{FF2B5EF4-FFF2-40B4-BE49-F238E27FC236}">
              <a16:creationId xmlns:a16="http://schemas.microsoft.com/office/drawing/2014/main" id="{52B50DC3-D0F7-4AF6-8B9F-DB7AD890B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5500" name="Picture@5C\QPendientes@" descr="@5C\QPendientes@">
          <a:extLst>
            <a:ext uri="{FF2B5EF4-FFF2-40B4-BE49-F238E27FC236}">
              <a16:creationId xmlns:a16="http://schemas.microsoft.com/office/drawing/2014/main" id="{1A52AD84-9A71-4F4D-AC95-1F38ADB8A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5501" name="Picture@5C\QPendientes@" descr="@5C\QPendientes@">
          <a:extLst>
            <a:ext uri="{FF2B5EF4-FFF2-40B4-BE49-F238E27FC236}">
              <a16:creationId xmlns:a16="http://schemas.microsoft.com/office/drawing/2014/main" id="{DCAD0044-5A83-4BFD-918E-97D85DB8A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5502" name="Picture@5C\QPendientes@" descr="@5C\QPendientes@">
          <a:extLst>
            <a:ext uri="{FF2B5EF4-FFF2-40B4-BE49-F238E27FC236}">
              <a16:creationId xmlns:a16="http://schemas.microsoft.com/office/drawing/2014/main" id="{FEC441B9-9DC6-46D2-B757-B10FDC257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5503" name="Picture@5C\QPendientes@" descr="@5C\QPendientes@">
          <a:extLst>
            <a:ext uri="{FF2B5EF4-FFF2-40B4-BE49-F238E27FC236}">
              <a16:creationId xmlns:a16="http://schemas.microsoft.com/office/drawing/2014/main" id="{D7DAEB17-1A79-406E-98FD-4C3A68B47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5504" name="Picture@5C\QPendientes@" descr="@5C\QPendientes@">
          <a:extLst>
            <a:ext uri="{FF2B5EF4-FFF2-40B4-BE49-F238E27FC236}">
              <a16:creationId xmlns:a16="http://schemas.microsoft.com/office/drawing/2014/main" id="{0D7100FA-D5C2-4F70-9AE7-C185D8D1E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5505" name="Picture@5C\QPendientes@" descr="@5C\QPendientes@">
          <a:extLst>
            <a:ext uri="{FF2B5EF4-FFF2-40B4-BE49-F238E27FC236}">
              <a16:creationId xmlns:a16="http://schemas.microsoft.com/office/drawing/2014/main" id="{6AE82A0F-E137-4F10-8964-4E21B8AF2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5506" name="Picture@5C\QPendientes@" descr="@5C\QPendientes@">
          <a:extLst>
            <a:ext uri="{FF2B5EF4-FFF2-40B4-BE49-F238E27FC236}">
              <a16:creationId xmlns:a16="http://schemas.microsoft.com/office/drawing/2014/main" id="{497EE41A-3A77-4F31-9BFE-FD3FB55E1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5507" name="Picture@5C\QPendientes@" descr="@5C\QPendientes@">
          <a:extLst>
            <a:ext uri="{FF2B5EF4-FFF2-40B4-BE49-F238E27FC236}">
              <a16:creationId xmlns:a16="http://schemas.microsoft.com/office/drawing/2014/main" id="{39FAF7A7-68FB-418F-BA11-815DBBB5E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5508" name="Picture@5C\QPendientes@" descr="@5C\QPendientes@">
          <a:extLst>
            <a:ext uri="{FF2B5EF4-FFF2-40B4-BE49-F238E27FC236}">
              <a16:creationId xmlns:a16="http://schemas.microsoft.com/office/drawing/2014/main" id="{EA7C7DC4-25F6-4774-AF64-9ADBB337D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5509" name="Picture@5C\QPendientes@" descr="@5C\QPendientes@">
          <a:extLst>
            <a:ext uri="{FF2B5EF4-FFF2-40B4-BE49-F238E27FC236}">
              <a16:creationId xmlns:a16="http://schemas.microsoft.com/office/drawing/2014/main" id="{1A7EF12A-6073-4C58-B548-B5F766019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5510" name="Picture@5C\QPendientes@" descr="@5C\QPendientes@">
          <a:extLst>
            <a:ext uri="{FF2B5EF4-FFF2-40B4-BE49-F238E27FC236}">
              <a16:creationId xmlns:a16="http://schemas.microsoft.com/office/drawing/2014/main" id="{FBD07A6C-007F-4F60-9F9D-E13E7552D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5511" name="Picture@5C\QPendientes@" descr="@5C\QPendientes@">
          <a:extLst>
            <a:ext uri="{FF2B5EF4-FFF2-40B4-BE49-F238E27FC236}">
              <a16:creationId xmlns:a16="http://schemas.microsoft.com/office/drawing/2014/main" id="{3F2CB09A-4AD6-41DC-A835-EB262DD45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5512" name="Picture@5C\QPendientes@" descr="@5C\QPendientes@">
          <a:extLst>
            <a:ext uri="{FF2B5EF4-FFF2-40B4-BE49-F238E27FC236}">
              <a16:creationId xmlns:a16="http://schemas.microsoft.com/office/drawing/2014/main" id="{FAE84FF6-81AE-49A7-9E7C-C21A0F317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5513" name="Picture@5C\QPendientes@" descr="@5C\QPendientes@">
          <a:extLst>
            <a:ext uri="{FF2B5EF4-FFF2-40B4-BE49-F238E27FC236}">
              <a16:creationId xmlns:a16="http://schemas.microsoft.com/office/drawing/2014/main" id="{4760A15F-9942-4477-BEF4-E110D8EB5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5514" name="Picture@5C\QPendientes@" descr="@5C\QPendientes@">
          <a:extLst>
            <a:ext uri="{FF2B5EF4-FFF2-40B4-BE49-F238E27FC236}">
              <a16:creationId xmlns:a16="http://schemas.microsoft.com/office/drawing/2014/main" id="{AF14FCDB-5030-4071-A5B0-F89920A715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5515" name="Picture@5C\QPendientes@" descr="@5C\QPendientes@">
          <a:extLst>
            <a:ext uri="{FF2B5EF4-FFF2-40B4-BE49-F238E27FC236}">
              <a16:creationId xmlns:a16="http://schemas.microsoft.com/office/drawing/2014/main" id="{85DEC6E7-B75F-44CA-A9E0-87002DE4A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5516" name="Picture@5C\QPendientes@" descr="@5C\QPendientes@">
          <a:extLst>
            <a:ext uri="{FF2B5EF4-FFF2-40B4-BE49-F238E27FC236}">
              <a16:creationId xmlns:a16="http://schemas.microsoft.com/office/drawing/2014/main" id="{243471F5-35D3-46B7-BA9C-A559B4352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5517" name="Picture@5C\QPendientes@" descr="@5C\QPendientes@">
          <a:extLst>
            <a:ext uri="{FF2B5EF4-FFF2-40B4-BE49-F238E27FC236}">
              <a16:creationId xmlns:a16="http://schemas.microsoft.com/office/drawing/2014/main" id="{ACE2F7EF-6F2D-4C99-9263-F9763B1C9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5518" name="Picture@5C\QPendientes@" descr="@5C\QPendientes@">
          <a:extLst>
            <a:ext uri="{FF2B5EF4-FFF2-40B4-BE49-F238E27FC236}">
              <a16:creationId xmlns:a16="http://schemas.microsoft.com/office/drawing/2014/main" id="{35FCF2AD-5C93-4696-9172-FDCB4DF67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5519" name="Picture@5C\QPendientes@" descr="@5C\QPendientes@">
          <a:extLst>
            <a:ext uri="{FF2B5EF4-FFF2-40B4-BE49-F238E27FC236}">
              <a16:creationId xmlns:a16="http://schemas.microsoft.com/office/drawing/2014/main" id="{339AFDE6-DEC1-4B49-864D-618FA60F3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5520" name="Picture@5C\QPendientes@" descr="@5C\QPendientes@">
          <a:extLst>
            <a:ext uri="{FF2B5EF4-FFF2-40B4-BE49-F238E27FC236}">
              <a16:creationId xmlns:a16="http://schemas.microsoft.com/office/drawing/2014/main" id="{D29F5752-DA0A-4E85-AD8B-77C823883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5521" name="Picture@5C\QPendientes@" descr="@5C\QPendientes@">
          <a:extLst>
            <a:ext uri="{FF2B5EF4-FFF2-40B4-BE49-F238E27FC236}">
              <a16:creationId xmlns:a16="http://schemas.microsoft.com/office/drawing/2014/main" id="{E1BA6D44-3CD3-4F71-9527-54E40411C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5522" name="Picture@5C\QPendientes@" descr="@5C\QPendientes@">
          <a:extLst>
            <a:ext uri="{FF2B5EF4-FFF2-40B4-BE49-F238E27FC236}">
              <a16:creationId xmlns:a16="http://schemas.microsoft.com/office/drawing/2014/main" id="{08520151-BF3A-4DA3-B514-E2B5199FE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5523" name="Picture@5C\QPendientes@" descr="@5C\QPendientes@">
          <a:extLst>
            <a:ext uri="{FF2B5EF4-FFF2-40B4-BE49-F238E27FC236}">
              <a16:creationId xmlns:a16="http://schemas.microsoft.com/office/drawing/2014/main" id="{049B6C5F-ECB0-4B18-8EEA-7176C4161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5524" name="Picture@5C\QPendientes@" descr="@5C\QPendientes@">
          <a:extLst>
            <a:ext uri="{FF2B5EF4-FFF2-40B4-BE49-F238E27FC236}">
              <a16:creationId xmlns:a16="http://schemas.microsoft.com/office/drawing/2014/main" id="{DC6FCD4D-7482-447D-8B45-97C3ED321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5525" name="Picture@5C\QPendientes@" descr="@5C\QPendientes@">
          <a:extLst>
            <a:ext uri="{FF2B5EF4-FFF2-40B4-BE49-F238E27FC236}">
              <a16:creationId xmlns:a16="http://schemas.microsoft.com/office/drawing/2014/main" id="{CDA4EADD-DCCE-432A-ADBA-2854904F0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5526" name="Picture@5C\QPendientes@" descr="@5C\QPendientes@">
          <a:extLst>
            <a:ext uri="{FF2B5EF4-FFF2-40B4-BE49-F238E27FC236}">
              <a16:creationId xmlns:a16="http://schemas.microsoft.com/office/drawing/2014/main" id="{0AE660D3-40AE-4B5A-8D3A-A1DCF3706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5527" name="Picture@5C\QPendientes@" descr="@5C\QPendientes@">
          <a:extLst>
            <a:ext uri="{FF2B5EF4-FFF2-40B4-BE49-F238E27FC236}">
              <a16:creationId xmlns:a16="http://schemas.microsoft.com/office/drawing/2014/main" id="{277F17C9-6CC3-4CDC-A43D-03576C686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5528" name="Picture@5C\QPendientes@" descr="@5C\QPendientes@">
          <a:extLst>
            <a:ext uri="{FF2B5EF4-FFF2-40B4-BE49-F238E27FC236}">
              <a16:creationId xmlns:a16="http://schemas.microsoft.com/office/drawing/2014/main" id="{F55C2331-94E3-420F-88DF-3C2880DFC1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5529" name="Picture@5C\QPendientes@" descr="@5C\QPendientes@">
          <a:extLst>
            <a:ext uri="{FF2B5EF4-FFF2-40B4-BE49-F238E27FC236}">
              <a16:creationId xmlns:a16="http://schemas.microsoft.com/office/drawing/2014/main" id="{7846EB89-F62B-49F1-9D89-FFF1A1A37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5530" name="Picture@5C\QPendientes@" descr="@5C\QPendientes@">
          <a:extLst>
            <a:ext uri="{FF2B5EF4-FFF2-40B4-BE49-F238E27FC236}">
              <a16:creationId xmlns:a16="http://schemas.microsoft.com/office/drawing/2014/main" id="{82C61068-A836-420D-8C9C-B77CC332C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5531" name="Picture@5C\QPendientes@" descr="@5C\QPendientes@">
          <a:extLst>
            <a:ext uri="{FF2B5EF4-FFF2-40B4-BE49-F238E27FC236}">
              <a16:creationId xmlns:a16="http://schemas.microsoft.com/office/drawing/2014/main" id="{A1833771-F135-4388-9A9C-A4AECD386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5532" name="Picture@5C\QPendientes@" descr="@5C\QPendientes@">
          <a:extLst>
            <a:ext uri="{FF2B5EF4-FFF2-40B4-BE49-F238E27FC236}">
              <a16:creationId xmlns:a16="http://schemas.microsoft.com/office/drawing/2014/main" id="{3337B414-2DE7-40DA-A0F9-8365B9FF5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5533" name="Picture@5C\QPendientes@" descr="@5C\QPendientes@">
          <a:extLst>
            <a:ext uri="{FF2B5EF4-FFF2-40B4-BE49-F238E27FC236}">
              <a16:creationId xmlns:a16="http://schemas.microsoft.com/office/drawing/2014/main" id="{236CD72E-D288-4000-8EA0-F6BCE9666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5534" name="Picture@5C\QPendientes@" descr="@5C\QPendientes@">
          <a:extLst>
            <a:ext uri="{FF2B5EF4-FFF2-40B4-BE49-F238E27FC236}">
              <a16:creationId xmlns:a16="http://schemas.microsoft.com/office/drawing/2014/main" id="{8428DBBB-842C-4D5C-977E-E5F9250D9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5535" name="Picture@5C\QPendientes@" descr="@5C\QPendientes@">
          <a:extLst>
            <a:ext uri="{FF2B5EF4-FFF2-40B4-BE49-F238E27FC236}">
              <a16:creationId xmlns:a16="http://schemas.microsoft.com/office/drawing/2014/main" id="{A58310F7-84AE-472B-9FCD-8CAE5677D4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5536" name="Picture@5C\QPendientes@" descr="@5C\QPendientes@">
          <a:extLst>
            <a:ext uri="{FF2B5EF4-FFF2-40B4-BE49-F238E27FC236}">
              <a16:creationId xmlns:a16="http://schemas.microsoft.com/office/drawing/2014/main" id="{1D643CE3-287E-4736-85C8-CA1E1863C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5537" name="Picture@5C\QPendientes@" descr="@5C\QPendientes@">
          <a:extLst>
            <a:ext uri="{FF2B5EF4-FFF2-40B4-BE49-F238E27FC236}">
              <a16:creationId xmlns:a16="http://schemas.microsoft.com/office/drawing/2014/main" id="{FB016A5A-CF7A-46CF-A34E-63A59F1B7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5538" name="Picture@5C\QPendientes@" descr="@5C\QPendientes@">
          <a:extLst>
            <a:ext uri="{FF2B5EF4-FFF2-40B4-BE49-F238E27FC236}">
              <a16:creationId xmlns:a16="http://schemas.microsoft.com/office/drawing/2014/main" id="{C7113B79-86FF-41C9-96F3-3F2B52BD2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5539" name="Picture@5C\QPendientes@" descr="@5C\QPendientes@">
          <a:extLst>
            <a:ext uri="{FF2B5EF4-FFF2-40B4-BE49-F238E27FC236}">
              <a16:creationId xmlns:a16="http://schemas.microsoft.com/office/drawing/2014/main" id="{61F980AD-FF56-4FE0-9DC5-B59A3496C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5540" name="Picture@5C\QPendientes@" descr="@5C\QPendientes@">
          <a:extLst>
            <a:ext uri="{FF2B5EF4-FFF2-40B4-BE49-F238E27FC236}">
              <a16:creationId xmlns:a16="http://schemas.microsoft.com/office/drawing/2014/main" id="{D9C1AA19-9AA6-475E-A030-7D24DF3F8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5541" name="Picture@5C\QPendientes@" descr="@5C\QPendientes@">
          <a:extLst>
            <a:ext uri="{FF2B5EF4-FFF2-40B4-BE49-F238E27FC236}">
              <a16:creationId xmlns:a16="http://schemas.microsoft.com/office/drawing/2014/main" id="{11E2C46B-03E5-43F0-AB9A-886C9A2CB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5542" name="Picture@5C\QPendientes@" descr="@5C\QPendientes@">
          <a:extLst>
            <a:ext uri="{FF2B5EF4-FFF2-40B4-BE49-F238E27FC236}">
              <a16:creationId xmlns:a16="http://schemas.microsoft.com/office/drawing/2014/main" id="{E8642F2C-E5FD-4792-B316-582DC82E6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5543" name="Picture@5C\QPendientes@" descr="@5C\QPendientes@">
          <a:extLst>
            <a:ext uri="{FF2B5EF4-FFF2-40B4-BE49-F238E27FC236}">
              <a16:creationId xmlns:a16="http://schemas.microsoft.com/office/drawing/2014/main" id="{A16F950A-2F5E-44C6-9ED0-3C0C2AAEB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5544" name="Picture@5C\QPendientes@" descr="@5C\QPendientes@">
          <a:extLst>
            <a:ext uri="{FF2B5EF4-FFF2-40B4-BE49-F238E27FC236}">
              <a16:creationId xmlns:a16="http://schemas.microsoft.com/office/drawing/2014/main" id="{A8CCE3E7-3513-4485-816C-90739594B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5545" name="Picture@5C\QPendientes@" descr="@5C\QPendientes@">
          <a:extLst>
            <a:ext uri="{FF2B5EF4-FFF2-40B4-BE49-F238E27FC236}">
              <a16:creationId xmlns:a16="http://schemas.microsoft.com/office/drawing/2014/main" id="{1F34CC5F-05F4-4B22-8489-F263C0AAF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5546" name="Picture@5C\QPendientes@" descr="@5C\QPendientes@">
          <a:extLst>
            <a:ext uri="{FF2B5EF4-FFF2-40B4-BE49-F238E27FC236}">
              <a16:creationId xmlns:a16="http://schemas.microsoft.com/office/drawing/2014/main" id="{E010FDB8-55B0-4A0D-9FC3-E2B536493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5547" name="Picture@5C\QPendientes@" descr="@5C\QPendientes@">
          <a:extLst>
            <a:ext uri="{FF2B5EF4-FFF2-40B4-BE49-F238E27FC236}">
              <a16:creationId xmlns:a16="http://schemas.microsoft.com/office/drawing/2014/main" id="{DA48FA13-4518-40B2-A65B-E5342349E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5548" name="Picture@5C\QPendientes@" descr="@5C\QPendientes@">
          <a:extLst>
            <a:ext uri="{FF2B5EF4-FFF2-40B4-BE49-F238E27FC236}">
              <a16:creationId xmlns:a16="http://schemas.microsoft.com/office/drawing/2014/main" id="{B1CAB117-62BE-4E56-A692-2A5F7446C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5549" name="Picture@5C\QPendientes@" descr="@5C\QPendientes@">
          <a:extLst>
            <a:ext uri="{FF2B5EF4-FFF2-40B4-BE49-F238E27FC236}">
              <a16:creationId xmlns:a16="http://schemas.microsoft.com/office/drawing/2014/main" id="{EE7853A5-5536-4FFE-9998-EF07AFD91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5550" name="Picture@5C\QPendientes@" descr="@5C\QPendientes@">
          <a:extLst>
            <a:ext uri="{FF2B5EF4-FFF2-40B4-BE49-F238E27FC236}">
              <a16:creationId xmlns:a16="http://schemas.microsoft.com/office/drawing/2014/main" id="{2D3454B5-FAAB-4634-AFE0-70D5B5EC7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5551" name="Picture@5C\QPendientes@" descr="@5C\QPendientes@">
          <a:extLst>
            <a:ext uri="{FF2B5EF4-FFF2-40B4-BE49-F238E27FC236}">
              <a16:creationId xmlns:a16="http://schemas.microsoft.com/office/drawing/2014/main" id="{7D02B5E3-DDEC-4707-8D5C-70AFDCE68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5552" name="Picture@5C\QPendientes@" descr="@5C\QPendientes@">
          <a:extLst>
            <a:ext uri="{FF2B5EF4-FFF2-40B4-BE49-F238E27FC236}">
              <a16:creationId xmlns:a16="http://schemas.microsoft.com/office/drawing/2014/main" id="{239215C3-0BE7-4E25-9016-901E66D7A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5553" name="Picture@5C\QPendientes@" descr="@5C\QPendientes@">
          <a:extLst>
            <a:ext uri="{FF2B5EF4-FFF2-40B4-BE49-F238E27FC236}">
              <a16:creationId xmlns:a16="http://schemas.microsoft.com/office/drawing/2014/main" id="{B0A69199-099E-4913-89C5-56B19A157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5554" name="Picture@5C\QPendientes@" descr="@5C\QPendientes@">
          <a:extLst>
            <a:ext uri="{FF2B5EF4-FFF2-40B4-BE49-F238E27FC236}">
              <a16:creationId xmlns:a16="http://schemas.microsoft.com/office/drawing/2014/main" id="{CF1601BA-AF14-4DE2-BDCF-160CDEC3F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5555" name="Picture@5C\QPendientes@" descr="@5C\QPendientes@">
          <a:extLst>
            <a:ext uri="{FF2B5EF4-FFF2-40B4-BE49-F238E27FC236}">
              <a16:creationId xmlns:a16="http://schemas.microsoft.com/office/drawing/2014/main" id="{7A63F796-1499-49CF-A37F-BF48E23F5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5556" name="Picture@5C\QPendientes@" descr="@5C\QPendientes@">
          <a:extLst>
            <a:ext uri="{FF2B5EF4-FFF2-40B4-BE49-F238E27FC236}">
              <a16:creationId xmlns:a16="http://schemas.microsoft.com/office/drawing/2014/main" id="{B5D11BCA-B032-4307-AFC4-9EB4A1AC1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5557" name="Picture@5C\QPendientes@" descr="@5C\QPendientes@">
          <a:extLst>
            <a:ext uri="{FF2B5EF4-FFF2-40B4-BE49-F238E27FC236}">
              <a16:creationId xmlns:a16="http://schemas.microsoft.com/office/drawing/2014/main" id="{9F8C8809-FB3A-4597-A80B-3F41EAA874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5558" name="Picture@5C\QPendientes@" descr="@5C\QPendientes@">
          <a:extLst>
            <a:ext uri="{FF2B5EF4-FFF2-40B4-BE49-F238E27FC236}">
              <a16:creationId xmlns:a16="http://schemas.microsoft.com/office/drawing/2014/main" id="{99EE3D56-9F21-4426-B7F2-265C10E8A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5559" name="Picture@5C\QPendientes@" descr="@5C\QPendientes@">
          <a:extLst>
            <a:ext uri="{FF2B5EF4-FFF2-40B4-BE49-F238E27FC236}">
              <a16:creationId xmlns:a16="http://schemas.microsoft.com/office/drawing/2014/main" id="{CBAF931E-AE02-4AC2-BAC9-3DAF98AFB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5560" name="Picture@5C\QPendientes@" descr="@5C\QPendientes@">
          <a:extLst>
            <a:ext uri="{FF2B5EF4-FFF2-40B4-BE49-F238E27FC236}">
              <a16:creationId xmlns:a16="http://schemas.microsoft.com/office/drawing/2014/main" id="{15456636-3F85-4E58-97D1-8A9D0DBEF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5561" name="Picture@5C\QPendientes@" descr="@5C\QPendientes@">
          <a:extLst>
            <a:ext uri="{FF2B5EF4-FFF2-40B4-BE49-F238E27FC236}">
              <a16:creationId xmlns:a16="http://schemas.microsoft.com/office/drawing/2014/main" id="{2FDC198E-18F4-4BD9-A90F-2E9DFA03A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5562" name="Picture@5C\QPendientes@" descr="@5C\QPendientes@">
          <a:extLst>
            <a:ext uri="{FF2B5EF4-FFF2-40B4-BE49-F238E27FC236}">
              <a16:creationId xmlns:a16="http://schemas.microsoft.com/office/drawing/2014/main" id="{B61B664A-6AC1-4B62-88B1-BADD02D9E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5563" name="Picture@5C\QPendientes@" descr="@5C\QPendientes@">
          <a:extLst>
            <a:ext uri="{FF2B5EF4-FFF2-40B4-BE49-F238E27FC236}">
              <a16:creationId xmlns:a16="http://schemas.microsoft.com/office/drawing/2014/main" id="{0186C081-5048-4C1A-8103-62F640B48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5564" name="Picture@5C\QPendientes@" descr="@5C\QPendientes@">
          <a:extLst>
            <a:ext uri="{FF2B5EF4-FFF2-40B4-BE49-F238E27FC236}">
              <a16:creationId xmlns:a16="http://schemas.microsoft.com/office/drawing/2014/main" id="{29663E3A-1EEC-4330-B82F-7099C0F37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5565" name="Picture@5C\QPendientes@" descr="@5C\QPendientes@">
          <a:extLst>
            <a:ext uri="{FF2B5EF4-FFF2-40B4-BE49-F238E27FC236}">
              <a16:creationId xmlns:a16="http://schemas.microsoft.com/office/drawing/2014/main" id="{4A171425-A935-4E56-8043-B4F13A517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5566" name="Picture@5C\QPendientes@" descr="@5C\QPendientes@">
          <a:extLst>
            <a:ext uri="{FF2B5EF4-FFF2-40B4-BE49-F238E27FC236}">
              <a16:creationId xmlns:a16="http://schemas.microsoft.com/office/drawing/2014/main" id="{AC237D5B-3D61-4669-A205-7CF5FC310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5567" name="Picture@5C\QPendientes@" descr="@5C\QPendientes@">
          <a:extLst>
            <a:ext uri="{FF2B5EF4-FFF2-40B4-BE49-F238E27FC236}">
              <a16:creationId xmlns:a16="http://schemas.microsoft.com/office/drawing/2014/main" id="{0D4A356D-4CDF-441F-957E-D6ECAE141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5568" name="Picture@5C\QPendientes@" descr="@5C\QPendientes@">
          <a:extLst>
            <a:ext uri="{FF2B5EF4-FFF2-40B4-BE49-F238E27FC236}">
              <a16:creationId xmlns:a16="http://schemas.microsoft.com/office/drawing/2014/main" id="{E6E26FCB-E9C3-4E3E-A859-20879F7B9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5569" name="Picture@5C\QPendientes@" descr="@5C\QPendientes@">
          <a:extLst>
            <a:ext uri="{FF2B5EF4-FFF2-40B4-BE49-F238E27FC236}">
              <a16:creationId xmlns:a16="http://schemas.microsoft.com/office/drawing/2014/main" id="{B1449068-1038-4B76-9901-E2F7C0359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5570" name="Picture@5C\QPendientes@" descr="@5C\QPendientes@">
          <a:extLst>
            <a:ext uri="{FF2B5EF4-FFF2-40B4-BE49-F238E27FC236}">
              <a16:creationId xmlns:a16="http://schemas.microsoft.com/office/drawing/2014/main" id="{ECA68AF5-4F50-4952-A4B4-4545C4A5C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5571" name="Picture@5C\QPendientes@" descr="@5C\QPendientes@">
          <a:extLst>
            <a:ext uri="{FF2B5EF4-FFF2-40B4-BE49-F238E27FC236}">
              <a16:creationId xmlns:a16="http://schemas.microsoft.com/office/drawing/2014/main" id="{78982841-A7A6-4AB6-9594-85A0BF491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5572" name="Picture@5C\QPendientes@" descr="@5C\QPendientes@">
          <a:extLst>
            <a:ext uri="{FF2B5EF4-FFF2-40B4-BE49-F238E27FC236}">
              <a16:creationId xmlns:a16="http://schemas.microsoft.com/office/drawing/2014/main" id="{4B5F5FEA-8057-4541-90AD-AB1EE59ED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5573" name="Picture@5C\QPendientes@" descr="@5C\QPendientes@">
          <a:extLst>
            <a:ext uri="{FF2B5EF4-FFF2-40B4-BE49-F238E27FC236}">
              <a16:creationId xmlns:a16="http://schemas.microsoft.com/office/drawing/2014/main" id="{2259DD03-0B1D-458C-BB8A-532A62C02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5574" name="Picture@5C\QPendientes@" descr="@5C\QPendientes@">
          <a:extLst>
            <a:ext uri="{FF2B5EF4-FFF2-40B4-BE49-F238E27FC236}">
              <a16:creationId xmlns:a16="http://schemas.microsoft.com/office/drawing/2014/main" id="{598EA2CC-01A5-4B4B-BAB4-B3A31BD87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5575" name="Picture@5C\QPendientes@" descr="@5C\QPendientes@">
          <a:extLst>
            <a:ext uri="{FF2B5EF4-FFF2-40B4-BE49-F238E27FC236}">
              <a16:creationId xmlns:a16="http://schemas.microsoft.com/office/drawing/2014/main" id="{4CCB0DD8-22E6-4208-BC91-790F6DCBC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5576" name="Picture@5C\QPendientes@" descr="@5C\QPendientes@">
          <a:extLst>
            <a:ext uri="{FF2B5EF4-FFF2-40B4-BE49-F238E27FC236}">
              <a16:creationId xmlns:a16="http://schemas.microsoft.com/office/drawing/2014/main" id="{3EFD635E-4B54-4902-B3B0-DFFF5E267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5577" name="Picture@5C\QPendientes@" descr="@5C\QPendientes@">
          <a:extLst>
            <a:ext uri="{FF2B5EF4-FFF2-40B4-BE49-F238E27FC236}">
              <a16:creationId xmlns:a16="http://schemas.microsoft.com/office/drawing/2014/main" id="{CDD47D7F-3F66-4D1A-9BBD-109B4B82D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5578" name="Picture@5C\QPendientes@" descr="@5C\QPendientes@">
          <a:extLst>
            <a:ext uri="{FF2B5EF4-FFF2-40B4-BE49-F238E27FC236}">
              <a16:creationId xmlns:a16="http://schemas.microsoft.com/office/drawing/2014/main" id="{0E4048FE-6166-4824-BA8D-4D8D86C73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5579" name="Picture@5C\QPendientes@" descr="@5C\QPendientes@">
          <a:extLst>
            <a:ext uri="{FF2B5EF4-FFF2-40B4-BE49-F238E27FC236}">
              <a16:creationId xmlns:a16="http://schemas.microsoft.com/office/drawing/2014/main" id="{53E1903E-32D6-40E6-8ECC-E13013F80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5580" name="Picture@5C\QPendientes@" descr="@5C\QPendientes@">
          <a:extLst>
            <a:ext uri="{FF2B5EF4-FFF2-40B4-BE49-F238E27FC236}">
              <a16:creationId xmlns:a16="http://schemas.microsoft.com/office/drawing/2014/main" id="{31C7F81B-EA6A-481B-AFD3-C702E38A7A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5581" name="Picture@5C\QPendientes@" descr="@5C\QPendientes@">
          <a:extLst>
            <a:ext uri="{FF2B5EF4-FFF2-40B4-BE49-F238E27FC236}">
              <a16:creationId xmlns:a16="http://schemas.microsoft.com/office/drawing/2014/main" id="{9BE63634-C645-4451-8CF2-B16FA74B7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5582" name="Picture@5C\QPendientes@" descr="@5C\QPendientes@">
          <a:extLst>
            <a:ext uri="{FF2B5EF4-FFF2-40B4-BE49-F238E27FC236}">
              <a16:creationId xmlns:a16="http://schemas.microsoft.com/office/drawing/2014/main" id="{1BCB7B1D-C132-440F-AAB6-0F9229202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5583" name="Picture@5C\QPendientes@" descr="@5C\QPendientes@">
          <a:extLst>
            <a:ext uri="{FF2B5EF4-FFF2-40B4-BE49-F238E27FC236}">
              <a16:creationId xmlns:a16="http://schemas.microsoft.com/office/drawing/2014/main" id="{045C025A-2FB1-47A1-9763-E33F9B516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5584" name="Picture@5C\QPendientes@" descr="@5C\QPendientes@">
          <a:extLst>
            <a:ext uri="{FF2B5EF4-FFF2-40B4-BE49-F238E27FC236}">
              <a16:creationId xmlns:a16="http://schemas.microsoft.com/office/drawing/2014/main" id="{9958F0B2-1BB5-443E-9B1B-929B674C3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5585" name="Picture@5C\QPendientes@" descr="@5C\QPendientes@">
          <a:extLst>
            <a:ext uri="{FF2B5EF4-FFF2-40B4-BE49-F238E27FC236}">
              <a16:creationId xmlns:a16="http://schemas.microsoft.com/office/drawing/2014/main" id="{49FBAE08-35FB-4A5E-BFB4-7FA8811F8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5586" name="Picture@5C\QPendientes@" descr="@5C\QPendientes@">
          <a:extLst>
            <a:ext uri="{FF2B5EF4-FFF2-40B4-BE49-F238E27FC236}">
              <a16:creationId xmlns:a16="http://schemas.microsoft.com/office/drawing/2014/main" id="{70EEA80A-881A-4EF8-B63C-09BD78B3A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5587" name="Picture@5C\QPendientes@" descr="@5C\QPendientes@">
          <a:extLst>
            <a:ext uri="{FF2B5EF4-FFF2-40B4-BE49-F238E27FC236}">
              <a16:creationId xmlns:a16="http://schemas.microsoft.com/office/drawing/2014/main" id="{97BEE278-D83D-4A1C-A09F-58484072C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5588" name="Picture@5C\QPendientes@" descr="@5C\QPendientes@">
          <a:extLst>
            <a:ext uri="{FF2B5EF4-FFF2-40B4-BE49-F238E27FC236}">
              <a16:creationId xmlns:a16="http://schemas.microsoft.com/office/drawing/2014/main" id="{0010C27B-EF7D-4C98-9326-FBAE16AD7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5589" name="Picture@5C\QPendientes@" descr="@5C\QPendientes@">
          <a:extLst>
            <a:ext uri="{FF2B5EF4-FFF2-40B4-BE49-F238E27FC236}">
              <a16:creationId xmlns:a16="http://schemas.microsoft.com/office/drawing/2014/main" id="{B6B909A7-D662-402D-A11C-047384FE5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5590" name="Picture@5C\QPendientes@" descr="@5C\QPendientes@">
          <a:extLst>
            <a:ext uri="{FF2B5EF4-FFF2-40B4-BE49-F238E27FC236}">
              <a16:creationId xmlns:a16="http://schemas.microsoft.com/office/drawing/2014/main" id="{0B48274E-2BDF-4E50-9FDD-97922089B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5591" name="Picture@5C\QPendientes@" descr="@5C\QPendientes@">
          <a:extLst>
            <a:ext uri="{FF2B5EF4-FFF2-40B4-BE49-F238E27FC236}">
              <a16:creationId xmlns:a16="http://schemas.microsoft.com/office/drawing/2014/main" id="{7C5477BF-B524-462F-B34B-A8C7018DC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5592" name="Picture@5C\QPendientes@" descr="@5C\QPendientes@">
          <a:extLst>
            <a:ext uri="{FF2B5EF4-FFF2-40B4-BE49-F238E27FC236}">
              <a16:creationId xmlns:a16="http://schemas.microsoft.com/office/drawing/2014/main" id="{786D5409-5797-471A-9F48-4BB5DC0C2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5593" name="Picture@5C\QPendientes@" descr="@5C\QPendientes@">
          <a:extLst>
            <a:ext uri="{FF2B5EF4-FFF2-40B4-BE49-F238E27FC236}">
              <a16:creationId xmlns:a16="http://schemas.microsoft.com/office/drawing/2014/main" id="{ACDA2E6C-5BD0-40DF-BD1D-7E095425C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5594" name="Picture@5C\QPendientes@" descr="@5C\QPendientes@">
          <a:extLst>
            <a:ext uri="{FF2B5EF4-FFF2-40B4-BE49-F238E27FC236}">
              <a16:creationId xmlns:a16="http://schemas.microsoft.com/office/drawing/2014/main" id="{EB84230C-FB4D-401D-AF79-4AC41368B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5595" name="Picture@5C\QPendientes@" descr="@5C\QPendientes@">
          <a:extLst>
            <a:ext uri="{FF2B5EF4-FFF2-40B4-BE49-F238E27FC236}">
              <a16:creationId xmlns:a16="http://schemas.microsoft.com/office/drawing/2014/main" id="{C83046C8-66D2-4486-9E5C-AA1050150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5596" name="Picture@5C\QPendientes@" descr="@5C\QPendientes@">
          <a:extLst>
            <a:ext uri="{FF2B5EF4-FFF2-40B4-BE49-F238E27FC236}">
              <a16:creationId xmlns:a16="http://schemas.microsoft.com/office/drawing/2014/main" id="{1A124FE4-3071-4E2B-9A85-409512F53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5597" name="Picture@5C\QPendientes@" descr="@5C\QPendientes@">
          <a:extLst>
            <a:ext uri="{FF2B5EF4-FFF2-40B4-BE49-F238E27FC236}">
              <a16:creationId xmlns:a16="http://schemas.microsoft.com/office/drawing/2014/main" id="{7111BF65-DC20-4E30-B5BA-BDE9C71A0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5598" name="Picture@5C\QPendientes@" descr="@5C\QPendientes@">
          <a:extLst>
            <a:ext uri="{FF2B5EF4-FFF2-40B4-BE49-F238E27FC236}">
              <a16:creationId xmlns:a16="http://schemas.microsoft.com/office/drawing/2014/main" id="{0CDFC39A-8ABB-45C2-814C-B983E309C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5599" name="Picture@5C\QPendientes@" descr="@5C\QPendientes@">
          <a:extLst>
            <a:ext uri="{FF2B5EF4-FFF2-40B4-BE49-F238E27FC236}">
              <a16:creationId xmlns:a16="http://schemas.microsoft.com/office/drawing/2014/main" id="{F75B1B8D-7671-4F34-8ADD-7EE6F67A0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5600" name="Picture@5C\QPendientes@" descr="@5C\QPendientes@">
          <a:extLst>
            <a:ext uri="{FF2B5EF4-FFF2-40B4-BE49-F238E27FC236}">
              <a16:creationId xmlns:a16="http://schemas.microsoft.com/office/drawing/2014/main" id="{AD736DF6-2B38-4542-8D9D-94DDD370E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5601" name="Picture@5C\QPendientes@" descr="@5C\QPendientes@">
          <a:extLst>
            <a:ext uri="{FF2B5EF4-FFF2-40B4-BE49-F238E27FC236}">
              <a16:creationId xmlns:a16="http://schemas.microsoft.com/office/drawing/2014/main" id="{C1E00E34-DFDF-42E2-AB6C-32579EAB1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5602" name="Picture@5C\QPendientes@" descr="@5C\QPendientes@">
          <a:extLst>
            <a:ext uri="{FF2B5EF4-FFF2-40B4-BE49-F238E27FC236}">
              <a16:creationId xmlns:a16="http://schemas.microsoft.com/office/drawing/2014/main" id="{1BDE41C0-50CF-45EF-80CF-E72D2AF37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5603" name="Picture@5C\QPendientes@" descr="@5C\QPendientes@">
          <a:extLst>
            <a:ext uri="{FF2B5EF4-FFF2-40B4-BE49-F238E27FC236}">
              <a16:creationId xmlns:a16="http://schemas.microsoft.com/office/drawing/2014/main" id="{51749E59-6A4D-42BD-9AAD-5326A47E9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5604" name="Picture@5C\QPendientes@" descr="@5C\QPendientes@">
          <a:extLst>
            <a:ext uri="{FF2B5EF4-FFF2-40B4-BE49-F238E27FC236}">
              <a16:creationId xmlns:a16="http://schemas.microsoft.com/office/drawing/2014/main" id="{1B023F2C-DCBE-4BD5-9DE4-9346E7CB9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5605" name="Picture@5C\QPendientes@" descr="@5C\QPendientes@">
          <a:extLst>
            <a:ext uri="{FF2B5EF4-FFF2-40B4-BE49-F238E27FC236}">
              <a16:creationId xmlns:a16="http://schemas.microsoft.com/office/drawing/2014/main" id="{66773A81-1842-4497-8CB5-571B05368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5606" name="Picture@5C\QPendientes@" descr="@5C\QPendientes@">
          <a:extLst>
            <a:ext uri="{FF2B5EF4-FFF2-40B4-BE49-F238E27FC236}">
              <a16:creationId xmlns:a16="http://schemas.microsoft.com/office/drawing/2014/main" id="{02B8FC2A-6573-4936-B9E6-E8B19F820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5607" name="Picture@5C\QPendientes@" descr="@5C\QPendientes@">
          <a:extLst>
            <a:ext uri="{FF2B5EF4-FFF2-40B4-BE49-F238E27FC236}">
              <a16:creationId xmlns:a16="http://schemas.microsoft.com/office/drawing/2014/main" id="{DC2A94C5-6A30-4AA0-A2C1-56F1EFA75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5608" name="Picture@5C\QPendientes@" descr="@5C\QPendientes@">
          <a:extLst>
            <a:ext uri="{FF2B5EF4-FFF2-40B4-BE49-F238E27FC236}">
              <a16:creationId xmlns:a16="http://schemas.microsoft.com/office/drawing/2014/main" id="{D843C65E-7C04-4B12-9371-3B086EEDC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5609" name="Picture@5C\QPendientes@" descr="@5C\QPendientes@">
          <a:extLst>
            <a:ext uri="{FF2B5EF4-FFF2-40B4-BE49-F238E27FC236}">
              <a16:creationId xmlns:a16="http://schemas.microsoft.com/office/drawing/2014/main" id="{06D02EE5-A5EF-40BD-8080-B3A4476AC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5610" name="Picture@5C\QPendientes@" descr="@5C\QPendientes@">
          <a:extLst>
            <a:ext uri="{FF2B5EF4-FFF2-40B4-BE49-F238E27FC236}">
              <a16:creationId xmlns:a16="http://schemas.microsoft.com/office/drawing/2014/main" id="{CDF02818-A2AC-4BDC-A752-B8D6B1983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5611" name="Picture@5C\QPendientes@" descr="@5C\QPendientes@">
          <a:extLst>
            <a:ext uri="{FF2B5EF4-FFF2-40B4-BE49-F238E27FC236}">
              <a16:creationId xmlns:a16="http://schemas.microsoft.com/office/drawing/2014/main" id="{7FD2F6DD-E603-4733-89B2-ACEF40015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5612" name="Picture@5C\QPendientes@" descr="@5C\QPendientes@">
          <a:extLst>
            <a:ext uri="{FF2B5EF4-FFF2-40B4-BE49-F238E27FC236}">
              <a16:creationId xmlns:a16="http://schemas.microsoft.com/office/drawing/2014/main" id="{13187ABC-F2AA-4A69-BACF-A65881147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5613" name="Picture@5C\QPendientes@" descr="@5C\QPendientes@">
          <a:extLst>
            <a:ext uri="{FF2B5EF4-FFF2-40B4-BE49-F238E27FC236}">
              <a16:creationId xmlns:a16="http://schemas.microsoft.com/office/drawing/2014/main" id="{462F9C57-CE15-4D2F-A7B1-1277F7D89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5614" name="Picture@5C\QPendientes@" descr="@5C\QPendientes@">
          <a:extLst>
            <a:ext uri="{FF2B5EF4-FFF2-40B4-BE49-F238E27FC236}">
              <a16:creationId xmlns:a16="http://schemas.microsoft.com/office/drawing/2014/main" id="{5BC820B9-7BBC-4448-876A-85A757826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5615" name="Picture@5C\QPendientes@" descr="@5C\QPendientes@">
          <a:extLst>
            <a:ext uri="{FF2B5EF4-FFF2-40B4-BE49-F238E27FC236}">
              <a16:creationId xmlns:a16="http://schemas.microsoft.com/office/drawing/2014/main" id="{FFE3F76E-3040-4FB4-89C8-2E705FD38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5616" name="Picture@5C\QPendientes@" descr="@5C\QPendientes@">
          <a:extLst>
            <a:ext uri="{FF2B5EF4-FFF2-40B4-BE49-F238E27FC236}">
              <a16:creationId xmlns:a16="http://schemas.microsoft.com/office/drawing/2014/main" id="{878FEA4E-D243-4E31-A206-1D7639DF7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5617" name="Picture@5C\QPendientes@" descr="@5C\QPendientes@">
          <a:extLst>
            <a:ext uri="{FF2B5EF4-FFF2-40B4-BE49-F238E27FC236}">
              <a16:creationId xmlns:a16="http://schemas.microsoft.com/office/drawing/2014/main" id="{DAE2A82B-496A-4BBD-82B4-DEF1A4D03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5618" name="Picture@5C\QPendientes@" descr="@5C\QPendientes@">
          <a:extLst>
            <a:ext uri="{FF2B5EF4-FFF2-40B4-BE49-F238E27FC236}">
              <a16:creationId xmlns:a16="http://schemas.microsoft.com/office/drawing/2014/main" id="{89F489F9-52EA-4E7D-B111-31389D332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5619" name="Picture@5C\QPendientes@" descr="@5C\QPendientes@">
          <a:extLst>
            <a:ext uri="{FF2B5EF4-FFF2-40B4-BE49-F238E27FC236}">
              <a16:creationId xmlns:a16="http://schemas.microsoft.com/office/drawing/2014/main" id="{CCC26A48-407D-45F4-B71B-880FF7F47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5620" name="Picture@5C\QPendientes@" descr="@5C\QPendientes@">
          <a:extLst>
            <a:ext uri="{FF2B5EF4-FFF2-40B4-BE49-F238E27FC236}">
              <a16:creationId xmlns:a16="http://schemas.microsoft.com/office/drawing/2014/main" id="{720D4E34-9919-49F2-92DF-9E2539BBA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5621" name="Picture@5C\QPendientes@" descr="@5C\QPendientes@">
          <a:extLst>
            <a:ext uri="{FF2B5EF4-FFF2-40B4-BE49-F238E27FC236}">
              <a16:creationId xmlns:a16="http://schemas.microsoft.com/office/drawing/2014/main" id="{C4D095B2-85DA-4892-AA90-12A08D9C9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5622" name="Picture@5C\QPendientes@" descr="@5C\QPendientes@">
          <a:extLst>
            <a:ext uri="{FF2B5EF4-FFF2-40B4-BE49-F238E27FC236}">
              <a16:creationId xmlns:a16="http://schemas.microsoft.com/office/drawing/2014/main" id="{FF1151C8-6D44-48FA-8A46-750E79F25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5623" name="Picture@5C\QPendientes@" descr="@5C\QPendientes@">
          <a:extLst>
            <a:ext uri="{FF2B5EF4-FFF2-40B4-BE49-F238E27FC236}">
              <a16:creationId xmlns:a16="http://schemas.microsoft.com/office/drawing/2014/main" id="{E09D0319-DFBF-460D-BB3E-37D2A331C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5624" name="Picture@5C\QPendientes@" descr="@5C\QPendientes@">
          <a:extLst>
            <a:ext uri="{FF2B5EF4-FFF2-40B4-BE49-F238E27FC236}">
              <a16:creationId xmlns:a16="http://schemas.microsoft.com/office/drawing/2014/main" id="{40BB06BA-018A-43FE-B340-C2533714B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5625" name="Picture@5C\QPendientes@" descr="@5C\QPendientes@">
          <a:extLst>
            <a:ext uri="{FF2B5EF4-FFF2-40B4-BE49-F238E27FC236}">
              <a16:creationId xmlns:a16="http://schemas.microsoft.com/office/drawing/2014/main" id="{3746BBC1-27CB-4185-A153-C29329D134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5626" name="Picture@5C\QPendientes@" descr="@5C\QPendientes@">
          <a:extLst>
            <a:ext uri="{FF2B5EF4-FFF2-40B4-BE49-F238E27FC236}">
              <a16:creationId xmlns:a16="http://schemas.microsoft.com/office/drawing/2014/main" id="{0FB6E328-692F-406C-B839-BD0C94223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5627" name="Picture@5C\QPendientes@" descr="@5C\QPendientes@">
          <a:extLst>
            <a:ext uri="{FF2B5EF4-FFF2-40B4-BE49-F238E27FC236}">
              <a16:creationId xmlns:a16="http://schemas.microsoft.com/office/drawing/2014/main" id="{40BB060C-85FD-48BA-8648-9D4A1D714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5628" name="Picture@5C\QPendientes@" descr="@5C\QPendientes@">
          <a:extLst>
            <a:ext uri="{FF2B5EF4-FFF2-40B4-BE49-F238E27FC236}">
              <a16:creationId xmlns:a16="http://schemas.microsoft.com/office/drawing/2014/main" id="{95CA4C66-1320-492F-9002-563CAD241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5629" name="Picture@5C\QPendientes@" descr="@5C\QPendientes@">
          <a:extLst>
            <a:ext uri="{FF2B5EF4-FFF2-40B4-BE49-F238E27FC236}">
              <a16:creationId xmlns:a16="http://schemas.microsoft.com/office/drawing/2014/main" id="{CA038AB0-4C08-4EC3-8917-3AE6125FF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5630" name="Picture@5C\QPendientes@" descr="@5C\QPendientes@">
          <a:extLst>
            <a:ext uri="{FF2B5EF4-FFF2-40B4-BE49-F238E27FC236}">
              <a16:creationId xmlns:a16="http://schemas.microsoft.com/office/drawing/2014/main" id="{BC87E831-A24D-4E4B-9016-EED7E950E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5631" name="Picture@5C\QPendientes@" descr="@5C\QPendientes@">
          <a:extLst>
            <a:ext uri="{FF2B5EF4-FFF2-40B4-BE49-F238E27FC236}">
              <a16:creationId xmlns:a16="http://schemas.microsoft.com/office/drawing/2014/main" id="{9153DA1B-8779-4074-86D3-A6A30C063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5632" name="Picture@5C\QPendientes@" descr="@5C\QPendientes@">
          <a:extLst>
            <a:ext uri="{FF2B5EF4-FFF2-40B4-BE49-F238E27FC236}">
              <a16:creationId xmlns:a16="http://schemas.microsoft.com/office/drawing/2014/main" id="{76DF6613-267F-47F9-8FB9-0DF1DE29F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5633" name="Picture@5C\QPendientes@" descr="@5C\QPendientes@">
          <a:extLst>
            <a:ext uri="{FF2B5EF4-FFF2-40B4-BE49-F238E27FC236}">
              <a16:creationId xmlns:a16="http://schemas.microsoft.com/office/drawing/2014/main" id="{5753B7CB-2282-466C-928D-DE4B20174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5634" name="Picture@5C\QPendientes@" descr="@5C\QPendientes@">
          <a:extLst>
            <a:ext uri="{FF2B5EF4-FFF2-40B4-BE49-F238E27FC236}">
              <a16:creationId xmlns:a16="http://schemas.microsoft.com/office/drawing/2014/main" id="{98398FC3-A01A-4125-8A7C-0F8F2BB0B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5635" name="Picture@5C\QPendientes@" descr="@5C\QPendientes@">
          <a:extLst>
            <a:ext uri="{FF2B5EF4-FFF2-40B4-BE49-F238E27FC236}">
              <a16:creationId xmlns:a16="http://schemas.microsoft.com/office/drawing/2014/main" id="{6B41D91A-4D83-4885-91E1-80C62BB41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5636" name="Picture@5C\QPendientes@" descr="@5C\QPendientes@">
          <a:extLst>
            <a:ext uri="{FF2B5EF4-FFF2-40B4-BE49-F238E27FC236}">
              <a16:creationId xmlns:a16="http://schemas.microsoft.com/office/drawing/2014/main" id="{30DFFE81-983D-461A-8BC0-DA1AE8AB4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5637" name="Picture@5C\QPendientes@" descr="@5C\QPendientes@">
          <a:extLst>
            <a:ext uri="{FF2B5EF4-FFF2-40B4-BE49-F238E27FC236}">
              <a16:creationId xmlns:a16="http://schemas.microsoft.com/office/drawing/2014/main" id="{2C0589B2-5CAC-408E-832D-B77307F03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5638" name="Picture@5C\QPendientes@" descr="@5C\QPendientes@">
          <a:extLst>
            <a:ext uri="{FF2B5EF4-FFF2-40B4-BE49-F238E27FC236}">
              <a16:creationId xmlns:a16="http://schemas.microsoft.com/office/drawing/2014/main" id="{7B540661-B302-4CE8-A0FC-304701EAC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5639" name="Picture@5C\QPendientes@" descr="@5C\QPendientes@">
          <a:extLst>
            <a:ext uri="{FF2B5EF4-FFF2-40B4-BE49-F238E27FC236}">
              <a16:creationId xmlns:a16="http://schemas.microsoft.com/office/drawing/2014/main" id="{8EE11CF6-58AE-43E7-AB02-21D39AFD48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5640" name="Picture@5C\QPendientes@" descr="@5C\QPendientes@">
          <a:extLst>
            <a:ext uri="{FF2B5EF4-FFF2-40B4-BE49-F238E27FC236}">
              <a16:creationId xmlns:a16="http://schemas.microsoft.com/office/drawing/2014/main" id="{C669D21A-8906-4673-9AF2-1A10F2633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5641" name="Picture@5C\QPendientes@" descr="@5C\QPendientes@">
          <a:extLst>
            <a:ext uri="{FF2B5EF4-FFF2-40B4-BE49-F238E27FC236}">
              <a16:creationId xmlns:a16="http://schemas.microsoft.com/office/drawing/2014/main" id="{00191676-62BE-4480-88A7-849C7228B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5642" name="Picture@5C\QPendientes@" descr="@5C\QPendientes@">
          <a:extLst>
            <a:ext uri="{FF2B5EF4-FFF2-40B4-BE49-F238E27FC236}">
              <a16:creationId xmlns:a16="http://schemas.microsoft.com/office/drawing/2014/main" id="{C4F327B4-A1B9-4CBB-8B9F-58B405B38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5643" name="Picture@5C\QPendientes@" descr="@5C\QPendientes@">
          <a:extLst>
            <a:ext uri="{FF2B5EF4-FFF2-40B4-BE49-F238E27FC236}">
              <a16:creationId xmlns:a16="http://schemas.microsoft.com/office/drawing/2014/main" id="{0D979AD2-4C2F-4C94-A8B3-1BF42117E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5644" name="Picture@5C\QPendientes@" descr="@5C\QPendientes@">
          <a:extLst>
            <a:ext uri="{FF2B5EF4-FFF2-40B4-BE49-F238E27FC236}">
              <a16:creationId xmlns:a16="http://schemas.microsoft.com/office/drawing/2014/main" id="{C5BA7D8F-AA15-4EFE-B51E-E9D249991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5645" name="Picture@5C\QPendientes@" descr="@5C\QPendientes@">
          <a:extLst>
            <a:ext uri="{FF2B5EF4-FFF2-40B4-BE49-F238E27FC236}">
              <a16:creationId xmlns:a16="http://schemas.microsoft.com/office/drawing/2014/main" id="{4E6F85EF-430F-4F5F-8567-99BB792A1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5646" name="Picture@5C\QPendientes@" descr="@5C\QPendientes@">
          <a:extLst>
            <a:ext uri="{FF2B5EF4-FFF2-40B4-BE49-F238E27FC236}">
              <a16:creationId xmlns:a16="http://schemas.microsoft.com/office/drawing/2014/main" id="{FF50BA7F-D859-476E-86D1-870567E38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5647" name="Picture@5C\QPendientes@" descr="@5C\QPendientes@">
          <a:extLst>
            <a:ext uri="{FF2B5EF4-FFF2-40B4-BE49-F238E27FC236}">
              <a16:creationId xmlns:a16="http://schemas.microsoft.com/office/drawing/2014/main" id="{3F91D01F-E845-4E4F-9B03-ACAD572BF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5648" name="Picture@5C\QPendientes@" descr="@5C\QPendientes@">
          <a:extLst>
            <a:ext uri="{FF2B5EF4-FFF2-40B4-BE49-F238E27FC236}">
              <a16:creationId xmlns:a16="http://schemas.microsoft.com/office/drawing/2014/main" id="{FB2BE726-918E-48F5-8B01-7D5B9B19C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5649" name="Picture@5C\QPendientes@" descr="@5C\QPendientes@">
          <a:extLst>
            <a:ext uri="{FF2B5EF4-FFF2-40B4-BE49-F238E27FC236}">
              <a16:creationId xmlns:a16="http://schemas.microsoft.com/office/drawing/2014/main" id="{5AFA0FA5-9D12-44C3-B72F-C99A0192F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5650" name="Picture@5C\QPendientes@" descr="@5C\QPendientes@">
          <a:extLst>
            <a:ext uri="{FF2B5EF4-FFF2-40B4-BE49-F238E27FC236}">
              <a16:creationId xmlns:a16="http://schemas.microsoft.com/office/drawing/2014/main" id="{05AEE84E-68DC-46C6-B89C-79BE0D67D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5651" name="Picture@5C\QPendientes@" descr="@5C\QPendientes@">
          <a:extLst>
            <a:ext uri="{FF2B5EF4-FFF2-40B4-BE49-F238E27FC236}">
              <a16:creationId xmlns:a16="http://schemas.microsoft.com/office/drawing/2014/main" id="{8784F519-6E0D-42AE-9707-D1246C4D0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5652" name="Picture@5C\QPendientes@" descr="@5C\QPendientes@">
          <a:extLst>
            <a:ext uri="{FF2B5EF4-FFF2-40B4-BE49-F238E27FC236}">
              <a16:creationId xmlns:a16="http://schemas.microsoft.com/office/drawing/2014/main" id="{0F01940D-5319-4D39-907B-858CCC0B9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5653" name="Picture@5C\QPendientes@" descr="@5C\QPendientes@">
          <a:extLst>
            <a:ext uri="{FF2B5EF4-FFF2-40B4-BE49-F238E27FC236}">
              <a16:creationId xmlns:a16="http://schemas.microsoft.com/office/drawing/2014/main" id="{15E364EC-538F-40DE-BA56-A9E4DC0EF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5654" name="Picture@5C\QPendientes@" descr="@5C\QPendientes@">
          <a:extLst>
            <a:ext uri="{FF2B5EF4-FFF2-40B4-BE49-F238E27FC236}">
              <a16:creationId xmlns:a16="http://schemas.microsoft.com/office/drawing/2014/main" id="{FD777D5F-BC47-4E39-B758-8F9895B0F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5655" name="Picture@5C\QPendientes@" descr="@5C\QPendientes@">
          <a:extLst>
            <a:ext uri="{FF2B5EF4-FFF2-40B4-BE49-F238E27FC236}">
              <a16:creationId xmlns:a16="http://schemas.microsoft.com/office/drawing/2014/main" id="{4944D7F3-F82E-4C72-B92D-2A2F65A08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5656" name="Picture@5C\QPendientes@" descr="@5C\QPendientes@">
          <a:extLst>
            <a:ext uri="{FF2B5EF4-FFF2-40B4-BE49-F238E27FC236}">
              <a16:creationId xmlns:a16="http://schemas.microsoft.com/office/drawing/2014/main" id="{9FFCA2F8-6C73-4A39-AA9A-25BAFC870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5657" name="Picture@5C\QPendientes@" descr="@5C\QPendientes@">
          <a:extLst>
            <a:ext uri="{FF2B5EF4-FFF2-40B4-BE49-F238E27FC236}">
              <a16:creationId xmlns:a16="http://schemas.microsoft.com/office/drawing/2014/main" id="{2E57FF76-B68A-45F5-9A33-B07342249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5658" name="Picture@5C\QPendientes@" descr="@5C\QPendientes@">
          <a:extLst>
            <a:ext uri="{FF2B5EF4-FFF2-40B4-BE49-F238E27FC236}">
              <a16:creationId xmlns:a16="http://schemas.microsoft.com/office/drawing/2014/main" id="{A6A4BE86-1262-45D3-9F00-9C072D831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5659" name="Picture@5C\QPendientes@" descr="@5C\QPendientes@">
          <a:extLst>
            <a:ext uri="{FF2B5EF4-FFF2-40B4-BE49-F238E27FC236}">
              <a16:creationId xmlns:a16="http://schemas.microsoft.com/office/drawing/2014/main" id="{F826C8C5-1E81-4A47-B023-311BD12736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5660" name="Picture@5C\QPendientes@" descr="@5C\QPendientes@">
          <a:extLst>
            <a:ext uri="{FF2B5EF4-FFF2-40B4-BE49-F238E27FC236}">
              <a16:creationId xmlns:a16="http://schemas.microsoft.com/office/drawing/2014/main" id="{76B40B3C-8349-47E7-9CA9-F5A9C2085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5661" name="Picture@5C\QPendientes@" descr="@5C\QPendientes@">
          <a:extLst>
            <a:ext uri="{FF2B5EF4-FFF2-40B4-BE49-F238E27FC236}">
              <a16:creationId xmlns:a16="http://schemas.microsoft.com/office/drawing/2014/main" id="{98451DC9-CB8C-4F4F-8960-F4DF83D86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5662" name="Picture@5C\QPendientes@" descr="@5C\QPendientes@">
          <a:extLst>
            <a:ext uri="{FF2B5EF4-FFF2-40B4-BE49-F238E27FC236}">
              <a16:creationId xmlns:a16="http://schemas.microsoft.com/office/drawing/2014/main" id="{ACF7F747-4978-4DC9-8095-90C9284F6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5663" name="Picture@5C\QPendientes@" descr="@5C\QPendientes@">
          <a:extLst>
            <a:ext uri="{FF2B5EF4-FFF2-40B4-BE49-F238E27FC236}">
              <a16:creationId xmlns:a16="http://schemas.microsoft.com/office/drawing/2014/main" id="{B722047C-DFB4-4D89-9157-C2ADB28BD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5664" name="Picture@5C\QPendientes@" descr="@5C\QPendientes@">
          <a:extLst>
            <a:ext uri="{FF2B5EF4-FFF2-40B4-BE49-F238E27FC236}">
              <a16:creationId xmlns:a16="http://schemas.microsoft.com/office/drawing/2014/main" id="{7A1C89FE-576E-4C92-80B0-EB0FC716F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5665" name="Picture@5C\QPendientes@" descr="@5C\QPendientes@">
          <a:extLst>
            <a:ext uri="{FF2B5EF4-FFF2-40B4-BE49-F238E27FC236}">
              <a16:creationId xmlns:a16="http://schemas.microsoft.com/office/drawing/2014/main" id="{94EA664A-646D-4BF6-B4F8-30988F2D3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5666" name="Picture@5C\QPendientes@" descr="@5C\QPendientes@">
          <a:extLst>
            <a:ext uri="{FF2B5EF4-FFF2-40B4-BE49-F238E27FC236}">
              <a16:creationId xmlns:a16="http://schemas.microsoft.com/office/drawing/2014/main" id="{BA7A35DF-4FA4-46CA-BCC4-28002FB82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5667" name="Picture@5C\QPendientes@" descr="@5C\QPendientes@">
          <a:extLst>
            <a:ext uri="{FF2B5EF4-FFF2-40B4-BE49-F238E27FC236}">
              <a16:creationId xmlns:a16="http://schemas.microsoft.com/office/drawing/2014/main" id="{11BBE737-CEBC-462E-A9EE-1C940AC86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5668" name="Picture@5C\QPendientes@" descr="@5C\QPendientes@">
          <a:extLst>
            <a:ext uri="{FF2B5EF4-FFF2-40B4-BE49-F238E27FC236}">
              <a16:creationId xmlns:a16="http://schemas.microsoft.com/office/drawing/2014/main" id="{C6ACF6C7-F97D-43E3-B424-D7EA47012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5669" name="Picture@5C\QPendientes@" descr="@5C\QPendientes@">
          <a:extLst>
            <a:ext uri="{FF2B5EF4-FFF2-40B4-BE49-F238E27FC236}">
              <a16:creationId xmlns:a16="http://schemas.microsoft.com/office/drawing/2014/main" id="{551F473A-9BD0-41DC-975F-6731D83C4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5670" name="Picture@5C\QPendientes@" descr="@5C\QPendientes@">
          <a:extLst>
            <a:ext uri="{FF2B5EF4-FFF2-40B4-BE49-F238E27FC236}">
              <a16:creationId xmlns:a16="http://schemas.microsoft.com/office/drawing/2014/main" id="{13D29E49-05D8-4E95-BCD3-712A5C780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5671" name="Picture@5C\QPendientes@" descr="@5C\QPendientes@">
          <a:extLst>
            <a:ext uri="{FF2B5EF4-FFF2-40B4-BE49-F238E27FC236}">
              <a16:creationId xmlns:a16="http://schemas.microsoft.com/office/drawing/2014/main" id="{034A204E-DCD4-47B4-8D9B-C6227E06B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5672" name="Picture@5C\QPendientes@" descr="@5C\QPendientes@">
          <a:extLst>
            <a:ext uri="{FF2B5EF4-FFF2-40B4-BE49-F238E27FC236}">
              <a16:creationId xmlns:a16="http://schemas.microsoft.com/office/drawing/2014/main" id="{F8B769EE-4E0F-458F-A7CB-66F069986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5673" name="Picture@5C\QPendientes@" descr="@5C\QPendientes@">
          <a:extLst>
            <a:ext uri="{FF2B5EF4-FFF2-40B4-BE49-F238E27FC236}">
              <a16:creationId xmlns:a16="http://schemas.microsoft.com/office/drawing/2014/main" id="{EDE71A4F-60CD-4C15-9BF2-360D39CB6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5674" name="Picture@5C\QPendientes@" descr="@5C\QPendientes@">
          <a:extLst>
            <a:ext uri="{FF2B5EF4-FFF2-40B4-BE49-F238E27FC236}">
              <a16:creationId xmlns:a16="http://schemas.microsoft.com/office/drawing/2014/main" id="{A65BD0E4-B4D9-4D33-B8C9-DE7749E4A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5675" name="Picture@5C\QPendientes@" descr="@5C\QPendientes@">
          <a:extLst>
            <a:ext uri="{FF2B5EF4-FFF2-40B4-BE49-F238E27FC236}">
              <a16:creationId xmlns:a16="http://schemas.microsoft.com/office/drawing/2014/main" id="{04F5D7E5-536A-4444-9B9A-D2FD43270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5676" name="Picture@5C\QPendientes@" descr="@5C\QPendientes@">
          <a:extLst>
            <a:ext uri="{FF2B5EF4-FFF2-40B4-BE49-F238E27FC236}">
              <a16:creationId xmlns:a16="http://schemas.microsoft.com/office/drawing/2014/main" id="{F97A1579-C91E-4CF8-AFF6-43786467C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5677" name="Picture@5C\QPendientes@" descr="@5C\QPendientes@">
          <a:extLst>
            <a:ext uri="{FF2B5EF4-FFF2-40B4-BE49-F238E27FC236}">
              <a16:creationId xmlns:a16="http://schemas.microsoft.com/office/drawing/2014/main" id="{0BEA2D51-1B7B-42DE-A0DB-07A8B7BC4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5678" name="Picture@5C\QPendientes@" descr="@5C\QPendientes@">
          <a:extLst>
            <a:ext uri="{FF2B5EF4-FFF2-40B4-BE49-F238E27FC236}">
              <a16:creationId xmlns:a16="http://schemas.microsoft.com/office/drawing/2014/main" id="{AB665F95-4B85-4246-A794-E4C74B32C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5679" name="Picture@5C\QPendientes@" descr="@5C\QPendientes@">
          <a:extLst>
            <a:ext uri="{FF2B5EF4-FFF2-40B4-BE49-F238E27FC236}">
              <a16:creationId xmlns:a16="http://schemas.microsoft.com/office/drawing/2014/main" id="{D9C26ECF-FA63-41CE-BB9E-BCE838893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5680" name="Picture@5C\QPendientes@" descr="@5C\QPendientes@">
          <a:extLst>
            <a:ext uri="{FF2B5EF4-FFF2-40B4-BE49-F238E27FC236}">
              <a16:creationId xmlns:a16="http://schemas.microsoft.com/office/drawing/2014/main" id="{795F3852-7214-401F-837E-6A61BEF66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5681" name="Picture@5C\QPendientes@" descr="@5C\QPendientes@">
          <a:extLst>
            <a:ext uri="{FF2B5EF4-FFF2-40B4-BE49-F238E27FC236}">
              <a16:creationId xmlns:a16="http://schemas.microsoft.com/office/drawing/2014/main" id="{533C3714-FAD0-4F39-8F7B-57E384BF3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5682" name="Picture@5C\QPendientes@" descr="@5C\QPendientes@">
          <a:extLst>
            <a:ext uri="{FF2B5EF4-FFF2-40B4-BE49-F238E27FC236}">
              <a16:creationId xmlns:a16="http://schemas.microsoft.com/office/drawing/2014/main" id="{53D83CA0-EF92-441E-84D8-C5F4D68D8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5683" name="Picture@5C\QPendientes@" descr="@5C\QPendientes@">
          <a:extLst>
            <a:ext uri="{FF2B5EF4-FFF2-40B4-BE49-F238E27FC236}">
              <a16:creationId xmlns:a16="http://schemas.microsoft.com/office/drawing/2014/main" id="{BB7F2F86-822F-4533-BBE6-79C1706E9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5684" name="Picture@5C\QPendientes@" descr="@5C\QPendientes@">
          <a:extLst>
            <a:ext uri="{FF2B5EF4-FFF2-40B4-BE49-F238E27FC236}">
              <a16:creationId xmlns:a16="http://schemas.microsoft.com/office/drawing/2014/main" id="{ED51E0C2-B80E-4E63-9C14-4E2FC2D84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5685" name="Picture@5C\QPendientes@" descr="@5C\QPendientes@">
          <a:extLst>
            <a:ext uri="{FF2B5EF4-FFF2-40B4-BE49-F238E27FC236}">
              <a16:creationId xmlns:a16="http://schemas.microsoft.com/office/drawing/2014/main" id="{38736C20-8689-4F72-839A-ACB2F2DD9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5686" name="Picture@5C\QPendientes@" descr="@5C\QPendientes@">
          <a:extLst>
            <a:ext uri="{FF2B5EF4-FFF2-40B4-BE49-F238E27FC236}">
              <a16:creationId xmlns:a16="http://schemas.microsoft.com/office/drawing/2014/main" id="{F58BEFA3-2580-47B7-BC51-0898F282C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5687" name="Picture@5C\QPendientes@" descr="@5C\QPendientes@">
          <a:extLst>
            <a:ext uri="{FF2B5EF4-FFF2-40B4-BE49-F238E27FC236}">
              <a16:creationId xmlns:a16="http://schemas.microsoft.com/office/drawing/2014/main" id="{0038D46B-65D9-4051-B8BA-B23AA218E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5688" name="Picture@5C\QPendientes@" descr="@5C\QPendientes@">
          <a:extLst>
            <a:ext uri="{FF2B5EF4-FFF2-40B4-BE49-F238E27FC236}">
              <a16:creationId xmlns:a16="http://schemas.microsoft.com/office/drawing/2014/main" id="{13D0D39D-414E-48F0-9A59-F6DBA62DA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5689" name="Picture@5C\QPendientes@" descr="@5C\QPendientes@">
          <a:extLst>
            <a:ext uri="{FF2B5EF4-FFF2-40B4-BE49-F238E27FC236}">
              <a16:creationId xmlns:a16="http://schemas.microsoft.com/office/drawing/2014/main" id="{66DAAE5F-D699-4ACD-B84D-64DA42914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5690" name="Picture@5C\QPendientes@" descr="@5C\QPendientes@">
          <a:extLst>
            <a:ext uri="{FF2B5EF4-FFF2-40B4-BE49-F238E27FC236}">
              <a16:creationId xmlns:a16="http://schemas.microsoft.com/office/drawing/2014/main" id="{2422EBBA-3780-4ED3-B494-2F0F84C19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5691" name="Picture@5C\QPendientes@" descr="@5C\QPendientes@">
          <a:extLst>
            <a:ext uri="{FF2B5EF4-FFF2-40B4-BE49-F238E27FC236}">
              <a16:creationId xmlns:a16="http://schemas.microsoft.com/office/drawing/2014/main" id="{6DF5A0A1-F1BB-48B4-B1F9-29B6AC993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5692" name="Picture@5C\QPendientes@" descr="@5C\QPendientes@">
          <a:extLst>
            <a:ext uri="{FF2B5EF4-FFF2-40B4-BE49-F238E27FC236}">
              <a16:creationId xmlns:a16="http://schemas.microsoft.com/office/drawing/2014/main" id="{531EEC93-256C-455A-8A6F-7EBBE8801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5693" name="Picture@5C\QPendientes@" descr="@5C\QPendientes@">
          <a:extLst>
            <a:ext uri="{FF2B5EF4-FFF2-40B4-BE49-F238E27FC236}">
              <a16:creationId xmlns:a16="http://schemas.microsoft.com/office/drawing/2014/main" id="{417FF704-3F84-420F-8E4F-5C8035208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5694" name="Picture@5C\QPendientes@" descr="@5C\QPendientes@">
          <a:extLst>
            <a:ext uri="{FF2B5EF4-FFF2-40B4-BE49-F238E27FC236}">
              <a16:creationId xmlns:a16="http://schemas.microsoft.com/office/drawing/2014/main" id="{E8AE34EA-EF6D-4F3E-A1F7-9505EF07C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5695" name="Picture@5C\QPendientes@" descr="@5C\QPendientes@">
          <a:extLst>
            <a:ext uri="{FF2B5EF4-FFF2-40B4-BE49-F238E27FC236}">
              <a16:creationId xmlns:a16="http://schemas.microsoft.com/office/drawing/2014/main" id="{C8CD33ED-8C01-44C5-B479-7A0713833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5696" name="Picture@5C\QPendientes@" descr="@5C\QPendientes@">
          <a:extLst>
            <a:ext uri="{FF2B5EF4-FFF2-40B4-BE49-F238E27FC236}">
              <a16:creationId xmlns:a16="http://schemas.microsoft.com/office/drawing/2014/main" id="{6708BB81-44B1-46F9-816A-36EFC5DC2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5697" name="Picture@5C\QPendientes@" descr="@5C\QPendientes@">
          <a:extLst>
            <a:ext uri="{FF2B5EF4-FFF2-40B4-BE49-F238E27FC236}">
              <a16:creationId xmlns:a16="http://schemas.microsoft.com/office/drawing/2014/main" id="{E93D60FA-793B-4B58-AC32-2BD8CCB3C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5698" name="Picture@5C\QPendientes@" descr="@5C\QPendientes@">
          <a:extLst>
            <a:ext uri="{FF2B5EF4-FFF2-40B4-BE49-F238E27FC236}">
              <a16:creationId xmlns:a16="http://schemas.microsoft.com/office/drawing/2014/main" id="{DF8938A6-2D46-4F3B-A5F1-64D29A27D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5699" name="Picture@5C\QPendientes@" descr="@5C\QPendientes@">
          <a:extLst>
            <a:ext uri="{FF2B5EF4-FFF2-40B4-BE49-F238E27FC236}">
              <a16:creationId xmlns:a16="http://schemas.microsoft.com/office/drawing/2014/main" id="{23431342-1EA2-47A4-B24F-8D9BD0BB6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5700" name="Picture@5C\QPendientes@" descr="@5C\QPendientes@">
          <a:extLst>
            <a:ext uri="{FF2B5EF4-FFF2-40B4-BE49-F238E27FC236}">
              <a16:creationId xmlns:a16="http://schemas.microsoft.com/office/drawing/2014/main" id="{DA48222E-5AE8-4B18-8AAC-C9BF987D7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5701" name="Picture@5C\QPendientes@" descr="@5C\QPendientes@">
          <a:extLst>
            <a:ext uri="{FF2B5EF4-FFF2-40B4-BE49-F238E27FC236}">
              <a16:creationId xmlns:a16="http://schemas.microsoft.com/office/drawing/2014/main" id="{A934DFB3-6BE3-4D38-AACD-4362361B1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5702" name="Picture@5C\QPendientes@" descr="@5C\QPendientes@">
          <a:extLst>
            <a:ext uri="{FF2B5EF4-FFF2-40B4-BE49-F238E27FC236}">
              <a16:creationId xmlns:a16="http://schemas.microsoft.com/office/drawing/2014/main" id="{E5D5B0F5-5BD1-4ADE-8675-380D42796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5703" name="Picture@5C\QPendientes@" descr="@5C\QPendientes@">
          <a:extLst>
            <a:ext uri="{FF2B5EF4-FFF2-40B4-BE49-F238E27FC236}">
              <a16:creationId xmlns:a16="http://schemas.microsoft.com/office/drawing/2014/main" id="{25458F44-F9AE-435E-AB25-CB3200D76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5704" name="Picture@5C\QPendientes@" descr="@5C\QPendientes@">
          <a:extLst>
            <a:ext uri="{FF2B5EF4-FFF2-40B4-BE49-F238E27FC236}">
              <a16:creationId xmlns:a16="http://schemas.microsoft.com/office/drawing/2014/main" id="{807D36CC-88DA-47F0-A193-767B4A367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5705" name="Picture@5C\QPendientes@" descr="@5C\QPendientes@">
          <a:extLst>
            <a:ext uri="{FF2B5EF4-FFF2-40B4-BE49-F238E27FC236}">
              <a16:creationId xmlns:a16="http://schemas.microsoft.com/office/drawing/2014/main" id="{D0F8BDD8-795F-42D4-9063-94C4B325C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5706" name="Picture@5C\QPendientes@" descr="@5C\QPendientes@">
          <a:extLst>
            <a:ext uri="{FF2B5EF4-FFF2-40B4-BE49-F238E27FC236}">
              <a16:creationId xmlns:a16="http://schemas.microsoft.com/office/drawing/2014/main" id="{B29DBAF6-D7D7-431A-AAA2-5C0E7055C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5707" name="Picture@5C\QPendientes@" descr="@5C\QPendientes@">
          <a:extLst>
            <a:ext uri="{FF2B5EF4-FFF2-40B4-BE49-F238E27FC236}">
              <a16:creationId xmlns:a16="http://schemas.microsoft.com/office/drawing/2014/main" id="{23BDDDF0-E1AF-4095-B000-38B2E88F7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5708" name="Picture@5C\QPendientes@" descr="@5C\QPendientes@">
          <a:extLst>
            <a:ext uri="{FF2B5EF4-FFF2-40B4-BE49-F238E27FC236}">
              <a16:creationId xmlns:a16="http://schemas.microsoft.com/office/drawing/2014/main" id="{6F39480D-1CEB-4F7B-AB87-FF7C587DB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5709" name="Picture@5C\QPendientes@" descr="@5C\QPendientes@">
          <a:extLst>
            <a:ext uri="{FF2B5EF4-FFF2-40B4-BE49-F238E27FC236}">
              <a16:creationId xmlns:a16="http://schemas.microsoft.com/office/drawing/2014/main" id="{1B85216C-F6C2-498B-96E1-949A487BC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5710" name="Picture@5C\QPendientes@" descr="@5C\QPendientes@">
          <a:extLst>
            <a:ext uri="{FF2B5EF4-FFF2-40B4-BE49-F238E27FC236}">
              <a16:creationId xmlns:a16="http://schemas.microsoft.com/office/drawing/2014/main" id="{6C1D82F8-5671-4D5D-8127-0E81144A4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5711" name="Picture@5C\QPendientes@" descr="@5C\QPendientes@">
          <a:extLst>
            <a:ext uri="{FF2B5EF4-FFF2-40B4-BE49-F238E27FC236}">
              <a16:creationId xmlns:a16="http://schemas.microsoft.com/office/drawing/2014/main" id="{815BA782-05B5-41FA-94F6-6E07315C7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5712" name="Picture@5C\QPendientes@" descr="@5C\QPendientes@">
          <a:extLst>
            <a:ext uri="{FF2B5EF4-FFF2-40B4-BE49-F238E27FC236}">
              <a16:creationId xmlns:a16="http://schemas.microsoft.com/office/drawing/2014/main" id="{73CE19C3-33B9-45F2-975C-EE1DDBA95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5713" name="Picture@5C\QPendientes@" descr="@5C\QPendientes@">
          <a:extLst>
            <a:ext uri="{FF2B5EF4-FFF2-40B4-BE49-F238E27FC236}">
              <a16:creationId xmlns:a16="http://schemas.microsoft.com/office/drawing/2014/main" id="{57E64EEB-F97B-4594-A067-9B48B6C88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5714" name="Picture@5C\QPendientes@" descr="@5C\QPendientes@">
          <a:extLst>
            <a:ext uri="{FF2B5EF4-FFF2-40B4-BE49-F238E27FC236}">
              <a16:creationId xmlns:a16="http://schemas.microsoft.com/office/drawing/2014/main" id="{1607D1A8-3D84-4ACA-9ACF-6F7FDAB37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5715" name="Picture@5C\QPendientes@" descr="@5C\QPendientes@">
          <a:extLst>
            <a:ext uri="{FF2B5EF4-FFF2-40B4-BE49-F238E27FC236}">
              <a16:creationId xmlns:a16="http://schemas.microsoft.com/office/drawing/2014/main" id="{B3C3F150-667B-40F8-AF94-D2175A408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5716" name="Picture@5C\QPendientes@" descr="@5C\QPendientes@">
          <a:extLst>
            <a:ext uri="{FF2B5EF4-FFF2-40B4-BE49-F238E27FC236}">
              <a16:creationId xmlns:a16="http://schemas.microsoft.com/office/drawing/2014/main" id="{82BBF630-7330-4987-A7AA-E51A25395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5717" name="Picture@5C\QPendientes@" descr="@5C\QPendientes@">
          <a:extLst>
            <a:ext uri="{FF2B5EF4-FFF2-40B4-BE49-F238E27FC236}">
              <a16:creationId xmlns:a16="http://schemas.microsoft.com/office/drawing/2014/main" id="{563ECCF3-4421-4EF2-A934-905A6F7C4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5718" name="Picture@5C\QPendientes@" descr="@5C\QPendientes@">
          <a:extLst>
            <a:ext uri="{FF2B5EF4-FFF2-40B4-BE49-F238E27FC236}">
              <a16:creationId xmlns:a16="http://schemas.microsoft.com/office/drawing/2014/main" id="{A18C00B1-5574-46C6-A4FD-16E45811C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5719" name="Picture@5C\QPendientes@" descr="@5C\QPendientes@">
          <a:extLst>
            <a:ext uri="{FF2B5EF4-FFF2-40B4-BE49-F238E27FC236}">
              <a16:creationId xmlns:a16="http://schemas.microsoft.com/office/drawing/2014/main" id="{2E7AB999-FC10-4984-925B-7CF94DC81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5720" name="Picture@5C\QPendientes@" descr="@5C\QPendientes@">
          <a:extLst>
            <a:ext uri="{FF2B5EF4-FFF2-40B4-BE49-F238E27FC236}">
              <a16:creationId xmlns:a16="http://schemas.microsoft.com/office/drawing/2014/main" id="{1D172579-0EB5-4F01-AAEE-B13CB7D00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5721" name="Picture@5C\QPendientes@" descr="@5C\QPendientes@">
          <a:extLst>
            <a:ext uri="{FF2B5EF4-FFF2-40B4-BE49-F238E27FC236}">
              <a16:creationId xmlns:a16="http://schemas.microsoft.com/office/drawing/2014/main" id="{D6725356-6C56-49EE-A2CB-C9B575EB5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5722" name="Picture@5C\QPendientes@" descr="@5C\QPendientes@">
          <a:extLst>
            <a:ext uri="{FF2B5EF4-FFF2-40B4-BE49-F238E27FC236}">
              <a16:creationId xmlns:a16="http://schemas.microsoft.com/office/drawing/2014/main" id="{AD70B8A0-DF4B-404F-8DF4-52A8AB0ED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5723" name="Picture@5C\QPendientes@" descr="@5C\QPendientes@">
          <a:extLst>
            <a:ext uri="{FF2B5EF4-FFF2-40B4-BE49-F238E27FC236}">
              <a16:creationId xmlns:a16="http://schemas.microsoft.com/office/drawing/2014/main" id="{170215B3-DC2B-4D41-8E6E-DDEF43B8F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5724" name="Picture@5C\QPendientes@" descr="@5C\QPendientes@">
          <a:extLst>
            <a:ext uri="{FF2B5EF4-FFF2-40B4-BE49-F238E27FC236}">
              <a16:creationId xmlns:a16="http://schemas.microsoft.com/office/drawing/2014/main" id="{6D9B5EA4-130D-4721-8495-9FFAA5905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5725" name="Picture@5C\QPendientes@" descr="@5C\QPendientes@">
          <a:extLst>
            <a:ext uri="{FF2B5EF4-FFF2-40B4-BE49-F238E27FC236}">
              <a16:creationId xmlns:a16="http://schemas.microsoft.com/office/drawing/2014/main" id="{B200C448-1C4C-4A0B-B36E-3FB611583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5726" name="Picture@5C\QPendientes@" descr="@5C\QPendientes@">
          <a:extLst>
            <a:ext uri="{FF2B5EF4-FFF2-40B4-BE49-F238E27FC236}">
              <a16:creationId xmlns:a16="http://schemas.microsoft.com/office/drawing/2014/main" id="{70E42F41-B0AC-4F9C-9109-6FF931BA5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5727" name="Picture@5C\QPendientes@" descr="@5C\QPendientes@">
          <a:extLst>
            <a:ext uri="{FF2B5EF4-FFF2-40B4-BE49-F238E27FC236}">
              <a16:creationId xmlns:a16="http://schemas.microsoft.com/office/drawing/2014/main" id="{84DFCC9A-AE8A-42E3-9A70-A05AB18DB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5728" name="Picture@5C\QPendientes@" descr="@5C\QPendientes@">
          <a:extLst>
            <a:ext uri="{FF2B5EF4-FFF2-40B4-BE49-F238E27FC236}">
              <a16:creationId xmlns:a16="http://schemas.microsoft.com/office/drawing/2014/main" id="{2C5A794E-29CC-45A1-8F0C-6F8FDC7FB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5729" name="Picture@5C\QPendientes@" descr="@5C\QPendientes@">
          <a:extLst>
            <a:ext uri="{FF2B5EF4-FFF2-40B4-BE49-F238E27FC236}">
              <a16:creationId xmlns:a16="http://schemas.microsoft.com/office/drawing/2014/main" id="{B1828CD7-4895-4A2A-A27F-CBD3FC54B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5730" name="Picture@5C\QPendientes@" descr="@5C\QPendientes@">
          <a:extLst>
            <a:ext uri="{FF2B5EF4-FFF2-40B4-BE49-F238E27FC236}">
              <a16:creationId xmlns:a16="http://schemas.microsoft.com/office/drawing/2014/main" id="{3DFBB5E3-F14D-47BD-87FF-BB38D4974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5731" name="Picture@5C\QPendientes@" descr="@5C\QPendientes@">
          <a:extLst>
            <a:ext uri="{FF2B5EF4-FFF2-40B4-BE49-F238E27FC236}">
              <a16:creationId xmlns:a16="http://schemas.microsoft.com/office/drawing/2014/main" id="{AB0BE5E3-45B7-4BD1-96D7-F111D950A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5732" name="Picture@5C\QPendientes@" descr="@5C\QPendientes@">
          <a:extLst>
            <a:ext uri="{FF2B5EF4-FFF2-40B4-BE49-F238E27FC236}">
              <a16:creationId xmlns:a16="http://schemas.microsoft.com/office/drawing/2014/main" id="{9FC39839-7AC6-450D-BA0B-C896E2B0F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5733" name="Picture@5C\QPendientes@" descr="@5C\QPendientes@">
          <a:extLst>
            <a:ext uri="{FF2B5EF4-FFF2-40B4-BE49-F238E27FC236}">
              <a16:creationId xmlns:a16="http://schemas.microsoft.com/office/drawing/2014/main" id="{941590B6-CBF1-40CF-888E-7EC961FBF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5734" name="Picture@5C\QPendientes@" descr="@5C\QPendientes@">
          <a:extLst>
            <a:ext uri="{FF2B5EF4-FFF2-40B4-BE49-F238E27FC236}">
              <a16:creationId xmlns:a16="http://schemas.microsoft.com/office/drawing/2014/main" id="{A05D75AC-500A-4177-B005-0B4234DE7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5735" name="Picture@5C\QPendientes@" descr="@5C\QPendientes@">
          <a:extLst>
            <a:ext uri="{FF2B5EF4-FFF2-40B4-BE49-F238E27FC236}">
              <a16:creationId xmlns:a16="http://schemas.microsoft.com/office/drawing/2014/main" id="{88521898-3637-4EA7-91BB-86B729CDB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5736" name="Picture@5C\QPendientes@" descr="@5C\QPendientes@">
          <a:extLst>
            <a:ext uri="{FF2B5EF4-FFF2-40B4-BE49-F238E27FC236}">
              <a16:creationId xmlns:a16="http://schemas.microsoft.com/office/drawing/2014/main" id="{77A724F3-F6AE-4AB5-9460-F4D61150A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5737" name="Picture@5C\QPendientes@" descr="@5C\QPendientes@">
          <a:extLst>
            <a:ext uri="{FF2B5EF4-FFF2-40B4-BE49-F238E27FC236}">
              <a16:creationId xmlns:a16="http://schemas.microsoft.com/office/drawing/2014/main" id="{7262C93C-465B-4E56-83F3-4CD8CC289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5738" name="Picture@5C\QPendientes@" descr="@5C\QPendientes@">
          <a:extLst>
            <a:ext uri="{FF2B5EF4-FFF2-40B4-BE49-F238E27FC236}">
              <a16:creationId xmlns:a16="http://schemas.microsoft.com/office/drawing/2014/main" id="{F85EE049-4B27-4BC4-8194-9304758A4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5739" name="Picture@5C\QPendientes@" descr="@5C\QPendientes@">
          <a:extLst>
            <a:ext uri="{FF2B5EF4-FFF2-40B4-BE49-F238E27FC236}">
              <a16:creationId xmlns:a16="http://schemas.microsoft.com/office/drawing/2014/main" id="{9395B1C4-EAC7-4E37-BF1D-3D44F6E08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5740" name="Picture@5C\QPendientes@" descr="@5C\QPendientes@">
          <a:extLst>
            <a:ext uri="{FF2B5EF4-FFF2-40B4-BE49-F238E27FC236}">
              <a16:creationId xmlns:a16="http://schemas.microsoft.com/office/drawing/2014/main" id="{50A66E2A-567D-4FC0-81BC-EEF23851B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5741" name="Picture@5C\QPendientes@" descr="@5C\QPendientes@">
          <a:extLst>
            <a:ext uri="{FF2B5EF4-FFF2-40B4-BE49-F238E27FC236}">
              <a16:creationId xmlns:a16="http://schemas.microsoft.com/office/drawing/2014/main" id="{86564464-DA5E-48F4-8544-4D188B93A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5742" name="Picture@5C\QPendientes@" descr="@5C\QPendientes@">
          <a:extLst>
            <a:ext uri="{FF2B5EF4-FFF2-40B4-BE49-F238E27FC236}">
              <a16:creationId xmlns:a16="http://schemas.microsoft.com/office/drawing/2014/main" id="{A2628CA7-15D6-4D98-AFCC-9DB0C80E4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5743" name="Picture@5C\QPendientes@" descr="@5C\QPendientes@">
          <a:extLst>
            <a:ext uri="{FF2B5EF4-FFF2-40B4-BE49-F238E27FC236}">
              <a16:creationId xmlns:a16="http://schemas.microsoft.com/office/drawing/2014/main" id="{BBA5567A-5049-43B8-A0D2-8C4CD98C1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5744" name="Picture@5C\QPendientes@" descr="@5C\QPendientes@">
          <a:extLst>
            <a:ext uri="{FF2B5EF4-FFF2-40B4-BE49-F238E27FC236}">
              <a16:creationId xmlns:a16="http://schemas.microsoft.com/office/drawing/2014/main" id="{FEAE1A7D-9A9E-43A2-9EED-26428B4CE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5745" name="Picture@5C\QPendientes@" descr="@5C\QPendientes@">
          <a:extLst>
            <a:ext uri="{FF2B5EF4-FFF2-40B4-BE49-F238E27FC236}">
              <a16:creationId xmlns:a16="http://schemas.microsoft.com/office/drawing/2014/main" id="{85FC19E8-A847-413A-A5D9-39762C139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5746" name="Picture@5C\QPendientes@" descr="@5C\QPendientes@">
          <a:extLst>
            <a:ext uri="{FF2B5EF4-FFF2-40B4-BE49-F238E27FC236}">
              <a16:creationId xmlns:a16="http://schemas.microsoft.com/office/drawing/2014/main" id="{37765520-BECF-4F82-9F3E-AC4F0E33C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5747" name="Picture@5C\QPendientes@" descr="@5C\QPendientes@">
          <a:extLst>
            <a:ext uri="{FF2B5EF4-FFF2-40B4-BE49-F238E27FC236}">
              <a16:creationId xmlns:a16="http://schemas.microsoft.com/office/drawing/2014/main" id="{F7963455-D762-455E-A773-83DE0B39B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5748" name="Picture@5C\QPendientes@" descr="@5C\QPendientes@">
          <a:extLst>
            <a:ext uri="{FF2B5EF4-FFF2-40B4-BE49-F238E27FC236}">
              <a16:creationId xmlns:a16="http://schemas.microsoft.com/office/drawing/2014/main" id="{82FB90D7-6423-4FE6-A6C3-25354138F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5749" name="Picture@5C\QPendientes@" descr="@5C\QPendientes@">
          <a:extLst>
            <a:ext uri="{FF2B5EF4-FFF2-40B4-BE49-F238E27FC236}">
              <a16:creationId xmlns:a16="http://schemas.microsoft.com/office/drawing/2014/main" id="{99A89931-9D7A-4173-A20A-B2F3F3F48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5750" name="Picture@5C\QPendientes@" descr="@5C\QPendientes@">
          <a:extLst>
            <a:ext uri="{FF2B5EF4-FFF2-40B4-BE49-F238E27FC236}">
              <a16:creationId xmlns:a16="http://schemas.microsoft.com/office/drawing/2014/main" id="{6BE92EC1-A110-41CE-BE84-44D80655C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5751" name="Picture@5C\QPendientes@" descr="@5C\QPendientes@">
          <a:extLst>
            <a:ext uri="{FF2B5EF4-FFF2-40B4-BE49-F238E27FC236}">
              <a16:creationId xmlns:a16="http://schemas.microsoft.com/office/drawing/2014/main" id="{4C8541A0-9E97-4B0D-9ACF-A516F1878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5752" name="Picture@5C\QPendientes@" descr="@5C\QPendientes@">
          <a:extLst>
            <a:ext uri="{FF2B5EF4-FFF2-40B4-BE49-F238E27FC236}">
              <a16:creationId xmlns:a16="http://schemas.microsoft.com/office/drawing/2014/main" id="{0A39100A-25EF-4235-916C-5BBE157CF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5753" name="Picture@5C\QPendientes@" descr="@5C\QPendientes@">
          <a:extLst>
            <a:ext uri="{FF2B5EF4-FFF2-40B4-BE49-F238E27FC236}">
              <a16:creationId xmlns:a16="http://schemas.microsoft.com/office/drawing/2014/main" id="{8F9C0351-8BC4-4EAF-BAE8-C425F04E2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5754" name="Picture@5C\QPendientes@" descr="@5C\QPendientes@">
          <a:extLst>
            <a:ext uri="{FF2B5EF4-FFF2-40B4-BE49-F238E27FC236}">
              <a16:creationId xmlns:a16="http://schemas.microsoft.com/office/drawing/2014/main" id="{4ECFB1D7-1AEB-4B1C-81FC-A97ACAF82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5755" name="Picture@5C\QPendientes@" descr="@5C\QPendientes@">
          <a:extLst>
            <a:ext uri="{FF2B5EF4-FFF2-40B4-BE49-F238E27FC236}">
              <a16:creationId xmlns:a16="http://schemas.microsoft.com/office/drawing/2014/main" id="{5D45546D-BA4C-4F97-94B7-C1B38738F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5756" name="Picture@5C\QPendientes@" descr="@5C\QPendientes@">
          <a:extLst>
            <a:ext uri="{FF2B5EF4-FFF2-40B4-BE49-F238E27FC236}">
              <a16:creationId xmlns:a16="http://schemas.microsoft.com/office/drawing/2014/main" id="{377DFD5D-7602-4998-B9B9-6B003EDE3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5757" name="Picture@5C\QPendientes@" descr="@5C\QPendientes@">
          <a:extLst>
            <a:ext uri="{FF2B5EF4-FFF2-40B4-BE49-F238E27FC236}">
              <a16:creationId xmlns:a16="http://schemas.microsoft.com/office/drawing/2014/main" id="{EE75FE57-67B3-41F0-BC7B-8A763F322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5758" name="Picture@5C\QPendientes@" descr="@5C\QPendientes@">
          <a:extLst>
            <a:ext uri="{FF2B5EF4-FFF2-40B4-BE49-F238E27FC236}">
              <a16:creationId xmlns:a16="http://schemas.microsoft.com/office/drawing/2014/main" id="{ECDDE391-4ADE-4CC1-8F08-AF9899702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5759" name="Picture@5C\QPendientes@" descr="@5C\QPendientes@">
          <a:extLst>
            <a:ext uri="{FF2B5EF4-FFF2-40B4-BE49-F238E27FC236}">
              <a16:creationId xmlns:a16="http://schemas.microsoft.com/office/drawing/2014/main" id="{8530AD60-5A5D-4EF4-AD98-A224FE370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5760" name="Picture@5C\QPendientes@" descr="@5C\QPendientes@">
          <a:extLst>
            <a:ext uri="{FF2B5EF4-FFF2-40B4-BE49-F238E27FC236}">
              <a16:creationId xmlns:a16="http://schemas.microsoft.com/office/drawing/2014/main" id="{B5C3648E-A3ED-4944-90B3-0C56A92E1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5761" name="Picture@5C\QPendientes@" descr="@5C\QPendientes@">
          <a:extLst>
            <a:ext uri="{FF2B5EF4-FFF2-40B4-BE49-F238E27FC236}">
              <a16:creationId xmlns:a16="http://schemas.microsoft.com/office/drawing/2014/main" id="{D1E0A84D-DC95-440D-8252-01BF01839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5762" name="Picture@5C\QPendientes@" descr="@5C\QPendientes@">
          <a:extLst>
            <a:ext uri="{FF2B5EF4-FFF2-40B4-BE49-F238E27FC236}">
              <a16:creationId xmlns:a16="http://schemas.microsoft.com/office/drawing/2014/main" id="{E20CD8C2-1233-4AE5-8946-7C8923A60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763" name="Picture@5C\QPendientes@" descr="@5C\QPendientes@">
          <a:extLst>
            <a:ext uri="{FF2B5EF4-FFF2-40B4-BE49-F238E27FC236}">
              <a16:creationId xmlns:a16="http://schemas.microsoft.com/office/drawing/2014/main" id="{F72516A8-9DD7-4928-99DD-CCD4A2E32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764" name="Picture@5C\QPendientes@" descr="@5C\QPendientes@">
          <a:extLst>
            <a:ext uri="{FF2B5EF4-FFF2-40B4-BE49-F238E27FC236}">
              <a16:creationId xmlns:a16="http://schemas.microsoft.com/office/drawing/2014/main" id="{E84459F8-6E52-4D2E-A289-588F2030D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765" name="Picture@5C\QPendientes@" descr="@5C\QPendientes@">
          <a:extLst>
            <a:ext uri="{FF2B5EF4-FFF2-40B4-BE49-F238E27FC236}">
              <a16:creationId xmlns:a16="http://schemas.microsoft.com/office/drawing/2014/main" id="{1B01BF02-6DFF-4A54-9F1E-3F465942B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766" name="Picture@5C\QPendientes@" descr="@5C\QPendientes@">
          <a:extLst>
            <a:ext uri="{FF2B5EF4-FFF2-40B4-BE49-F238E27FC236}">
              <a16:creationId xmlns:a16="http://schemas.microsoft.com/office/drawing/2014/main" id="{2A704A99-F50B-4ED8-B862-8658611FE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767" name="Picture@5C\QPendientes@" descr="@5C\QPendientes@">
          <a:extLst>
            <a:ext uri="{FF2B5EF4-FFF2-40B4-BE49-F238E27FC236}">
              <a16:creationId xmlns:a16="http://schemas.microsoft.com/office/drawing/2014/main" id="{E0CCC71B-5846-4BC4-A7C1-43532A8EC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768" name="Picture@5C\QPendientes@" descr="@5C\QPendientes@">
          <a:extLst>
            <a:ext uri="{FF2B5EF4-FFF2-40B4-BE49-F238E27FC236}">
              <a16:creationId xmlns:a16="http://schemas.microsoft.com/office/drawing/2014/main" id="{1491D2F5-977B-4EB1-995C-285D74832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769" name="Picture@5C\QPendientes@" descr="@5C\QPendientes@">
          <a:extLst>
            <a:ext uri="{FF2B5EF4-FFF2-40B4-BE49-F238E27FC236}">
              <a16:creationId xmlns:a16="http://schemas.microsoft.com/office/drawing/2014/main" id="{D47ED164-6FE9-41F5-A64A-AB99E2EB1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770" name="Picture@5C\QPendientes@" descr="@5C\QPendientes@">
          <a:extLst>
            <a:ext uri="{FF2B5EF4-FFF2-40B4-BE49-F238E27FC236}">
              <a16:creationId xmlns:a16="http://schemas.microsoft.com/office/drawing/2014/main" id="{27B650CE-A9AA-44F0-9E5D-494BFABDA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771" name="Picture@5C\QPendientes@" descr="@5C\QPendientes@">
          <a:extLst>
            <a:ext uri="{FF2B5EF4-FFF2-40B4-BE49-F238E27FC236}">
              <a16:creationId xmlns:a16="http://schemas.microsoft.com/office/drawing/2014/main" id="{8D292783-E449-4BFA-8749-4415043CB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772" name="Picture@5C\QPendientes@" descr="@5C\QPendientes@">
          <a:extLst>
            <a:ext uri="{FF2B5EF4-FFF2-40B4-BE49-F238E27FC236}">
              <a16:creationId xmlns:a16="http://schemas.microsoft.com/office/drawing/2014/main" id="{A7E604AC-E5F8-43C3-B6BA-1882AA37C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773" name="Picture@5C\QPendientes@" descr="@5C\QPendientes@">
          <a:extLst>
            <a:ext uri="{FF2B5EF4-FFF2-40B4-BE49-F238E27FC236}">
              <a16:creationId xmlns:a16="http://schemas.microsoft.com/office/drawing/2014/main" id="{FAAB1353-F450-4E39-983B-6B7DBA61A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774" name="Picture@5C\QPendientes@" descr="@5C\QPendientes@">
          <a:extLst>
            <a:ext uri="{FF2B5EF4-FFF2-40B4-BE49-F238E27FC236}">
              <a16:creationId xmlns:a16="http://schemas.microsoft.com/office/drawing/2014/main" id="{54FB5304-D6F6-4C3D-ADA3-0AFF22117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775" name="Picture@5C\QPendientes@" descr="@5C\QPendientes@">
          <a:extLst>
            <a:ext uri="{FF2B5EF4-FFF2-40B4-BE49-F238E27FC236}">
              <a16:creationId xmlns:a16="http://schemas.microsoft.com/office/drawing/2014/main" id="{5CB714B0-8873-46CD-A168-A1AACA97E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776" name="Picture@5C\QPendientes@" descr="@5C\QPendientes@">
          <a:extLst>
            <a:ext uri="{FF2B5EF4-FFF2-40B4-BE49-F238E27FC236}">
              <a16:creationId xmlns:a16="http://schemas.microsoft.com/office/drawing/2014/main" id="{965C8D10-0395-473D-9FA1-2DCF64F26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777" name="Picture@5C\QPendientes@" descr="@5C\QPendientes@">
          <a:extLst>
            <a:ext uri="{FF2B5EF4-FFF2-40B4-BE49-F238E27FC236}">
              <a16:creationId xmlns:a16="http://schemas.microsoft.com/office/drawing/2014/main" id="{237DDD41-8FFC-4DC3-8853-7A1E871D9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778" name="Picture@5C\QPendientes@" descr="@5C\QPendientes@">
          <a:extLst>
            <a:ext uri="{FF2B5EF4-FFF2-40B4-BE49-F238E27FC236}">
              <a16:creationId xmlns:a16="http://schemas.microsoft.com/office/drawing/2014/main" id="{2F146008-DE55-4306-9BD1-CF90A720B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779" name="Picture@5C\QPendientes@" descr="@5C\QPendientes@">
          <a:extLst>
            <a:ext uri="{FF2B5EF4-FFF2-40B4-BE49-F238E27FC236}">
              <a16:creationId xmlns:a16="http://schemas.microsoft.com/office/drawing/2014/main" id="{B7317B2E-DFC6-4695-8CB3-A9BD8359F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780" name="Picture@5C\QPendientes@" descr="@5C\QPendientes@">
          <a:extLst>
            <a:ext uri="{FF2B5EF4-FFF2-40B4-BE49-F238E27FC236}">
              <a16:creationId xmlns:a16="http://schemas.microsoft.com/office/drawing/2014/main" id="{604B1E11-A4BF-41F8-A0B5-ADD8F4184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781" name="Picture@5C\QPendientes@" descr="@5C\QPendientes@">
          <a:extLst>
            <a:ext uri="{FF2B5EF4-FFF2-40B4-BE49-F238E27FC236}">
              <a16:creationId xmlns:a16="http://schemas.microsoft.com/office/drawing/2014/main" id="{2E538F09-F68D-4278-AE83-F557DD982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782" name="Picture@5C\QPendientes@" descr="@5C\QPendientes@">
          <a:extLst>
            <a:ext uri="{FF2B5EF4-FFF2-40B4-BE49-F238E27FC236}">
              <a16:creationId xmlns:a16="http://schemas.microsoft.com/office/drawing/2014/main" id="{F3F237EB-C587-4FCC-89B6-FE9D54D1F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783" name="Picture@5C\QPendientes@" descr="@5C\QPendientes@">
          <a:extLst>
            <a:ext uri="{FF2B5EF4-FFF2-40B4-BE49-F238E27FC236}">
              <a16:creationId xmlns:a16="http://schemas.microsoft.com/office/drawing/2014/main" id="{975EA4D8-4CC1-45EF-87EF-9D8A3FF97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784" name="Picture@5C\QPendientes@" descr="@5C\QPendientes@">
          <a:extLst>
            <a:ext uri="{FF2B5EF4-FFF2-40B4-BE49-F238E27FC236}">
              <a16:creationId xmlns:a16="http://schemas.microsoft.com/office/drawing/2014/main" id="{18D9F803-F7A0-44C1-9F24-4E7040904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785" name="Picture@5C\QPendientes@" descr="@5C\QPendientes@">
          <a:extLst>
            <a:ext uri="{FF2B5EF4-FFF2-40B4-BE49-F238E27FC236}">
              <a16:creationId xmlns:a16="http://schemas.microsoft.com/office/drawing/2014/main" id="{BD691EE2-B54C-417B-8918-1A65FBA8A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786" name="Picture@5C\QPendientes@" descr="@5C\QPendientes@">
          <a:extLst>
            <a:ext uri="{FF2B5EF4-FFF2-40B4-BE49-F238E27FC236}">
              <a16:creationId xmlns:a16="http://schemas.microsoft.com/office/drawing/2014/main" id="{0F05E71B-5546-4C8A-A85B-9F0AB105A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787" name="Picture@5C\QPendientes@" descr="@5C\QPendientes@">
          <a:extLst>
            <a:ext uri="{FF2B5EF4-FFF2-40B4-BE49-F238E27FC236}">
              <a16:creationId xmlns:a16="http://schemas.microsoft.com/office/drawing/2014/main" id="{D151D941-A8F0-465B-B041-EEA9FC1D4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788" name="Picture@5C\QPendientes@" descr="@5C\QPendientes@">
          <a:extLst>
            <a:ext uri="{FF2B5EF4-FFF2-40B4-BE49-F238E27FC236}">
              <a16:creationId xmlns:a16="http://schemas.microsoft.com/office/drawing/2014/main" id="{30FB27C6-21BA-4190-8F48-AE91F0B11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789" name="Picture@5C\QPendientes@" descr="@5C\QPendientes@">
          <a:extLst>
            <a:ext uri="{FF2B5EF4-FFF2-40B4-BE49-F238E27FC236}">
              <a16:creationId xmlns:a16="http://schemas.microsoft.com/office/drawing/2014/main" id="{9525FACF-5D1D-4B47-9795-54F844200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790" name="Picture@5C\QPendientes@" descr="@5C\QPendientes@">
          <a:extLst>
            <a:ext uri="{FF2B5EF4-FFF2-40B4-BE49-F238E27FC236}">
              <a16:creationId xmlns:a16="http://schemas.microsoft.com/office/drawing/2014/main" id="{16430E4A-AAF3-4333-BFEE-F588202BB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791" name="Picture@5C\QPendientes@" descr="@5C\QPendientes@">
          <a:extLst>
            <a:ext uri="{FF2B5EF4-FFF2-40B4-BE49-F238E27FC236}">
              <a16:creationId xmlns:a16="http://schemas.microsoft.com/office/drawing/2014/main" id="{62BCE357-6B4B-49F3-BA09-DB1F8BF9A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792" name="Picture@5C\QPendientes@" descr="@5C\QPendientes@">
          <a:extLst>
            <a:ext uri="{FF2B5EF4-FFF2-40B4-BE49-F238E27FC236}">
              <a16:creationId xmlns:a16="http://schemas.microsoft.com/office/drawing/2014/main" id="{C5E9153C-F081-4E37-A9AC-83F8FF4E7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793" name="Picture@5C\QPendientes@" descr="@5C\QPendientes@">
          <a:extLst>
            <a:ext uri="{FF2B5EF4-FFF2-40B4-BE49-F238E27FC236}">
              <a16:creationId xmlns:a16="http://schemas.microsoft.com/office/drawing/2014/main" id="{9E23BA3E-1DA2-4C4A-8949-BC136C675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794" name="Picture@5C\QPendientes@" descr="@5C\QPendientes@">
          <a:extLst>
            <a:ext uri="{FF2B5EF4-FFF2-40B4-BE49-F238E27FC236}">
              <a16:creationId xmlns:a16="http://schemas.microsoft.com/office/drawing/2014/main" id="{E6650BD9-985A-42C7-879C-3BFC957CB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795" name="Picture@5C\QPendientes@" descr="@5C\QPendientes@">
          <a:extLst>
            <a:ext uri="{FF2B5EF4-FFF2-40B4-BE49-F238E27FC236}">
              <a16:creationId xmlns:a16="http://schemas.microsoft.com/office/drawing/2014/main" id="{53D8DD45-661C-44C8-A63B-2994D0107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796" name="Picture@5C\QPendientes@" descr="@5C\QPendientes@">
          <a:extLst>
            <a:ext uri="{FF2B5EF4-FFF2-40B4-BE49-F238E27FC236}">
              <a16:creationId xmlns:a16="http://schemas.microsoft.com/office/drawing/2014/main" id="{669814C0-F4EB-4161-9E8A-448EE0EF8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797" name="Picture@5C\QPendientes@" descr="@5C\QPendientes@">
          <a:extLst>
            <a:ext uri="{FF2B5EF4-FFF2-40B4-BE49-F238E27FC236}">
              <a16:creationId xmlns:a16="http://schemas.microsoft.com/office/drawing/2014/main" id="{98525AA6-0FCC-4C1D-A830-3403044B3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798" name="Picture@5C\QPendientes@" descr="@5C\QPendientes@">
          <a:extLst>
            <a:ext uri="{FF2B5EF4-FFF2-40B4-BE49-F238E27FC236}">
              <a16:creationId xmlns:a16="http://schemas.microsoft.com/office/drawing/2014/main" id="{1EF57A6B-A9DE-4661-8FFD-0A7AC82B1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799" name="Picture@5C\QPendientes@" descr="@5C\QPendientes@">
          <a:extLst>
            <a:ext uri="{FF2B5EF4-FFF2-40B4-BE49-F238E27FC236}">
              <a16:creationId xmlns:a16="http://schemas.microsoft.com/office/drawing/2014/main" id="{BDBD0946-F050-4D14-8BED-016D29294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800" name="Picture@5C\QPendientes@" descr="@5C\QPendientes@">
          <a:extLst>
            <a:ext uri="{FF2B5EF4-FFF2-40B4-BE49-F238E27FC236}">
              <a16:creationId xmlns:a16="http://schemas.microsoft.com/office/drawing/2014/main" id="{C7B8C79D-8059-441F-A4DF-D8858F754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801" name="Picture@5C\QPendientes@" descr="@5C\QPendientes@">
          <a:extLst>
            <a:ext uri="{FF2B5EF4-FFF2-40B4-BE49-F238E27FC236}">
              <a16:creationId xmlns:a16="http://schemas.microsoft.com/office/drawing/2014/main" id="{06496772-1357-4693-A664-EFCC3E84F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802" name="Picture@5C\QPendientes@" descr="@5C\QPendientes@">
          <a:extLst>
            <a:ext uri="{FF2B5EF4-FFF2-40B4-BE49-F238E27FC236}">
              <a16:creationId xmlns:a16="http://schemas.microsoft.com/office/drawing/2014/main" id="{15CE7373-5C08-49AB-9537-3AC567E78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803" name="Picture@5C\QPendientes@" descr="@5C\QPendientes@">
          <a:extLst>
            <a:ext uri="{FF2B5EF4-FFF2-40B4-BE49-F238E27FC236}">
              <a16:creationId xmlns:a16="http://schemas.microsoft.com/office/drawing/2014/main" id="{A50865EA-5FCF-4E04-BF91-72C0A1B11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804" name="Picture@5C\QPendientes@" descr="@5C\QPendientes@">
          <a:extLst>
            <a:ext uri="{FF2B5EF4-FFF2-40B4-BE49-F238E27FC236}">
              <a16:creationId xmlns:a16="http://schemas.microsoft.com/office/drawing/2014/main" id="{830EF127-4C70-4D29-A8FA-CEA5248A5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805" name="Picture@5C\QPendientes@" descr="@5C\QPendientes@">
          <a:extLst>
            <a:ext uri="{FF2B5EF4-FFF2-40B4-BE49-F238E27FC236}">
              <a16:creationId xmlns:a16="http://schemas.microsoft.com/office/drawing/2014/main" id="{EC60ABB6-805E-439C-965C-DAE693EED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806" name="Picture@5C\QPendientes@" descr="@5C\QPendientes@">
          <a:extLst>
            <a:ext uri="{FF2B5EF4-FFF2-40B4-BE49-F238E27FC236}">
              <a16:creationId xmlns:a16="http://schemas.microsoft.com/office/drawing/2014/main" id="{CC6AACAB-1989-492B-8E9B-3D2C7D4FE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807" name="Picture@5C\QPendientes@" descr="@5C\QPendientes@">
          <a:extLst>
            <a:ext uri="{FF2B5EF4-FFF2-40B4-BE49-F238E27FC236}">
              <a16:creationId xmlns:a16="http://schemas.microsoft.com/office/drawing/2014/main" id="{985D4E21-ACD7-4F52-8956-F1F08A820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808" name="Picture@5C\QPendientes@" descr="@5C\QPendientes@">
          <a:extLst>
            <a:ext uri="{FF2B5EF4-FFF2-40B4-BE49-F238E27FC236}">
              <a16:creationId xmlns:a16="http://schemas.microsoft.com/office/drawing/2014/main" id="{2B3646C6-962C-400F-92FE-EC286EE7F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809" name="Picture@5C\QPendientes@" descr="@5C\QPendientes@">
          <a:extLst>
            <a:ext uri="{FF2B5EF4-FFF2-40B4-BE49-F238E27FC236}">
              <a16:creationId xmlns:a16="http://schemas.microsoft.com/office/drawing/2014/main" id="{117AA709-81F5-4C83-87EA-0D2CDE9E4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810" name="Picture@5C\QPendientes@" descr="@5C\QPendientes@">
          <a:extLst>
            <a:ext uri="{FF2B5EF4-FFF2-40B4-BE49-F238E27FC236}">
              <a16:creationId xmlns:a16="http://schemas.microsoft.com/office/drawing/2014/main" id="{1061AFBC-91BB-4225-8BEE-9ACD8153B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811" name="Picture@5C\QPendientes@" descr="@5C\QPendientes@">
          <a:extLst>
            <a:ext uri="{FF2B5EF4-FFF2-40B4-BE49-F238E27FC236}">
              <a16:creationId xmlns:a16="http://schemas.microsoft.com/office/drawing/2014/main" id="{0D59CE36-3896-458F-89CB-F40EC4CAB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812" name="Picture@5C\QPendientes@" descr="@5C\QPendientes@">
          <a:extLst>
            <a:ext uri="{FF2B5EF4-FFF2-40B4-BE49-F238E27FC236}">
              <a16:creationId xmlns:a16="http://schemas.microsoft.com/office/drawing/2014/main" id="{4FDF4AE0-4E02-4BCA-B8E2-749B2C3BC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813" name="Picture@5C\QPendientes@" descr="@5C\QPendientes@">
          <a:extLst>
            <a:ext uri="{FF2B5EF4-FFF2-40B4-BE49-F238E27FC236}">
              <a16:creationId xmlns:a16="http://schemas.microsoft.com/office/drawing/2014/main" id="{B993CE96-078D-4FCA-9380-99618CC50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814" name="Picture@5C\QPendientes@" descr="@5C\QPendientes@">
          <a:extLst>
            <a:ext uri="{FF2B5EF4-FFF2-40B4-BE49-F238E27FC236}">
              <a16:creationId xmlns:a16="http://schemas.microsoft.com/office/drawing/2014/main" id="{0982A05F-4C3A-4E3B-AABF-93377D3C4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815" name="Picture@5C\QPendientes@" descr="@5C\QPendientes@">
          <a:extLst>
            <a:ext uri="{FF2B5EF4-FFF2-40B4-BE49-F238E27FC236}">
              <a16:creationId xmlns:a16="http://schemas.microsoft.com/office/drawing/2014/main" id="{5A74683E-6D7C-488F-8883-B12656CA61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816" name="Picture@5C\QPendientes@" descr="@5C\QPendientes@">
          <a:extLst>
            <a:ext uri="{FF2B5EF4-FFF2-40B4-BE49-F238E27FC236}">
              <a16:creationId xmlns:a16="http://schemas.microsoft.com/office/drawing/2014/main" id="{70733D5E-1F65-421F-9917-037EA46CF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817" name="Picture@5C\QPendientes@" descr="@5C\QPendientes@">
          <a:extLst>
            <a:ext uri="{FF2B5EF4-FFF2-40B4-BE49-F238E27FC236}">
              <a16:creationId xmlns:a16="http://schemas.microsoft.com/office/drawing/2014/main" id="{17D95CB3-FC26-41FE-A998-64F666486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818" name="Picture@5C\QPendientes@" descr="@5C\QPendientes@">
          <a:extLst>
            <a:ext uri="{FF2B5EF4-FFF2-40B4-BE49-F238E27FC236}">
              <a16:creationId xmlns:a16="http://schemas.microsoft.com/office/drawing/2014/main" id="{8F431BF0-9E81-4852-A364-6D76F4BA3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819" name="Picture@5C\QPendientes@" descr="@5C\QPendientes@">
          <a:extLst>
            <a:ext uri="{FF2B5EF4-FFF2-40B4-BE49-F238E27FC236}">
              <a16:creationId xmlns:a16="http://schemas.microsoft.com/office/drawing/2014/main" id="{FF23307F-0137-4D8D-8613-B32BF0C62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820" name="Picture@5C\QPendientes@" descr="@5C\QPendientes@">
          <a:extLst>
            <a:ext uri="{FF2B5EF4-FFF2-40B4-BE49-F238E27FC236}">
              <a16:creationId xmlns:a16="http://schemas.microsoft.com/office/drawing/2014/main" id="{94E2D80D-1E79-4524-BFB7-79FE5539D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821" name="Picture@5C\QPendientes@" descr="@5C\QPendientes@">
          <a:extLst>
            <a:ext uri="{FF2B5EF4-FFF2-40B4-BE49-F238E27FC236}">
              <a16:creationId xmlns:a16="http://schemas.microsoft.com/office/drawing/2014/main" id="{C088045C-9ED6-4CCE-9B41-5AC33FAA6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822" name="Picture@5C\QPendientes@" descr="@5C\QPendientes@">
          <a:extLst>
            <a:ext uri="{FF2B5EF4-FFF2-40B4-BE49-F238E27FC236}">
              <a16:creationId xmlns:a16="http://schemas.microsoft.com/office/drawing/2014/main" id="{18AAB0C3-E702-4986-9EF9-F0805A281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823" name="Picture@5C\QPendientes@" descr="@5C\QPendientes@">
          <a:extLst>
            <a:ext uri="{FF2B5EF4-FFF2-40B4-BE49-F238E27FC236}">
              <a16:creationId xmlns:a16="http://schemas.microsoft.com/office/drawing/2014/main" id="{DAF71DC1-1BA0-41BA-81E8-AE750BBD8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824" name="Picture@5C\QPendientes@" descr="@5C\QPendientes@">
          <a:extLst>
            <a:ext uri="{FF2B5EF4-FFF2-40B4-BE49-F238E27FC236}">
              <a16:creationId xmlns:a16="http://schemas.microsoft.com/office/drawing/2014/main" id="{19E59FAC-E22E-43CC-BA2A-CD39EE2E4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825" name="Picture@5C\QPendientes@" descr="@5C\QPendientes@">
          <a:extLst>
            <a:ext uri="{FF2B5EF4-FFF2-40B4-BE49-F238E27FC236}">
              <a16:creationId xmlns:a16="http://schemas.microsoft.com/office/drawing/2014/main" id="{5E7CE07C-F56B-4BC5-921F-8E2D30EB4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826" name="Picture@5C\QPendientes@" descr="@5C\QPendientes@">
          <a:extLst>
            <a:ext uri="{FF2B5EF4-FFF2-40B4-BE49-F238E27FC236}">
              <a16:creationId xmlns:a16="http://schemas.microsoft.com/office/drawing/2014/main" id="{4E64C67C-3D79-4451-A7C4-96F4A9A7A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827" name="Picture@5C\QPendientes@" descr="@5C\QPendientes@">
          <a:extLst>
            <a:ext uri="{FF2B5EF4-FFF2-40B4-BE49-F238E27FC236}">
              <a16:creationId xmlns:a16="http://schemas.microsoft.com/office/drawing/2014/main" id="{2B1F5B1E-24BE-4FB5-B50A-01FAA057F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828" name="Picture@5C\QPendientes@" descr="@5C\QPendientes@">
          <a:extLst>
            <a:ext uri="{FF2B5EF4-FFF2-40B4-BE49-F238E27FC236}">
              <a16:creationId xmlns:a16="http://schemas.microsoft.com/office/drawing/2014/main" id="{36807D93-B70B-4E2D-9D86-4876E3716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829" name="Picture@5C\QPendientes@" descr="@5C\QPendientes@">
          <a:extLst>
            <a:ext uri="{FF2B5EF4-FFF2-40B4-BE49-F238E27FC236}">
              <a16:creationId xmlns:a16="http://schemas.microsoft.com/office/drawing/2014/main" id="{B61D618B-9525-424A-8DAA-D4C1B3B32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830" name="Picture@5C\QPendientes@" descr="@5C\QPendientes@">
          <a:extLst>
            <a:ext uri="{FF2B5EF4-FFF2-40B4-BE49-F238E27FC236}">
              <a16:creationId xmlns:a16="http://schemas.microsoft.com/office/drawing/2014/main" id="{9FCB0C47-B08F-4646-9EFF-8A0723120C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831" name="Picture@5C\QPendientes@" descr="@5C\QPendientes@">
          <a:extLst>
            <a:ext uri="{FF2B5EF4-FFF2-40B4-BE49-F238E27FC236}">
              <a16:creationId xmlns:a16="http://schemas.microsoft.com/office/drawing/2014/main" id="{1B61C4CB-7FB2-4ECF-A9BE-CB094D02A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832" name="Picture@5C\QPendientes@" descr="@5C\QPendientes@">
          <a:extLst>
            <a:ext uri="{FF2B5EF4-FFF2-40B4-BE49-F238E27FC236}">
              <a16:creationId xmlns:a16="http://schemas.microsoft.com/office/drawing/2014/main" id="{31D39F43-CB54-4AB7-89FB-59F521A49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833" name="Picture@5C\QPendientes@" descr="@5C\QPendientes@">
          <a:extLst>
            <a:ext uri="{FF2B5EF4-FFF2-40B4-BE49-F238E27FC236}">
              <a16:creationId xmlns:a16="http://schemas.microsoft.com/office/drawing/2014/main" id="{7E66A3CE-A0AE-4F51-82E6-6421CF63B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834" name="Picture@5C\QPendientes@" descr="@5C\QPendientes@">
          <a:extLst>
            <a:ext uri="{FF2B5EF4-FFF2-40B4-BE49-F238E27FC236}">
              <a16:creationId xmlns:a16="http://schemas.microsoft.com/office/drawing/2014/main" id="{A492E9A3-A42B-4F9A-A1AA-5FCA60D3F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835" name="Picture@5C\QPendientes@" descr="@5C\QPendientes@">
          <a:extLst>
            <a:ext uri="{FF2B5EF4-FFF2-40B4-BE49-F238E27FC236}">
              <a16:creationId xmlns:a16="http://schemas.microsoft.com/office/drawing/2014/main" id="{4234669B-B2F8-4906-93B5-30B219291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836" name="Picture@5C\QPendientes@" descr="@5C\QPendientes@">
          <a:extLst>
            <a:ext uri="{FF2B5EF4-FFF2-40B4-BE49-F238E27FC236}">
              <a16:creationId xmlns:a16="http://schemas.microsoft.com/office/drawing/2014/main" id="{6989EB51-0902-4A86-A5D3-ABEC4DAF2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837" name="Picture@5C\QPendientes@" descr="@5C\QPendientes@">
          <a:extLst>
            <a:ext uri="{FF2B5EF4-FFF2-40B4-BE49-F238E27FC236}">
              <a16:creationId xmlns:a16="http://schemas.microsoft.com/office/drawing/2014/main" id="{6229D1A8-ED9D-4DCB-B80C-20B872541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838" name="Picture@5C\QPendientes@" descr="@5C\QPendientes@">
          <a:extLst>
            <a:ext uri="{FF2B5EF4-FFF2-40B4-BE49-F238E27FC236}">
              <a16:creationId xmlns:a16="http://schemas.microsoft.com/office/drawing/2014/main" id="{423B528C-CA9F-4D43-86DC-4BA897F1C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839" name="Picture@5C\QPendientes@" descr="@5C\QPendientes@">
          <a:extLst>
            <a:ext uri="{FF2B5EF4-FFF2-40B4-BE49-F238E27FC236}">
              <a16:creationId xmlns:a16="http://schemas.microsoft.com/office/drawing/2014/main" id="{35E2EEE2-B7BD-4E2E-AB55-6CA4BC22C9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840" name="Picture@5C\QPendientes@" descr="@5C\QPendientes@">
          <a:extLst>
            <a:ext uri="{FF2B5EF4-FFF2-40B4-BE49-F238E27FC236}">
              <a16:creationId xmlns:a16="http://schemas.microsoft.com/office/drawing/2014/main" id="{4774FDEA-8738-4A93-BB3F-FB8E97663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841" name="Picture@5C\QPendientes@" descr="@5C\QPendientes@">
          <a:extLst>
            <a:ext uri="{FF2B5EF4-FFF2-40B4-BE49-F238E27FC236}">
              <a16:creationId xmlns:a16="http://schemas.microsoft.com/office/drawing/2014/main" id="{87D755B5-DE66-4784-8277-133A8CF8E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842" name="Picture@5C\QPendientes@" descr="@5C\QPendientes@">
          <a:extLst>
            <a:ext uri="{FF2B5EF4-FFF2-40B4-BE49-F238E27FC236}">
              <a16:creationId xmlns:a16="http://schemas.microsoft.com/office/drawing/2014/main" id="{1BE59325-0738-4B15-85D3-0A232B935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43" name="Picture@5C\QPendientes@" descr="@5C\QPendientes@">
          <a:extLst>
            <a:ext uri="{FF2B5EF4-FFF2-40B4-BE49-F238E27FC236}">
              <a16:creationId xmlns:a16="http://schemas.microsoft.com/office/drawing/2014/main" id="{7E39B2A7-EB39-4475-85E3-BC51ADC78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44" name="Picture@5C\QPendientes@" descr="@5C\QPendientes@">
          <a:extLst>
            <a:ext uri="{FF2B5EF4-FFF2-40B4-BE49-F238E27FC236}">
              <a16:creationId xmlns:a16="http://schemas.microsoft.com/office/drawing/2014/main" id="{AA01961D-F41B-4BD2-ACC5-7C1A03203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45" name="Picture@5C\QPendientes@" descr="@5C\QPendientes@">
          <a:extLst>
            <a:ext uri="{FF2B5EF4-FFF2-40B4-BE49-F238E27FC236}">
              <a16:creationId xmlns:a16="http://schemas.microsoft.com/office/drawing/2014/main" id="{E2419848-424E-4EDF-81A2-0606DA2CA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46" name="Picture@5C\QPendientes@" descr="@5C\QPendientes@">
          <a:extLst>
            <a:ext uri="{FF2B5EF4-FFF2-40B4-BE49-F238E27FC236}">
              <a16:creationId xmlns:a16="http://schemas.microsoft.com/office/drawing/2014/main" id="{18D4EA14-3CBA-4915-8638-4B7291212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7" name="Picture@5C\QPendientes@" descr="@5C\QPendientes@">
          <a:extLst>
            <a:ext uri="{FF2B5EF4-FFF2-40B4-BE49-F238E27FC236}">
              <a16:creationId xmlns:a16="http://schemas.microsoft.com/office/drawing/2014/main" id="{858F21B3-805A-4A38-96BA-3B26DF48E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48" name="Picture@5C\QPendientes@" descr="@5C\QPendientes@">
          <a:extLst>
            <a:ext uri="{FF2B5EF4-FFF2-40B4-BE49-F238E27FC236}">
              <a16:creationId xmlns:a16="http://schemas.microsoft.com/office/drawing/2014/main" id="{ACA557D2-B611-43EC-A02E-B414BAE33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49" name="Picture@5C\QPendientes@" descr="@5C\QPendientes@">
          <a:extLst>
            <a:ext uri="{FF2B5EF4-FFF2-40B4-BE49-F238E27FC236}">
              <a16:creationId xmlns:a16="http://schemas.microsoft.com/office/drawing/2014/main" id="{635AA02A-858B-4D17-9C30-63178A8E7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50" name="Picture@5C\QPendientes@" descr="@5C\QPendientes@">
          <a:extLst>
            <a:ext uri="{FF2B5EF4-FFF2-40B4-BE49-F238E27FC236}">
              <a16:creationId xmlns:a16="http://schemas.microsoft.com/office/drawing/2014/main" id="{2882EB96-2745-467C-84F6-A08BFD6CA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51" name="Picture@5C\QPendientes@" descr="@5C\QPendientes@">
          <a:extLst>
            <a:ext uri="{FF2B5EF4-FFF2-40B4-BE49-F238E27FC236}">
              <a16:creationId xmlns:a16="http://schemas.microsoft.com/office/drawing/2014/main" id="{C92E173B-18B8-4929-9FC1-1DCC91B3D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52" name="Picture@5C\QPendientes@" descr="@5C\QPendientes@">
          <a:extLst>
            <a:ext uri="{FF2B5EF4-FFF2-40B4-BE49-F238E27FC236}">
              <a16:creationId xmlns:a16="http://schemas.microsoft.com/office/drawing/2014/main" id="{B88E44BA-D482-4A11-B546-7A0E73A706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853" name="Picture@5C\QPendientes@" descr="@5C\QPendientes@">
          <a:extLst>
            <a:ext uri="{FF2B5EF4-FFF2-40B4-BE49-F238E27FC236}">
              <a16:creationId xmlns:a16="http://schemas.microsoft.com/office/drawing/2014/main" id="{35304113-4652-4BEE-9D4D-8367E3B31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854" name="Picture@5C\QPendientes@" descr="@5C\QPendientes@">
          <a:extLst>
            <a:ext uri="{FF2B5EF4-FFF2-40B4-BE49-F238E27FC236}">
              <a16:creationId xmlns:a16="http://schemas.microsoft.com/office/drawing/2014/main" id="{70BBB2F3-31F2-4A86-A65F-8531D3012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855" name="Picture@5C\QPendientes@" descr="@5C\QPendientes@">
          <a:extLst>
            <a:ext uri="{FF2B5EF4-FFF2-40B4-BE49-F238E27FC236}">
              <a16:creationId xmlns:a16="http://schemas.microsoft.com/office/drawing/2014/main" id="{C319FFE0-CF81-422A-91EF-6BFC58215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856" name="Picture@5C\QPendientes@" descr="@5C\QPendientes@">
          <a:extLst>
            <a:ext uri="{FF2B5EF4-FFF2-40B4-BE49-F238E27FC236}">
              <a16:creationId xmlns:a16="http://schemas.microsoft.com/office/drawing/2014/main" id="{011C09A0-AC8F-465A-A570-560250225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857" name="Picture@5C\QPendientes@" descr="@5C\QPendientes@">
          <a:extLst>
            <a:ext uri="{FF2B5EF4-FFF2-40B4-BE49-F238E27FC236}">
              <a16:creationId xmlns:a16="http://schemas.microsoft.com/office/drawing/2014/main" id="{72BB049E-6765-4797-8CD7-941E6E332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858" name="Picture@5C\QPendientes@" descr="@5C\QPendientes@">
          <a:extLst>
            <a:ext uri="{FF2B5EF4-FFF2-40B4-BE49-F238E27FC236}">
              <a16:creationId xmlns:a16="http://schemas.microsoft.com/office/drawing/2014/main" id="{612012C3-B1E6-42AF-994F-F705D7E42B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859" name="Picture@5C\QPendientes@" descr="@5C\QPendientes@">
          <a:extLst>
            <a:ext uri="{FF2B5EF4-FFF2-40B4-BE49-F238E27FC236}">
              <a16:creationId xmlns:a16="http://schemas.microsoft.com/office/drawing/2014/main" id="{B0965FCF-9006-4995-BF74-39C406324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860" name="Picture@5C\QPendientes@" descr="@5C\QPendientes@">
          <a:extLst>
            <a:ext uri="{FF2B5EF4-FFF2-40B4-BE49-F238E27FC236}">
              <a16:creationId xmlns:a16="http://schemas.microsoft.com/office/drawing/2014/main" id="{1E6FB60F-9A58-43BA-ABD6-711D68F0C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861" name="Picture@5C\QPendientes@" descr="@5C\QPendientes@">
          <a:extLst>
            <a:ext uri="{FF2B5EF4-FFF2-40B4-BE49-F238E27FC236}">
              <a16:creationId xmlns:a16="http://schemas.microsoft.com/office/drawing/2014/main" id="{D966A173-CF6B-41E4-8FDD-0FA86C323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862" name="Picture@5C\QPendientes@" descr="@5C\QPendientes@">
          <a:extLst>
            <a:ext uri="{FF2B5EF4-FFF2-40B4-BE49-F238E27FC236}">
              <a16:creationId xmlns:a16="http://schemas.microsoft.com/office/drawing/2014/main" id="{138C541D-3CDD-4E8F-A054-5AEB46379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5863" name="Picture@5C\QPendientes@" descr="@5C\QPendientes@">
          <a:extLst>
            <a:ext uri="{FF2B5EF4-FFF2-40B4-BE49-F238E27FC236}">
              <a16:creationId xmlns:a16="http://schemas.microsoft.com/office/drawing/2014/main" id="{5204971A-4B46-40A5-BBAB-B3C7C1DE2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5864" name="Picture@5C\QPendientes@" descr="@5C\QPendientes@">
          <a:extLst>
            <a:ext uri="{FF2B5EF4-FFF2-40B4-BE49-F238E27FC236}">
              <a16:creationId xmlns:a16="http://schemas.microsoft.com/office/drawing/2014/main" id="{3AC82280-A445-41E2-96C4-35E8D3B16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5865" name="Picture@5C\QPendientes@" descr="@5C\QPendientes@">
          <a:extLst>
            <a:ext uri="{FF2B5EF4-FFF2-40B4-BE49-F238E27FC236}">
              <a16:creationId xmlns:a16="http://schemas.microsoft.com/office/drawing/2014/main" id="{C10767E0-454D-4456-80CA-EB8A2252C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5866" name="Picture@5C\QPendientes@" descr="@5C\QPendientes@">
          <a:extLst>
            <a:ext uri="{FF2B5EF4-FFF2-40B4-BE49-F238E27FC236}">
              <a16:creationId xmlns:a16="http://schemas.microsoft.com/office/drawing/2014/main" id="{767FF687-23DF-4763-A251-CAFF87472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5867" name="Picture@5C\QPendientes@" descr="@5C\QPendientes@">
          <a:extLst>
            <a:ext uri="{FF2B5EF4-FFF2-40B4-BE49-F238E27FC236}">
              <a16:creationId xmlns:a16="http://schemas.microsoft.com/office/drawing/2014/main" id="{9B4B419A-BCF6-4340-81FE-49C2767D7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5868" name="Picture@5C\QPendientes@" descr="@5C\QPendientes@">
          <a:extLst>
            <a:ext uri="{FF2B5EF4-FFF2-40B4-BE49-F238E27FC236}">
              <a16:creationId xmlns:a16="http://schemas.microsoft.com/office/drawing/2014/main" id="{AE383C77-8B04-423C-8B53-6164C68C6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5869" name="Picture@5C\QPendientes@" descr="@5C\QPendientes@">
          <a:extLst>
            <a:ext uri="{FF2B5EF4-FFF2-40B4-BE49-F238E27FC236}">
              <a16:creationId xmlns:a16="http://schemas.microsoft.com/office/drawing/2014/main" id="{F6A540BC-9B1F-4F6E-B28A-B4290D4F7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5870" name="Picture@5C\QPendientes@" descr="@5C\QPendientes@">
          <a:extLst>
            <a:ext uri="{FF2B5EF4-FFF2-40B4-BE49-F238E27FC236}">
              <a16:creationId xmlns:a16="http://schemas.microsoft.com/office/drawing/2014/main" id="{5CB5D74C-62CF-4FEE-92F8-9443251A2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5871" name="Picture@5C\QPendientes@" descr="@5C\QPendientes@">
          <a:extLst>
            <a:ext uri="{FF2B5EF4-FFF2-40B4-BE49-F238E27FC236}">
              <a16:creationId xmlns:a16="http://schemas.microsoft.com/office/drawing/2014/main" id="{B2273132-2204-4454-A084-57DCD9EE8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5872" name="Picture@5C\QPendientes@" descr="@5C\QPendientes@">
          <a:extLst>
            <a:ext uri="{FF2B5EF4-FFF2-40B4-BE49-F238E27FC236}">
              <a16:creationId xmlns:a16="http://schemas.microsoft.com/office/drawing/2014/main" id="{20D6E821-6E1C-4CF9-AFD8-203EFCF0B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5873" name="Picture@5C\QPendientes@" descr="@5C\QPendientes@">
          <a:extLst>
            <a:ext uri="{FF2B5EF4-FFF2-40B4-BE49-F238E27FC236}">
              <a16:creationId xmlns:a16="http://schemas.microsoft.com/office/drawing/2014/main" id="{FE27D269-A987-4A78-A53E-6673BB95B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5874" name="Picture@5C\QPendientes@" descr="@5C\QPendientes@">
          <a:extLst>
            <a:ext uri="{FF2B5EF4-FFF2-40B4-BE49-F238E27FC236}">
              <a16:creationId xmlns:a16="http://schemas.microsoft.com/office/drawing/2014/main" id="{CD025EB6-FE80-4BB9-A653-88FC534C2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5875" name="Picture@5C\QPendientes@" descr="@5C\QPendientes@">
          <a:extLst>
            <a:ext uri="{FF2B5EF4-FFF2-40B4-BE49-F238E27FC236}">
              <a16:creationId xmlns:a16="http://schemas.microsoft.com/office/drawing/2014/main" id="{FA601901-7B49-43ED-9E9A-6D018FDBA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5876" name="Picture@5C\QPendientes@" descr="@5C\QPendientes@">
          <a:extLst>
            <a:ext uri="{FF2B5EF4-FFF2-40B4-BE49-F238E27FC236}">
              <a16:creationId xmlns:a16="http://schemas.microsoft.com/office/drawing/2014/main" id="{E23F837D-854C-4D31-8FF9-5995D9C2B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5877" name="Picture@5C\QPendientes@" descr="@5C\QPendientes@">
          <a:extLst>
            <a:ext uri="{FF2B5EF4-FFF2-40B4-BE49-F238E27FC236}">
              <a16:creationId xmlns:a16="http://schemas.microsoft.com/office/drawing/2014/main" id="{9941411C-99A3-4F61-9816-EFD4CBD55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5878" name="Picture@5C\QPendientes@" descr="@5C\QPendientes@">
          <a:extLst>
            <a:ext uri="{FF2B5EF4-FFF2-40B4-BE49-F238E27FC236}">
              <a16:creationId xmlns:a16="http://schemas.microsoft.com/office/drawing/2014/main" id="{006B6F09-F441-4F7F-BE93-1EE04EEFF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5879" name="Picture@5C\QPendientes@" descr="@5C\QPendientes@">
          <a:extLst>
            <a:ext uri="{FF2B5EF4-FFF2-40B4-BE49-F238E27FC236}">
              <a16:creationId xmlns:a16="http://schemas.microsoft.com/office/drawing/2014/main" id="{9297CF16-5E1C-428E-88C4-F1099885B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5880" name="Picture@5C\QPendientes@" descr="@5C\QPendientes@">
          <a:extLst>
            <a:ext uri="{FF2B5EF4-FFF2-40B4-BE49-F238E27FC236}">
              <a16:creationId xmlns:a16="http://schemas.microsoft.com/office/drawing/2014/main" id="{672A1688-1EED-43A2-9EE5-E322E0B0F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5881" name="Picture@5C\QPendientes@" descr="@5C\QPendientes@">
          <a:extLst>
            <a:ext uri="{FF2B5EF4-FFF2-40B4-BE49-F238E27FC236}">
              <a16:creationId xmlns:a16="http://schemas.microsoft.com/office/drawing/2014/main" id="{537A0A0F-29EC-4B5E-9587-BF6092DF2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5882" name="Picture@5C\QPendientes@" descr="@5C\QPendientes@">
          <a:extLst>
            <a:ext uri="{FF2B5EF4-FFF2-40B4-BE49-F238E27FC236}">
              <a16:creationId xmlns:a16="http://schemas.microsoft.com/office/drawing/2014/main" id="{D0450390-997A-44B0-AF75-89FD9C3AA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5883" name="Picture@5C\QPendientes@" descr="@5C\QPendientes@">
          <a:extLst>
            <a:ext uri="{FF2B5EF4-FFF2-40B4-BE49-F238E27FC236}">
              <a16:creationId xmlns:a16="http://schemas.microsoft.com/office/drawing/2014/main" id="{A8B8889D-DAB0-401B-A62D-63CE74828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5884" name="Picture@5C\QPendientes@" descr="@5C\QPendientes@">
          <a:extLst>
            <a:ext uri="{FF2B5EF4-FFF2-40B4-BE49-F238E27FC236}">
              <a16:creationId xmlns:a16="http://schemas.microsoft.com/office/drawing/2014/main" id="{0E62C422-59A8-464E-B7A4-D8E47E1DA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5885" name="Picture@5C\QPendientes@" descr="@5C\QPendientes@">
          <a:extLst>
            <a:ext uri="{FF2B5EF4-FFF2-40B4-BE49-F238E27FC236}">
              <a16:creationId xmlns:a16="http://schemas.microsoft.com/office/drawing/2014/main" id="{80AA99BA-9DFC-4860-BEA2-B9F5EFDC8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5886" name="Picture@5C\QPendientes@" descr="@5C\QPendientes@">
          <a:extLst>
            <a:ext uri="{FF2B5EF4-FFF2-40B4-BE49-F238E27FC236}">
              <a16:creationId xmlns:a16="http://schemas.microsoft.com/office/drawing/2014/main" id="{3C94E73F-DBD6-4448-9D68-71F19757B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5887" name="Picture@5C\QPendientes@" descr="@5C\QPendientes@">
          <a:extLst>
            <a:ext uri="{FF2B5EF4-FFF2-40B4-BE49-F238E27FC236}">
              <a16:creationId xmlns:a16="http://schemas.microsoft.com/office/drawing/2014/main" id="{EC84823D-56AD-483E-A65C-6ABE5F6306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5888" name="Picture@5C\QPendientes@" descr="@5C\QPendientes@">
          <a:extLst>
            <a:ext uri="{FF2B5EF4-FFF2-40B4-BE49-F238E27FC236}">
              <a16:creationId xmlns:a16="http://schemas.microsoft.com/office/drawing/2014/main" id="{C5D6C536-BF85-4564-B0DD-DADCDC177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5889" name="Picture@5C\QPendientes@" descr="@5C\QPendientes@">
          <a:extLst>
            <a:ext uri="{FF2B5EF4-FFF2-40B4-BE49-F238E27FC236}">
              <a16:creationId xmlns:a16="http://schemas.microsoft.com/office/drawing/2014/main" id="{93300B6E-D2E5-48DE-9E78-AC2CE296B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5890" name="Picture@5C\QPendientes@" descr="@5C\QPendientes@">
          <a:extLst>
            <a:ext uri="{FF2B5EF4-FFF2-40B4-BE49-F238E27FC236}">
              <a16:creationId xmlns:a16="http://schemas.microsoft.com/office/drawing/2014/main" id="{71CBEED5-5CCC-483F-B806-90C7A28D2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5891" name="Picture@5C\QPendientes@" descr="@5C\QPendientes@">
          <a:extLst>
            <a:ext uri="{FF2B5EF4-FFF2-40B4-BE49-F238E27FC236}">
              <a16:creationId xmlns:a16="http://schemas.microsoft.com/office/drawing/2014/main" id="{A4A50392-F6EC-4AA1-A366-EC41ECD03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5892" name="Picture@5C\QPendientes@" descr="@5C\QPendientes@">
          <a:extLst>
            <a:ext uri="{FF2B5EF4-FFF2-40B4-BE49-F238E27FC236}">
              <a16:creationId xmlns:a16="http://schemas.microsoft.com/office/drawing/2014/main" id="{67BCC430-E020-4839-9B67-D0ADAE016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5893" name="Picture@5C\QPendientes@" descr="@5C\QPendientes@">
          <a:extLst>
            <a:ext uri="{FF2B5EF4-FFF2-40B4-BE49-F238E27FC236}">
              <a16:creationId xmlns:a16="http://schemas.microsoft.com/office/drawing/2014/main" id="{473C941F-0F51-4304-8DF0-A9A73C038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5894" name="Picture@5C\QPendientes@" descr="@5C\QPendientes@">
          <a:extLst>
            <a:ext uri="{FF2B5EF4-FFF2-40B4-BE49-F238E27FC236}">
              <a16:creationId xmlns:a16="http://schemas.microsoft.com/office/drawing/2014/main" id="{AD8E7E24-BEAC-4A8C-A0C6-48F90FA7F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5895" name="Picture@5C\QPendientes@" descr="@5C\QPendientes@">
          <a:extLst>
            <a:ext uri="{FF2B5EF4-FFF2-40B4-BE49-F238E27FC236}">
              <a16:creationId xmlns:a16="http://schemas.microsoft.com/office/drawing/2014/main" id="{1C818971-4D99-4023-9B52-37A054791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5896" name="Picture@5C\QPendientes@" descr="@5C\QPendientes@">
          <a:extLst>
            <a:ext uri="{FF2B5EF4-FFF2-40B4-BE49-F238E27FC236}">
              <a16:creationId xmlns:a16="http://schemas.microsoft.com/office/drawing/2014/main" id="{579D7422-C805-4DEB-8EB3-72CE9D4F0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5897" name="Picture@5C\QPendientes@" descr="@5C\QPendientes@">
          <a:extLst>
            <a:ext uri="{FF2B5EF4-FFF2-40B4-BE49-F238E27FC236}">
              <a16:creationId xmlns:a16="http://schemas.microsoft.com/office/drawing/2014/main" id="{8F393D5D-D8C8-4D8D-83BC-8D99A64F3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5898" name="Picture@5C\QPendientes@" descr="@5C\QPendientes@">
          <a:extLst>
            <a:ext uri="{FF2B5EF4-FFF2-40B4-BE49-F238E27FC236}">
              <a16:creationId xmlns:a16="http://schemas.microsoft.com/office/drawing/2014/main" id="{EAAE10F9-770E-47C7-9A34-68BEECA5A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5899" name="Picture@5C\QPendientes@" descr="@5C\QPendientes@">
          <a:extLst>
            <a:ext uri="{FF2B5EF4-FFF2-40B4-BE49-F238E27FC236}">
              <a16:creationId xmlns:a16="http://schemas.microsoft.com/office/drawing/2014/main" id="{3757EA3F-6385-4940-86CF-7A771220C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5900" name="Picture@5C\QPendientes@" descr="@5C\QPendientes@">
          <a:extLst>
            <a:ext uri="{FF2B5EF4-FFF2-40B4-BE49-F238E27FC236}">
              <a16:creationId xmlns:a16="http://schemas.microsoft.com/office/drawing/2014/main" id="{8EF59192-39F0-4564-BE3E-00AB65A5E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5901" name="Picture@5C\QPendientes@" descr="@5C\QPendientes@">
          <a:extLst>
            <a:ext uri="{FF2B5EF4-FFF2-40B4-BE49-F238E27FC236}">
              <a16:creationId xmlns:a16="http://schemas.microsoft.com/office/drawing/2014/main" id="{F331D6CA-5D6E-4946-BA5C-22D058E6B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5902" name="Picture@5C\QPendientes@" descr="@5C\QPendientes@">
          <a:extLst>
            <a:ext uri="{FF2B5EF4-FFF2-40B4-BE49-F238E27FC236}">
              <a16:creationId xmlns:a16="http://schemas.microsoft.com/office/drawing/2014/main" id="{DCA0E8F7-D940-4941-BB23-216CB403D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5903" name="Picture@5C\QPendientes@" descr="@5C\QPendientes@">
          <a:extLst>
            <a:ext uri="{FF2B5EF4-FFF2-40B4-BE49-F238E27FC236}">
              <a16:creationId xmlns:a16="http://schemas.microsoft.com/office/drawing/2014/main" id="{91E2CEEA-B153-47A3-A282-7FC0FA3B1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5904" name="Picture@5C\QPendientes@" descr="@5C\QPendientes@">
          <a:extLst>
            <a:ext uri="{FF2B5EF4-FFF2-40B4-BE49-F238E27FC236}">
              <a16:creationId xmlns:a16="http://schemas.microsoft.com/office/drawing/2014/main" id="{571D4044-CCD6-49E5-B5C8-899D3C1D6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5905" name="Picture@5C\QPendientes@" descr="@5C\QPendientes@">
          <a:extLst>
            <a:ext uri="{FF2B5EF4-FFF2-40B4-BE49-F238E27FC236}">
              <a16:creationId xmlns:a16="http://schemas.microsoft.com/office/drawing/2014/main" id="{D152DF30-7AB3-4CDF-9990-424562931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5906" name="Picture@5C\QPendientes@" descr="@5C\QPendientes@">
          <a:extLst>
            <a:ext uri="{FF2B5EF4-FFF2-40B4-BE49-F238E27FC236}">
              <a16:creationId xmlns:a16="http://schemas.microsoft.com/office/drawing/2014/main" id="{C493FFEC-6D28-4DAD-83EE-FF9D79602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5907" name="Picture@5C\QPendientes@" descr="@5C\QPendientes@">
          <a:extLst>
            <a:ext uri="{FF2B5EF4-FFF2-40B4-BE49-F238E27FC236}">
              <a16:creationId xmlns:a16="http://schemas.microsoft.com/office/drawing/2014/main" id="{51535C3E-5FB9-4DE3-A800-7F681C5C2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5908" name="Picture@5C\QPendientes@" descr="@5C\QPendientes@">
          <a:extLst>
            <a:ext uri="{FF2B5EF4-FFF2-40B4-BE49-F238E27FC236}">
              <a16:creationId xmlns:a16="http://schemas.microsoft.com/office/drawing/2014/main" id="{FD31945D-A3A2-47EF-86AD-507E67044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5909" name="Picture@5C\QPendientes@" descr="@5C\QPendientes@">
          <a:extLst>
            <a:ext uri="{FF2B5EF4-FFF2-40B4-BE49-F238E27FC236}">
              <a16:creationId xmlns:a16="http://schemas.microsoft.com/office/drawing/2014/main" id="{F86A7A6C-9E24-4DF2-B26E-4F8FD7AE8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5910" name="Picture@5C\QPendientes@" descr="@5C\QPendientes@">
          <a:extLst>
            <a:ext uri="{FF2B5EF4-FFF2-40B4-BE49-F238E27FC236}">
              <a16:creationId xmlns:a16="http://schemas.microsoft.com/office/drawing/2014/main" id="{1E715810-1B25-4FD7-B3FE-A02BC6413D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5911" name="Picture@5C\QPendientes@" descr="@5C\QPendientes@">
          <a:extLst>
            <a:ext uri="{FF2B5EF4-FFF2-40B4-BE49-F238E27FC236}">
              <a16:creationId xmlns:a16="http://schemas.microsoft.com/office/drawing/2014/main" id="{F46771E0-9FD7-4D66-B249-4845B1D970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5912" name="Picture@5C\QPendientes@" descr="@5C\QPendientes@">
          <a:extLst>
            <a:ext uri="{FF2B5EF4-FFF2-40B4-BE49-F238E27FC236}">
              <a16:creationId xmlns:a16="http://schemas.microsoft.com/office/drawing/2014/main" id="{AB0AEF0C-0E0F-4540-A858-2CB6A6E1D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5913" name="Picture@5C\QPendientes@" descr="@5C\QPendientes@">
          <a:extLst>
            <a:ext uri="{FF2B5EF4-FFF2-40B4-BE49-F238E27FC236}">
              <a16:creationId xmlns:a16="http://schemas.microsoft.com/office/drawing/2014/main" id="{D921C2A6-899D-4B44-A87D-B21EC4A50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5914" name="Picture@5C\QPendientes@" descr="@5C\QPendientes@">
          <a:extLst>
            <a:ext uri="{FF2B5EF4-FFF2-40B4-BE49-F238E27FC236}">
              <a16:creationId xmlns:a16="http://schemas.microsoft.com/office/drawing/2014/main" id="{2CCF717D-C409-4317-AA3E-6C9697199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5915" name="Picture@5C\QPendientes@" descr="@5C\QPendientes@">
          <a:extLst>
            <a:ext uri="{FF2B5EF4-FFF2-40B4-BE49-F238E27FC236}">
              <a16:creationId xmlns:a16="http://schemas.microsoft.com/office/drawing/2014/main" id="{9C231E74-EDD9-4786-9E96-C1A328C87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5916" name="Picture@5C\QPendientes@" descr="@5C\QPendientes@">
          <a:extLst>
            <a:ext uri="{FF2B5EF4-FFF2-40B4-BE49-F238E27FC236}">
              <a16:creationId xmlns:a16="http://schemas.microsoft.com/office/drawing/2014/main" id="{08B08E80-562D-4F81-883B-D808E7D84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5917" name="Picture@5C\QPendientes@" descr="@5C\QPendientes@">
          <a:extLst>
            <a:ext uri="{FF2B5EF4-FFF2-40B4-BE49-F238E27FC236}">
              <a16:creationId xmlns:a16="http://schemas.microsoft.com/office/drawing/2014/main" id="{45599CE1-2F6C-4E62-B207-064CE6833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5918" name="Picture@5C\QPendientes@" descr="@5C\QPendientes@">
          <a:extLst>
            <a:ext uri="{FF2B5EF4-FFF2-40B4-BE49-F238E27FC236}">
              <a16:creationId xmlns:a16="http://schemas.microsoft.com/office/drawing/2014/main" id="{BBE8DC04-3030-4ED0-BDBD-FA353C074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5919" name="Picture@5C\QPendientes@" descr="@5C\QPendientes@">
          <a:extLst>
            <a:ext uri="{FF2B5EF4-FFF2-40B4-BE49-F238E27FC236}">
              <a16:creationId xmlns:a16="http://schemas.microsoft.com/office/drawing/2014/main" id="{55401C71-3FE0-4E62-981D-5C795CF67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5920" name="Picture@5C\QPendientes@" descr="@5C\QPendientes@">
          <a:extLst>
            <a:ext uri="{FF2B5EF4-FFF2-40B4-BE49-F238E27FC236}">
              <a16:creationId xmlns:a16="http://schemas.microsoft.com/office/drawing/2014/main" id="{9A823EF4-61D8-45CA-BB35-7FE278E59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5921" name="Picture@5C\QPendientes@" descr="@5C\QPendientes@">
          <a:extLst>
            <a:ext uri="{FF2B5EF4-FFF2-40B4-BE49-F238E27FC236}">
              <a16:creationId xmlns:a16="http://schemas.microsoft.com/office/drawing/2014/main" id="{ECA717B5-D28C-4A7F-A7D2-09C9572AB7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5922" name="Picture@5C\QPendientes@" descr="@5C\QPendientes@">
          <a:extLst>
            <a:ext uri="{FF2B5EF4-FFF2-40B4-BE49-F238E27FC236}">
              <a16:creationId xmlns:a16="http://schemas.microsoft.com/office/drawing/2014/main" id="{CECC682E-3A4F-42DB-9284-48B0C6A1B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5923" name="Picture@5C\QPendientes@" descr="@5C\QPendientes@">
          <a:extLst>
            <a:ext uri="{FF2B5EF4-FFF2-40B4-BE49-F238E27FC236}">
              <a16:creationId xmlns:a16="http://schemas.microsoft.com/office/drawing/2014/main" id="{DC2F4C33-FC8C-4AB6-82D6-05DD67166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5924" name="Picture@5C\QPendientes@" descr="@5C\QPendientes@">
          <a:extLst>
            <a:ext uri="{FF2B5EF4-FFF2-40B4-BE49-F238E27FC236}">
              <a16:creationId xmlns:a16="http://schemas.microsoft.com/office/drawing/2014/main" id="{137207B4-02EF-4B0A-90C8-2DDC8B23D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5925" name="Picture@5C\QPendientes@" descr="@5C\QPendientes@">
          <a:extLst>
            <a:ext uri="{FF2B5EF4-FFF2-40B4-BE49-F238E27FC236}">
              <a16:creationId xmlns:a16="http://schemas.microsoft.com/office/drawing/2014/main" id="{65C2543F-CFD7-4901-B5B7-4AA1027C2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5926" name="Picture@5C\QPendientes@" descr="@5C\QPendientes@">
          <a:extLst>
            <a:ext uri="{FF2B5EF4-FFF2-40B4-BE49-F238E27FC236}">
              <a16:creationId xmlns:a16="http://schemas.microsoft.com/office/drawing/2014/main" id="{D8050B35-DA94-4D1C-B08E-9D297813F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5927" name="Picture@5C\QPendientes@" descr="@5C\QPendientes@">
          <a:extLst>
            <a:ext uri="{FF2B5EF4-FFF2-40B4-BE49-F238E27FC236}">
              <a16:creationId xmlns:a16="http://schemas.microsoft.com/office/drawing/2014/main" id="{A4677AC5-EAFD-40B4-BEEB-DF1EC3433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5928" name="Picture@5C\QPendientes@" descr="@5C\QPendientes@">
          <a:extLst>
            <a:ext uri="{FF2B5EF4-FFF2-40B4-BE49-F238E27FC236}">
              <a16:creationId xmlns:a16="http://schemas.microsoft.com/office/drawing/2014/main" id="{04E92CD1-4FFC-440F-B215-561A46B6A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5929" name="Picture@5C\QPendientes@" descr="@5C\QPendientes@">
          <a:extLst>
            <a:ext uri="{FF2B5EF4-FFF2-40B4-BE49-F238E27FC236}">
              <a16:creationId xmlns:a16="http://schemas.microsoft.com/office/drawing/2014/main" id="{E4E8E06A-9F13-47EB-BA48-A62EF81AC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5930" name="Picture@5C\QPendientes@" descr="@5C\QPendientes@">
          <a:extLst>
            <a:ext uri="{FF2B5EF4-FFF2-40B4-BE49-F238E27FC236}">
              <a16:creationId xmlns:a16="http://schemas.microsoft.com/office/drawing/2014/main" id="{863AE130-27A1-4CFA-8F88-CB98789B8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5931" name="Picture@5C\QPendientes@" descr="@5C\QPendientes@">
          <a:extLst>
            <a:ext uri="{FF2B5EF4-FFF2-40B4-BE49-F238E27FC236}">
              <a16:creationId xmlns:a16="http://schemas.microsoft.com/office/drawing/2014/main" id="{B7B229D8-F93D-43DE-BD1B-7AFD2DCC8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5932" name="Picture@5C\QPendientes@" descr="@5C\QPendientes@">
          <a:extLst>
            <a:ext uri="{FF2B5EF4-FFF2-40B4-BE49-F238E27FC236}">
              <a16:creationId xmlns:a16="http://schemas.microsoft.com/office/drawing/2014/main" id="{DE7DB781-D32D-4C36-9364-37630ED7F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5933" name="Picture@5C\QPendientes@" descr="@5C\QPendientes@">
          <a:extLst>
            <a:ext uri="{FF2B5EF4-FFF2-40B4-BE49-F238E27FC236}">
              <a16:creationId xmlns:a16="http://schemas.microsoft.com/office/drawing/2014/main" id="{DCED1746-0108-4CD3-A8E9-432A22596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5934" name="Picture@5C\QPendientes@" descr="@5C\QPendientes@">
          <a:extLst>
            <a:ext uri="{FF2B5EF4-FFF2-40B4-BE49-F238E27FC236}">
              <a16:creationId xmlns:a16="http://schemas.microsoft.com/office/drawing/2014/main" id="{C0D9F9FA-4212-46FA-B9F8-A7B0C702D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5935" name="Picture@5C\QPendientes@" descr="@5C\QPendientes@">
          <a:extLst>
            <a:ext uri="{FF2B5EF4-FFF2-40B4-BE49-F238E27FC236}">
              <a16:creationId xmlns:a16="http://schemas.microsoft.com/office/drawing/2014/main" id="{9758206F-F1D1-4E60-859C-E94406C15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5936" name="Picture@5C\QPendientes@" descr="@5C\QPendientes@">
          <a:extLst>
            <a:ext uri="{FF2B5EF4-FFF2-40B4-BE49-F238E27FC236}">
              <a16:creationId xmlns:a16="http://schemas.microsoft.com/office/drawing/2014/main" id="{C8E3BE61-7B1E-4655-A18B-821F2BB6C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5937" name="Picture@5C\QPendientes@" descr="@5C\QPendientes@">
          <a:extLst>
            <a:ext uri="{FF2B5EF4-FFF2-40B4-BE49-F238E27FC236}">
              <a16:creationId xmlns:a16="http://schemas.microsoft.com/office/drawing/2014/main" id="{AD610B97-58C5-4977-9B67-CCA568E96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5938" name="Picture@5C\QPendientes@" descr="@5C\QPendientes@">
          <a:extLst>
            <a:ext uri="{FF2B5EF4-FFF2-40B4-BE49-F238E27FC236}">
              <a16:creationId xmlns:a16="http://schemas.microsoft.com/office/drawing/2014/main" id="{01B72C60-A86D-4994-B995-DA911B6DA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5939" name="Picture@5C\QPendientes@" descr="@5C\QPendientes@">
          <a:extLst>
            <a:ext uri="{FF2B5EF4-FFF2-40B4-BE49-F238E27FC236}">
              <a16:creationId xmlns:a16="http://schemas.microsoft.com/office/drawing/2014/main" id="{0C8E88AE-86D6-4285-A236-42D2AADFC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5940" name="Picture@5C\QPendientes@" descr="@5C\QPendientes@">
          <a:extLst>
            <a:ext uri="{FF2B5EF4-FFF2-40B4-BE49-F238E27FC236}">
              <a16:creationId xmlns:a16="http://schemas.microsoft.com/office/drawing/2014/main" id="{9D01FEF8-52D4-4A22-ACFD-AE059F2D4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5941" name="Picture@5C\QPendientes@" descr="@5C\QPendientes@">
          <a:extLst>
            <a:ext uri="{FF2B5EF4-FFF2-40B4-BE49-F238E27FC236}">
              <a16:creationId xmlns:a16="http://schemas.microsoft.com/office/drawing/2014/main" id="{FCF635E8-111F-4547-B64B-FB11E5148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5942" name="Picture@5C\QPendientes@" descr="@5C\QPendientes@">
          <a:extLst>
            <a:ext uri="{FF2B5EF4-FFF2-40B4-BE49-F238E27FC236}">
              <a16:creationId xmlns:a16="http://schemas.microsoft.com/office/drawing/2014/main" id="{674EA5D7-450F-4756-BB0E-6BEC6111D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5943" name="Picture@5C\QPendientes@" descr="@5C\QPendientes@">
          <a:extLst>
            <a:ext uri="{FF2B5EF4-FFF2-40B4-BE49-F238E27FC236}">
              <a16:creationId xmlns:a16="http://schemas.microsoft.com/office/drawing/2014/main" id="{F78887E7-E5E8-427F-8BAC-41DD3E9C5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5944" name="Picture@5C\QPendientes@" descr="@5C\QPendientes@">
          <a:extLst>
            <a:ext uri="{FF2B5EF4-FFF2-40B4-BE49-F238E27FC236}">
              <a16:creationId xmlns:a16="http://schemas.microsoft.com/office/drawing/2014/main" id="{166AE3A7-FFB9-4C19-B796-6833D4A14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5945" name="Picture@5C\QPendientes@" descr="@5C\QPendientes@">
          <a:extLst>
            <a:ext uri="{FF2B5EF4-FFF2-40B4-BE49-F238E27FC236}">
              <a16:creationId xmlns:a16="http://schemas.microsoft.com/office/drawing/2014/main" id="{4A19C1F0-0CC6-40CB-8291-1A9BA06DA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5946" name="Picture@5C\QPendientes@" descr="@5C\QPendientes@">
          <a:extLst>
            <a:ext uri="{FF2B5EF4-FFF2-40B4-BE49-F238E27FC236}">
              <a16:creationId xmlns:a16="http://schemas.microsoft.com/office/drawing/2014/main" id="{78BD1EFA-96AA-44CA-BB63-17A84BF47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5947" name="Picture@5C\QPendientes@" descr="@5C\QPendientes@">
          <a:extLst>
            <a:ext uri="{FF2B5EF4-FFF2-40B4-BE49-F238E27FC236}">
              <a16:creationId xmlns:a16="http://schemas.microsoft.com/office/drawing/2014/main" id="{473F0EDB-A3FB-477E-A81F-2AC569309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5948" name="Picture@5C\QPendientes@" descr="@5C\QPendientes@">
          <a:extLst>
            <a:ext uri="{FF2B5EF4-FFF2-40B4-BE49-F238E27FC236}">
              <a16:creationId xmlns:a16="http://schemas.microsoft.com/office/drawing/2014/main" id="{3959530B-E2A5-4D91-AAF5-8D65A2A6E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5949" name="Picture@5C\QPendientes@" descr="@5C\QPendientes@">
          <a:extLst>
            <a:ext uri="{FF2B5EF4-FFF2-40B4-BE49-F238E27FC236}">
              <a16:creationId xmlns:a16="http://schemas.microsoft.com/office/drawing/2014/main" id="{3C232B4B-8E05-4384-A571-87A8E28DE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5950" name="Picture@5C\QPendientes@" descr="@5C\QPendientes@">
          <a:extLst>
            <a:ext uri="{FF2B5EF4-FFF2-40B4-BE49-F238E27FC236}">
              <a16:creationId xmlns:a16="http://schemas.microsoft.com/office/drawing/2014/main" id="{A59D992F-E73A-4A25-B124-9761B836B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5951" name="Picture@5C\QPendientes@" descr="@5C\QPendientes@">
          <a:extLst>
            <a:ext uri="{FF2B5EF4-FFF2-40B4-BE49-F238E27FC236}">
              <a16:creationId xmlns:a16="http://schemas.microsoft.com/office/drawing/2014/main" id="{9ADFED22-0BCA-4A54-8310-559729982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5952" name="Picture@5C\QPendientes@" descr="@5C\QPendientes@">
          <a:extLst>
            <a:ext uri="{FF2B5EF4-FFF2-40B4-BE49-F238E27FC236}">
              <a16:creationId xmlns:a16="http://schemas.microsoft.com/office/drawing/2014/main" id="{B91BB691-8F87-4A50-BC14-8AF33C8ED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5953" name="Picture@5C\QPendientes@" descr="@5C\QPendientes@">
          <a:extLst>
            <a:ext uri="{FF2B5EF4-FFF2-40B4-BE49-F238E27FC236}">
              <a16:creationId xmlns:a16="http://schemas.microsoft.com/office/drawing/2014/main" id="{B728CDA3-69A0-4F98-830C-99E9CB87C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5954" name="Picture@5C\QPendientes@" descr="@5C\QPendientes@">
          <a:extLst>
            <a:ext uri="{FF2B5EF4-FFF2-40B4-BE49-F238E27FC236}">
              <a16:creationId xmlns:a16="http://schemas.microsoft.com/office/drawing/2014/main" id="{9676612B-8C28-4A3C-9C96-E97FF0D20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5955" name="Picture@5C\QPendientes@" descr="@5C\QPendientes@">
          <a:extLst>
            <a:ext uri="{FF2B5EF4-FFF2-40B4-BE49-F238E27FC236}">
              <a16:creationId xmlns:a16="http://schemas.microsoft.com/office/drawing/2014/main" id="{E5C07425-808D-4888-AC04-1AE40FBF4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5956" name="Picture@5C\QPendientes@" descr="@5C\QPendientes@">
          <a:extLst>
            <a:ext uri="{FF2B5EF4-FFF2-40B4-BE49-F238E27FC236}">
              <a16:creationId xmlns:a16="http://schemas.microsoft.com/office/drawing/2014/main" id="{85035C76-AD89-4A5B-9073-503F8CAD4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7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5957" name="Picture@5C\QPendientes@" descr="@5C\QPendientes@">
          <a:extLst>
            <a:ext uri="{FF2B5EF4-FFF2-40B4-BE49-F238E27FC236}">
              <a16:creationId xmlns:a16="http://schemas.microsoft.com/office/drawing/2014/main" id="{EC2C9D55-D330-4F3F-92C5-B04CB2739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9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5958" name="Picture@5C\QPendientes@" descr="@5C\QPendientes@">
          <a:extLst>
            <a:ext uri="{FF2B5EF4-FFF2-40B4-BE49-F238E27FC236}">
              <a16:creationId xmlns:a16="http://schemas.microsoft.com/office/drawing/2014/main" id="{C926CDB8-1AC6-439F-A916-D990AAAE9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1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5959" name="Picture@5C\QPendientes@" descr="@5C\QPendientes@">
          <a:extLst>
            <a:ext uri="{FF2B5EF4-FFF2-40B4-BE49-F238E27FC236}">
              <a16:creationId xmlns:a16="http://schemas.microsoft.com/office/drawing/2014/main" id="{86FCD311-47B3-4CA3-8CFE-12A6008E5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2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5960" name="Picture@5C\QPendientes@" descr="@5C\QPendientes@">
          <a:extLst>
            <a:ext uri="{FF2B5EF4-FFF2-40B4-BE49-F238E27FC236}">
              <a16:creationId xmlns:a16="http://schemas.microsoft.com/office/drawing/2014/main" id="{6FED17A8-2AF6-4CD7-92CA-049859608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4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5961" name="Picture@5C\QPendientes@" descr="@5C\QPendientes@">
          <a:extLst>
            <a:ext uri="{FF2B5EF4-FFF2-40B4-BE49-F238E27FC236}">
              <a16:creationId xmlns:a16="http://schemas.microsoft.com/office/drawing/2014/main" id="{25DFA95F-377D-42A4-A5F3-1B72B3D78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6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5962" name="Picture@5C\QPendientes@" descr="@5C\QPendientes@">
          <a:extLst>
            <a:ext uri="{FF2B5EF4-FFF2-40B4-BE49-F238E27FC236}">
              <a16:creationId xmlns:a16="http://schemas.microsoft.com/office/drawing/2014/main" id="{263D180B-2AB5-4E45-9C07-9FF2C26B5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8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5963" name="Picture@5C\QPendientes@" descr="@5C\QPendientes@">
          <a:extLst>
            <a:ext uri="{FF2B5EF4-FFF2-40B4-BE49-F238E27FC236}">
              <a16:creationId xmlns:a16="http://schemas.microsoft.com/office/drawing/2014/main" id="{D7B825E8-977A-493F-84E8-29BF32EF0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5964" name="Picture@5C\QPendientes@" descr="@5C\QPendientes@">
          <a:extLst>
            <a:ext uri="{FF2B5EF4-FFF2-40B4-BE49-F238E27FC236}">
              <a16:creationId xmlns:a16="http://schemas.microsoft.com/office/drawing/2014/main" id="{C729A8C8-00B5-45B9-93DE-02CE3D12E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1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5965" name="Picture@5C\QPendientes@" descr="@5C\QPendientes@">
          <a:extLst>
            <a:ext uri="{FF2B5EF4-FFF2-40B4-BE49-F238E27FC236}">
              <a16:creationId xmlns:a16="http://schemas.microsoft.com/office/drawing/2014/main" id="{83102602-4F30-451F-AAD4-FC2FD8C0BD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3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5966" name="Picture@5C\QPendientes@" descr="@5C\QPendientes@">
          <a:extLst>
            <a:ext uri="{FF2B5EF4-FFF2-40B4-BE49-F238E27FC236}">
              <a16:creationId xmlns:a16="http://schemas.microsoft.com/office/drawing/2014/main" id="{2028E79D-C5B3-445E-B8E1-BAC63B597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5967" name="Picture@5C\QPendientes@" descr="@5C\QPendientes@">
          <a:extLst>
            <a:ext uri="{FF2B5EF4-FFF2-40B4-BE49-F238E27FC236}">
              <a16:creationId xmlns:a16="http://schemas.microsoft.com/office/drawing/2014/main" id="{ED6E46EE-BE72-4E75-BC62-F97E6C03D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7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5968" name="Picture@5C\QPendientes@" descr="@5C\QPendientes@">
          <a:extLst>
            <a:ext uri="{FF2B5EF4-FFF2-40B4-BE49-F238E27FC236}">
              <a16:creationId xmlns:a16="http://schemas.microsoft.com/office/drawing/2014/main" id="{9A96FE16-99C2-4104-A211-915460E01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9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5969" name="Picture@5C\QPendientes@" descr="@5C\QPendientes@">
          <a:extLst>
            <a:ext uri="{FF2B5EF4-FFF2-40B4-BE49-F238E27FC236}">
              <a16:creationId xmlns:a16="http://schemas.microsoft.com/office/drawing/2014/main" id="{3CE23787-5C37-4206-85A3-31181753C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1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5970" name="Picture@5C\QPendientes@" descr="@5C\QPendientes@">
          <a:extLst>
            <a:ext uri="{FF2B5EF4-FFF2-40B4-BE49-F238E27FC236}">
              <a16:creationId xmlns:a16="http://schemas.microsoft.com/office/drawing/2014/main" id="{164ED66A-8BCB-4E33-A0A2-B6ACE851D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2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5971" name="Picture@5C\QPendientes@" descr="@5C\QPendientes@">
          <a:extLst>
            <a:ext uri="{FF2B5EF4-FFF2-40B4-BE49-F238E27FC236}">
              <a16:creationId xmlns:a16="http://schemas.microsoft.com/office/drawing/2014/main" id="{D236B623-D404-4491-92C8-936EF16B6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4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5972" name="Picture@5C\QPendientes@" descr="@5C\QPendientes@">
          <a:extLst>
            <a:ext uri="{FF2B5EF4-FFF2-40B4-BE49-F238E27FC236}">
              <a16:creationId xmlns:a16="http://schemas.microsoft.com/office/drawing/2014/main" id="{535B51C0-8B5F-45DC-B18D-170635D07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6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5973" name="Picture@5C\QPendientes@" descr="@5C\QPendientes@">
          <a:extLst>
            <a:ext uri="{FF2B5EF4-FFF2-40B4-BE49-F238E27FC236}">
              <a16:creationId xmlns:a16="http://schemas.microsoft.com/office/drawing/2014/main" id="{A778D4AC-F10C-4E41-93E9-60B6A5E51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5974" name="Picture@5C\QPendientes@" descr="@5C\QPendientes@">
          <a:extLst>
            <a:ext uri="{FF2B5EF4-FFF2-40B4-BE49-F238E27FC236}">
              <a16:creationId xmlns:a16="http://schemas.microsoft.com/office/drawing/2014/main" id="{96B4745E-AD2F-4FF9-9DCD-F5795FF03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0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5975" name="Picture@5C\QPendientes@" descr="@5C\QPendientes@">
          <a:extLst>
            <a:ext uri="{FF2B5EF4-FFF2-40B4-BE49-F238E27FC236}">
              <a16:creationId xmlns:a16="http://schemas.microsoft.com/office/drawing/2014/main" id="{6A471EC2-20CC-4885-A175-7082A5AC6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2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5976" name="Picture@5C\QPendientes@" descr="@5C\QPendientes@">
          <a:extLst>
            <a:ext uri="{FF2B5EF4-FFF2-40B4-BE49-F238E27FC236}">
              <a16:creationId xmlns:a16="http://schemas.microsoft.com/office/drawing/2014/main" id="{AEFC3F12-62C7-4572-ACB2-1874A7590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3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5977" name="Picture@5C\QPendientes@" descr="@5C\QPendientes@">
          <a:extLst>
            <a:ext uri="{FF2B5EF4-FFF2-40B4-BE49-F238E27FC236}">
              <a16:creationId xmlns:a16="http://schemas.microsoft.com/office/drawing/2014/main" id="{3BEE9B5D-9F92-4A19-904E-15149EB77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5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5978" name="Picture@5C\QPendientes@" descr="@5C\QPendientes@">
          <a:extLst>
            <a:ext uri="{FF2B5EF4-FFF2-40B4-BE49-F238E27FC236}">
              <a16:creationId xmlns:a16="http://schemas.microsoft.com/office/drawing/2014/main" id="{F5B832FB-50B4-4DC0-BD67-2AA146139E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7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5979" name="Picture@5C\QPendientes@" descr="@5C\QPendientes@">
          <a:extLst>
            <a:ext uri="{FF2B5EF4-FFF2-40B4-BE49-F238E27FC236}">
              <a16:creationId xmlns:a16="http://schemas.microsoft.com/office/drawing/2014/main" id="{3F25467D-7802-4752-8C62-E81210F4E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9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5980" name="Picture@5C\QPendientes@" descr="@5C\QPendientes@">
          <a:extLst>
            <a:ext uri="{FF2B5EF4-FFF2-40B4-BE49-F238E27FC236}">
              <a16:creationId xmlns:a16="http://schemas.microsoft.com/office/drawing/2014/main" id="{DACAC32C-1A6D-49C5-A14B-E46D1489E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1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5981" name="Picture@5C\QPendientes@" descr="@5C\QPendientes@">
          <a:extLst>
            <a:ext uri="{FF2B5EF4-FFF2-40B4-BE49-F238E27FC236}">
              <a16:creationId xmlns:a16="http://schemas.microsoft.com/office/drawing/2014/main" id="{ADD4F6EF-8F5C-4B16-97AF-9D3C10272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3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5982" name="Picture@5C\QPendientes@" descr="@5C\QPendientes@">
          <a:extLst>
            <a:ext uri="{FF2B5EF4-FFF2-40B4-BE49-F238E27FC236}">
              <a16:creationId xmlns:a16="http://schemas.microsoft.com/office/drawing/2014/main" id="{1AC61D79-1FBA-4D8B-89F8-2E4724FC6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4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5983" name="Picture@5C\QPendientes@" descr="@5C\QPendientes@">
          <a:extLst>
            <a:ext uri="{FF2B5EF4-FFF2-40B4-BE49-F238E27FC236}">
              <a16:creationId xmlns:a16="http://schemas.microsoft.com/office/drawing/2014/main" id="{A0F58AEC-4DB4-4509-B837-8E51DE35D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5984" name="Picture@5C\QPendientes@" descr="@5C\QPendientes@">
          <a:extLst>
            <a:ext uri="{FF2B5EF4-FFF2-40B4-BE49-F238E27FC236}">
              <a16:creationId xmlns:a16="http://schemas.microsoft.com/office/drawing/2014/main" id="{D75343C5-E3A9-4365-B339-A56B2B24A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8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5985" name="Picture@5C\QPendientes@" descr="@5C\QPendientes@">
          <a:extLst>
            <a:ext uri="{FF2B5EF4-FFF2-40B4-BE49-F238E27FC236}">
              <a16:creationId xmlns:a16="http://schemas.microsoft.com/office/drawing/2014/main" id="{AD3F1253-7FDA-45C5-B5ED-80B7D6492E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0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5986" name="Picture@5C\QPendientes@" descr="@5C\QPendientes@">
          <a:extLst>
            <a:ext uri="{FF2B5EF4-FFF2-40B4-BE49-F238E27FC236}">
              <a16:creationId xmlns:a16="http://schemas.microsoft.com/office/drawing/2014/main" id="{F9351237-92AA-4921-91FE-01A34F667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2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5987" name="Picture@5C\QPendientes@" descr="@5C\QPendientes@">
          <a:extLst>
            <a:ext uri="{FF2B5EF4-FFF2-40B4-BE49-F238E27FC236}">
              <a16:creationId xmlns:a16="http://schemas.microsoft.com/office/drawing/2014/main" id="{81C5E70B-26CE-4A35-B9A3-CEF24A83C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4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5988" name="Picture@5C\QPendientes@" descr="@5C\QPendientes@">
          <a:extLst>
            <a:ext uri="{FF2B5EF4-FFF2-40B4-BE49-F238E27FC236}">
              <a16:creationId xmlns:a16="http://schemas.microsoft.com/office/drawing/2014/main" id="{441625B6-9DD3-4F60-AA82-46175DCA1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5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5989" name="Picture@5C\QPendientes@" descr="@5C\QPendientes@">
          <a:extLst>
            <a:ext uri="{FF2B5EF4-FFF2-40B4-BE49-F238E27FC236}">
              <a16:creationId xmlns:a16="http://schemas.microsoft.com/office/drawing/2014/main" id="{AD5F912E-6EFA-4DFA-BD45-9847C641A2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7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5990" name="Picture@5C\QPendientes@" descr="@5C\QPendientes@">
          <a:extLst>
            <a:ext uri="{FF2B5EF4-FFF2-40B4-BE49-F238E27FC236}">
              <a16:creationId xmlns:a16="http://schemas.microsoft.com/office/drawing/2014/main" id="{58E852CD-AF12-4A21-9441-20D49ADEE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9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5991" name="Picture@5C\QPendientes@" descr="@5C\QPendientes@">
          <a:extLst>
            <a:ext uri="{FF2B5EF4-FFF2-40B4-BE49-F238E27FC236}">
              <a16:creationId xmlns:a16="http://schemas.microsoft.com/office/drawing/2014/main" id="{F8D4D718-CB69-4AE6-9A98-9E8BB4871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1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5992" name="Picture@5C\QPendientes@" descr="@5C\QPendientes@">
          <a:extLst>
            <a:ext uri="{FF2B5EF4-FFF2-40B4-BE49-F238E27FC236}">
              <a16:creationId xmlns:a16="http://schemas.microsoft.com/office/drawing/2014/main" id="{B618539B-9297-47A3-89DA-3560F4D2C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3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5993" name="Picture@5C\QPendientes@" descr="@5C\QPendientes@">
          <a:extLst>
            <a:ext uri="{FF2B5EF4-FFF2-40B4-BE49-F238E27FC236}">
              <a16:creationId xmlns:a16="http://schemas.microsoft.com/office/drawing/2014/main" id="{CAC761BC-9BF6-4F8A-8CA3-D28E54CFB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5994" name="Picture@5C\QPendientes@" descr="@5C\QPendientes@">
          <a:extLst>
            <a:ext uri="{FF2B5EF4-FFF2-40B4-BE49-F238E27FC236}">
              <a16:creationId xmlns:a16="http://schemas.microsoft.com/office/drawing/2014/main" id="{A3D582FE-2188-401F-918A-F5E15DD8F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6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5995" name="Picture@5C\QPendientes@" descr="@5C\QPendientes@">
          <a:extLst>
            <a:ext uri="{FF2B5EF4-FFF2-40B4-BE49-F238E27FC236}">
              <a16:creationId xmlns:a16="http://schemas.microsoft.com/office/drawing/2014/main" id="{34BA64E3-17F4-4760-9718-F607A36B4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8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5996" name="Picture@5C\QPendientes@" descr="@5C\QPendientes@">
          <a:extLst>
            <a:ext uri="{FF2B5EF4-FFF2-40B4-BE49-F238E27FC236}">
              <a16:creationId xmlns:a16="http://schemas.microsoft.com/office/drawing/2014/main" id="{F4D363B8-9E76-47BE-96EB-052713D00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0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5997" name="Picture@5C\QPendientes@" descr="@5C\QPendientes@">
          <a:extLst>
            <a:ext uri="{FF2B5EF4-FFF2-40B4-BE49-F238E27FC236}">
              <a16:creationId xmlns:a16="http://schemas.microsoft.com/office/drawing/2014/main" id="{9B1FD29C-8DE7-4FF1-BF90-2F54525F5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2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5998" name="Picture@5C\QPendientes@" descr="@5C\QPendientes@">
          <a:extLst>
            <a:ext uri="{FF2B5EF4-FFF2-40B4-BE49-F238E27FC236}">
              <a16:creationId xmlns:a16="http://schemas.microsoft.com/office/drawing/2014/main" id="{3A0F8CFE-BEC8-4F16-AF09-F10158A3A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4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5999" name="Picture@5C\QPendientes@" descr="@5C\QPendientes@">
          <a:extLst>
            <a:ext uri="{FF2B5EF4-FFF2-40B4-BE49-F238E27FC236}">
              <a16:creationId xmlns:a16="http://schemas.microsoft.com/office/drawing/2014/main" id="{F8526711-8583-4B32-82B3-0EB77FC9B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5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6000" name="Picture@5C\QPendientes@" descr="@5C\QPendientes@">
          <a:extLst>
            <a:ext uri="{FF2B5EF4-FFF2-40B4-BE49-F238E27FC236}">
              <a16:creationId xmlns:a16="http://schemas.microsoft.com/office/drawing/2014/main" id="{C9A05982-79A5-43FE-9578-D92380B48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7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6001" name="Picture@5C\QPendientes@" descr="@5C\QPendientes@">
          <a:extLst>
            <a:ext uri="{FF2B5EF4-FFF2-40B4-BE49-F238E27FC236}">
              <a16:creationId xmlns:a16="http://schemas.microsoft.com/office/drawing/2014/main" id="{38FE64FB-4C99-4486-B935-878CC147F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9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6002" name="Picture@5C\QPendientes@" descr="@5C\QPendientes@">
          <a:extLst>
            <a:ext uri="{FF2B5EF4-FFF2-40B4-BE49-F238E27FC236}">
              <a16:creationId xmlns:a16="http://schemas.microsoft.com/office/drawing/2014/main" id="{92072BD0-FD6B-41AF-9831-37F0D140C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1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6003" name="Picture@5C\QPendientes@" descr="@5C\QPendientes@">
          <a:extLst>
            <a:ext uri="{FF2B5EF4-FFF2-40B4-BE49-F238E27FC236}">
              <a16:creationId xmlns:a16="http://schemas.microsoft.com/office/drawing/2014/main" id="{64866C19-FE78-4C19-BC6F-2A316E927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6004" name="Picture@5C\QPendientes@" descr="@5C\QPendientes@">
          <a:extLst>
            <a:ext uri="{FF2B5EF4-FFF2-40B4-BE49-F238E27FC236}">
              <a16:creationId xmlns:a16="http://schemas.microsoft.com/office/drawing/2014/main" id="{9BE0C883-7838-4D03-ACDB-65AA7AE33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5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6005" name="Picture@5C\QPendientes@" descr="@5C\QPendientes@">
          <a:extLst>
            <a:ext uri="{FF2B5EF4-FFF2-40B4-BE49-F238E27FC236}">
              <a16:creationId xmlns:a16="http://schemas.microsoft.com/office/drawing/2014/main" id="{6DC289D7-078F-4074-A17A-6A33A6CF0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6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6006" name="Picture@5C\QPendientes@" descr="@5C\QPendientes@">
          <a:extLst>
            <a:ext uri="{FF2B5EF4-FFF2-40B4-BE49-F238E27FC236}">
              <a16:creationId xmlns:a16="http://schemas.microsoft.com/office/drawing/2014/main" id="{2A007B2A-E5A8-46A5-9581-A1037DD97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8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6007" name="Picture@5C\QPendientes@" descr="@5C\QPendientes@">
          <a:extLst>
            <a:ext uri="{FF2B5EF4-FFF2-40B4-BE49-F238E27FC236}">
              <a16:creationId xmlns:a16="http://schemas.microsoft.com/office/drawing/2014/main" id="{C40C34EA-71D1-4032-B885-05956B0B9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0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6008" name="Picture@5C\QPendientes@" descr="@5C\QPendientes@">
          <a:extLst>
            <a:ext uri="{FF2B5EF4-FFF2-40B4-BE49-F238E27FC236}">
              <a16:creationId xmlns:a16="http://schemas.microsoft.com/office/drawing/2014/main" id="{1ADCF9D1-45D5-43AE-A4A1-AB5292552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2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6009" name="Picture@5C\QPendientes@" descr="@5C\QPendientes@">
          <a:extLst>
            <a:ext uri="{FF2B5EF4-FFF2-40B4-BE49-F238E27FC236}">
              <a16:creationId xmlns:a16="http://schemas.microsoft.com/office/drawing/2014/main" id="{45D25FDF-9037-4492-AB39-7FC4E4394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4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6010" name="Picture@5C\QPendientes@" descr="@5C\QPendientes@">
          <a:extLst>
            <a:ext uri="{FF2B5EF4-FFF2-40B4-BE49-F238E27FC236}">
              <a16:creationId xmlns:a16="http://schemas.microsoft.com/office/drawing/2014/main" id="{3A738733-15C6-4576-8AF1-8FAA9972E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6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6011" name="Picture@5C\QPendientes@" descr="@5C\QPendientes@">
          <a:extLst>
            <a:ext uri="{FF2B5EF4-FFF2-40B4-BE49-F238E27FC236}">
              <a16:creationId xmlns:a16="http://schemas.microsoft.com/office/drawing/2014/main" id="{8B13D815-436C-4CB2-B6C8-EF8054831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7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6012" name="Picture@5C\QPendientes@" descr="@5C\QPendientes@">
          <a:extLst>
            <a:ext uri="{FF2B5EF4-FFF2-40B4-BE49-F238E27FC236}">
              <a16:creationId xmlns:a16="http://schemas.microsoft.com/office/drawing/2014/main" id="{C713D8CF-0E9E-4270-B709-99437EDC1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9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6013" name="Picture@5C\QPendientes@" descr="@5C\QPendientes@">
          <a:extLst>
            <a:ext uri="{FF2B5EF4-FFF2-40B4-BE49-F238E27FC236}">
              <a16:creationId xmlns:a16="http://schemas.microsoft.com/office/drawing/2014/main" id="{90EA8792-C312-4FF9-A9F5-E858B9A68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6014" name="Picture@5C\QPendientes@" descr="@5C\QPendientes@">
          <a:extLst>
            <a:ext uri="{FF2B5EF4-FFF2-40B4-BE49-F238E27FC236}">
              <a16:creationId xmlns:a16="http://schemas.microsoft.com/office/drawing/2014/main" id="{73518020-A154-4460-A965-F16E871CD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3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6015" name="Picture@5C\QPendientes@" descr="@5C\QPendientes@">
          <a:extLst>
            <a:ext uri="{FF2B5EF4-FFF2-40B4-BE49-F238E27FC236}">
              <a16:creationId xmlns:a16="http://schemas.microsoft.com/office/drawing/2014/main" id="{2EC7481D-CDA4-43B5-A019-15B19C0A6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5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6016" name="Picture@5C\QPendientes@" descr="@5C\QPendientes@">
          <a:extLst>
            <a:ext uri="{FF2B5EF4-FFF2-40B4-BE49-F238E27FC236}">
              <a16:creationId xmlns:a16="http://schemas.microsoft.com/office/drawing/2014/main" id="{4E1CF73A-F0FA-4C10-A6D4-EA87C6C81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7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6017" name="Picture@5C\QPendientes@" descr="@5C\QPendientes@">
          <a:extLst>
            <a:ext uri="{FF2B5EF4-FFF2-40B4-BE49-F238E27FC236}">
              <a16:creationId xmlns:a16="http://schemas.microsoft.com/office/drawing/2014/main" id="{F2BEF7DE-C23E-4CCF-949C-85485160C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8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6018" name="Picture@5C\QPendientes@" descr="@5C\QPendientes@">
          <a:extLst>
            <a:ext uri="{FF2B5EF4-FFF2-40B4-BE49-F238E27FC236}">
              <a16:creationId xmlns:a16="http://schemas.microsoft.com/office/drawing/2014/main" id="{336F8F0E-90AC-4200-968E-1806DE4CF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0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6019" name="Picture@5C\QPendientes@" descr="@5C\QPendientes@">
          <a:extLst>
            <a:ext uri="{FF2B5EF4-FFF2-40B4-BE49-F238E27FC236}">
              <a16:creationId xmlns:a16="http://schemas.microsoft.com/office/drawing/2014/main" id="{DE26C8E1-B047-4055-8397-BFB1DF5AC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2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6020" name="Picture@5C\QPendientes@" descr="@5C\QPendientes@">
          <a:extLst>
            <a:ext uri="{FF2B5EF4-FFF2-40B4-BE49-F238E27FC236}">
              <a16:creationId xmlns:a16="http://schemas.microsoft.com/office/drawing/2014/main" id="{74AD6CA1-BFB6-449E-817F-3F2B14381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4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6021" name="Picture@5C\QPendientes@" descr="@5C\QPendientes@">
          <a:extLst>
            <a:ext uri="{FF2B5EF4-FFF2-40B4-BE49-F238E27FC236}">
              <a16:creationId xmlns:a16="http://schemas.microsoft.com/office/drawing/2014/main" id="{05177B5B-624A-458B-B4A3-C91190C72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6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6022" name="Picture@5C\QPendientes@" descr="@5C\QPendientes@">
          <a:extLst>
            <a:ext uri="{FF2B5EF4-FFF2-40B4-BE49-F238E27FC236}">
              <a16:creationId xmlns:a16="http://schemas.microsoft.com/office/drawing/2014/main" id="{5735E6D8-8E03-44A4-8273-DE1FE2E90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8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6023" name="Picture@5C\QPendientes@" descr="@5C\QPendientes@">
          <a:extLst>
            <a:ext uri="{FF2B5EF4-FFF2-40B4-BE49-F238E27FC236}">
              <a16:creationId xmlns:a16="http://schemas.microsoft.com/office/drawing/2014/main" id="{4785FCCC-6ACA-4CF2-838E-41F61E1FB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6024" name="Picture@5C\QPendientes@" descr="@5C\QPendientes@">
          <a:extLst>
            <a:ext uri="{FF2B5EF4-FFF2-40B4-BE49-F238E27FC236}">
              <a16:creationId xmlns:a16="http://schemas.microsoft.com/office/drawing/2014/main" id="{A3CC1586-6628-4B44-B0F5-B4589C676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1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6025" name="Picture@5C\QPendientes@" descr="@5C\QPendientes@">
          <a:extLst>
            <a:ext uri="{FF2B5EF4-FFF2-40B4-BE49-F238E27FC236}">
              <a16:creationId xmlns:a16="http://schemas.microsoft.com/office/drawing/2014/main" id="{DD7B9390-F855-4885-8F72-85CF920CD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3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6026" name="Picture@5C\QPendientes@" descr="@5C\QPendientes@">
          <a:extLst>
            <a:ext uri="{FF2B5EF4-FFF2-40B4-BE49-F238E27FC236}">
              <a16:creationId xmlns:a16="http://schemas.microsoft.com/office/drawing/2014/main" id="{86C12664-0304-4346-A427-984724F52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5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6027" name="Picture@5C\QPendientes@" descr="@5C\QPendientes@">
          <a:extLst>
            <a:ext uri="{FF2B5EF4-FFF2-40B4-BE49-F238E27FC236}">
              <a16:creationId xmlns:a16="http://schemas.microsoft.com/office/drawing/2014/main" id="{62A15D30-79CD-48B3-8A5A-178CEB79C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7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6028" name="Picture@5C\QPendientes@" descr="@5C\QPendientes@">
          <a:extLst>
            <a:ext uri="{FF2B5EF4-FFF2-40B4-BE49-F238E27FC236}">
              <a16:creationId xmlns:a16="http://schemas.microsoft.com/office/drawing/2014/main" id="{678A46B6-93F0-4350-AF95-958259FA4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9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6029" name="Picture@5C\QPendientes@" descr="@5C\QPendientes@">
          <a:extLst>
            <a:ext uri="{FF2B5EF4-FFF2-40B4-BE49-F238E27FC236}">
              <a16:creationId xmlns:a16="http://schemas.microsoft.com/office/drawing/2014/main" id="{62337BAD-6313-42AF-A358-E31EC44E6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0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6030" name="Picture@5C\QPendientes@" descr="@5C\QPendientes@">
          <a:extLst>
            <a:ext uri="{FF2B5EF4-FFF2-40B4-BE49-F238E27FC236}">
              <a16:creationId xmlns:a16="http://schemas.microsoft.com/office/drawing/2014/main" id="{A52DEF4F-35B0-497A-BCAD-3DF7609F9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2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6031" name="Picture@5C\QPendientes@" descr="@5C\QPendientes@">
          <a:extLst>
            <a:ext uri="{FF2B5EF4-FFF2-40B4-BE49-F238E27FC236}">
              <a16:creationId xmlns:a16="http://schemas.microsoft.com/office/drawing/2014/main" id="{F44C142C-AB25-41C7-BB0A-0AA5836BB5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4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6032" name="Picture@5C\QPendientes@" descr="@5C\QPendientes@">
          <a:extLst>
            <a:ext uri="{FF2B5EF4-FFF2-40B4-BE49-F238E27FC236}">
              <a16:creationId xmlns:a16="http://schemas.microsoft.com/office/drawing/2014/main" id="{447B4FC8-EF81-4FD6-A8D6-375750BBC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6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6033" name="Picture@5C\QPendientes@" descr="@5C\QPendientes@">
          <a:extLst>
            <a:ext uri="{FF2B5EF4-FFF2-40B4-BE49-F238E27FC236}">
              <a16:creationId xmlns:a16="http://schemas.microsoft.com/office/drawing/2014/main" id="{9A13D761-DF00-4AB4-8D4E-23A16570F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6034" name="Picture@5C\QPendientes@" descr="@5C\QPendientes@">
          <a:extLst>
            <a:ext uri="{FF2B5EF4-FFF2-40B4-BE49-F238E27FC236}">
              <a16:creationId xmlns:a16="http://schemas.microsoft.com/office/drawing/2014/main" id="{70D6242E-6B41-48B9-82DE-B58801A1F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0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6035" name="Picture@5C\QPendientes@" descr="@5C\QPendientes@">
          <a:extLst>
            <a:ext uri="{FF2B5EF4-FFF2-40B4-BE49-F238E27FC236}">
              <a16:creationId xmlns:a16="http://schemas.microsoft.com/office/drawing/2014/main" id="{0AC88106-1C4E-45D2-BA43-08E0BEB21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1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6036" name="Picture@5C\QPendientes@" descr="@5C\QPendientes@">
          <a:extLst>
            <a:ext uri="{FF2B5EF4-FFF2-40B4-BE49-F238E27FC236}">
              <a16:creationId xmlns:a16="http://schemas.microsoft.com/office/drawing/2014/main" id="{171E58E0-1A3C-4F32-9A0A-5163B4D60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3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6037" name="Picture@5C\QPendientes@" descr="@5C\QPendientes@">
          <a:extLst>
            <a:ext uri="{FF2B5EF4-FFF2-40B4-BE49-F238E27FC236}">
              <a16:creationId xmlns:a16="http://schemas.microsoft.com/office/drawing/2014/main" id="{43F7EF0C-67FF-4018-8F7A-170B4966B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5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6038" name="Picture@5C\QPendientes@" descr="@5C\QPendientes@">
          <a:extLst>
            <a:ext uri="{FF2B5EF4-FFF2-40B4-BE49-F238E27FC236}">
              <a16:creationId xmlns:a16="http://schemas.microsoft.com/office/drawing/2014/main" id="{BEC8BF9E-4F41-42ED-B0F9-8C0F37277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7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6039" name="Picture@5C\QPendientes@" descr="@5C\QPendientes@">
          <a:extLst>
            <a:ext uri="{FF2B5EF4-FFF2-40B4-BE49-F238E27FC236}">
              <a16:creationId xmlns:a16="http://schemas.microsoft.com/office/drawing/2014/main" id="{C63F7587-6D82-4A87-995D-D7445C3B6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9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6040" name="Picture@5C\QPendientes@" descr="@5C\QPendientes@">
          <a:extLst>
            <a:ext uri="{FF2B5EF4-FFF2-40B4-BE49-F238E27FC236}">
              <a16:creationId xmlns:a16="http://schemas.microsoft.com/office/drawing/2014/main" id="{F14B7EE4-0136-4D07-9885-D7DBD2E5D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0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6041" name="Picture@5C\QPendientes@" descr="@5C\QPendientes@">
          <a:extLst>
            <a:ext uri="{FF2B5EF4-FFF2-40B4-BE49-F238E27FC236}">
              <a16:creationId xmlns:a16="http://schemas.microsoft.com/office/drawing/2014/main" id="{69631A96-C208-4781-8403-02C2A394A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2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6042" name="Picture@5C\QPendientes@" descr="@5C\QPendientes@">
          <a:extLst>
            <a:ext uri="{FF2B5EF4-FFF2-40B4-BE49-F238E27FC236}">
              <a16:creationId xmlns:a16="http://schemas.microsoft.com/office/drawing/2014/main" id="{348814C7-4165-44A9-BE4E-C5DEA360E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4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6043" name="Picture@5C\QPendientes@" descr="@5C\QPendientes@">
          <a:extLst>
            <a:ext uri="{FF2B5EF4-FFF2-40B4-BE49-F238E27FC236}">
              <a16:creationId xmlns:a16="http://schemas.microsoft.com/office/drawing/2014/main" id="{5AE8B275-E3DF-401E-832E-563E944AC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6044" name="Picture@5C\QPendientes@" descr="@5C\QPendientes@">
          <a:extLst>
            <a:ext uri="{FF2B5EF4-FFF2-40B4-BE49-F238E27FC236}">
              <a16:creationId xmlns:a16="http://schemas.microsoft.com/office/drawing/2014/main" id="{6D071F4F-E12A-476E-BB37-D0EC4835C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8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6045" name="Picture@5C\QPendientes@" descr="@5C\QPendientes@">
          <a:extLst>
            <a:ext uri="{FF2B5EF4-FFF2-40B4-BE49-F238E27FC236}">
              <a16:creationId xmlns:a16="http://schemas.microsoft.com/office/drawing/2014/main" id="{63235E83-08CE-400E-BEEE-2DDC4347C0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0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6046" name="Picture@5C\QPendientes@" descr="@5C\QPendientes@">
          <a:extLst>
            <a:ext uri="{FF2B5EF4-FFF2-40B4-BE49-F238E27FC236}">
              <a16:creationId xmlns:a16="http://schemas.microsoft.com/office/drawing/2014/main" id="{E49633E5-016E-473F-9DD9-831D0AC16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1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6047" name="Picture@5C\QPendientes@" descr="@5C\QPendientes@">
          <a:extLst>
            <a:ext uri="{FF2B5EF4-FFF2-40B4-BE49-F238E27FC236}">
              <a16:creationId xmlns:a16="http://schemas.microsoft.com/office/drawing/2014/main" id="{DC14E748-923E-44D2-A4B8-B2696AE6D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3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6048" name="Picture@5C\QPendientes@" descr="@5C\QPendientes@">
          <a:extLst>
            <a:ext uri="{FF2B5EF4-FFF2-40B4-BE49-F238E27FC236}">
              <a16:creationId xmlns:a16="http://schemas.microsoft.com/office/drawing/2014/main" id="{9A977F3A-EF94-4A9E-8DFE-EDD4F78BD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5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6049" name="Picture@5C\QPendientes@" descr="@5C\QPendientes@">
          <a:extLst>
            <a:ext uri="{FF2B5EF4-FFF2-40B4-BE49-F238E27FC236}">
              <a16:creationId xmlns:a16="http://schemas.microsoft.com/office/drawing/2014/main" id="{6556A158-DA1E-4892-81BC-FBB2A1E17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7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6050" name="Picture@5C\QPendientes@" descr="@5C\QPendientes@">
          <a:extLst>
            <a:ext uri="{FF2B5EF4-FFF2-40B4-BE49-F238E27FC236}">
              <a16:creationId xmlns:a16="http://schemas.microsoft.com/office/drawing/2014/main" id="{DFCDB248-94FF-4E60-A116-3234B06C8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9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6051" name="Picture@5C\QPendientes@" descr="@5C\QPendientes@">
          <a:extLst>
            <a:ext uri="{FF2B5EF4-FFF2-40B4-BE49-F238E27FC236}">
              <a16:creationId xmlns:a16="http://schemas.microsoft.com/office/drawing/2014/main" id="{AB696396-695B-46B4-9A5C-7A9300C79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1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6052" name="Picture@5C\QPendientes@" descr="@5C\QPendientes@">
          <a:extLst>
            <a:ext uri="{FF2B5EF4-FFF2-40B4-BE49-F238E27FC236}">
              <a16:creationId xmlns:a16="http://schemas.microsoft.com/office/drawing/2014/main" id="{B6CCA2E9-DB0C-4D21-A8CF-4AB9181D6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2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6053" name="Picture@5C\QPendientes@" descr="@5C\QPendientes@">
          <a:extLst>
            <a:ext uri="{FF2B5EF4-FFF2-40B4-BE49-F238E27FC236}">
              <a16:creationId xmlns:a16="http://schemas.microsoft.com/office/drawing/2014/main" id="{C4A43580-8466-4B9D-939B-41FB40C73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6054" name="Picture@5C\QPendientes@" descr="@5C\QPendientes@">
          <a:extLst>
            <a:ext uri="{FF2B5EF4-FFF2-40B4-BE49-F238E27FC236}">
              <a16:creationId xmlns:a16="http://schemas.microsoft.com/office/drawing/2014/main" id="{AEE5CFA8-4B03-4901-98FE-C1429C0E6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6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6055" name="Picture@5C\QPendientes@" descr="@5C\QPendientes@">
          <a:extLst>
            <a:ext uri="{FF2B5EF4-FFF2-40B4-BE49-F238E27FC236}">
              <a16:creationId xmlns:a16="http://schemas.microsoft.com/office/drawing/2014/main" id="{B2AC9DF5-A176-4CC1-A7FC-7D633A061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8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6056" name="Picture@5C\QPendientes@" descr="@5C\QPendientes@">
          <a:extLst>
            <a:ext uri="{FF2B5EF4-FFF2-40B4-BE49-F238E27FC236}">
              <a16:creationId xmlns:a16="http://schemas.microsoft.com/office/drawing/2014/main" id="{FFF4A548-AD71-48B4-B01C-083135BD7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0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6057" name="Picture@5C\QPendientes@" descr="@5C\QPendientes@">
          <a:extLst>
            <a:ext uri="{FF2B5EF4-FFF2-40B4-BE49-F238E27FC236}">
              <a16:creationId xmlns:a16="http://schemas.microsoft.com/office/drawing/2014/main" id="{724EB277-541F-4AC7-9D55-3C174936D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2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6058" name="Picture@5C\QPendientes@" descr="@5C\QPendientes@">
          <a:extLst>
            <a:ext uri="{FF2B5EF4-FFF2-40B4-BE49-F238E27FC236}">
              <a16:creationId xmlns:a16="http://schemas.microsoft.com/office/drawing/2014/main" id="{42F87738-FC72-40AD-996F-07E145FC5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3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6059" name="Picture@5C\QPendientes@" descr="@5C\QPendientes@">
          <a:extLst>
            <a:ext uri="{FF2B5EF4-FFF2-40B4-BE49-F238E27FC236}">
              <a16:creationId xmlns:a16="http://schemas.microsoft.com/office/drawing/2014/main" id="{744F11A6-EBD0-41C4-B33D-7FCF8EEE3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5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6060" name="Picture@5C\QPendientes@" descr="@5C\QPendientes@">
          <a:extLst>
            <a:ext uri="{FF2B5EF4-FFF2-40B4-BE49-F238E27FC236}">
              <a16:creationId xmlns:a16="http://schemas.microsoft.com/office/drawing/2014/main" id="{88DEA3E7-28AA-4880-A628-A520DC3EF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7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6061" name="Picture@5C\QPendientes@" descr="@5C\QPendientes@">
          <a:extLst>
            <a:ext uri="{FF2B5EF4-FFF2-40B4-BE49-F238E27FC236}">
              <a16:creationId xmlns:a16="http://schemas.microsoft.com/office/drawing/2014/main" id="{65AA1F72-5239-4E69-A24B-662DF24EE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9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6062" name="Picture@5C\QPendientes@" descr="@5C\QPendientes@">
          <a:extLst>
            <a:ext uri="{FF2B5EF4-FFF2-40B4-BE49-F238E27FC236}">
              <a16:creationId xmlns:a16="http://schemas.microsoft.com/office/drawing/2014/main" id="{FD115604-B05A-4284-BF6C-53B8AC0B4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1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6063" name="Picture@5C\QPendientes@" descr="@5C\QPendientes@">
          <a:extLst>
            <a:ext uri="{FF2B5EF4-FFF2-40B4-BE49-F238E27FC236}">
              <a16:creationId xmlns:a16="http://schemas.microsoft.com/office/drawing/2014/main" id="{50F5EB11-0371-49CF-BD55-550169486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6064" name="Picture@5C\QPendientes@" descr="@5C\QPendientes@">
          <a:extLst>
            <a:ext uri="{FF2B5EF4-FFF2-40B4-BE49-F238E27FC236}">
              <a16:creationId xmlns:a16="http://schemas.microsoft.com/office/drawing/2014/main" id="{E80B3F9A-7337-48FB-9D41-2C2603E6C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4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6065" name="Picture@5C\QPendientes@" descr="@5C\QPendientes@">
          <a:extLst>
            <a:ext uri="{FF2B5EF4-FFF2-40B4-BE49-F238E27FC236}">
              <a16:creationId xmlns:a16="http://schemas.microsoft.com/office/drawing/2014/main" id="{1FDD4D1E-E968-4D9F-B7AC-1D04EA791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6066" name="Picture@5C\QPendientes@" descr="@5C\QPendientes@">
          <a:extLst>
            <a:ext uri="{FF2B5EF4-FFF2-40B4-BE49-F238E27FC236}">
              <a16:creationId xmlns:a16="http://schemas.microsoft.com/office/drawing/2014/main" id="{F94216CC-2955-41E7-9CB3-D7B798460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8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6067" name="Picture@5C\QPendientes@" descr="@5C\QPendientes@">
          <a:extLst>
            <a:ext uri="{FF2B5EF4-FFF2-40B4-BE49-F238E27FC236}">
              <a16:creationId xmlns:a16="http://schemas.microsoft.com/office/drawing/2014/main" id="{0B5747FA-0B9A-4A70-B91F-5E666F811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0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6068" name="Picture@5C\QPendientes@" descr="@5C\QPendientes@">
          <a:extLst>
            <a:ext uri="{FF2B5EF4-FFF2-40B4-BE49-F238E27FC236}">
              <a16:creationId xmlns:a16="http://schemas.microsoft.com/office/drawing/2014/main" id="{8D417ADF-577D-45ED-BFB9-26893842F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2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6069" name="Picture@5C\QPendientes@" descr="@5C\QPendientes@">
          <a:extLst>
            <a:ext uri="{FF2B5EF4-FFF2-40B4-BE49-F238E27FC236}">
              <a16:creationId xmlns:a16="http://schemas.microsoft.com/office/drawing/2014/main" id="{AB515EA2-A56C-4BC6-895C-474681754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4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6070" name="Picture@5C\QPendientes@" descr="@5C\QPendientes@">
          <a:extLst>
            <a:ext uri="{FF2B5EF4-FFF2-40B4-BE49-F238E27FC236}">
              <a16:creationId xmlns:a16="http://schemas.microsoft.com/office/drawing/2014/main" id="{F3CDB843-2099-4723-A5C2-E927A8FE4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5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6071" name="Picture@5C\QPendientes@" descr="@5C\QPendientes@">
          <a:extLst>
            <a:ext uri="{FF2B5EF4-FFF2-40B4-BE49-F238E27FC236}">
              <a16:creationId xmlns:a16="http://schemas.microsoft.com/office/drawing/2014/main" id="{35E80640-0FA7-4CC1-93CB-B0CC5AA74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7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6072" name="Picture@5C\QPendientes@" descr="@5C\QPendientes@">
          <a:extLst>
            <a:ext uri="{FF2B5EF4-FFF2-40B4-BE49-F238E27FC236}">
              <a16:creationId xmlns:a16="http://schemas.microsoft.com/office/drawing/2014/main" id="{BB275E97-7A2C-4F53-A444-D34810780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9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6073" name="Picture@5C\QPendientes@" descr="@5C\QPendientes@">
          <a:extLst>
            <a:ext uri="{FF2B5EF4-FFF2-40B4-BE49-F238E27FC236}">
              <a16:creationId xmlns:a16="http://schemas.microsoft.com/office/drawing/2014/main" id="{D4960A2F-D4F1-44B4-A566-0D3299663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6074" name="Picture@5C\QPendientes@" descr="@5C\QPendientes@">
          <a:extLst>
            <a:ext uri="{FF2B5EF4-FFF2-40B4-BE49-F238E27FC236}">
              <a16:creationId xmlns:a16="http://schemas.microsoft.com/office/drawing/2014/main" id="{C2BC2170-BE94-4230-8040-87E0ECA28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3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6075" name="Picture@5C\QPendientes@" descr="@5C\QPendientes@">
          <a:extLst>
            <a:ext uri="{FF2B5EF4-FFF2-40B4-BE49-F238E27FC236}">
              <a16:creationId xmlns:a16="http://schemas.microsoft.com/office/drawing/2014/main" id="{0A4ED9BF-BFDE-41C0-BC0F-55D35A656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4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6076" name="Picture@5C\QPendientes@" descr="@5C\QPendientes@">
          <a:extLst>
            <a:ext uri="{FF2B5EF4-FFF2-40B4-BE49-F238E27FC236}">
              <a16:creationId xmlns:a16="http://schemas.microsoft.com/office/drawing/2014/main" id="{FCC75030-96CC-40C3-BE2E-7176FA814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6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6077" name="Picture@5C\QPendientes@" descr="@5C\QPendientes@">
          <a:extLst>
            <a:ext uri="{FF2B5EF4-FFF2-40B4-BE49-F238E27FC236}">
              <a16:creationId xmlns:a16="http://schemas.microsoft.com/office/drawing/2014/main" id="{E48A9BE9-7F55-479D-ADED-4852DDC11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8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6078" name="Picture@5C\QPendientes@" descr="@5C\QPendientes@">
          <a:extLst>
            <a:ext uri="{FF2B5EF4-FFF2-40B4-BE49-F238E27FC236}">
              <a16:creationId xmlns:a16="http://schemas.microsoft.com/office/drawing/2014/main" id="{DCEE2605-AA9D-4BC9-B517-6414F672C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0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6079" name="Picture@5C\QPendientes@" descr="@5C\QPendientes@">
          <a:extLst>
            <a:ext uri="{FF2B5EF4-FFF2-40B4-BE49-F238E27FC236}">
              <a16:creationId xmlns:a16="http://schemas.microsoft.com/office/drawing/2014/main" id="{E5EE4202-2375-49D7-8950-67135EEA3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2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6080" name="Picture@5C\QPendientes@" descr="@5C\QPendientes@">
          <a:extLst>
            <a:ext uri="{FF2B5EF4-FFF2-40B4-BE49-F238E27FC236}">
              <a16:creationId xmlns:a16="http://schemas.microsoft.com/office/drawing/2014/main" id="{9968EF49-0E36-4B92-B9D4-81C952C588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4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6081" name="Picture@5C\QPendientes@" descr="@5C\QPendientes@">
          <a:extLst>
            <a:ext uri="{FF2B5EF4-FFF2-40B4-BE49-F238E27FC236}">
              <a16:creationId xmlns:a16="http://schemas.microsoft.com/office/drawing/2014/main" id="{2D2CDF45-18CE-4CC9-BA27-35A25F117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5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6082" name="Picture@5C\QPendientes@" descr="@5C\QPendientes@">
          <a:extLst>
            <a:ext uri="{FF2B5EF4-FFF2-40B4-BE49-F238E27FC236}">
              <a16:creationId xmlns:a16="http://schemas.microsoft.com/office/drawing/2014/main" id="{CBB32C4C-5E12-48F1-9326-FB6E3239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7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6083" name="Picture@5C\QPendientes@" descr="@5C\QPendientes@">
          <a:extLst>
            <a:ext uri="{FF2B5EF4-FFF2-40B4-BE49-F238E27FC236}">
              <a16:creationId xmlns:a16="http://schemas.microsoft.com/office/drawing/2014/main" id="{ABD4FB9A-DD1F-4F47-AC95-A31FD9206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6084" name="Picture@5C\QPendientes@" descr="@5C\QPendientes@">
          <a:extLst>
            <a:ext uri="{FF2B5EF4-FFF2-40B4-BE49-F238E27FC236}">
              <a16:creationId xmlns:a16="http://schemas.microsoft.com/office/drawing/2014/main" id="{BC7A15AB-2B31-43C4-9D7F-84A59D343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1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6085" name="Picture@5C\QPendientes@" descr="@5C\QPendientes@">
          <a:extLst>
            <a:ext uri="{FF2B5EF4-FFF2-40B4-BE49-F238E27FC236}">
              <a16:creationId xmlns:a16="http://schemas.microsoft.com/office/drawing/2014/main" id="{22C9EC50-A24D-408D-9DF7-2A4CE54F0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3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6086" name="Picture@5C\QPendientes@" descr="@5C\QPendientes@">
          <a:extLst>
            <a:ext uri="{FF2B5EF4-FFF2-40B4-BE49-F238E27FC236}">
              <a16:creationId xmlns:a16="http://schemas.microsoft.com/office/drawing/2014/main" id="{8FC3222B-54D6-4A35-84BD-41E83A7DE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5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6087" name="Picture@5C\QPendientes@" descr="@5C\QPendientes@">
          <a:extLst>
            <a:ext uri="{FF2B5EF4-FFF2-40B4-BE49-F238E27FC236}">
              <a16:creationId xmlns:a16="http://schemas.microsoft.com/office/drawing/2014/main" id="{DFB2AC95-74AE-4548-98E6-21A93A247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6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6088" name="Picture@5C\QPendientes@" descr="@5C\QPendientes@">
          <a:extLst>
            <a:ext uri="{FF2B5EF4-FFF2-40B4-BE49-F238E27FC236}">
              <a16:creationId xmlns:a16="http://schemas.microsoft.com/office/drawing/2014/main" id="{EE81DC54-F263-49D5-AD52-01077A5F9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8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6089" name="Picture@5C\QPendientes@" descr="@5C\QPendientes@">
          <a:extLst>
            <a:ext uri="{FF2B5EF4-FFF2-40B4-BE49-F238E27FC236}">
              <a16:creationId xmlns:a16="http://schemas.microsoft.com/office/drawing/2014/main" id="{E42B53BA-16B4-494A-B2ED-48A6DB4B0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0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6090" name="Picture@5C\QPendientes@" descr="@5C\QPendientes@">
          <a:extLst>
            <a:ext uri="{FF2B5EF4-FFF2-40B4-BE49-F238E27FC236}">
              <a16:creationId xmlns:a16="http://schemas.microsoft.com/office/drawing/2014/main" id="{B589C476-C719-4BE3-839A-1DE630AC3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2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6091" name="Picture@5C\QPendientes@" descr="@5C\QPendientes@">
          <a:extLst>
            <a:ext uri="{FF2B5EF4-FFF2-40B4-BE49-F238E27FC236}">
              <a16:creationId xmlns:a16="http://schemas.microsoft.com/office/drawing/2014/main" id="{19B954CB-C217-447E-86DC-6674A2EC9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4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6092" name="Picture@5C\QPendientes@" descr="@5C\QPendientes@">
          <a:extLst>
            <a:ext uri="{FF2B5EF4-FFF2-40B4-BE49-F238E27FC236}">
              <a16:creationId xmlns:a16="http://schemas.microsoft.com/office/drawing/2014/main" id="{2E377434-B274-4377-B587-B9B2BB265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6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6093" name="Picture@5C\QPendientes@" descr="@5C\QPendientes@">
          <a:extLst>
            <a:ext uri="{FF2B5EF4-FFF2-40B4-BE49-F238E27FC236}">
              <a16:creationId xmlns:a16="http://schemas.microsoft.com/office/drawing/2014/main" id="{84673E4B-6FC3-4CB1-8DB8-178611DDE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6094" name="Picture@5C\QPendientes@" descr="@5C\QPendientes@">
          <a:extLst>
            <a:ext uri="{FF2B5EF4-FFF2-40B4-BE49-F238E27FC236}">
              <a16:creationId xmlns:a16="http://schemas.microsoft.com/office/drawing/2014/main" id="{4217B626-01DF-45F3-8274-A30C6CC16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9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6095" name="Picture@5C\QPendientes@" descr="@5C\QPendientes@">
          <a:extLst>
            <a:ext uri="{FF2B5EF4-FFF2-40B4-BE49-F238E27FC236}">
              <a16:creationId xmlns:a16="http://schemas.microsoft.com/office/drawing/2014/main" id="{06028748-0482-46BA-B80B-0BC094188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1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6096" name="Picture@5C\QPendientes@" descr="@5C\QPendientes@">
          <a:extLst>
            <a:ext uri="{FF2B5EF4-FFF2-40B4-BE49-F238E27FC236}">
              <a16:creationId xmlns:a16="http://schemas.microsoft.com/office/drawing/2014/main" id="{9AA1CC72-680D-4049-B386-3B552FBDB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3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6097" name="Picture@5C\QPendientes@" descr="@5C\QPendientes@">
          <a:extLst>
            <a:ext uri="{FF2B5EF4-FFF2-40B4-BE49-F238E27FC236}">
              <a16:creationId xmlns:a16="http://schemas.microsoft.com/office/drawing/2014/main" id="{E5C018F3-8B0B-488C-A316-D392C5FD3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5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6098" name="Picture@5C\QPendientes@" descr="@5C\QPendientes@">
          <a:extLst>
            <a:ext uri="{FF2B5EF4-FFF2-40B4-BE49-F238E27FC236}">
              <a16:creationId xmlns:a16="http://schemas.microsoft.com/office/drawing/2014/main" id="{17DDBF90-A61E-4948-BA18-A19753FAE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7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6099" name="Picture@5C\QPendientes@" descr="@5C\QPendientes@">
          <a:extLst>
            <a:ext uri="{FF2B5EF4-FFF2-40B4-BE49-F238E27FC236}">
              <a16:creationId xmlns:a16="http://schemas.microsoft.com/office/drawing/2014/main" id="{B1F20653-D9B7-4DD5-9F14-C9535726E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8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6100" name="Picture@5C\QPendientes@" descr="@5C\QPendientes@">
          <a:extLst>
            <a:ext uri="{FF2B5EF4-FFF2-40B4-BE49-F238E27FC236}">
              <a16:creationId xmlns:a16="http://schemas.microsoft.com/office/drawing/2014/main" id="{79A60A2D-0FA4-4A81-BF01-B175C8C6B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0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6101" name="Picture@5C\QPendientes@" descr="@5C\QPendientes@">
          <a:extLst>
            <a:ext uri="{FF2B5EF4-FFF2-40B4-BE49-F238E27FC236}">
              <a16:creationId xmlns:a16="http://schemas.microsoft.com/office/drawing/2014/main" id="{F85DE5F0-1751-408D-B10F-D6EF766A7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2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6102" name="Picture@5C\QPendientes@" descr="@5C\QPendientes@">
          <a:extLst>
            <a:ext uri="{FF2B5EF4-FFF2-40B4-BE49-F238E27FC236}">
              <a16:creationId xmlns:a16="http://schemas.microsoft.com/office/drawing/2014/main" id="{378BBC59-82C5-464B-BC3C-0553D5589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4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6103" name="Picture@5C\QPendientes@" descr="@5C\QPendientes@">
          <a:extLst>
            <a:ext uri="{FF2B5EF4-FFF2-40B4-BE49-F238E27FC236}">
              <a16:creationId xmlns:a16="http://schemas.microsoft.com/office/drawing/2014/main" id="{ECEF945E-D029-4F49-B249-82E3109CC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6104" name="Picture@5C\QPendientes@" descr="@5C\QPendientes@">
          <a:extLst>
            <a:ext uri="{FF2B5EF4-FFF2-40B4-BE49-F238E27FC236}">
              <a16:creationId xmlns:a16="http://schemas.microsoft.com/office/drawing/2014/main" id="{F98E84FC-17B5-4892-A681-50DABFC7B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8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6105" name="Picture@5C\QPendientes@" descr="@5C\QPendientes@">
          <a:extLst>
            <a:ext uri="{FF2B5EF4-FFF2-40B4-BE49-F238E27FC236}">
              <a16:creationId xmlns:a16="http://schemas.microsoft.com/office/drawing/2014/main" id="{5B1A06F2-93DC-4DAC-BCEA-7A29F33DA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9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6106" name="Picture@5C\QPendientes@" descr="@5C\QPendientes@">
          <a:extLst>
            <a:ext uri="{FF2B5EF4-FFF2-40B4-BE49-F238E27FC236}">
              <a16:creationId xmlns:a16="http://schemas.microsoft.com/office/drawing/2014/main" id="{3F181348-257C-45F3-8CCC-7BCAFFD2F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1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6107" name="Picture@5C\QPendientes@" descr="@5C\QPendientes@">
          <a:extLst>
            <a:ext uri="{FF2B5EF4-FFF2-40B4-BE49-F238E27FC236}">
              <a16:creationId xmlns:a16="http://schemas.microsoft.com/office/drawing/2014/main" id="{DCA7B611-F767-42B2-B2E3-799B56C740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3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6108" name="Picture@5C\QPendientes@" descr="@5C\QPendientes@">
          <a:extLst>
            <a:ext uri="{FF2B5EF4-FFF2-40B4-BE49-F238E27FC236}">
              <a16:creationId xmlns:a16="http://schemas.microsoft.com/office/drawing/2014/main" id="{D2809FE5-6468-49B1-844D-647440E84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5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6109" name="Picture@5C\QPendientes@" descr="@5C\QPendientes@">
          <a:extLst>
            <a:ext uri="{FF2B5EF4-FFF2-40B4-BE49-F238E27FC236}">
              <a16:creationId xmlns:a16="http://schemas.microsoft.com/office/drawing/2014/main" id="{B4504CC6-91BA-44EB-9650-7685954153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7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6110" name="Picture@5C\QPendientes@" descr="@5C\QPendientes@">
          <a:extLst>
            <a:ext uri="{FF2B5EF4-FFF2-40B4-BE49-F238E27FC236}">
              <a16:creationId xmlns:a16="http://schemas.microsoft.com/office/drawing/2014/main" id="{BC53ABAD-83FE-41C4-A7C5-482872595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8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6111" name="Picture@5C\QPendientes@" descr="@5C\QPendientes@">
          <a:extLst>
            <a:ext uri="{FF2B5EF4-FFF2-40B4-BE49-F238E27FC236}">
              <a16:creationId xmlns:a16="http://schemas.microsoft.com/office/drawing/2014/main" id="{8E456AEC-04BA-44A9-B5B2-A5EBA6C32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0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6112" name="Picture@5C\QPendientes@" descr="@5C\QPendientes@">
          <a:extLst>
            <a:ext uri="{FF2B5EF4-FFF2-40B4-BE49-F238E27FC236}">
              <a16:creationId xmlns:a16="http://schemas.microsoft.com/office/drawing/2014/main" id="{9B6C99A1-310D-43EB-A6ED-BB33D23D4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2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6113" name="Picture@5C\QPendientes@" descr="@5C\QPendientes@">
          <a:extLst>
            <a:ext uri="{FF2B5EF4-FFF2-40B4-BE49-F238E27FC236}">
              <a16:creationId xmlns:a16="http://schemas.microsoft.com/office/drawing/2014/main" id="{5094E0A4-BE76-4F7C-AEE9-735797CE8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6114" name="Picture@5C\QPendientes@" descr="@5C\QPendientes@">
          <a:extLst>
            <a:ext uri="{FF2B5EF4-FFF2-40B4-BE49-F238E27FC236}">
              <a16:creationId xmlns:a16="http://schemas.microsoft.com/office/drawing/2014/main" id="{047D8397-93C7-489B-AF59-32560A68E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6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6115" name="Picture@5C\QPendientes@" descr="@5C\QPendientes@">
          <a:extLst>
            <a:ext uri="{FF2B5EF4-FFF2-40B4-BE49-F238E27FC236}">
              <a16:creationId xmlns:a16="http://schemas.microsoft.com/office/drawing/2014/main" id="{93C32737-852F-43A4-A970-FE029FD2E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8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6116" name="Picture@5C\QPendientes@" descr="@5C\QPendientes@">
          <a:extLst>
            <a:ext uri="{FF2B5EF4-FFF2-40B4-BE49-F238E27FC236}">
              <a16:creationId xmlns:a16="http://schemas.microsoft.com/office/drawing/2014/main" id="{B0D581E2-D00C-4613-A469-B6628B5EA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9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6117" name="Picture@5C\QPendientes@" descr="@5C\QPendientes@">
          <a:extLst>
            <a:ext uri="{FF2B5EF4-FFF2-40B4-BE49-F238E27FC236}">
              <a16:creationId xmlns:a16="http://schemas.microsoft.com/office/drawing/2014/main" id="{B25E5F99-CC71-4AC3-8C91-94E8666FE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1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6118" name="Picture@5C\QPendientes@" descr="@5C\QPendientes@">
          <a:extLst>
            <a:ext uri="{FF2B5EF4-FFF2-40B4-BE49-F238E27FC236}">
              <a16:creationId xmlns:a16="http://schemas.microsoft.com/office/drawing/2014/main" id="{FC5BC918-DABA-450A-BF01-4A5ADE0AA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3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6119" name="Picture@5C\QPendientes@" descr="@5C\QPendientes@">
          <a:extLst>
            <a:ext uri="{FF2B5EF4-FFF2-40B4-BE49-F238E27FC236}">
              <a16:creationId xmlns:a16="http://schemas.microsoft.com/office/drawing/2014/main" id="{61F8E31C-72ED-45B8-8BDD-C39EA0848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5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6120" name="Picture@5C\QPendientes@" descr="@5C\QPendientes@">
          <a:extLst>
            <a:ext uri="{FF2B5EF4-FFF2-40B4-BE49-F238E27FC236}">
              <a16:creationId xmlns:a16="http://schemas.microsoft.com/office/drawing/2014/main" id="{5B02E6F8-DBFB-4762-B4FA-1C954027E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7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6121" name="Picture@5C\QPendientes@" descr="@5C\QPendientes@">
          <a:extLst>
            <a:ext uri="{FF2B5EF4-FFF2-40B4-BE49-F238E27FC236}">
              <a16:creationId xmlns:a16="http://schemas.microsoft.com/office/drawing/2014/main" id="{56470ADF-FC80-40F1-82ED-74260EB5F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9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6122" name="Picture@5C\QPendientes@" descr="@5C\QPendientes@">
          <a:extLst>
            <a:ext uri="{FF2B5EF4-FFF2-40B4-BE49-F238E27FC236}">
              <a16:creationId xmlns:a16="http://schemas.microsoft.com/office/drawing/2014/main" id="{2EF08CB5-C27C-45BA-953D-7FEF0F40A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0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6123" name="Picture@5C\QPendientes@" descr="@5C\QPendientes@">
          <a:extLst>
            <a:ext uri="{FF2B5EF4-FFF2-40B4-BE49-F238E27FC236}">
              <a16:creationId xmlns:a16="http://schemas.microsoft.com/office/drawing/2014/main" id="{BA084782-F8E4-4A19-BBED-2D069FC1A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6124" name="Picture@5C\QPendientes@" descr="@5C\QPendientes@">
          <a:extLst>
            <a:ext uri="{FF2B5EF4-FFF2-40B4-BE49-F238E27FC236}">
              <a16:creationId xmlns:a16="http://schemas.microsoft.com/office/drawing/2014/main" id="{4E75A22A-A11D-4C82-8EE3-3FFEDEE38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4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6125" name="Picture@5C\QPendientes@" descr="@5C\QPendientes@">
          <a:extLst>
            <a:ext uri="{FF2B5EF4-FFF2-40B4-BE49-F238E27FC236}">
              <a16:creationId xmlns:a16="http://schemas.microsoft.com/office/drawing/2014/main" id="{03DCB94F-C133-4AB6-8106-499189EEB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6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6126" name="Picture@5C\QPendientes@" descr="@5C\QPendientes@">
          <a:extLst>
            <a:ext uri="{FF2B5EF4-FFF2-40B4-BE49-F238E27FC236}">
              <a16:creationId xmlns:a16="http://schemas.microsoft.com/office/drawing/2014/main" id="{93EAED1B-3111-4023-B366-57EF40185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8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6127" name="Picture@5C\QPendientes@" descr="@5C\QPendientes@">
          <a:extLst>
            <a:ext uri="{FF2B5EF4-FFF2-40B4-BE49-F238E27FC236}">
              <a16:creationId xmlns:a16="http://schemas.microsoft.com/office/drawing/2014/main" id="{851E855E-CEB0-48F3-84A7-D6AD039737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0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6128" name="Picture@5C\QPendientes@" descr="@5C\QPendientes@">
          <a:extLst>
            <a:ext uri="{FF2B5EF4-FFF2-40B4-BE49-F238E27FC236}">
              <a16:creationId xmlns:a16="http://schemas.microsoft.com/office/drawing/2014/main" id="{FF064F01-CD00-47DA-AE59-72F4B4BFC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1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6129" name="Picture@5C\QPendientes@" descr="@5C\QPendientes@">
          <a:extLst>
            <a:ext uri="{FF2B5EF4-FFF2-40B4-BE49-F238E27FC236}">
              <a16:creationId xmlns:a16="http://schemas.microsoft.com/office/drawing/2014/main" id="{0CDF90F0-3F45-46EF-BA0E-41302B422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3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6130" name="Picture@5C\QPendientes@" descr="@5C\QPendientes@">
          <a:extLst>
            <a:ext uri="{FF2B5EF4-FFF2-40B4-BE49-F238E27FC236}">
              <a16:creationId xmlns:a16="http://schemas.microsoft.com/office/drawing/2014/main" id="{72E717C3-D5CF-41C9-8B81-E35EE210F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5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6131" name="Picture@5C\QPendientes@" descr="@5C\QPendientes@">
          <a:extLst>
            <a:ext uri="{FF2B5EF4-FFF2-40B4-BE49-F238E27FC236}">
              <a16:creationId xmlns:a16="http://schemas.microsoft.com/office/drawing/2014/main" id="{D503E7A8-4EE9-4816-B999-72AEB31E3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7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6132" name="Picture@5C\QPendientes@" descr="@5C\QPendientes@">
          <a:extLst>
            <a:ext uri="{FF2B5EF4-FFF2-40B4-BE49-F238E27FC236}">
              <a16:creationId xmlns:a16="http://schemas.microsoft.com/office/drawing/2014/main" id="{65242048-D858-416C-9085-9762516C3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9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6133" name="Picture@5C\QPendientes@" descr="@5C\QPendientes@">
          <a:extLst>
            <a:ext uri="{FF2B5EF4-FFF2-40B4-BE49-F238E27FC236}">
              <a16:creationId xmlns:a16="http://schemas.microsoft.com/office/drawing/2014/main" id="{89490191-DBDD-4057-8544-A8FEA6E03B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6134" name="Picture@5C\QPendientes@" descr="@5C\QPendientes@">
          <a:extLst>
            <a:ext uri="{FF2B5EF4-FFF2-40B4-BE49-F238E27FC236}">
              <a16:creationId xmlns:a16="http://schemas.microsoft.com/office/drawing/2014/main" id="{5FAFAD6D-0340-4947-A090-A93180694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2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6135" name="Picture@5C\QPendientes@" descr="@5C\QPendientes@">
          <a:extLst>
            <a:ext uri="{FF2B5EF4-FFF2-40B4-BE49-F238E27FC236}">
              <a16:creationId xmlns:a16="http://schemas.microsoft.com/office/drawing/2014/main" id="{29058A6E-0705-45C5-8D58-FB6A3A5B2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4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6136" name="Picture@5C\QPendientes@" descr="@5C\QPendientes@">
          <a:extLst>
            <a:ext uri="{FF2B5EF4-FFF2-40B4-BE49-F238E27FC236}">
              <a16:creationId xmlns:a16="http://schemas.microsoft.com/office/drawing/2014/main" id="{B6DA0421-53C1-412A-964F-536EFBBC6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6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6137" name="Picture@5C\QPendientes@" descr="@5C\QPendientes@">
          <a:extLst>
            <a:ext uri="{FF2B5EF4-FFF2-40B4-BE49-F238E27FC236}">
              <a16:creationId xmlns:a16="http://schemas.microsoft.com/office/drawing/2014/main" id="{40E4404B-BBD7-44B3-8003-43517A23B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8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6138" name="Picture@5C\QPendientes@" descr="@5C\QPendientes@">
          <a:extLst>
            <a:ext uri="{FF2B5EF4-FFF2-40B4-BE49-F238E27FC236}">
              <a16:creationId xmlns:a16="http://schemas.microsoft.com/office/drawing/2014/main" id="{E57C2CC7-5014-416C-B36F-9ED59BDA2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0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6139" name="Picture@5C\QPendientes@" descr="@5C\QPendientes@">
          <a:extLst>
            <a:ext uri="{FF2B5EF4-FFF2-40B4-BE49-F238E27FC236}">
              <a16:creationId xmlns:a16="http://schemas.microsoft.com/office/drawing/2014/main" id="{29C673BC-3D81-4F8D-A38F-D212CBB06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2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6140" name="Picture@5C\QPendientes@" descr="@5C\QPendientes@">
          <a:extLst>
            <a:ext uri="{FF2B5EF4-FFF2-40B4-BE49-F238E27FC236}">
              <a16:creationId xmlns:a16="http://schemas.microsoft.com/office/drawing/2014/main" id="{8CE12BF8-90DE-4D1A-B348-8B9644524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3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6141" name="Picture@5C\QPendientes@" descr="@5C\QPendientes@">
          <a:extLst>
            <a:ext uri="{FF2B5EF4-FFF2-40B4-BE49-F238E27FC236}">
              <a16:creationId xmlns:a16="http://schemas.microsoft.com/office/drawing/2014/main" id="{9547FFF2-1A80-454F-BF8A-953449C8A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5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6142" name="Picture@5C\QPendientes@" descr="@5C\QPendientes@">
          <a:extLst>
            <a:ext uri="{FF2B5EF4-FFF2-40B4-BE49-F238E27FC236}">
              <a16:creationId xmlns:a16="http://schemas.microsoft.com/office/drawing/2014/main" id="{3B46767C-CDA4-4E4E-BAAA-6792171F0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7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6143" name="Picture@5C\QPendientes@" descr="@5C\QPendientes@">
          <a:extLst>
            <a:ext uri="{FF2B5EF4-FFF2-40B4-BE49-F238E27FC236}">
              <a16:creationId xmlns:a16="http://schemas.microsoft.com/office/drawing/2014/main" id="{919E0C3F-C83D-48B3-8CDD-674428161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6144" name="Picture@5C\QPendientes@" descr="@5C\QPendientes@">
          <a:extLst>
            <a:ext uri="{FF2B5EF4-FFF2-40B4-BE49-F238E27FC236}">
              <a16:creationId xmlns:a16="http://schemas.microsoft.com/office/drawing/2014/main" id="{6CA5A081-6427-4E2E-9BB7-BBBCB604E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1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6145" name="Picture@5C\QPendientes@" descr="@5C\QPendientes@">
          <a:extLst>
            <a:ext uri="{FF2B5EF4-FFF2-40B4-BE49-F238E27FC236}">
              <a16:creationId xmlns:a16="http://schemas.microsoft.com/office/drawing/2014/main" id="{4EAE532A-1B54-453B-93A4-D5A104D8E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3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6146" name="Picture@5C\QPendientes@" descr="@5C\QPendientes@">
          <a:extLst>
            <a:ext uri="{FF2B5EF4-FFF2-40B4-BE49-F238E27FC236}">
              <a16:creationId xmlns:a16="http://schemas.microsoft.com/office/drawing/2014/main" id="{5CA01449-3810-4856-84A0-2A5E15147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4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6147" name="Picture@5C\QPendientes@" descr="@5C\QPendientes@">
          <a:extLst>
            <a:ext uri="{FF2B5EF4-FFF2-40B4-BE49-F238E27FC236}">
              <a16:creationId xmlns:a16="http://schemas.microsoft.com/office/drawing/2014/main" id="{75A2B539-8399-457A-AA0B-9A371FE8A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6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6148" name="Picture@5C\QPendientes@" descr="@5C\QPendientes@">
          <a:extLst>
            <a:ext uri="{FF2B5EF4-FFF2-40B4-BE49-F238E27FC236}">
              <a16:creationId xmlns:a16="http://schemas.microsoft.com/office/drawing/2014/main" id="{2821D791-9AF8-43E3-B7F0-A496B7096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8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6149" name="Picture@5C\QPendientes@" descr="@5C\QPendientes@">
          <a:extLst>
            <a:ext uri="{FF2B5EF4-FFF2-40B4-BE49-F238E27FC236}">
              <a16:creationId xmlns:a16="http://schemas.microsoft.com/office/drawing/2014/main" id="{04DAED5B-2FED-447C-890B-0941C445C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0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6150" name="Picture@5C\QPendientes@" descr="@5C\QPendientes@">
          <a:extLst>
            <a:ext uri="{FF2B5EF4-FFF2-40B4-BE49-F238E27FC236}">
              <a16:creationId xmlns:a16="http://schemas.microsoft.com/office/drawing/2014/main" id="{45CF865D-D71E-4A35-BA55-ADFBD70E3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2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6151" name="Picture@5C\QPendientes@" descr="@5C\QPendientes@">
          <a:extLst>
            <a:ext uri="{FF2B5EF4-FFF2-40B4-BE49-F238E27FC236}">
              <a16:creationId xmlns:a16="http://schemas.microsoft.com/office/drawing/2014/main" id="{7EEE9B9F-4EFB-4790-B979-1390BEB35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3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6152" name="Picture@5C\QPendientes@" descr="@5C\QPendientes@">
          <a:extLst>
            <a:ext uri="{FF2B5EF4-FFF2-40B4-BE49-F238E27FC236}">
              <a16:creationId xmlns:a16="http://schemas.microsoft.com/office/drawing/2014/main" id="{1A38E2D9-0CF1-4E41-8D39-6B19D8A65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5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6153" name="Picture@5C\QPendientes@" descr="@5C\QPendientes@">
          <a:extLst>
            <a:ext uri="{FF2B5EF4-FFF2-40B4-BE49-F238E27FC236}">
              <a16:creationId xmlns:a16="http://schemas.microsoft.com/office/drawing/2014/main" id="{DD019131-B6C1-4D67-8B51-9661C4E2D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6154" name="Picture@5C\QPendientes@" descr="@5C\QPendientes@">
          <a:extLst>
            <a:ext uri="{FF2B5EF4-FFF2-40B4-BE49-F238E27FC236}">
              <a16:creationId xmlns:a16="http://schemas.microsoft.com/office/drawing/2014/main" id="{567EE6B5-6665-4DFB-BE7F-43709C559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9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6155" name="Picture@5C\QPendientes@" descr="@5C\QPendientes@">
          <a:extLst>
            <a:ext uri="{FF2B5EF4-FFF2-40B4-BE49-F238E27FC236}">
              <a16:creationId xmlns:a16="http://schemas.microsoft.com/office/drawing/2014/main" id="{DAB44A34-2069-49CF-ABF5-C3B55A19D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1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6156" name="Picture@5C\QPendientes@" descr="@5C\QPendientes@">
          <a:extLst>
            <a:ext uri="{FF2B5EF4-FFF2-40B4-BE49-F238E27FC236}">
              <a16:creationId xmlns:a16="http://schemas.microsoft.com/office/drawing/2014/main" id="{E6A14188-B6BF-4839-98A2-56C34AFA7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3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6157" name="Picture@5C\QPendientes@" descr="@5C\QPendientes@">
          <a:extLst>
            <a:ext uri="{FF2B5EF4-FFF2-40B4-BE49-F238E27FC236}">
              <a16:creationId xmlns:a16="http://schemas.microsoft.com/office/drawing/2014/main" id="{B9F6C610-483D-4A17-9CE7-129FDF0171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4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6158" name="Picture@5C\QPendientes@" descr="@5C\QPendientes@">
          <a:extLst>
            <a:ext uri="{FF2B5EF4-FFF2-40B4-BE49-F238E27FC236}">
              <a16:creationId xmlns:a16="http://schemas.microsoft.com/office/drawing/2014/main" id="{C172C7F2-813B-4D16-81C5-A38FCE34A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6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6159" name="Picture@5C\QPendientes@" descr="@5C\QPendientes@">
          <a:extLst>
            <a:ext uri="{FF2B5EF4-FFF2-40B4-BE49-F238E27FC236}">
              <a16:creationId xmlns:a16="http://schemas.microsoft.com/office/drawing/2014/main" id="{5C3A5B1E-4431-4B10-97F7-A023E0FB8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8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6160" name="Picture@5C\QPendientes@" descr="@5C\QPendientes@">
          <a:extLst>
            <a:ext uri="{FF2B5EF4-FFF2-40B4-BE49-F238E27FC236}">
              <a16:creationId xmlns:a16="http://schemas.microsoft.com/office/drawing/2014/main" id="{22F5D711-B664-4E25-8873-86F3778D2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0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6161" name="Picture@5C\QPendientes@" descr="@5C\QPendientes@">
          <a:extLst>
            <a:ext uri="{FF2B5EF4-FFF2-40B4-BE49-F238E27FC236}">
              <a16:creationId xmlns:a16="http://schemas.microsoft.com/office/drawing/2014/main" id="{872A713D-C0A5-41D9-ACE4-5AA6EF057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2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6162" name="Picture@5C\QPendientes@" descr="@5C\QPendientes@">
          <a:extLst>
            <a:ext uri="{FF2B5EF4-FFF2-40B4-BE49-F238E27FC236}">
              <a16:creationId xmlns:a16="http://schemas.microsoft.com/office/drawing/2014/main" id="{ADF356A8-8250-40C7-9DA3-796AA6911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4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6163" name="Picture@5C\QPendientes@" descr="@5C\QPendientes@">
          <a:extLst>
            <a:ext uri="{FF2B5EF4-FFF2-40B4-BE49-F238E27FC236}">
              <a16:creationId xmlns:a16="http://schemas.microsoft.com/office/drawing/2014/main" id="{64DD7A4E-3217-469C-A7C8-62CC2E6D2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6164" name="Picture@5C\QPendientes@" descr="@5C\QPendientes@">
          <a:extLst>
            <a:ext uri="{FF2B5EF4-FFF2-40B4-BE49-F238E27FC236}">
              <a16:creationId xmlns:a16="http://schemas.microsoft.com/office/drawing/2014/main" id="{DAC62505-4EFD-497C-9BAC-F30423626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6165" name="Picture@5C\QPendientes@" descr="@5C\QPendientes@">
          <a:extLst>
            <a:ext uri="{FF2B5EF4-FFF2-40B4-BE49-F238E27FC236}">
              <a16:creationId xmlns:a16="http://schemas.microsoft.com/office/drawing/2014/main" id="{920CBCA2-D136-4EA0-85EB-9E6F4E6BE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9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6166" name="Picture@5C\QPendientes@" descr="@5C\QPendientes@">
          <a:extLst>
            <a:ext uri="{FF2B5EF4-FFF2-40B4-BE49-F238E27FC236}">
              <a16:creationId xmlns:a16="http://schemas.microsoft.com/office/drawing/2014/main" id="{FD643431-FA1B-49B7-BA62-18903A987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1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6167" name="Picture@5C\QPendientes@" descr="@5C\QPendientes@">
          <a:extLst>
            <a:ext uri="{FF2B5EF4-FFF2-40B4-BE49-F238E27FC236}">
              <a16:creationId xmlns:a16="http://schemas.microsoft.com/office/drawing/2014/main" id="{48C4440B-7623-419A-8DE3-5F265344F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3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6168" name="Picture@5C\QPendientes@" descr="@5C\QPendientes@">
          <a:extLst>
            <a:ext uri="{FF2B5EF4-FFF2-40B4-BE49-F238E27FC236}">
              <a16:creationId xmlns:a16="http://schemas.microsoft.com/office/drawing/2014/main" id="{100F3191-E2ED-4034-993A-00881524B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5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6169" name="Picture@5C\QPendientes@" descr="@5C\QPendientes@">
          <a:extLst>
            <a:ext uri="{FF2B5EF4-FFF2-40B4-BE49-F238E27FC236}">
              <a16:creationId xmlns:a16="http://schemas.microsoft.com/office/drawing/2014/main" id="{6FFC51E3-60EF-4B7D-895C-AA6E6CBDC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6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6170" name="Picture@5C\QPendientes@" descr="@5C\QPendientes@">
          <a:extLst>
            <a:ext uri="{FF2B5EF4-FFF2-40B4-BE49-F238E27FC236}">
              <a16:creationId xmlns:a16="http://schemas.microsoft.com/office/drawing/2014/main" id="{021E763F-6F6B-440C-987B-57A391535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8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6171" name="Picture@5C\QPendientes@" descr="@5C\QPendientes@">
          <a:extLst>
            <a:ext uri="{FF2B5EF4-FFF2-40B4-BE49-F238E27FC236}">
              <a16:creationId xmlns:a16="http://schemas.microsoft.com/office/drawing/2014/main" id="{A4A28A94-F371-48C2-AA17-A2CC0D2499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0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6172" name="Picture@5C\QPendientes@" descr="@5C\QPendientes@">
          <a:extLst>
            <a:ext uri="{FF2B5EF4-FFF2-40B4-BE49-F238E27FC236}">
              <a16:creationId xmlns:a16="http://schemas.microsoft.com/office/drawing/2014/main" id="{CE68C390-759B-4CA1-BD89-AA8AD95CD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2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6173" name="Picture@5C\QPendientes@" descr="@5C\QPendientes@">
          <a:extLst>
            <a:ext uri="{FF2B5EF4-FFF2-40B4-BE49-F238E27FC236}">
              <a16:creationId xmlns:a16="http://schemas.microsoft.com/office/drawing/2014/main" id="{00E29F9D-0212-4BCC-8130-046B80E43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6174" name="Picture@5C\QPendientes@" descr="@5C\QPendientes@">
          <a:extLst>
            <a:ext uri="{FF2B5EF4-FFF2-40B4-BE49-F238E27FC236}">
              <a16:creationId xmlns:a16="http://schemas.microsoft.com/office/drawing/2014/main" id="{50C504B4-BF8A-46EA-859C-06082124D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6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6175" name="Picture@5C\QPendientes@" descr="@5C\QPendientes@">
          <a:extLst>
            <a:ext uri="{FF2B5EF4-FFF2-40B4-BE49-F238E27FC236}">
              <a16:creationId xmlns:a16="http://schemas.microsoft.com/office/drawing/2014/main" id="{E19288AD-E9FA-4E80-9C2B-F730A2FF8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7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6176" name="Picture@5C\QPendientes@" descr="@5C\QPendientes@">
          <a:extLst>
            <a:ext uri="{FF2B5EF4-FFF2-40B4-BE49-F238E27FC236}">
              <a16:creationId xmlns:a16="http://schemas.microsoft.com/office/drawing/2014/main" id="{721E1615-C952-4BC0-9263-036036458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9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6177" name="Picture@5C\QPendientes@" descr="@5C\QPendientes@">
          <a:extLst>
            <a:ext uri="{FF2B5EF4-FFF2-40B4-BE49-F238E27FC236}">
              <a16:creationId xmlns:a16="http://schemas.microsoft.com/office/drawing/2014/main" id="{B0C81EE9-11BD-4871-BCB0-FDB90CA02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1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6178" name="Picture@5C\QPendientes@" descr="@5C\QPendientes@">
          <a:extLst>
            <a:ext uri="{FF2B5EF4-FFF2-40B4-BE49-F238E27FC236}">
              <a16:creationId xmlns:a16="http://schemas.microsoft.com/office/drawing/2014/main" id="{188F82AF-875A-48C7-BEBF-69C5FBA63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3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6179" name="Picture@5C\QPendientes@" descr="@5C\QPendientes@">
          <a:extLst>
            <a:ext uri="{FF2B5EF4-FFF2-40B4-BE49-F238E27FC236}">
              <a16:creationId xmlns:a16="http://schemas.microsoft.com/office/drawing/2014/main" id="{BC197020-C6A6-486A-AD3A-5152D99FB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5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6180" name="Picture@5C\QPendientes@" descr="@5C\QPendientes@">
          <a:extLst>
            <a:ext uri="{FF2B5EF4-FFF2-40B4-BE49-F238E27FC236}">
              <a16:creationId xmlns:a16="http://schemas.microsoft.com/office/drawing/2014/main" id="{EC02D8A2-3841-4B56-A27F-9048B7085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7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6181" name="Picture@5C\QPendientes@" descr="@5C\QPendientes@">
          <a:extLst>
            <a:ext uri="{FF2B5EF4-FFF2-40B4-BE49-F238E27FC236}">
              <a16:creationId xmlns:a16="http://schemas.microsoft.com/office/drawing/2014/main" id="{CD991804-1EB7-423F-ABAB-1259564B6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8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6182" name="Picture@5C\QPendientes@" descr="@5C\QPendientes@">
          <a:extLst>
            <a:ext uri="{FF2B5EF4-FFF2-40B4-BE49-F238E27FC236}">
              <a16:creationId xmlns:a16="http://schemas.microsoft.com/office/drawing/2014/main" id="{015C569C-AED8-4B30-8149-B49D012C5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0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6183" name="Picture@5C\QPendientes@" descr="@5C\QPendientes@">
          <a:extLst>
            <a:ext uri="{FF2B5EF4-FFF2-40B4-BE49-F238E27FC236}">
              <a16:creationId xmlns:a16="http://schemas.microsoft.com/office/drawing/2014/main" id="{BAC4B4F4-964B-45DE-8189-6710D720F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6184" name="Picture@5C\QPendientes@" descr="@5C\QPendientes@">
          <a:extLst>
            <a:ext uri="{FF2B5EF4-FFF2-40B4-BE49-F238E27FC236}">
              <a16:creationId xmlns:a16="http://schemas.microsoft.com/office/drawing/2014/main" id="{7CE05C1B-6043-489E-B483-9C5AD3F30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4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6185" name="Picture@5C\QPendientes@" descr="@5C\QPendientes@">
          <a:extLst>
            <a:ext uri="{FF2B5EF4-FFF2-40B4-BE49-F238E27FC236}">
              <a16:creationId xmlns:a16="http://schemas.microsoft.com/office/drawing/2014/main" id="{63F9F2D1-E8FD-49EC-9CB4-7CF49FF2C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6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6186" name="Picture@5C\QPendientes@" descr="@5C\QPendientes@">
          <a:extLst>
            <a:ext uri="{FF2B5EF4-FFF2-40B4-BE49-F238E27FC236}">
              <a16:creationId xmlns:a16="http://schemas.microsoft.com/office/drawing/2014/main" id="{9A06E5E6-3ACD-441F-A779-51916538B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7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6187" name="Picture@5C\QPendientes@" descr="@5C\QPendientes@">
          <a:extLst>
            <a:ext uri="{FF2B5EF4-FFF2-40B4-BE49-F238E27FC236}">
              <a16:creationId xmlns:a16="http://schemas.microsoft.com/office/drawing/2014/main" id="{01CDA0FE-F2BC-4C32-B053-1ABC2F601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9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6188" name="Picture@5C\QPendientes@" descr="@5C\QPendientes@">
          <a:extLst>
            <a:ext uri="{FF2B5EF4-FFF2-40B4-BE49-F238E27FC236}">
              <a16:creationId xmlns:a16="http://schemas.microsoft.com/office/drawing/2014/main" id="{319C4F61-8BD5-4B26-BF8C-77119573D5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1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6189" name="Picture@5C\QPendientes@" descr="@5C\QPendientes@">
          <a:extLst>
            <a:ext uri="{FF2B5EF4-FFF2-40B4-BE49-F238E27FC236}">
              <a16:creationId xmlns:a16="http://schemas.microsoft.com/office/drawing/2014/main" id="{3FF5D330-66DA-47A5-B188-CD797329F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3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6190" name="Picture@5C\QPendientes@" descr="@5C\QPendientes@">
          <a:extLst>
            <a:ext uri="{FF2B5EF4-FFF2-40B4-BE49-F238E27FC236}">
              <a16:creationId xmlns:a16="http://schemas.microsoft.com/office/drawing/2014/main" id="{D2EF5AB2-A4FD-4934-929D-2A8D5BA23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5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6191" name="Picture@5C\QPendientes@" descr="@5C\QPendientes@">
          <a:extLst>
            <a:ext uri="{FF2B5EF4-FFF2-40B4-BE49-F238E27FC236}">
              <a16:creationId xmlns:a16="http://schemas.microsoft.com/office/drawing/2014/main" id="{AEF1EA8F-FBF3-45E1-83A0-C285B915A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7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6192" name="Picture@5C\QPendientes@" descr="@5C\QPendientes@">
          <a:extLst>
            <a:ext uri="{FF2B5EF4-FFF2-40B4-BE49-F238E27FC236}">
              <a16:creationId xmlns:a16="http://schemas.microsoft.com/office/drawing/2014/main" id="{021B6C0B-589E-4725-838E-50F8545CA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8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6193" name="Picture@5C\QPendientes@" descr="@5C\QPendientes@">
          <a:extLst>
            <a:ext uri="{FF2B5EF4-FFF2-40B4-BE49-F238E27FC236}">
              <a16:creationId xmlns:a16="http://schemas.microsoft.com/office/drawing/2014/main" id="{A0A4BBF4-5D76-4D37-B346-49C966B2C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6194" name="Picture@5C\QPendientes@" descr="@5C\QPendientes@">
          <a:extLst>
            <a:ext uri="{FF2B5EF4-FFF2-40B4-BE49-F238E27FC236}">
              <a16:creationId xmlns:a16="http://schemas.microsoft.com/office/drawing/2014/main" id="{83C4A083-D811-4CBA-AAAA-12700E313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2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6195" name="Picture@5C\QPendientes@" descr="@5C\QPendientes@">
          <a:extLst>
            <a:ext uri="{FF2B5EF4-FFF2-40B4-BE49-F238E27FC236}">
              <a16:creationId xmlns:a16="http://schemas.microsoft.com/office/drawing/2014/main" id="{FB908A46-CAEB-4599-9B4F-4278D2F8B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4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6196" name="Picture@5C\QPendientes@" descr="@5C\QPendientes@">
          <a:extLst>
            <a:ext uri="{FF2B5EF4-FFF2-40B4-BE49-F238E27FC236}">
              <a16:creationId xmlns:a16="http://schemas.microsoft.com/office/drawing/2014/main" id="{0E8E883B-7E9F-4E34-A9C0-8A00E75E9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6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6197" name="Picture@5C\QPendientes@" descr="@5C\QPendientes@">
          <a:extLst>
            <a:ext uri="{FF2B5EF4-FFF2-40B4-BE49-F238E27FC236}">
              <a16:creationId xmlns:a16="http://schemas.microsoft.com/office/drawing/2014/main" id="{191C4C9E-9A44-4BCD-9E36-D5D57F2BB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8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6198" name="Picture@5C\QPendientes@" descr="@5C\QPendientes@">
          <a:extLst>
            <a:ext uri="{FF2B5EF4-FFF2-40B4-BE49-F238E27FC236}">
              <a16:creationId xmlns:a16="http://schemas.microsoft.com/office/drawing/2014/main" id="{F3229B1F-E0DD-44C1-AC77-C553F1902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9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6199" name="Picture@5C\QPendientes@" descr="@5C\QPendientes@">
          <a:extLst>
            <a:ext uri="{FF2B5EF4-FFF2-40B4-BE49-F238E27FC236}">
              <a16:creationId xmlns:a16="http://schemas.microsoft.com/office/drawing/2014/main" id="{3A1F9731-847B-4CCC-B274-B8EBB5988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1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6200" name="Picture@5C\QPendientes@" descr="@5C\QPendientes@">
          <a:extLst>
            <a:ext uri="{FF2B5EF4-FFF2-40B4-BE49-F238E27FC236}">
              <a16:creationId xmlns:a16="http://schemas.microsoft.com/office/drawing/2014/main" id="{91E26424-9102-490E-B95F-88C1CAB48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3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6201" name="Picture@5C\QPendientes@" descr="@5C\QPendientes@">
          <a:extLst>
            <a:ext uri="{FF2B5EF4-FFF2-40B4-BE49-F238E27FC236}">
              <a16:creationId xmlns:a16="http://schemas.microsoft.com/office/drawing/2014/main" id="{ACBD9FCE-CF62-48BA-A714-D1AC8B5C2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5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6202" name="Picture@5C\QPendientes@" descr="@5C\QPendientes@">
          <a:extLst>
            <a:ext uri="{FF2B5EF4-FFF2-40B4-BE49-F238E27FC236}">
              <a16:creationId xmlns:a16="http://schemas.microsoft.com/office/drawing/2014/main" id="{29A0D0D8-4EF4-4202-BF75-15554CD3EC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7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6203" name="Picture@5C\QPendientes@" descr="@5C\QPendientes@">
          <a:extLst>
            <a:ext uri="{FF2B5EF4-FFF2-40B4-BE49-F238E27FC236}">
              <a16:creationId xmlns:a16="http://schemas.microsoft.com/office/drawing/2014/main" id="{1F3A4C7C-5E4E-435C-AB63-A1198B471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6204" name="Picture@5C\QPendientes@" descr="@5C\QPendientes@">
          <a:extLst>
            <a:ext uri="{FF2B5EF4-FFF2-40B4-BE49-F238E27FC236}">
              <a16:creationId xmlns:a16="http://schemas.microsoft.com/office/drawing/2014/main" id="{48E50345-A125-4957-90E2-24CDE43B7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0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6205" name="Picture@5C\QPendientes@" descr="@5C\QPendientes@">
          <a:extLst>
            <a:ext uri="{FF2B5EF4-FFF2-40B4-BE49-F238E27FC236}">
              <a16:creationId xmlns:a16="http://schemas.microsoft.com/office/drawing/2014/main" id="{0AE614A4-AB82-4B5C-B412-AFB0FFA1B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2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6206" name="Picture@5C\QPendientes@" descr="@5C\QPendientes@">
          <a:extLst>
            <a:ext uri="{FF2B5EF4-FFF2-40B4-BE49-F238E27FC236}">
              <a16:creationId xmlns:a16="http://schemas.microsoft.com/office/drawing/2014/main" id="{D9107466-9B59-4000-9131-321F1F1BE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4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6207" name="Picture@5C\QPendientes@" descr="@5C\QPendientes@">
          <a:extLst>
            <a:ext uri="{FF2B5EF4-FFF2-40B4-BE49-F238E27FC236}">
              <a16:creationId xmlns:a16="http://schemas.microsoft.com/office/drawing/2014/main" id="{1680DF55-DBC7-4B77-AFD8-1F0FAFB28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6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6208" name="Picture@5C\QPendientes@" descr="@5C\QPendientes@">
          <a:extLst>
            <a:ext uri="{FF2B5EF4-FFF2-40B4-BE49-F238E27FC236}">
              <a16:creationId xmlns:a16="http://schemas.microsoft.com/office/drawing/2014/main" id="{75D0FE33-5D4F-46E2-BA44-5A8BF97F8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8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6209" name="Picture@5C\QPendientes@" descr="@5C\QPendientes@">
          <a:extLst>
            <a:ext uri="{FF2B5EF4-FFF2-40B4-BE49-F238E27FC236}">
              <a16:creationId xmlns:a16="http://schemas.microsoft.com/office/drawing/2014/main" id="{9F51A586-C69E-4D49-8FC6-291CFAB29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0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6210" name="Picture@5C\QPendientes@" descr="@5C\QPendientes@">
          <a:extLst>
            <a:ext uri="{FF2B5EF4-FFF2-40B4-BE49-F238E27FC236}">
              <a16:creationId xmlns:a16="http://schemas.microsoft.com/office/drawing/2014/main" id="{03E3C8A9-AB75-4945-8B3C-4DD7D8F46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1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6211" name="Picture@5C\QPendientes@" descr="@5C\QPendientes@">
          <a:extLst>
            <a:ext uri="{FF2B5EF4-FFF2-40B4-BE49-F238E27FC236}">
              <a16:creationId xmlns:a16="http://schemas.microsoft.com/office/drawing/2014/main" id="{49A572F9-07A4-42F3-BDDE-FEECD3964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3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6212" name="Picture@5C\QPendientes@" descr="@5C\QPendientes@">
          <a:extLst>
            <a:ext uri="{FF2B5EF4-FFF2-40B4-BE49-F238E27FC236}">
              <a16:creationId xmlns:a16="http://schemas.microsoft.com/office/drawing/2014/main" id="{87B0C715-5B78-4669-A8D2-AE9B8FE6D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5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6213" name="Picture@5C\QPendientes@" descr="@5C\QPendientes@">
          <a:extLst>
            <a:ext uri="{FF2B5EF4-FFF2-40B4-BE49-F238E27FC236}">
              <a16:creationId xmlns:a16="http://schemas.microsoft.com/office/drawing/2014/main" id="{F2961DF1-6F95-4618-BA39-E1CBD927D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6214" name="Picture@5C\QPendientes@" descr="@5C\QPendientes@">
          <a:extLst>
            <a:ext uri="{FF2B5EF4-FFF2-40B4-BE49-F238E27FC236}">
              <a16:creationId xmlns:a16="http://schemas.microsoft.com/office/drawing/2014/main" id="{223871ED-2290-478B-858D-F20383E70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9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6215" name="Picture@5C\QPendientes@" descr="@5C\QPendientes@">
          <a:extLst>
            <a:ext uri="{FF2B5EF4-FFF2-40B4-BE49-F238E27FC236}">
              <a16:creationId xmlns:a16="http://schemas.microsoft.com/office/drawing/2014/main" id="{F77A9232-0C4F-4B26-93B9-379871908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1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6216" name="Picture@5C\QPendientes@" descr="@5C\QPendientes@">
          <a:extLst>
            <a:ext uri="{FF2B5EF4-FFF2-40B4-BE49-F238E27FC236}">
              <a16:creationId xmlns:a16="http://schemas.microsoft.com/office/drawing/2014/main" id="{8BEB56FC-7994-4020-A102-B89CF1A4D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2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6217" name="Picture@5C\QPendientes@" descr="@5C\QPendientes@">
          <a:extLst>
            <a:ext uri="{FF2B5EF4-FFF2-40B4-BE49-F238E27FC236}">
              <a16:creationId xmlns:a16="http://schemas.microsoft.com/office/drawing/2014/main" id="{987A1183-C207-466F-A393-FC560607E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4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6218" name="Picture@5C\QPendientes@" descr="@5C\QPendientes@">
          <a:extLst>
            <a:ext uri="{FF2B5EF4-FFF2-40B4-BE49-F238E27FC236}">
              <a16:creationId xmlns:a16="http://schemas.microsoft.com/office/drawing/2014/main" id="{24F018F0-6EC6-4C92-BBAE-C58DF1CBD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6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6219" name="Picture@5C\QPendientes@" descr="@5C\QPendientes@">
          <a:extLst>
            <a:ext uri="{FF2B5EF4-FFF2-40B4-BE49-F238E27FC236}">
              <a16:creationId xmlns:a16="http://schemas.microsoft.com/office/drawing/2014/main" id="{29281823-0328-44C9-94D4-627441DE9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8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6220" name="Picture@5C\QPendientes@" descr="@5C\QPendientes@">
          <a:extLst>
            <a:ext uri="{FF2B5EF4-FFF2-40B4-BE49-F238E27FC236}">
              <a16:creationId xmlns:a16="http://schemas.microsoft.com/office/drawing/2014/main" id="{67A2B92A-EEEC-4A0F-9E25-0B861458D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0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6221" name="Picture@5C\QPendientes@" descr="@5C\QPendientes@">
          <a:extLst>
            <a:ext uri="{FF2B5EF4-FFF2-40B4-BE49-F238E27FC236}">
              <a16:creationId xmlns:a16="http://schemas.microsoft.com/office/drawing/2014/main" id="{85645F7A-38E2-4636-BA79-CCECBE61A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1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6222" name="Picture@5C\QPendientes@" descr="@5C\QPendientes@">
          <a:extLst>
            <a:ext uri="{FF2B5EF4-FFF2-40B4-BE49-F238E27FC236}">
              <a16:creationId xmlns:a16="http://schemas.microsoft.com/office/drawing/2014/main" id="{7E8EE907-0937-4874-88F3-406DAA390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3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6223" name="Picture@5C\QPendientes@" descr="@5C\QPendientes@">
          <a:extLst>
            <a:ext uri="{FF2B5EF4-FFF2-40B4-BE49-F238E27FC236}">
              <a16:creationId xmlns:a16="http://schemas.microsoft.com/office/drawing/2014/main" id="{EBAFAD37-BCD1-4B65-97A5-FDB2B7E35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6224" name="Picture@5C\QPendientes@" descr="@5C\QPendientes@">
          <a:extLst>
            <a:ext uri="{FF2B5EF4-FFF2-40B4-BE49-F238E27FC236}">
              <a16:creationId xmlns:a16="http://schemas.microsoft.com/office/drawing/2014/main" id="{8C7A99E4-DA24-460A-8591-87F5C1513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7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6225" name="Picture@5C\QPendientes@" descr="@5C\QPendientes@">
          <a:extLst>
            <a:ext uri="{FF2B5EF4-FFF2-40B4-BE49-F238E27FC236}">
              <a16:creationId xmlns:a16="http://schemas.microsoft.com/office/drawing/2014/main" id="{ACE444B2-0033-41A5-BBED-CFFF81AF8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9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6226" name="Picture@5C\QPendientes@" descr="@5C\QPendientes@">
          <a:extLst>
            <a:ext uri="{FF2B5EF4-FFF2-40B4-BE49-F238E27FC236}">
              <a16:creationId xmlns:a16="http://schemas.microsoft.com/office/drawing/2014/main" id="{2A5DEF9A-0778-4FE8-9867-214280066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1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6227" name="Picture@5C\QPendientes@" descr="@5C\QPendientes@">
          <a:extLst>
            <a:ext uri="{FF2B5EF4-FFF2-40B4-BE49-F238E27FC236}">
              <a16:creationId xmlns:a16="http://schemas.microsoft.com/office/drawing/2014/main" id="{B44BE5B2-22CF-4478-884B-E8AD09E08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2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6228" name="Picture@5C\QPendientes@" descr="@5C\QPendientes@">
          <a:extLst>
            <a:ext uri="{FF2B5EF4-FFF2-40B4-BE49-F238E27FC236}">
              <a16:creationId xmlns:a16="http://schemas.microsoft.com/office/drawing/2014/main" id="{F111152D-D69A-4FB4-B295-2BDFFDCC6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4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6229" name="Picture@5C\QPendientes@" descr="@5C\QPendientes@">
          <a:extLst>
            <a:ext uri="{FF2B5EF4-FFF2-40B4-BE49-F238E27FC236}">
              <a16:creationId xmlns:a16="http://schemas.microsoft.com/office/drawing/2014/main" id="{F20657C8-EB06-41DE-A9E5-3016EA260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6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6230" name="Picture@5C\QPendientes@" descr="@5C\QPendientes@">
          <a:extLst>
            <a:ext uri="{FF2B5EF4-FFF2-40B4-BE49-F238E27FC236}">
              <a16:creationId xmlns:a16="http://schemas.microsoft.com/office/drawing/2014/main" id="{D6EA28E6-C009-49C8-8F40-AB78522DC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8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6231" name="Picture@5C\QPendientes@" descr="@5C\QPendientes@">
          <a:extLst>
            <a:ext uri="{FF2B5EF4-FFF2-40B4-BE49-F238E27FC236}">
              <a16:creationId xmlns:a16="http://schemas.microsoft.com/office/drawing/2014/main" id="{2F6A1EC9-3C82-4F0D-ADA4-7BD40157F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0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6232" name="Picture@5C\QPendientes@" descr="@5C\QPendientes@">
          <a:extLst>
            <a:ext uri="{FF2B5EF4-FFF2-40B4-BE49-F238E27FC236}">
              <a16:creationId xmlns:a16="http://schemas.microsoft.com/office/drawing/2014/main" id="{A60444F9-3919-4192-B65A-334BE7FE2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2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6233" name="Picture@5C\QPendientes@" descr="@5C\QPendientes@">
          <a:extLst>
            <a:ext uri="{FF2B5EF4-FFF2-40B4-BE49-F238E27FC236}">
              <a16:creationId xmlns:a16="http://schemas.microsoft.com/office/drawing/2014/main" id="{F28AFABF-A104-46A9-BB54-AB35AAAE7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6234" name="Picture@5C\QPendientes@" descr="@5C\QPendientes@">
          <a:extLst>
            <a:ext uri="{FF2B5EF4-FFF2-40B4-BE49-F238E27FC236}">
              <a16:creationId xmlns:a16="http://schemas.microsoft.com/office/drawing/2014/main" id="{00279452-A345-4E42-B91B-9D073F4CF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5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6235" name="Picture@5C\QPendientes@" descr="@5C\QPendientes@">
          <a:extLst>
            <a:ext uri="{FF2B5EF4-FFF2-40B4-BE49-F238E27FC236}">
              <a16:creationId xmlns:a16="http://schemas.microsoft.com/office/drawing/2014/main" id="{02B26719-4D89-41FB-B611-35D455617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7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6236" name="Picture@5C\QPendientes@" descr="@5C\QPendientes@">
          <a:extLst>
            <a:ext uri="{FF2B5EF4-FFF2-40B4-BE49-F238E27FC236}">
              <a16:creationId xmlns:a16="http://schemas.microsoft.com/office/drawing/2014/main" id="{9E14DE17-F1D6-4EB2-B0DB-2B30CF39A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9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6237" name="Picture@5C\QPendientes@" descr="@5C\QPendientes@">
          <a:extLst>
            <a:ext uri="{FF2B5EF4-FFF2-40B4-BE49-F238E27FC236}">
              <a16:creationId xmlns:a16="http://schemas.microsoft.com/office/drawing/2014/main" id="{F0B46559-0FE2-4D4A-877F-733DEE869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1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6238" name="Picture@5C\QPendientes@" descr="@5C\QPendientes@">
          <a:extLst>
            <a:ext uri="{FF2B5EF4-FFF2-40B4-BE49-F238E27FC236}">
              <a16:creationId xmlns:a16="http://schemas.microsoft.com/office/drawing/2014/main" id="{18DA9A4C-987B-429F-9162-5E6D8AFB6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3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6239" name="Picture@5C\QPendientes@" descr="@5C\QPendientes@">
          <a:extLst>
            <a:ext uri="{FF2B5EF4-FFF2-40B4-BE49-F238E27FC236}">
              <a16:creationId xmlns:a16="http://schemas.microsoft.com/office/drawing/2014/main" id="{0850167D-39D5-4113-B706-0EE114B1B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4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6240" name="Picture@5C\QPendientes@" descr="@5C\QPendientes@">
          <a:extLst>
            <a:ext uri="{FF2B5EF4-FFF2-40B4-BE49-F238E27FC236}">
              <a16:creationId xmlns:a16="http://schemas.microsoft.com/office/drawing/2014/main" id="{AAA4031D-1059-458F-80BD-3294F3CB3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6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6241" name="Picture@5C\QPendientes@" descr="@5C\QPendientes@">
          <a:extLst>
            <a:ext uri="{FF2B5EF4-FFF2-40B4-BE49-F238E27FC236}">
              <a16:creationId xmlns:a16="http://schemas.microsoft.com/office/drawing/2014/main" id="{9DED16AA-64EE-4730-B849-BA508FC88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8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6242" name="Picture@5C\QPendientes@" descr="@5C\QPendientes@">
          <a:extLst>
            <a:ext uri="{FF2B5EF4-FFF2-40B4-BE49-F238E27FC236}">
              <a16:creationId xmlns:a16="http://schemas.microsoft.com/office/drawing/2014/main" id="{FAC00331-F62C-470F-970E-2C0592044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0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6243" name="Picture@5C\QPendientes@" descr="@5C\QPendientes@">
          <a:extLst>
            <a:ext uri="{FF2B5EF4-FFF2-40B4-BE49-F238E27FC236}">
              <a16:creationId xmlns:a16="http://schemas.microsoft.com/office/drawing/2014/main" id="{50D6BC37-2372-420D-A2A8-8B9B25E0D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6244" name="Picture@5C\QPendientes@" descr="@5C\QPendientes@">
          <a:extLst>
            <a:ext uri="{FF2B5EF4-FFF2-40B4-BE49-F238E27FC236}">
              <a16:creationId xmlns:a16="http://schemas.microsoft.com/office/drawing/2014/main" id="{513E6561-077E-4DC5-9738-ADB366DA6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4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6245" name="Picture@5C\QPendientes@" descr="@5C\QPendientes@">
          <a:extLst>
            <a:ext uri="{FF2B5EF4-FFF2-40B4-BE49-F238E27FC236}">
              <a16:creationId xmlns:a16="http://schemas.microsoft.com/office/drawing/2014/main" id="{19A1F888-3C7F-4091-B0CA-38696E844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5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6246" name="Picture@5C\QPendientes@" descr="@5C\QPendientes@">
          <a:extLst>
            <a:ext uri="{FF2B5EF4-FFF2-40B4-BE49-F238E27FC236}">
              <a16:creationId xmlns:a16="http://schemas.microsoft.com/office/drawing/2014/main" id="{C98E607A-72AA-4889-B52F-618175C60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7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6247" name="Picture@5C\QPendientes@" descr="@5C\QPendientes@">
          <a:extLst>
            <a:ext uri="{FF2B5EF4-FFF2-40B4-BE49-F238E27FC236}">
              <a16:creationId xmlns:a16="http://schemas.microsoft.com/office/drawing/2014/main" id="{5514BA55-8551-4F46-ACA8-CF8AB7AFF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9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6248" name="Picture@5C\QPendientes@" descr="@5C\QPendientes@">
          <a:extLst>
            <a:ext uri="{FF2B5EF4-FFF2-40B4-BE49-F238E27FC236}">
              <a16:creationId xmlns:a16="http://schemas.microsoft.com/office/drawing/2014/main" id="{85D35705-3FCE-44BD-9969-5862137E4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1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6249" name="Picture@5C\QPendientes@" descr="@5C\QPendientes@">
          <a:extLst>
            <a:ext uri="{FF2B5EF4-FFF2-40B4-BE49-F238E27FC236}">
              <a16:creationId xmlns:a16="http://schemas.microsoft.com/office/drawing/2014/main" id="{A76C429C-F625-44CB-8D5E-A97893720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3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6250" name="Picture@5C\QPendientes@" descr="@5C\QPendientes@">
          <a:extLst>
            <a:ext uri="{FF2B5EF4-FFF2-40B4-BE49-F238E27FC236}">
              <a16:creationId xmlns:a16="http://schemas.microsoft.com/office/drawing/2014/main" id="{8A5C3C47-38C2-4FE6-B02A-1548FDA22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5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6251" name="Picture@5C\QPendientes@" descr="@5C\QPendientes@">
          <a:extLst>
            <a:ext uri="{FF2B5EF4-FFF2-40B4-BE49-F238E27FC236}">
              <a16:creationId xmlns:a16="http://schemas.microsoft.com/office/drawing/2014/main" id="{8625F5CA-A5A5-46DC-9E95-CB93DBDE3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6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6252" name="Picture@5C\QPendientes@" descr="@5C\QPendientes@">
          <a:extLst>
            <a:ext uri="{FF2B5EF4-FFF2-40B4-BE49-F238E27FC236}">
              <a16:creationId xmlns:a16="http://schemas.microsoft.com/office/drawing/2014/main" id="{8E095C62-0D14-4A5E-B61C-6674BD3F4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8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6253" name="Picture@5C\QPendientes@" descr="@5C\QPendientes@">
          <a:extLst>
            <a:ext uri="{FF2B5EF4-FFF2-40B4-BE49-F238E27FC236}">
              <a16:creationId xmlns:a16="http://schemas.microsoft.com/office/drawing/2014/main" id="{52DCD703-31A3-4D0B-8AF4-CA11222CC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6254" name="Picture@5C\QPendientes@" descr="@5C\QPendientes@">
          <a:extLst>
            <a:ext uri="{FF2B5EF4-FFF2-40B4-BE49-F238E27FC236}">
              <a16:creationId xmlns:a16="http://schemas.microsoft.com/office/drawing/2014/main" id="{DE51E875-094A-4972-8ED9-29BDF5257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2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6255" name="Picture@5C\QPendientes@" descr="@5C\QPendientes@">
          <a:extLst>
            <a:ext uri="{FF2B5EF4-FFF2-40B4-BE49-F238E27FC236}">
              <a16:creationId xmlns:a16="http://schemas.microsoft.com/office/drawing/2014/main" id="{0C57A9A3-453F-4D67-8A7E-BCA24DFE9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4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6256" name="Picture@5C\QPendientes@" descr="@5C\QPendientes@">
          <a:extLst>
            <a:ext uri="{FF2B5EF4-FFF2-40B4-BE49-F238E27FC236}">
              <a16:creationId xmlns:a16="http://schemas.microsoft.com/office/drawing/2014/main" id="{B0A23716-1248-494F-8177-BAC88D34F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5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6257" name="Picture@5C\QPendientes@" descr="@5C\QPendientes@">
          <a:extLst>
            <a:ext uri="{FF2B5EF4-FFF2-40B4-BE49-F238E27FC236}">
              <a16:creationId xmlns:a16="http://schemas.microsoft.com/office/drawing/2014/main" id="{6C1D91F9-1438-4352-949F-7085A7282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7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6258" name="Picture@5C\QPendientes@" descr="@5C\QPendientes@">
          <a:extLst>
            <a:ext uri="{FF2B5EF4-FFF2-40B4-BE49-F238E27FC236}">
              <a16:creationId xmlns:a16="http://schemas.microsoft.com/office/drawing/2014/main" id="{E1A1C036-F18B-46A2-9DE6-5917F8D97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9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6259" name="Picture@5C\QPendientes@" descr="@5C\QPendientes@">
          <a:extLst>
            <a:ext uri="{FF2B5EF4-FFF2-40B4-BE49-F238E27FC236}">
              <a16:creationId xmlns:a16="http://schemas.microsoft.com/office/drawing/2014/main" id="{790F8565-15FE-470F-80DA-9933EE36B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1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6260" name="Picture@5C\QPendientes@" descr="@5C\QPendientes@">
          <a:extLst>
            <a:ext uri="{FF2B5EF4-FFF2-40B4-BE49-F238E27FC236}">
              <a16:creationId xmlns:a16="http://schemas.microsoft.com/office/drawing/2014/main" id="{6DBAEB05-AEB9-43DF-91AE-22D8A7B29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3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6261" name="Picture@5C\QPendientes@" descr="@5C\QPendientes@">
          <a:extLst>
            <a:ext uri="{FF2B5EF4-FFF2-40B4-BE49-F238E27FC236}">
              <a16:creationId xmlns:a16="http://schemas.microsoft.com/office/drawing/2014/main" id="{394CFBCD-FE65-42C4-A210-8BFA705CA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5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6262" name="Picture@5C\QPendientes@" descr="@5C\QPendientes@">
          <a:extLst>
            <a:ext uri="{FF2B5EF4-FFF2-40B4-BE49-F238E27FC236}">
              <a16:creationId xmlns:a16="http://schemas.microsoft.com/office/drawing/2014/main" id="{76FC23EF-375F-40CE-98C2-53530ABF2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6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6263" name="Picture@5C\QPendientes@" descr="@5C\QPendientes@">
          <a:extLst>
            <a:ext uri="{FF2B5EF4-FFF2-40B4-BE49-F238E27FC236}">
              <a16:creationId xmlns:a16="http://schemas.microsoft.com/office/drawing/2014/main" id="{D6A2A7F6-C135-481B-8AB9-58000003F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6264" name="Picture@5C\QPendientes@" descr="@5C\QPendientes@">
          <a:extLst>
            <a:ext uri="{FF2B5EF4-FFF2-40B4-BE49-F238E27FC236}">
              <a16:creationId xmlns:a16="http://schemas.microsoft.com/office/drawing/2014/main" id="{75482EDC-C1D0-49A5-9410-0F57AD660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0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6265" name="Picture@5C\QPendientes@" descr="@5C\QPendientes@">
          <a:extLst>
            <a:ext uri="{FF2B5EF4-FFF2-40B4-BE49-F238E27FC236}">
              <a16:creationId xmlns:a16="http://schemas.microsoft.com/office/drawing/2014/main" id="{F2B88D81-8444-4A50-8D7D-CEAB8BF39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2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6266" name="Picture@5C\QPendientes@" descr="@5C\QPendientes@">
          <a:extLst>
            <a:ext uri="{FF2B5EF4-FFF2-40B4-BE49-F238E27FC236}">
              <a16:creationId xmlns:a16="http://schemas.microsoft.com/office/drawing/2014/main" id="{C1F5F776-3271-4DAA-A6F4-2741C62CF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4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6267" name="Picture@5C\QPendientes@" descr="@5C\QPendientes@">
          <a:extLst>
            <a:ext uri="{FF2B5EF4-FFF2-40B4-BE49-F238E27FC236}">
              <a16:creationId xmlns:a16="http://schemas.microsoft.com/office/drawing/2014/main" id="{7E01C317-38B0-4DE1-A093-11E6B297D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6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6268" name="Picture@5C\QPendientes@" descr="@5C\QPendientes@">
          <a:extLst>
            <a:ext uri="{FF2B5EF4-FFF2-40B4-BE49-F238E27FC236}">
              <a16:creationId xmlns:a16="http://schemas.microsoft.com/office/drawing/2014/main" id="{9F5E2FD2-6640-45DB-935B-C71D833A6B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7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6269" name="Picture@5C\QPendientes@" descr="@5C\QPendientes@">
          <a:extLst>
            <a:ext uri="{FF2B5EF4-FFF2-40B4-BE49-F238E27FC236}">
              <a16:creationId xmlns:a16="http://schemas.microsoft.com/office/drawing/2014/main" id="{C07E5A30-381D-41AA-952A-CCBC3CDB3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9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6270" name="Picture@5C\QPendientes@" descr="@5C\QPendientes@">
          <a:extLst>
            <a:ext uri="{FF2B5EF4-FFF2-40B4-BE49-F238E27FC236}">
              <a16:creationId xmlns:a16="http://schemas.microsoft.com/office/drawing/2014/main" id="{FF9FFD27-FED1-47CC-8976-AC33AF1CE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1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6271" name="Picture@5C\QPendientes@" descr="@5C\QPendientes@">
          <a:extLst>
            <a:ext uri="{FF2B5EF4-FFF2-40B4-BE49-F238E27FC236}">
              <a16:creationId xmlns:a16="http://schemas.microsoft.com/office/drawing/2014/main" id="{7096E0B9-46C0-4DAC-AB36-600B8C0C8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3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6272" name="Picture@5C\QPendientes@" descr="@5C\QPendientes@">
          <a:extLst>
            <a:ext uri="{FF2B5EF4-FFF2-40B4-BE49-F238E27FC236}">
              <a16:creationId xmlns:a16="http://schemas.microsoft.com/office/drawing/2014/main" id="{B3C53E3F-E66C-4A6D-A80C-FA7BFD2C1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5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6273" name="Picture@5C\QPendientes@" descr="@5C\QPendientes@">
          <a:extLst>
            <a:ext uri="{FF2B5EF4-FFF2-40B4-BE49-F238E27FC236}">
              <a16:creationId xmlns:a16="http://schemas.microsoft.com/office/drawing/2014/main" id="{E6A7AB86-FF78-4E6F-A1C3-1F9A4DB2B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6274" name="Picture@5C\QPendientes@" descr="@5C\QPendientes@">
          <a:extLst>
            <a:ext uri="{FF2B5EF4-FFF2-40B4-BE49-F238E27FC236}">
              <a16:creationId xmlns:a16="http://schemas.microsoft.com/office/drawing/2014/main" id="{3E30CF87-60BC-466B-8C66-2061933E7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8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6275" name="Picture@5C\QPendientes@" descr="@5C\QPendientes@">
          <a:extLst>
            <a:ext uri="{FF2B5EF4-FFF2-40B4-BE49-F238E27FC236}">
              <a16:creationId xmlns:a16="http://schemas.microsoft.com/office/drawing/2014/main" id="{04C0B535-DF7F-4016-802A-8E79894E5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0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6276" name="Picture@5C\QPendientes@" descr="@5C\QPendientes@">
          <a:extLst>
            <a:ext uri="{FF2B5EF4-FFF2-40B4-BE49-F238E27FC236}">
              <a16:creationId xmlns:a16="http://schemas.microsoft.com/office/drawing/2014/main" id="{C27EA8C7-1BA3-47D4-A08A-0365ED039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2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6277" name="Picture@5C\QPendientes@" descr="@5C\QPendientes@">
          <a:extLst>
            <a:ext uri="{FF2B5EF4-FFF2-40B4-BE49-F238E27FC236}">
              <a16:creationId xmlns:a16="http://schemas.microsoft.com/office/drawing/2014/main" id="{347B5DA4-6038-41A1-8336-190849A25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4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6278" name="Picture@5C\QPendientes@" descr="@5C\QPendientes@">
          <a:extLst>
            <a:ext uri="{FF2B5EF4-FFF2-40B4-BE49-F238E27FC236}">
              <a16:creationId xmlns:a16="http://schemas.microsoft.com/office/drawing/2014/main" id="{88A9F4A1-B726-4BE1-81AF-AE8033B0D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6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6279" name="Picture@5C\QPendientes@" descr="@5C\QPendientes@">
          <a:extLst>
            <a:ext uri="{FF2B5EF4-FFF2-40B4-BE49-F238E27FC236}">
              <a16:creationId xmlns:a16="http://schemas.microsoft.com/office/drawing/2014/main" id="{502423E6-37A6-4090-ADCD-6F952CE7D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8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6280" name="Picture@5C\QPendientes@" descr="@5C\QPendientes@">
          <a:extLst>
            <a:ext uri="{FF2B5EF4-FFF2-40B4-BE49-F238E27FC236}">
              <a16:creationId xmlns:a16="http://schemas.microsoft.com/office/drawing/2014/main" id="{0DE10125-7F15-4E16-BFF4-8A9719ED6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9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6281" name="Picture@5C\QPendientes@" descr="@5C\QPendientes@">
          <a:extLst>
            <a:ext uri="{FF2B5EF4-FFF2-40B4-BE49-F238E27FC236}">
              <a16:creationId xmlns:a16="http://schemas.microsoft.com/office/drawing/2014/main" id="{931BDABB-0D79-4BF3-9576-A7531616C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1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6282" name="Picture@5C\QPendientes@" descr="@5C\QPendientes@">
          <a:extLst>
            <a:ext uri="{FF2B5EF4-FFF2-40B4-BE49-F238E27FC236}">
              <a16:creationId xmlns:a16="http://schemas.microsoft.com/office/drawing/2014/main" id="{F18A9B0E-B825-4687-8178-1D503D8B3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3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6283" name="Picture@5C\QPendientes@" descr="@5C\QPendientes@">
          <a:extLst>
            <a:ext uri="{FF2B5EF4-FFF2-40B4-BE49-F238E27FC236}">
              <a16:creationId xmlns:a16="http://schemas.microsoft.com/office/drawing/2014/main" id="{ABC12942-499D-4456-89A5-320B1F83A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6284" name="Picture@5C\QPendientes@" descr="@5C\QPendientes@">
          <a:extLst>
            <a:ext uri="{FF2B5EF4-FFF2-40B4-BE49-F238E27FC236}">
              <a16:creationId xmlns:a16="http://schemas.microsoft.com/office/drawing/2014/main" id="{8E7C79FD-299F-4993-A379-5CF177B94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7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6285" name="Picture@5C\QPendientes@" descr="@5C\QPendientes@">
          <a:extLst>
            <a:ext uri="{FF2B5EF4-FFF2-40B4-BE49-F238E27FC236}">
              <a16:creationId xmlns:a16="http://schemas.microsoft.com/office/drawing/2014/main" id="{8772CB01-7E32-4FE4-BA26-9FCD4FD19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9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6286" name="Picture@5C\QPendientes@" descr="@5C\QPendientes@">
          <a:extLst>
            <a:ext uri="{FF2B5EF4-FFF2-40B4-BE49-F238E27FC236}">
              <a16:creationId xmlns:a16="http://schemas.microsoft.com/office/drawing/2014/main" id="{345F1CB0-D1BD-4D77-89F5-4CB77CB76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0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6287" name="Picture@5C\QPendientes@" descr="@5C\QPendientes@">
          <a:extLst>
            <a:ext uri="{FF2B5EF4-FFF2-40B4-BE49-F238E27FC236}">
              <a16:creationId xmlns:a16="http://schemas.microsoft.com/office/drawing/2014/main" id="{D66926B7-839A-4FF8-A28F-54A66EBAE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2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6288" name="Picture@5C\QPendientes@" descr="@5C\QPendientes@">
          <a:extLst>
            <a:ext uri="{FF2B5EF4-FFF2-40B4-BE49-F238E27FC236}">
              <a16:creationId xmlns:a16="http://schemas.microsoft.com/office/drawing/2014/main" id="{95D7BE60-D6BF-4C4F-B4D4-158267D49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4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6289" name="Picture@5C\QPendientes@" descr="@5C\QPendientes@">
          <a:extLst>
            <a:ext uri="{FF2B5EF4-FFF2-40B4-BE49-F238E27FC236}">
              <a16:creationId xmlns:a16="http://schemas.microsoft.com/office/drawing/2014/main" id="{8CE5216A-0BF3-4E85-A748-F19977684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6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6290" name="Picture@5C\QPendientes@" descr="@5C\QPendientes@">
          <a:extLst>
            <a:ext uri="{FF2B5EF4-FFF2-40B4-BE49-F238E27FC236}">
              <a16:creationId xmlns:a16="http://schemas.microsoft.com/office/drawing/2014/main" id="{4D76A0C9-A7D0-4781-B580-48C6A77649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8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6291" name="Picture@5C\QPendientes@" descr="@5C\QPendientes@">
          <a:extLst>
            <a:ext uri="{FF2B5EF4-FFF2-40B4-BE49-F238E27FC236}">
              <a16:creationId xmlns:a16="http://schemas.microsoft.com/office/drawing/2014/main" id="{76B65A12-8C41-4A95-A8E9-3A6D800E1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0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6292" name="Picture@5C\QPendientes@" descr="@5C\QPendientes@">
          <a:extLst>
            <a:ext uri="{FF2B5EF4-FFF2-40B4-BE49-F238E27FC236}">
              <a16:creationId xmlns:a16="http://schemas.microsoft.com/office/drawing/2014/main" id="{1E9DB385-FB6B-4E82-9F3C-389D461B1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1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6293" name="Picture@5C\QPendientes@" descr="@5C\QPendientes@">
          <a:extLst>
            <a:ext uri="{FF2B5EF4-FFF2-40B4-BE49-F238E27FC236}">
              <a16:creationId xmlns:a16="http://schemas.microsoft.com/office/drawing/2014/main" id="{A2C9142E-8BF2-4D8A-9826-3542469BB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6294" name="Picture@5C\QPendientes@" descr="@5C\QPendientes@">
          <a:extLst>
            <a:ext uri="{FF2B5EF4-FFF2-40B4-BE49-F238E27FC236}">
              <a16:creationId xmlns:a16="http://schemas.microsoft.com/office/drawing/2014/main" id="{992DCEFC-0EFD-4EF8-A498-84CB905FB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5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6295" name="Picture@5C\QPendientes@" descr="@5C\QPendientes@">
          <a:extLst>
            <a:ext uri="{FF2B5EF4-FFF2-40B4-BE49-F238E27FC236}">
              <a16:creationId xmlns:a16="http://schemas.microsoft.com/office/drawing/2014/main" id="{21A10A17-58F8-434F-829A-98D9898A5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7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6296" name="Picture@5C\QPendientes@" descr="@5C\QPendientes@">
          <a:extLst>
            <a:ext uri="{FF2B5EF4-FFF2-40B4-BE49-F238E27FC236}">
              <a16:creationId xmlns:a16="http://schemas.microsoft.com/office/drawing/2014/main" id="{62A143AD-AF7E-4356-BC4B-889B9C38D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9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6297" name="Picture@5C\QPendientes@" descr="@5C\QPendientes@">
          <a:extLst>
            <a:ext uri="{FF2B5EF4-FFF2-40B4-BE49-F238E27FC236}">
              <a16:creationId xmlns:a16="http://schemas.microsoft.com/office/drawing/2014/main" id="{D8B146F9-2776-44EF-8514-BD024CD25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0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6298" name="Picture@5C\QPendientes@" descr="@5C\QPendientes@">
          <a:extLst>
            <a:ext uri="{FF2B5EF4-FFF2-40B4-BE49-F238E27FC236}">
              <a16:creationId xmlns:a16="http://schemas.microsoft.com/office/drawing/2014/main" id="{2DE74355-DD28-4069-85C4-0AB9213A4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2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6299" name="Picture@5C\QPendientes@" descr="@5C\QPendientes@">
          <a:extLst>
            <a:ext uri="{FF2B5EF4-FFF2-40B4-BE49-F238E27FC236}">
              <a16:creationId xmlns:a16="http://schemas.microsoft.com/office/drawing/2014/main" id="{D65A27DB-9049-437E-BAF7-4B6239404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4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6300" name="Picture@5C\QPendientes@" descr="@5C\QPendientes@">
          <a:extLst>
            <a:ext uri="{FF2B5EF4-FFF2-40B4-BE49-F238E27FC236}">
              <a16:creationId xmlns:a16="http://schemas.microsoft.com/office/drawing/2014/main" id="{D5AED289-9E41-4C60-85FC-A4DA2D245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6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6301" name="Picture@5C\QPendientes@" descr="@5C\QPendientes@">
          <a:extLst>
            <a:ext uri="{FF2B5EF4-FFF2-40B4-BE49-F238E27FC236}">
              <a16:creationId xmlns:a16="http://schemas.microsoft.com/office/drawing/2014/main" id="{AFE0C5F1-F697-49A3-A8CA-EE00987DE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8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6302" name="Picture@5C\QPendientes@" descr="@5C\QPendientes@">
          <a:extLst>
            <a:ext uri="{FF2B5EF4-FFF2-40B4-BE49-F238E27FC236}">
              <a16:creationId xmlns:a16="http://schemas.microsoft.com/office/drawing/2014/main" id="{2E1171F1-1548-4574-B581-A53FDCE130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0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6303" name="Picture@5C\QPendientes@" descr="@5C\QPendientes@">
          <a:extLst>
            <a:ext uri="{FF2B5EF4-FFF2-40B4-BE49-F238E27FC236}">
              <a16:creationId xmlns:a16="http://schemas.microsoft.com/office/drawing/2014/main" id="{2F27AF04-9F8B-4372-AA41-74D9E7FEA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6304" name="Picture@5C\QPendientes@" descr="@5C\QPendientes@">
          <a:extLst>
            <a:ext uri="{FF2B5EF4-FFF2-40B4-BE49-F238E27FC236}">
              <a16:creationId xmlns:a16="http://schemas.microsoft.com/office/drawing/2014/main" id="{27A6CA92-9104-4CBD-8D73-E86A43D530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3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6305" name="Picture@5C\QPendientes@" descr="@5C\QPendientes@">
          <a:extLst>
            <a:ext uri="{FF2B5EF4-FFF2-40B4-BE49-F238E27FC236}">
              <a16:creationId xmlns:a16="http://schemas.microsoft.com/office/drawing/2014/main" id="{DCD75E03-30E4-48F4-A057-DF9E95F51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5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6306" name="Picture@5C\QPendientes@" descr="@5C\QPendientes@">
          <a:extLst>
            <a:ext uri="{FF2B5EF4-FFF2-40B4-BE49-F238E27FC236}">
              <a16:creationId xmlns:a16="http://schemas.microsoft.com/office/drawing/2014/main" id="{02455F0E-25C5-4483-B1EE-A7D646534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7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6307" name="Picture@5C\QPendientes@" descr="@5C\QPendientes@">
          <a:extLst>
            <a:ext uri="{FF2B5EF4-FFF2-40B4-BE49-F238E27FC236}">
              <a16:creationId xmlns:a16="http://schemas.microsoft.com/office/drawing/2014/main" id="{89B4D722-B6F0-4B89-A54A-724366798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9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6308" name="Picture@5C\QPendientes@" descr="@5C\QPendientes@">
          <a:extLst>
            <a:ext uri="{FF2B5EF4-FFF2-40B4-BE49-F238E27FC236}">
              <a16:creationId xmlns:a16="http://schemas.microsoft.com/office/drawing/2014/main" id="{BC45134B-8D46-4A9B-918C-3D739C00C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1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6309" name="Picture@5C\QPendientes@" descr="@5C\QPendientes@">
          <a:extLst>
            <a:ext uri="{FF2B5EF4-FFF2-40B4-BE49-F238E27FC236}">
              <a16:creationId xmlns:a16="http://schemas.microsoft.com/office/drawing/2014/main" id="{3B076E54-1543-4ABE-8267-51502B710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2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6310" name="Picture@5C\QPendientes@" descr="@5C\QPendientes@">
          <a:extLst>
            <a:ext uri="{FF2B5EF4-FFF2-40B4-BE49-F238E27FC236}">
              <a16:creationId xmlns:a16="http://schemas.microsoft.com/office/drawing/2014/main" id="{C36F4A8A-543A-4A4D-9E95-D279699F7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4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6311" name="Picture@5C\QPendientes@" descr="@5C\QPendientes@">
          <a:extLst>
            <a:ext uri="{FF2B5EF4-FFF2-40B4-BE49-F238E27FC236}">
              <a16:creationId xmlns:a16="http://schemas.microsoft.com/office/drawing/2014/main" id="{8734E18A-5777-4FD6-B6B3-DA8E9F69A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6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6312" name="Picture@5C\QPendientes@" descr="@5C\QPendientes@">
          <a:extLst>
            <a:ext uri="{FF2B5EF4-FFF2-40B4-BE49-F238E27FC236}">
              <a16:creationId xmlns:a16="http://schemas.microsoft.com/office/drawing/2014/main" id="{92A6E3A5-0B84-465C-B5A9-9630F981A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8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6313" name="Picture@5C\QPendientes@" descr="@5C\QPendientes@">
          <a:extLst>
            <a:ext uri="{FF2B5EF4-FFF2-40B4-BE49-F238E27FC236}">
              <a16:creationId xmlns:a16="http://schemas.microsoft.com/office/drawing/2014/main" id="{3227CC84-3969-42F6-A11E-2093F6B09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6314" name="Picture@5C\QPendientes@" descr="@5C\QPendientes@">
          <a:extLst>
            <a:ext uri="{FF2B5EF4-FFF2-40B4-BE49-F238E27FC236}">
              <a16:creationId xmlns:a16="http://schemas.microsoft.com/office/drawing/2014/main" id="{E0D0586A-E2CA-4371-BFAA-8F77E4A7C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2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6315" name="Picture@5C\QPendientes@" descr="@5C\QPendientes@">
          <a:extLst>
            <a:ext uri="{FF2B5EF4-FFF2-40B4-BE49-F238E27FC236}">
              <a16:creationId xmlns:a16="http://schemas.microsoft.com/office/drawing/2014/main" id="{82647377-C9F2-44FC-B8A7-6C40ADB3C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3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6316" name="Picture@5C\QPendientes@" descr="@5C\QPendientes@">
          <a:extLst>
            <a:ext uri="{FF2B5EF4-FFF2-40B4-BE49-F238E27FC236}">
              <a16:creationId xmlns:a16="http://schemas.microsoft.com/office/drawing/2014/main" id="{0D0EAAC6-6752-4AF4-AD32-95DD40E73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5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6317" name="Picture@5C\QPendientes@" descr="@5C\QPendientes@">
          <a:extLst>
            <a:ext uri="{FF2B5EF4-FFF2-40B4-BE49-F238E27FC236}">
              <a16:creationId xmlns:a16="http://schemas.microsoft.com/office/drawing/2014/main" id="{52A5B449-BF4F-4A92-B8FB-A8F35CDE5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7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6318" name="Picture@5C\QPendientes@" descr="@5C\QPendientes@">
          <a:extLst>
            <a:ext uri="{FF2B5EF4-FFF2-40B4-BE49-F238E27FC236}">
              <a16:creationId xmlns:a16="http://schemas.microsoft.com/office/drawing/2014/main" id="{D63019DC-57A1-40D7-BFBA-56E2AEFEB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9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6319" name="Picture@5C\QPendientes@" descr="@5C\QPendientes@">
          <a:extLst>
            <a:ext uri="{FF2B5EF4-FFF2-40B4-BE49-F238E27FC236}">
              <a16:creationId xmlns:a16="http://schemas.microsoft.com/office/drawing/2014/main" id="{AFA9E99E-C667-4F29-8DAE-1EBF8AA8B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1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6320" name="Picture@5C\QPendientes@" descr="@5C\QPendientes@">
          <a:extLst>
            <a:ext uri="{FF2B5EF4-FFF2-40B4-BE49-F238E27FC236}">
              <a16:creationId xmlns:a16="http://schemas.microsoft.com/office/drawing/2014/main" id="{BFA81807-9C1F-4B1B-9571-380E9B75F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3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6321" name="Picture@5C\QPendientes@" descr="@5C\QPendientes@">
          <a:extLst>
            <a:ext uri="{FF2B5EF4-FFF2-40B4-BE49-F238E27FC236}">
              <a16:creationId xmlns:a16="http://schemas.microsoft.com/office/drawing/2014/main" id="{966A0277-9887-427F-8A7B-153AB500A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4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6322" name="Picture@5C\QPendientes@" descr="@5C\QPendientes@">
          <a:extLst>
            <a:ext uri="{FF2B5EF4-FFF2-40B4-BE49-F238E27FC236}">
              <a16:creationId xmlns:a16="http://schemas.microsoft.com/office/drawing/2014/main" id="{EBC434D9-1926-4826-AED6-EF1BB7048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6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6323" name="Picture@5C\QPendientes@" descr="@5C\QPendientes@">
          <a:extLst>
            <a:ext uri="{FF2B5EF4-FFF2-40B4-BE49-F238E27FC236}">
              <a16:creationId xmlns:a16="http://schemas.microsoft.com/office/drawing/2014/main" id="{538F375E-1BBC-40BE-8318-ECED1C742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6324" name="Picture@5C\QPendientes@" descr="@5C\QPendientes@">
          <a:extLst>
            <a:ext uri="{FF2B5EF4-FFF2-40B4-BE49-F238E27FC236}">
              <a16:creationId xmlns:a16="http://schemas.microsoft.com/office/drawing/2014/main" id="{7BAAC780-0D81-4E0C-A06B-15938821B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0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6325" name="Picture@5C\QPendientes@" descr="@5C\QPendientes@">
          <a:extLst>
            <a:ext uri="{FF2B5EF4-FFF2-40B4-BE49-F238E27FC236}">
              <a16:creationId xmlns:a16="http://schemas.microsoft.com/office/drawing/2014/main" id="{0F9CEEF5-94E9-4FFA-9FDF-C6DF0C992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2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6326" name="Picture@5C\QPendientes@" descr="@5C\QPendientes@">
          <a:extLst>
            <a:ext uri="{FF2B5EF4-FFF2-40B4-BE49-F238E27FC236}">
              <a16:creationId xmlns:a16="http://schemas.microsoft.com/office/drawing/2014/main" id="{B223D5CC-D45C-45F8-B2E5-9CA6F06B27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4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6327" name="Picture@5C\QPendientes@" descr="@5C\QPendientes@">
          <a:extLst>
            <a:ext uri="{FF2B5EF4-FFF2-40B4-BE49-F238E27FC236}">
              <a16:creationId xmlns:a16="http://schemas.microsoft.com/office/drawing/2014/main" id="{F936C265-6518-424F-AF85-CDB392A73E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5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6328" name="Picture@5C\QPendientes@" descr="@5C\QPendientes@">
          <a:extLst>
            <a:ext uri="{FF2B5EF4-FFF2-40B4-BE49-F238E27FC236}">
              <a16:creationId xmlns:a16="http://schemas.microsoft.com/office/drawing/2014/main" id="{06E564C3-7CD3-4AAD-99E6-91731F712C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7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6329" name="Picture@5C\QPendientes@" descr="@5C\QPendientes@">
          <a:extLst>
            <a:ext uri="{FF2B5EF4-FFF2-40B4-BE49-F238E27FC236}">
              <a16:creationId xmlns:a16="http://schemas.microsoft.com/office/drawing/2014/main" id="{76722DD2-9481-47E8-A30B-DEF38DF9F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9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6330" name="Picture@5C\QPendientes@" descr="@5C\QPendientes@">
          <a:extLst>
            <a:ext uri="{FF2B5EF4-FFF2-40B4-BE49-F238E27FC236}">
              <a16:creationId xmlns:a16="http://schemas.microsoft.com/office/drawing/2014/main" id="{93AE77D9-1ED5-4103-BBA6-C81AF3860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1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6331" name="Picture@5C\QPendientes@" descr="@5C\QPendientes@">
          <a:extLst>
            <a:ext uri="{FF2B5EF4-FFF2-40B4-BE49-F238E27FC236}">
              <a16:creationId xmlns:a16="http://schemas.microsoft.com/office/drawing/2014/main" id="{2F10B59E-5A45-4CA3-8FD7-D7C47A1F1C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3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6332" name="Picture@5C\QPendientes@" descr="@5C\QPendientes@">
          <a:extLst>
            <a:ext uri="{FF2B5EF4-FFF2-40B4-BE49-F238E27FC236}">
              <a16:creationId xmlns:a16="http://schemas.microsoft.com/office/drawing/2014/main" id="{C12BFA53-BED6-46E2-98DB-FC1A5D6CC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4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6333" name="Picture@5C\QPendientes@" descr="@5C\QPendientes@">
          <a:extLst>
            <a:ext uri="{FF2B5EF4-FFF2-40B4-BE49-F238E27FC236}">
              <a16:creationId xmlns:a16="http://schemas.microsoft.com/office/drawing/2014/main" id="{891C2B56-5EF6-4EC9-91EC-87F87CBB7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6334" name="Picture@5C\QPendientes@" descr="@5C\QPendientes@">
          <a:extLst>
            <a:ext uri="{FF2B5EF4-FFF2-40B4-BE49-F238E27FC236}">
              <a16:creationId xmlns:a16="http://schemas.microsoft.com/office/drawing/2014/main" id="{19942AA2-B5CF-4B6C-B13B-14C3012DF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8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6335" name="Picture@5C\QPendientes@" descr="@5C\QPendientes@">
          <a:extLst>
            <a:ext uri="{FF2B5EF4-FFF2-40B4-BE49-F238E27FC236}">
              <a16:creationId xmlns:a16="http://schemas.microsoft.com/office/drawing/2014/main" id="{A70EE852-41C9-426A-88EE-057C253DF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0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6336" name="Picture@5C\QPendientes@" descr="@5C\QPendientes@">
          <a:extLst>
            <a:ext uri="{FF2B5EF4-FFF2-40B4-BE49-F238E27FC236}">
              <a16:creationId xmlns:a16="http://schemas.microsoft.com/office/drawing/2014/main" id="{65DC4176-B2BF-4FDE-92B2-19ABFB3F0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2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6337" name="Picture@5C\QPendientes@" descr="@5C\QPendientes@">
          <a:extLst>
            <a:ext uri="{FF2B5EF4-FFF2-40B4-BE49-F238E27FC236}">
              <a16:creationId xmlns:a16="http://schemas.microsoft.com/office/drawing/2014/main" id="{CD9EA7EA-C0AC-40D3-839C-7BC1D1F58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4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6338" name="Picture@5C\QPendientes@" descr="@5C\QPendientes@">
          <a:extLst>
            <a:ext uri="{FF2B5EF4-FFF2-40B4-BE49-F238E27FC236}">
              <a16:creationId xmlns:a16="http://schemas.microsoft.com/office/drawing/2014/main" id="{DC78CBA6-0412-4E22-9CFC-938D6419E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5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6339" name="Picture@5C\QPendientes@" descr="@5C\QPendientes@">
          <a:extLst>
            <a:ext uri="{FF2B5EF4-FFF2-40B4-BE49-F238E27FC236}">
              <a16:creationId xmlns:a16="http://schemas.microsoft.com/office/drawing/2014/main" id="{5CDF2843-2C1C-4EBB-A556-5C3AA0CF6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7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6340" name="Picture@5C\QPendientes@" descr="@5C\QPendientes@">
          <a:extLst>
            <a:ext uri="{FF2B5EF4-FFF2-40B4-BE49-F238E27FC236}">
              <a16:creationId xmlns:a16="http://schemas.microsoft.com/office/drawing/2014/main" id="{23372EE5-C6E3-45E7-9898-CF5DC134E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9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6341" name="Picture@5C\QPendientes@" descr="@5C\QPendientes@">
          <a:extLst>
            <a:ext uri="{FF2B5EF4-FFF2-40B4-BE49-F238E27FC236}">
              <a16:creationId xmlns:a16="http://schemas.microsoft.com/office/drawing/2014/main" id="{5A72D3EC-7F29-47EA-9A80-617CEAB86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1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6342" name="Picture@5C\QPendientes@" descr="@5C\QPendientes@">
          <a:extLst>
            <a:ext uri="{FF2B5EF4-FFF2-40B4-BE49-F238E27FC236}">
              <a16:creationId xmlns:a16="http://schemas.microsoft.com/office/drawing/2014/main" id="{105FA67F-33D9-4F42-B2E7-A9679FC9B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3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6343" name="Picture@5C\QPendientes@" descr="@5C\QPendientes@">
          <a:extLst>
            <a:ext uri="{FF2B5EF4-FFF2-40B4-BE49-F238E27FC236}">
              <a16:creationId xmlns:a16="http://schemas.microsoft.com/office/drawing/2014/main" id="{086272FF-EFF4-48EB-A1CF-868DB605B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6344" name="Picture@5C\QPendientes@" descr="@5C\QPendientes@">
          <a:extLst>
            <a:ext uri="{FF2B5EF4-FFF2-40B4-BE49-F238E27FC236}">
              <a16:creationId xmlns:a16="http://schemas.microsoft.com/office/drawing/2014/main" id="{5B305117-F4D4-4393-9FD4-D2BD27CF5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6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6345" name="Picture@5C\QPendientes@" descr="@5C\QPendientes@">
          <a:extLst>
            <a:ext uri="{FF2B5EF4-FFF2-40B4-BE49-F238E27FC236}">
              <a16:creationId xmlns:a16="http://schemas.microsoft.com/office/drawing/2014/main" id="{851AEE8F-928C-4A96-BACD-8CEE65CB7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8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6346" name="Picture@5C\QPendientes@" descr="@5C\QPendientes@">
          <a:extLst>
            <a:ext uri="{FF2B5EF4-FFF2-40B4-BE49-F238E27FC236}">
              <a16:creationId xmlns:a16="http://schemas.microsoft.com/office/drawing/2014/main" id="{889FA929-FD8E-4420-824E-DA5A8AD41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0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6347" name="Picture@5C\QPendientes@" descr="@5C\QPendientes@">
          <a:extLst>
            <a:ext uri="{FF2B5EF4-FFF2-40B4-BE49-F238E27FC236}">
              <a16:creationId xmlns:a16="http://schemas.microsoft.com/office/drawing/2014/main" id="{F0FF57DD-0F9D-4C6B-AFE3-8BE9E468D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2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6348" name="Picture@5C\QPendientes@" descr="@5C\QPendientes@">
          <a:extLst>
            <a:ext uri="{FF2B5EF4-FFF2-40B4-BE49-F238E27FC236}">
              <a16:creationId xmlns:a16="http://schemas.microsoft.com/office/drawing/2014/main" id="{361C384F-6659-4694-8283-9AEA68C13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4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6349" name="Picture@5C\QPendientes@" descr="@5C\QPendientes@">
          <a:extLst>
            <a:ext uri="{FF2B5EF4-FFF2-40B4-BE49-F238E27FC236}">
              <a16:creationId xmlns:a16="http://schemas.microsoft.com/office/drawing/2014/main" id="{C28AEE27-A276-44E7-AE34-1A2548CFE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6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6350" name="Picture@5C\QPendientes@" descr="@5C\QPendientes@">
          <a:extLst>
            <a:ext uri="{FF2B5EF4-FFF2-40B4-BE49-F238E27FC236}">
              <a16:creationId xmlns:a16="http://schemas.microsoft.com/office/drawing/2014/main" id="{F813EBC8-F49E-4A44-8631-13ACBA6CC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7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6351" name="Picture@5C\QPendientes@" descr="@5C\QPendientes@">
          <a:extLst>
            <a:ext uri="{FF2B5EF4-FFF2-40B4-BE49-F238E27FC236}">
              <a16:creationId xmlns:a16="http://schemas.microsoft.com/office/drawing/2014/main" id="{56CC3D85-0C5E-4B24-9129-D6976792F3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9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6352" name="Picture@5C\QPendientes@" descr="@5C\QPendientes@">
          <a:extLst>
            <a:ext uri="{FF2B5EF4-FFF2-40B4-BE49-F238E27FC236}">
              <a16:creationId xmlns:a16="http://schemas.microsoft.com/office/drawing/2014/main" id="{8022995F-BD88-4EF5-924C-6149580E9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1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6353" name="Picture@5C\QPendientes@" descr="@5C\QPendientes@">
          <a:extLst>
            <a:ext uri="{FF2B5EF4-FFF2-40B4-BE49-F238E27FC236}">
              <a16:creationId xmlns:a16="http://schemas.microsoft.com/office/drawing/2014/main" id="{8C2F8B51-9993-4584-9D63-95436F4BE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6354" name="Picture@5C\QPendientes@" descr="@5C\QPendientes@">
          <a:extLst>
            <a:ext uri="{FF2B5EF4-FFF2-40B4-BE49-F238E27FC236}">
              <a16:creationId xmlns:a16="http://schemas.microsoft.com/office/drawing/2014/main" id="{8BC8A981-F1E4-4B07-9458-A2D0881DB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5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6355" name="Picture@5C\QPendientes@" descr="@5C\QPendientes@">
          <a:extLst>
            <a:ext uri="{FF2B5EF4-FFF2-40B4-BE49-F238E27FC236}">
              <a16:creationId xmlns:a16="http://schemas.microsoft.com/office/drawing/2014/main" id="{817F39A1-7802-4F8D-B005-9B4687136B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7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6356" name="Picture@5C\QPendientes@" descr="@5C\QPendientes@">
          <a:extLst>
            <a:ext uri="{FF2B5EF4-FFF2-40B4-BE49-F238E27FC236}">
              <a16:creationId xmlns:a16="http://schemas.microsoft.com/office/drawing/2014/main" id="{95C9D83E-6A49-43D0-A69A-BA0E6B654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8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6357" name="Picture@5C\QPendientes@" descr="@5C\QPendientes@">
          <a:extLst>
            <a:ext uri="{FF2B5EF4-FFF2-40B4-BE49-F238E27FC236}">
              <a16:creationId xmlns:a16="http://schemas.microsoft.com/office/drawing/2014/main" id="{86BE17CC-DE2B-40B0-B725-5364A5816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0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6358" name="Picture@5C\QPendientes@" descr="@5C\QPendientes@">
          <a:extLst>
            <a:ext uri="{FF2B5EF4-FFF2-40B4-BE49-F238E27FC236}">
              <a16:creationId xmlns:a16="http://schemas.microsoft.com/office/drawing/2014/main" id="{A0047C7E-D952-4B0C-A007-E1476EA82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2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6359" name="Picture@5C\QPendientes@" descr="@5C\QPendientes@">
          <a:extLst>
            <a:ext uri="{FF2B5EF4-FFF2-40B4-BE49-F238E27FC236}">
              <a16:creationId xmlns:a16="http://schemas.microsoft.com/office/drawing/2014/main" id="{EFD01FF2-C4A7-4D21-B412-77579C4A0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4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6360" name="Picture@5C\QPendientes@" descr="@5C\QPendientes@">
          <a:extLst>
            <a:ext uri="{FF2B5EF4-FFF2-40B4-BE49-F238E27FC236}">
              <a16:creationId xmlns:a16="http://schemas.microsoft.com/office/drawing/2014/main" id="{F4F75B20-2CA3-46E6-8817-03C635073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6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6361" name="Picture@5C\QPendientes@" descr="@5C\QPendientes@">
          <a:extLst>
            <a:ext uri="{FF2B5EF4-FFF2-40B4-BE49-F238E27FC236}">
              <a16:creationId xmlns:a16="http://schemas.microsoft.com/office/drawing/2014/main" id="{28EBAD36-17A6-4D11-8FD4-3186D88B5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8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6362" name="Picture@5C\QPendientes@" descr="@5C\QPendientes@">
          <a:extLst>
            <a:ext uri="{FF2B5EF4-FFF2-40B4-BE49-F238E27FC236}">
              <a16:creationId xmlns:a16="http://schemas.microsoft.com/office/drawing/2014/main" id="{C6452756-15A4-48C7-85AB-87702F49D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6363" name="Picture@5C\QPendientes@" descr="@5C\QPendientes@">
          <a:extLst>
            <a:ext uri="{FF2B5EF4-FFF2-40B4-BE49-F238E27FC236}">
              <a16:creationId xmlns:a16="http://schemas.microsoft.com/office/drawing/2014/main" id="{69A1DCD6-B9A9-4B64-96CB-6078BCA4E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6364" name="Picture@5C\QPendientes@" descr="@5C\QPendientes@">
          <a:extLst>
            <a:ext uri="{FF2B5EF4-FFF2-40B4-BE49-F238E27FC236}">
              <a16:creationId xmlns:a16="http://schemas.microsoft.com/office/drawing/2014/main" id="{58911AEB-A6CE-4FC6-B00C-00BBBB470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3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6365" name="Picture@5C\QPendientes@" descr="@5C\QPendientes@">
          <a:extLst>
            <a:ext uri="{FF2B5EF4-FFF2-40B4-BE49-F238E27FC236}">
              <a16:creationId xmlns:a16="http://schemas.microsoft.com/office/drawing/2014/main" id="{A5DB3A63-EC95-4894-B839-B60353AA9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5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6366" name="Picture@5C\QPendientes@" descr="@5C\QPendientes@">
          <a:extLst>
            <a:ext uri="{FF2B5EF4-FFF2-40B4-BE49-F238E27FC236}">
              <a16:creationId xmlns:a16="http://schemas.microsoft.com/office/drawing/2014/main" id="{4A25C956-8749-4B02-B11B-F701479A5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7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6367" name="Picture@5C\QPendientes@" descr="@5C\QPendientes@">
          <a:extLst>
            <a:ext uri="{FF2B5EF4-FFF2-40B4-BE49-F238E27FC236}">
              <a16:creationId xmlns:a16="http://schemas.microsoft.com/office/drawing/2014/main" id="{46E47A45-D0F0-4F82-8E4E-6225080BB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8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6368" name="Picture@5C\QPendientes@" descr="@5C\QPendientes@">
          <a:extLst>
            <a:ext uri="{FF2B5EF4-FFF2-40B4-BE49-F238E27FC236}">
              <a16:creationId xmlns:a16="http://schemas.microsoft.com/office/drawing/2014/main" id="{7B2037CB-0834-44C9-8FC0-2DBE280C3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0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6369" name="Picture@5C\QPendientes@" descr="@5C\QPendientes@">
          <a:extLst>
            <a:ext uri="{FF2B5EF4-FFF2-40B4-BE49-F238E27FC236}">
              <a16:creationId xmlns:a16="http://schemas.microsoft.com/office/drawing/2014/main" id="{230B796F-627C-42D0-8A46-17ECE7077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2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6370" name="Picture@5C\QPendientes@" descr="@5C\QPendientes@">
          <a:extLst>
            <a:ext uri="{FF2B5EF4-FFF2-40B4-BE49-F238E27FC236}">
              <a16:creationId xmlns:a16="http://schemas.microsoft.com/office/drawing/2014/main" id="{752B50E3-C13E-4886-8166-30DDE8718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4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6371" name="Picture@5C\QPendientes@" descr="@5C\QPendientes@">
          <a:extLst>
            <a:ext uri="{FF2B5EF4-FFF2-40B4-BE49-F238E27FC236}">
              <a16:creationId xmlns:a16="http://schemas.microsoft.com/office/drawing/2014/main" id="{F76150FA-53C8-4A7F-A758-1AA04B40C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6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6372" name="Picture@5C\QPendientes@" descr="@5C\QPendientes@">
          <a:extLst>
            <a:ext uri="{FF2B5EF4-FFF2-40B4-BE49-F238E27FC236}">
              <a16:creationId xmlns:a16="http://schemas.microsoft.com/office/drawing/2014/main" id="{25977107-627C-47F2-B8F4-B1E7EF2C0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8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6373" name="Picture@5C\QPendientes@" descr="@5C\QPendientes@">
          <a:extLst>
            <a:ext uri="{FF2B5EF4-FFF2-40B4-BE49-F238E27FC236}">
              <a16:creationId xmlns:a16="http://schemas.microsoft.com/office/drawing/2014/main" id="{8E2B2054-FBA9-4691-B64B-27F238A2C1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6374" name="Picture@5C\QPendientes@" descr="@5C\QPendientes@">
          <a:extLst>
            <a:ext uri="{FF2B5EF4-FFF2-40B4-BE49-F238E27FC236}">
              <a16:creationId xmlns:a16="http://schemas.microsoft.com/office/drawing/2014/main" id="{E5CDAD89-4314-43BF-A030-D7FC20991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1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6375" name="Picture@5C\QPendientes@" descr="@5C\QPendientes@">
          <a:extLst>
            <a:ext uri="{FF2B5EF4-FFF2-40B4-BE49-F238E27FC236}">
              <a16:creationId xmlns:a16="http://schemas.microsoft.com/office/drawing/2014/main" id="{ABC0BEF2-EE1C-41EC-908B-5DCFA4123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3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6376" name="Picture@5C\QPendientes@" descr="@5C\QPendientes@">
          <a:extLst>
            <a:ext uri="{FF2B5EF4-FFF2-40B4-BE49-F238E27FC236}">
              <a16:creationId xmlns:a16="http://schemas.microsoft.com/office/drawing/2014/main" id="{BB296755-8030-4B2D-B9F0-04BF36526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5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6377" name="Picture@5C\QPendientes@" descr="@5C\QPendientes@">
          <a:extLst>
            <a:ext uri="{FF2B5EF4-FFF2-40B4-BE49-F238E27FC236}">
              <a16:creationId xmlns:a16="http://schemas.microsoft.com/office/drawing/2014/main" id="{17923DBB-1B92-4247-BAF6-588B3FC9D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7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6378" name="Picture@5C\QPendientes@" descr="@5C\QPendientes@">
          <a:extLst>
            <a:ext uri="{FF2B5EF4-FFF2-40B4-BE49-F238E27FC236}">
              <a16:creationId xmlns:a16="http://schemas.microsoft.com/office/drawing/2014/main" id="{2292F925-B267-4921-BF11-65ED4BABF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9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6379" name="Picture@5C\QPendientes@" descr="@5C\QPendientes@">
          <a:extLst>
            <a:ext uri="{FF2B5EF4-FFF2-40B4-BE49-F238E27FC236}">
              <a16:creationId xmlns:a16="http://schemas.microsoft.com/office/drawing/2014/main" id="{A796D9D2-93E4-4E4D-AD86-D0978FB87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0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6380" name="Picture@5C\QPendientes@" descr="@5C\QPendientes@">
          <a:extLst>
            <a:ext uri="{FF2B5EF4-FFF2-40B4-BE49-F238E27FC236}">
              <a16:creationId xmlns:a16="http://schemas.microsoft.com/office/drawing/2014/main" id="{A503F8FA-22A7-4BB0-BE16-4EC685486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2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6381" name="Picture@5C\QPendientes@" descr="@5C\QPendientes@">
          <a:extLst>
            <a:ext uri="{FF2B5EF4-FFF2-40B4-BE49-F238E27FC236}">
              <a16:creationId xmlns:a16="http://schemas.microsoft.com/office/drawing/2014/main" id="{B08F5C27-51B8-40A2-8D64-503C79373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4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6382" name="Picture@5C\QPendientes@" descr="@5C\QPendientes@">
          <a:extLst>
            <a:ext uri="{FF2B5EF4-FFF2-40B4-BE49-F238E27FC236}">
              <a16:creationId xmlns:a16="http://schemas.microsoft.com/office/drawing/2014/main" id="{DDD8FC76-A965-4A8A-B99F-A98B9852F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6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6383" name="Picture@5C\QPendientes@" descr="@5C\QPendientes@">
          <a:extLst>
            <a:ext uri="{FF2B5EF4-FFF2-40B4-BE49-F238E27FC236}">
              <a16:creationId xmlns:a16="http://schemas.microsoft.com/office/drawing/2014/main" id="{AC0F7E59-975C-47BC-9A18-486DA1285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6384" name="Picture@5C\QPendientes@" descr="@5C\QPendientes@">
          <a:extLst>
            <a:ext uri="{FF2B5EF4-FFF2-40B4-BE49-F238E27FC236}">
              <a16:creationId xmlns:a16="http://schemas.microsoft.com/office/drawing/2014/main" id="{1A2E0590-C94F-41CE-8D19-10B32891B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0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6385" name="Picture@5C\QPendientes@" descr="@5C\QPendientes@">
          <a:extLst>
            <a:ext uri="{FF2B5EF4-FFF2-40B4-BE49-F238E27FC236}">
              <a16:creationId xmlns:a16="http://schemas.microsoft.com/office/drawing/2014/main" id="{16080104-065E-48E5-AF61-C076A644A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1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6386" name="Picture@5C\QPendientes@" descr="@5C\QPendientes@">
          <a:extLst>
            <a:ext uri="{FF2B5EF4-FFF2-40B4-BE49-F238E27FC236}">
              <a16:creationId xmlns:a16="http://schemas.microsoft.com/office/drawing/2014/main" id="{B45D300F-5167-4798-9B82-132A62DEB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3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6387" name="Picture@5C\QPendientes@" descr="@5C\QPendientes@">
          <a:extLst>
            <a:ext uri="{FF2B5EF4-FFF2-40B4-BE49-F238E27FC236}">
              <a16:creationId xmlns:a16="http://schemas.microsoft.com/office/drawing/2014/main" id="{3E9EBAF8-7CC7-4592-90F0-2488E70DE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5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6388" name="Picture@5C\QPendientes@" descr="@5C\QPendientes@">
          <a:extLst>
            <a:ext uri="{FF2B5EF4-FFF2-40B4-BE49-F238E27FC236}">
              <a16:creationId xmlns:a16="http://schemas.microsoft.com/office/drawing/2014/main" id="{ADCFDD9E-ABEF-4FF1-91A5-ACF2D8746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7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6389" name="Picture@5C\QPendientes@" descr="@5C\QPendientes@">
          <a:extLst>
            <a:ext uri="{FF2B5EF4-FFF2-40B4-BE49-F238E27FC236}">
              <a16:creationId xmlns:a16="http://schemas.microsoft.com/office/drawing/2014/main" id="{A8D52F0B-7D2E-41C8-AC35-E3F35181B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9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6390" name="Picture@5C\QPendientes@" descr="@5C\QPendientes@">
          <a:extLst>
            <a:ext uri="{FF2B5EF4-FFF2-40B4-BE49-F238E27FC236}">
              <a16:creationId xmlns:a16="http://schemas.microsoft.com/office/drawing/2014/main" id="{8C95CC90-27A2-47A1-A454-BD85A4F96A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1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6391" name="Picture@5C\QPendientes@" descr="@5C\QPendientes@">
          <a:extLst>
            <a:ext uri="{FF2B5EF4-FFF2-40B4-BE49-F238E27FC236}">
              <a16:creationId xmlns:a16="http://schemas.microsoft.com/office/drawing/2014/main" id="{D959E76C-03C8-4371-B6C2-741A01F82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2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6392" name="Picture@5C\QPendientes@" descr="@5C\QPendientes@">
          <a:extLst>
            <a:ext uri="{FF2B5EF4-FFF2-40B4-BE49-F238E27FC236}">
              <a16:creationId xmlns:a16="http://schemas.microsoft.com/office/drawing/2014/main" id="{1B26E5BC-789B-4F39-BAC6-6063579B9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4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6393" name="Picture@5C\QPendientes@" descr="@5C\QPendientes@">
          <a:extLst>
            <a:ext uri="{FF2B5EF4-FFF2-40B4-BE49-F238E27FC236}">
              <a16:creationId xmlns:a16="http://schemas.microsoft.com/office/drawing/2014/main" id="{0A7E4E22-323B-4A64-BDAB-6B6C99744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6394" name="Picture@5C\QPendientes@" descr="@5C\QPendientes@">
          <a:extLst>
            <a:ext uri="{FF2B5EF4-FFF2-40B4-BE49-F238E27FC236}">
              <a16:creationId xmlns:a16="http://schemas.microsoft.com/office/drawing/2014/main" id="{09E1945C-F474-45AE-83D7-3E7564B08B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8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6395" name="Picture@5C\QPendientes@" descr="@5C\QPendientes@">
          <a:extLst>
            <a:ext uri="{FF2B5EF4-FFF2-40B4-BE49-F238E27FC236}">
              <a16:creationId xmlns:a16="http://schemas.microsoft.com/office/drawing/2014/main" id="{49A206B3-53EA-4F3F-962C-9A88E1CEE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0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6396" name="Picture@5C\QPendientes@" descr="@5C\QPendientes@">
          <a:extLst>
            <a:ext uri="{FF2B5EF4-FFF2-40B4-BE49-F238E27FC236}">
              <a16:creationId xmlns:a16="http://schemas.microsoft.com/office/drawing/2014/main" id="{217A3B0F-DF68-4B1B-B6AF-7D6ADCD25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2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6397" name="Picture@5C\QPendientes@" descr="@5C\QPendientes@">
          <a:extLst>
            <a:ext uri="{FF2B5EF4-FFF2-40B4-BE49-F238E27FC236}">
              <a16:creationId xmlns:a16="http://schemas.microsoft.com/office/drawing/2014/main" id="{A91D9557-D231-49DD-B2F4-D387BC7E7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3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6398" name="Picture@5C\QPendientes@" descr="@5C\QPendientes@">
          <a:extLst>
            <a:ext uri="{FF2B5EF4-FFF2-40B4-BE49-F238E27FC236}">
              <a16:creationId xmlns:a16="http://schemas.microsoft.com/office/drawing/2014/main" id="{F1AB68AC-A99E-4EBA-BEE0-8334020FD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5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6399" name="Picture@5C\QPendientes@" descr="@5C\QPendientes@">
          <a:extLst>
            <a:ext uri="{FF2B5EF4-FFF2-40B4-BE49-F238E27FC236}">
              <a16:creationId xmlns:a16="http://schemas.microsoft.com/office/drawing/2014/main" id="{39B4B23E-F8C2-42BF-977C-BBEE2F819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7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6400" name="Picture@5C\QPendientes@" descr="@5C\QPendientes@">
          <a:extLst>
            <a:ext uri="{FF2B5EF4-FFF2-40B4-BE49-F238E27FC236}">
              <a16:creationId xmlns:a16="http://schemas.microsoft.com/office/drawing/2014/main" id="{7ED59F37-45EF-4D57-AB14-4AC7AFC15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9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6401" name="Picture@5C\QPendientes@" descr="@5C\QPendientes@">
          <a:extLst>
            <a:ext uri="{FF2B5EF4-FFF2-40B4-BE49-F238E27FC236}">
              <a16:creationId xmlns:a16="http://schemas.microsoft.com/office/drawing/2014/main" id="{519FA7CA-0349-4C60-A087-AD5D2E301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1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6402" name="Picture@5C\QPendientes@" descr="@5C\QPendientes@">
          <a:extLst>
            <a:ext uri="{FF2B5EF4-FFF2-40B4-BE49-F238E27FC236}">
              <a16:creationId xmlns:a16="http://schemas.microsoft.com/office/drawing/2014/main" id="{7BDDF916-9C5B-430C-B2C4-2360C189C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3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6403" name="Picture@5C\QPendientes@" descr="@5C\QPendientes@">
          <a:extLst>
            <a:ext uri="{FF2B5EF4-FFF2-40B4-BE49-F238E27FC236}">
              <a16:creationId xmlns:a16="http://schemas.microsoft.com/office/drawing/2014/main" id="{9327E883-BCA3-4239-9244-F8CDC96BC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6404" name="Picture@5C\QPendientes@" descr="@5C\QPendientes@">
          <a:extLst>
            <a:ext uri="{FF2B5EF4-FFF2-40B4-BE49-F238E27FC236}">
              <a16:creationId xmlns:a16="http://schemas.microsoft.com/office/drawing/2014/main" id="{72BE439D-C82C-4DD2-BA5D-C709FCB19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6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6405" name="Picture@5C\QPendientes@" descr="@5C\QPendientes@">
          <a:extLst>
            <a:ext uri="{FF2B5EF4-FFF2-40B4-BE49-F238E27FC236}">
              <a16:creationId xmlns:a16="http://schemas.microsoft.com/office/drawing/2014/main" id="{493D3176-16AE-472E-9823-373A7ED31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8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6406" name="Picture@5C\QPendientes@" descr="@5C\QPendientes@">
          <a:extLst>
            <a:ext uri="{FF2B5EF4-FFF2-40B4-BE49-F238E27FC236}">
              <a16:creationId xmlns:a16="http://schemas.microsoft.com/office/drawing/2014/main" id="{43F3DEE7-309E-4E02-BBA4-1C481D8BF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0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6407" name="Picture@5C\QPendientes@" descr="@5C\QPendientes@">
          <a:extLst>
            <a:ext uri="{FF2B5EF4-FFF2-40B4-BE49-F238E27FC236}">
              <a16:creationId xmlns:a16="http://schemas.microsoft.com/office/drawing/2014/main" id="{D61D49CF-A4EB-421B-994A-F98206AD9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2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6408" name="Picture@5C\QPendientes@" descr="@5C\QPendientes@">
          <a:extLst>
            <a:ext uri="{FF2B5EF4-FFF2-40B4-BE49-F238E27FC236}">
              <a16:creationId xmlns:a16="http://schemas.microsoft.com/office/drawing/2014/main" id="{7889DE5D-CE4B-4E31-9743-09DA9F20E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3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6409" name="Picture@5C\QPendientes@" descr="@5C\QPendientes@">
          <a:extLst>
            <a:ext uri="{FF2B5EF4-FFF2-40B4-BE49-F238E27FC236}">
              <a16:creationId xmlns:a16="http://schemas.microsoft.com/office/drawing/2014/main" id="{C7194B8C-C914-4BAA-9A94-6E66815D8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5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6410" name="Picture@5C\QPendientes@" descr="@5C\QPendientes@">
          <a:extLst>
            <a:ext uri="{FF2B5EF4-FFF2-40B4-BE49-F238E27FC236}">
              <a16:creationId xmlns:a16="http://schemas.microsoft.com/office/drawing/2014/main" id="{853B4F46-5EA7-4EAB-A3A1-4E01985C0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7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6411" name="Picture@5C\QPendientes@" descr="@5C\QPendientes@">
          <a:extLst>
            <a:ext uri="{FF2B5EF4-FFF2-40B4-BE49-F238E27FC236}">
              <a16:creationId xmlns:a16="http://schemas.microsoft.com/office/drawing/2014/main" id="{57315A94-BA07-4999-A917-0B6D3EC9F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9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6412" name="Picture@5C\QPendientes@" descr="@5C\QPendientes@">
          <a:extLst>
            <a:ext uri="{FF2B5EF4-FFF2-40B4-BE49-F238E27FC236}">
              <a16:creationId xmlns:a16="http://schemas.microsoft.com/office/drawing/2014/main" id="{D01EDCE1-62F5-4FE7-9B3A-383C1BA46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1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6413" name="Picture@5C\QPendientes@" descr="@5C\QPendientes@">
          <a:extLst>
            <a:ext uri="{FF2B5EF4-FFF2-40B4-BE49-F238E27FC236}">
              <a16:creationId xmlns:a16="http://schemas.microsoft.com/office/drawing/2014/main" id="{5F00A718-8978-4432-9726-4D129647D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6414" name="Picture@5C\QPendientes@" descr="@5C\QPendientes@">
          <a:extLst>
            <a:ext uri="{FF2B5EF4-FFF2-40B4-BE49-F238E27FC236}">
              <a16:creationId xmlns:a16="http://schemas.microsoft.com/office/drawing/2014/main" id="{FA59C088-D069-426D-B605-C9D2E9499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4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6415" name="Picture@5C\QPendientes@" descr="@5C\QPendientes@">
          <a:extLst>
            <a:ext uri="{FF2B5EF4-FFF2-40B4-BE49-F238E27FC236}">
              <a16:creationId xmlns:a16="http://schemas.microsoft.com/office/drawing/2014/main" id="{571E0905-D8B2-41C6-946F-3C17BCB14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6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6416" name="Picture@5C\QPendientes@" descr="@5C\QPendientes@">
          <a:extLst>
            <a:ext uri="{FF2B5EF4-FFF2-40B4-BE49-F238E27FC236}">
              <a16:creationId xmlns:a16="http://schemas.microsoft.com/office/drawing/2014/main" id="{4DBC95C7-FB8A-42DA-A018-4F8F195E6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8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6417" name="Picture@5C\QPendientes@" descr="@5C\QPendientes@">
          <a:extLst>
            <a:ext uri="{FF2B5EF4-FFF2-40B4-BE49-F238E27FC236}">
              <a16:creationId xmlns:a16="http://schemas.microsoft.com/office/drawing/2014/main" id="{CD7E9E50-2340-498B-9094-818D5AA80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0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6418" name="Picture@5C\QPendientes@" descr="@5C\QPendientes@">
          <a:extLst>
            <a:ext uri="{FF2B5EF4-FFF2-40B4-BE49-F238E27FC236}">
              <a16:creationId xmlns:a16="http://schemas.microsoft.com/office/drawing/2014/main" id="{F918640F-78AB-4AEA-9208-3806BCAC7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2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6419" name="Picture@5C\QPendientes@" descr="@5C\QPendientes@">
          <a:extLst>
            <a:ext uri="{FF2B5EF4-FFF2-40B4-BE49-F238E27FC236}">
              <a16:creationId xmlns:a16="http://schemas.microsoft.com/office/drawing/2014/main" id="{AF3AB2A6-8FA6-47F4-87DB-C6027D0D7E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4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6420" name="Picture@5C\QPendientes@" descr="@5C\QPendientes@">
          <a:extLst>
            <a:ext uri="{FF2B5EF4-FFF2-40B4-BE49-F238E27FC236}">
              <a16:creationId xmlns:a16="http://schemas.microsoft.com/office/drawing/2014/main" id="{11C3970B-DEE8-42D7-B88A-3006A7754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5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6421" name="Picture@5C\QPendientes@" descr="@5C\QPendientes@">
          <a:extLst>
            <a:ext uri="{FF2B5EF4-FFF2-40B4-BE49-F238E27FC236}">
              <a16:creationId xmlns:a16="http://schemas.microsoft.com/office/drawing/2014/main" id="{2D02D8CB-E774-467A-A6F8-EC407E220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7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6422" name="Picture@5C\QPendientes@" descr="@5C\QPendientes@">
          <a:extLst>
            <a:ext uri="{FF2B5EF4-FFF2-40B4-BE49-F238E27FC236}">
              <a16:creationId xmlns:a16="http://schemas.microsoft.com/office/drawing/2014/main" id="{0DAC075E-F8E9-444C-AE6F-773215198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9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6423" name="Picture@5C\QPendientes@" descr="@5C\QPendientes@">
          <a:extLst>
            <a:ext uri="{FF2B5EF4-FFF2-40B4-BE49-F238E27FC236}">
              <a16:creationId xmlns:a16="http://schemas.microsoft.com/office/drawing/2014/main" id="{D0EFEAD7-3F10-4A09-9DFD-C1CF31FC4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6424" name="Picture@5C\QPendientes@" descr="@5C\QPendientes@">
          <a:extLst>
            <a:ext uri="{FF2B5EF4-FFF2-40B4-BE49-F238E27FC236}">
              <a16:creationId xmlns:a16="http://schemas.microsoft.com/office/drawing/2014/main" id="{235EC9A9-4AFB-4E3F-85F4-504D436E3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3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6425" name="Picture@5C\QPendientes@" descr="@5C\QPendientes@">
          <a:extLst>
            <a:ext uri="{FF2B5EF4-FFF2-40B4-BE49-F238E27FC236}">
              <a16:creationId xmlns:a16="http://schemas.microsoft.com/office/drawing/2014/main" id="{DFA2DCF0-886C-4E39-9E02-F43C9F1D2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5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6426" name="Picture@5C\QPendientes@" descr="@5C\QPendientes@">
          <a:extLst>
            <a:ext uri="{FF2B5EF4-FFF2-40B4-BE49-F238E27FC236}">
              <a16:creationId xmlns:a16="http://schemas.microsoft.com/office/drawing/2014/main" id="{529639C9-004D-4D53-AE61-A542E8718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6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6427" name="Picture@5C\QPendientes@" descr="@5C\QPendientes@">
          <a:extLst>
            <a:ext uri="{FF2B5EF4-FFF2-40B4-BE49-F238E27FC236}">
              <a16:creationId xmlns:a16="http://schemas.microsoft.com/office/drawing/2014/main" id="{37307412-CAC1-4933-AB3D-ECA7A0BA8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8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6428" name="Picture@5C\QPendientes@" descr="@5C\QPendientes@">
          <a:extLst>
            <a:ext uri="{FF2B5EF4-FFF2-40B4-BE49-F238E27FC236}">
              <a16:creationId xmlns:a16="http://schemas.microsoft.com/office/drawing/2014/main" id="{96796D05-9F96-47C1-9DD7-2299634BE3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0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6429" name="Picture@5C\QPendientes@" descr="@5C\QPendientes@">
          <a:extLst>
            <a:ext uri="{FF2B5EF4-FFF2-40B4-BE49-F238E27FC236}">
              <a16:creationId xmlns:a16="http://schemas.microsoft.com/office/drawing/2014/main" id="{CB09F818-4A3C-4D97-83C5-369785640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2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6430" name="Picture@5C\QPendientes@" descr="@5C\QPendientes@">
          <a:extLst>
            <a:ext uri="{FF2B5EF4-FFF2-40B4-BE49-F238E27FC236}">
              <a16:creationId xmlns:a16="http://schemas.microsoft.com/office/drawing/2014/main" id="{782D7A24-A4AF-40B2-BD7D-D68E53133E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4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6431" name="Picture@5C\QPendientes@" descr="@5C\QPendientes@">
          <a:extLst>
            <a:ext uri="{FF2B5EF4-FFF2-40B4-BE49-F238E27FC236}">
              <a16:creationId xmlns:a16="http://schemas.microsoft.com/office/drawing/2014/main" id="{5A8DB969-7DC9-4790-890A-D50BFF689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6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6432" name="Picture@5C\QPendientes@" descr="@5C\QPendientes@">
          <a:extLst>
            <a:ext uri="{FF2B5EF4-FFF2-40B4-BE49-F238E27FC236}">
              <a16:creationId xmlns:a16="http://schemas.microsoft.com/office/drawing/2014/main" id="{40D91C8B-61F0-4BC6-A277-32E19B14B9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7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6433" name="Picture@5C\QPendientes@" descr="@5C\QPendientes@">
          <a:extLst>
            <a:ext uri="{FF2B5EF4-FFF2-40B4-BE49-F238E27FC236}">
              <a16:creationId xmlns:a16="http://schemas.microsoft.com/office/drawing/2014/main" id="{89635710-262A-4819-B931-DE0EDAEA2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6434" name="Picture@5C\QPendientes@" descr="@5C\QPendientes@">
          <a:extLst>
            <a:ext uri="{FF2B5EF4-FFF2-40B4-BE49-F238E27FC236}">
              <a16:creationId xmlns:a16="http://schemas.microsoft.com/office/drawing/2014/main" id="{4058F369-131C-43B2-9C55-55E644D5E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1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6435" name="Picture@5C\QPendientes@" descr="@5C\QPendientes@">
          <a:extLst>
            <a:ext uri="{FF2B5EF4-FFF2-40B4-BE49-F238E27FC236}">
              <a16:creationId xmlns:a16="http://schemas.microsoft.com/office/drawing/2014/main" id="{2566695C-8278-4739-9A80-58EF23153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3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6436" name="Picture@5C\QPendientes@" descr="@5C\QPendientes@">
          <a:extLst>
            <a:ext uri="{FF2B5EF4-FFF2-40B4-BE49-F238E27FC236}">
              <a16:creationId xmlns:a16="http://schemas.microsoft.com/office/drawing/2014/main" id="{92BA36F5-EEE0-4075-80A4-CC4C632E5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5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6437" name="Picture@5C\QPendientes@" descr="@5C\QPendientes@">
          <a:extLst>
            <a:ext uri="{FF2B5EF4-FFF2-40B4-BE49-F238E27FC236}">
              <a16:creationId xmlns:a16="http://schemas.microsoft.com/office/drawing/2014/main" id="{6B7A12CE-6401-4454-BA31-84D81F6EA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7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6438" name="Picture@5C\QPendientes@" descr="@5C\QPendientes@">
          <a:extLst>
            <a:ext uri="{FF2B5EF4-FFF2-40B4-BE49-F238E27FC236}">
              <a16:creationId xmlns:a16="http://schemas.microsoft.com/office/drawing/2014/main" id="{BE3C3FDE-74CA-4FED-A5AE-0F3F37ECD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8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6439" name="Picture@5C\QPendientes@" descr="@5C\QPendientes@">
          <a:extLst>
            <a:ext uri="{FF2B5EF4-FFF2-40B4-BE49-F238E27FC236}">
              <a16:creationId xmlns:a16="http://schemas.microsoft.com/office/drawing/2014/main" id="{408D5C83-9615-45A6-A53B-301A25B9A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0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6440" name="Picture@5C\QPendientes@" descr="@5C\QPendientes@">
          <a:extLst>
            <a:ext uri="{FF2B5EF4-FFF2-40B4-BE49-F238E27FC236}">
              <a16:creationId xmlns:a16="http://schemas.microsoft.com/office/drawing/2014/main" id="{B66AA289-F7B6-47D4-AF38-1D55C0A73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2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6441" name="Picture@5C\QPendientes@" descr="@5C\QPendientes@">
          <a:extLst>
            <a:ext uri="{FF2B5EF4-FFF2-40B4-BE49-F238E27FC236}">
              <a16:creationId xmlns:a16="http://schemas.microsoft.com/office/drawing/2014/main" id="{819A5B29-8396-4119-821E-EA294789F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4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6442" name="Picture@5C\QPendientes@" descr="@5C\QPendientes@">
          <a:extLst>
            <a:ext uri="{FF2B5EF4-FFF2-40B4-BE49-F238E27FC236}">
              <a16:creationId xmlns:a16="http://schemas.microsoft.com/office/drawing/2014/main" id="{266ACEC9-BF15-4568-A46E-DE252B094B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6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6443" name="Picture@5C\QPendientes@" descr="@5C\QPendientes@">
          <a:extLst>
            <a:ext uri="{FF2B5EF4-FFF2-40B4-BE49-F238E27FC236}">
              <a16:creationId xmlns:a16="http://schemas.microsoft.com/office/drawing/2014/main" id="{08DBDD19-8ECE-45CA-881C-BF4C2E033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6444" name="Picture@5C\QPendientes@" descr="@5C\QPendientes@">
          <a:extLst>
            <a:ext uri="{FF2B5EF4-FFF2-40B4-BE49-F238E27FC236}">
              <a16:creationId xmlns:a16="http://schemas.microsoft.com/office/drawing/2014/main" id="{D3358826-F247-4753-81E2-732FFE994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9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6445" name="Picture@5C\QPendientes@" descr="@5C\QPendientes@">
          <a:extLst>
            <a:ext uri="{FF2B5EF4-FFF2-40B4-BE49-F238E27FC236}">
              <a16:creationId xmlns:a16="http://schemas.microsoft.com/office/drawing/2014/main" id="{266B5761-A17C-4D13-AF61-9EA3184D1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1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6446" name="Picture@5C\QPendientes@" descr="@5C\QPendientes@">
          <a:extLst>
            <a:ext uri="{FF2B5EF4-FFF2-40B4-BE49-F238E27FC236}">
              <a16:creationId xmlns:a16="http://schemas.microsoft.com/office/drawing/2014/main" id="{213E5478-52A7-4493-9713-D9907CBF3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3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6447" name="Picture@5C\QPendientes@" descr="@5C\QPendientes@">
          <a:extLst>
            <a:ext uri="{FF2B5EF4-FFF2-40B4-BE49-F238E27FC236}">
              <a16:creationId xmlns:a16="http://schemas.microsoft.com/office/drawing/2014/main" id="{B7001E9A-10A5-421F-8BA3-E0303EFCA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5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6448" name="Picture@5C\QPendientes@" descr="@5C\QPendientes@">
          <a:extLst>
            <a:ext uri="{FF2B5EF4-FFF2-40B4-BE49-F238E27FC236}">
              <a16:creationId xmlns:a16="http://schemas.microsoft.com/office/drawing/2014/main" id="{0BB7D521-4784-4377-AD1C-0C5D72665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7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6449" name="Picture@5C\QPendientes@" descr="@5C\QPendientes@">
          <a:extLst>
            <a:ext uri="{FF2B5EF4-FFF2-40B4-BE49-F238E27FC236}">
              <a16:creationId xmlns:a16="http://schemas.microsoft.com/office/drawing/2014/main" id="{1497073F-1CC6-419E-81EF-1F4372252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8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6450" name="Picture@5C\QPendientes@" descr="@5C\QPendientes@">
          <a:extLst>
            <a:ext uri="{FF2B5EF4-FFF2-40B4-BE49-F238E27FC236}">
              <a16:creationId xmlns:a16="http://schemas.microsoft.com/office/drawing/2014/main" id="{E2860036-2236-4D75-BF5B-DC916D37B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0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6451" name="Picture@5C\QPendientes@" descr="@5C\QPendientes@">
          <a:extLst>
            <a:ext uri="{FF2B5EF4-FFF2-40B4-BE49-F238E27FC236}">
              <a16:creationId xmlns:a16="http://schemas.microsoft.com/office/drawing/2014/main" id="{8753D976-9C0F-41A0-86CE-9394388604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2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6452" name="Picture@5C\QPendientes@" descr="@5C\QPendientes@">
          <a:extLst>
            <a:ext uri="{FF2B5EF4-FFF2-40B4-BE49-F238E27FC236}">
              <a16:creationId xmlns:a16="http://schemas.microsoft.com/office/drawing/2014/main" id="{F8764202-53BD-41C9-84B3-C82AA56D2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4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6453" name="Picture@5C\QPendientes@" descr="@5C\QPendientes@">
          <a:extLst>
            <a:ext uri="{FF2B5EF4-FFF2-40B4-BE49-F238E27FC236}">
              <a16:creationId xmlns:a16="http://schemas.microsoft.com/office/drawing/2014/main" id="{7E1BC8F8-42FD-4A3D-A415-EB4172F52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6454" name="Picture@5C\QPendientes@" descr="@5C\QPendientes@">
          <a:extLst>
            <a:ext uri="{FF2B5EF4-FFF2-40B4-BE49-F238E27FC236}">
              <a16:creationId xmlns:a16="http://schemas.microsoft.com/office/drawing/2014/main" id="{D4559EE0-6785-4648-A360-73C64301B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8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6455" name="Picture@5C\QPendientes@" descr="@5C\QPendientes@">
          <a:extLst>
            <a:ext uri="{FF2B5EF4-FFF2-40B4-BE49-F238E27FC236}">
              <a16:creationId xmlns:a16="http://schemas.microsoft.com/office/drawing/2014/main" id="{91FDB1F5-17B9-43D2-91A5-70E6E8D3D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9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6456" name="Picture@5C\QPendientes@" descr="@5C\QPendientes@">
          <a:extLst>
            <a:ext uri="{FF2B5EF4-FFF2-40B4-BE49-F238E27FC236}">
              <a16:creationId xmlns:a16="http://schemas.microsoft.com/office/drawing/2014/main" id="{CBE2091B-6978-46C0-BFA5-AFF519840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1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6457" name="Picture@5C\QPendientes@" descr="@5C\QPendientes@">
          <a:extLst>
            <a:ext uri="{FF2B5EF4-FFF2-40B4-BE49-F238E27FC236}">
              <a16:creationId xmlns:a16="http://schemas.microsoft.com/office/drawing/2014/main" id="{D002A63C-8AFF-4EF9-AB39-FE631971B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3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6458" name="Picture@5C\QPendientes@" descr="@5C\QPendientes@">
          <a:extLst>
            <a:ext uri="{FF2B5EF4-FFF2-40B4-BE49-F238E27FC236}">
              <a16:creationId xmlns:a16="http://schemas.microsoft.com/office/drawing/2014/main" id="{C579BDDB-F96B-4628-8FB8-0A4CB8890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5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6459" name="Picture@5C\QPendientes@" descr="@5C\QPendientes@">
          <a:extLst>
            <a:ext uri="{FF2B5EF4-FFF2-40B4-BE49-F238E27FC236}">
              <a16:creationId xmlns:a16="http://schemas.microsoft.com/office/drawing/2014/main" id="{C550502A-5DA6-455F-B538-2D705AE52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7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6460" name="Picture@5C\QPendientes@" descr="@5C\QPendientes@">
          <a:extLst>
            <a:ext uri="{FF2B5EF4-FFF2-40B4-BE49-F238E27FC236}">
              <a16:creationId xmlns:a16="http://schemas.microsoft.com/office/drawing/2014/main" id="{46B4CE0F-8B97-4EC5-A575-6CE1048DD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9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6461" name="Picture@5C\QPendientes@" descr="@5C\QPendientes@">
          <a:extLst>
            <a:ext uri="{FF2B5EF4-FFF2-40B4-BE49-F238E27FC236}">
              <a16:creationId xmlns:a16="http://schemas.microsoft.com/office/drawing/2014/main" id="{E229274A-B4E9-4FCE-ACB3-DEA162B02A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6462" name="Picture@5C\QPendientes@" descr="@5C\QPendientes@">
          <a:extLst>
            <a:ext uri="{FF2B5EF4-FFF2-40B4-BE49-F238E27FC236}">
              <a16:creationId xmlns:a16="http://schemas.microsoft.com/office/drawing/2014/main" id="{1DEEB765-5A99-43F0-9FC9-A761DE1A0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2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6463" name="Picture@5C\QPendientes@" descr="@5C\QPendientes@">
          <a:extLst>
            <a:ext uri="{FF2B5EF4-FFF2-40B4-BE49-F238E27FC236}">
              <a16:creationId xmlns:a16="http://schemas.microsoft.com/office/drawing/2014/main" id="{0DBD2084-ED00-4AF3-B7AC-9974EBE10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6464" name="Picture@5C\QPendientes@" descr="@5C\QPendientes@">
          <a:extLst>
            <a:ext uri="{FF2B5EF4-FFF2-40B4-BE49-F238E27FC236}">
              <a16:creationId xmlns:a16="http://schemas.microsoft.com/office/drawing/2014/main" id="{31FE173D-D3D6-4A0C-8EA6-F4371641D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6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6465" name="Picture@5C\QPendientes@" descr="@5C\QPendientes@">
          <a:extLst>
            <a:ext uri="{FF2B5EF4-FFF2-40B4-BE49-F238E27FC236}">
              <a16:creationId xmlns:a16="http://schemas.microsoft.com/office/drawing/2014/main" id="{58D0D226-2FC1-447F-BBE3-8CC744464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8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6466" name="Picture@5C\QPendientes@" descr="@5C\QPendientes@">
          <a:extLst>
            <a:ext uri="{FF2B5EF4-FFF2-40B4-BE49-F238E27FC236}">
              <a16:creationId xmlns:a16="http://schemas.microsoft.com/office/drawing/2014/main" id="{740D1A12-D903-45DB-917B-8B4E1F77F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0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6467" name="Picture@5C\QPendientes@" descr="@5C\QPendientes@">
          <a:extLst>
            <a:ext uri="{FF2B5EF4-FFF2-40B4-BE49-F238E27FC236}">
              <a16:creationId xmlns:a16="http://schemas.microsoft.com/office/drawing/2014/main" id="{F4785251-4050-4989-A56E-AB3B2177A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1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6468" name="Picture@5C\QPendientes@" descr="@5C\QPendientes@">
          <a:extLst>
            <a:ext uri="{FF2B5EF4-FFF2-40B4-BE49-F238E27FC236}">
              <a16:creationId xmlns:a16="http://schemas.microsoft.com/office/drawing/2014/main" id="{ECAA41C7-59AF-42D2-A16A-C5B74238D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3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6469" name="Picture@5C\QPendientes@" descr="@5C\QPendientes@">
          <a:extLst>
            <a:ext uri="{FF2B5EF4-FFF2-40B4-BE49-F238E27FC236}">
              <a16:creationId xmlns:a16="http://schemas.microsoft.com/office/drawing/2014/main" id="{E7C78D34-BC1C-4A9B-8C6B-40F4C78CB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5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6470" name="Picture@5C\QPendientes@" descr="@5C\QPendientes@">
          <a:extLst>
            <a:ext uri="{FF2B5EF4-FFF2-40B4-BE49-F238E27FC236}">
              <a16:creationId xmlns:a16="http://schemas.microsoft.com/office/drawing/2014/main" id="{66E5FB9D-70AD-4122-A509-C35F0F9E3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7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6471" name="Picture@5C\QPendientes@" descr="@5C\QPendientes@">
          <a:extLst>
            <a:ext uri="{FF2B5EF4-FFF2-40B4-BE49-F238E27FC236}">
              <a16:creationId xmlns:a16="http://schemas.microsoft.com/office/drawing/2014/main" id="{4993E074-2577-4970-9149-1319669A0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9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6472" name="Picture@5C\QPendientes@" descr="@5C\QPendientes@">
          <a:extLst>
            <a:ext uri="{FF2B5EF4-FFF2-40B4-BE49-F238E27FC236}">
              <a16:creationId xmlns:a16="http://schemas.microsoft.com/office/drawing/2014/main" id="{DD0C3ED9-86C6-4571-8F6F-568776748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1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6473" name="Picture@5C\QPendientes@" descr="@5C\QPendientes@">
          <a:extLst>
            <a:ext uri="{FF2B5EF4-FFF2-40B4-BE49-F238E27FC236}">
              <a16:creationId xmlns:a16="http://schemas.microsoft.com/office/drawing/2014/main" id="{8A34E16E-CBCA-42BE-A91D-2EC138571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6474" name="Picture@5C\QPendientes@" descr="@5C\QPendientes@">
          <a:extLst>
            <a:ext uri="{FF2B5EF4-FFF2-40B4-BE49-F238E27FC236}">
              <a16:creationId xmlns:a16="http://schemas.microsoft.com/office/drawing/2014/main" id="{9635B536-7AAD-4A6C-84C8-F466E963F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4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6475" name="Picture@5C\QPendientes@" descr="@5C\QPendientes@">
          <a:extLst>
            <a:ext uri="{FF2B5EF4-FFF2-40B4-BE49-F238E27FC236}">
              <a16:creationId xmlns:a16="http://schemas.microsoft.com/office/drawing/2014/main" id="{B07B275D-EBEA-4897-9A44-BEA43985CE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6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6476" name="Picture@5C\QPendientes@" descr="@5C\QPendientes@">
          <a:extLst>
            <a:ext uri="{FF2B5EF4-FFF2-40B4-BE49-F238E27FC236}">
              <a16:creationId xmlns:a16="http://schemas.microsoft.com/office/drawing/2014/main" id="{F26612D8-0DFA-4E86-8206-78BB4D492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8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6477" name="Picture@5C\QPendientes@" descr="@5C\QPendientes@">
          <a:extLst>
            <a:ext uri="{FF2B5EF4-FFF2-40B4-BE49-F238E27FC236}">
              <a16:creationId xmlns:a16="http://schemas.microsoft.com/office/drawing/2014/main" id="{784A8EEB-3962-44FA-9343-FE249D122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0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6478" name="Picture@5C\QPendientes@" descr="@5C\QPendientes@">
          <a:extLst>
            <a:ext uri="{FF2B5EF4-FFF2-40B4-BE49-F238E27FC236}">
              <a16:creationId xmlns:a16="http://schemas.microsoft.com/office/drawing/2014/main" id="{C49ED314-27C6-446B-AF06-D0B07C407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1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6479" name="Picture@5C\QPendientes@" descr="@5C\QPendientes@">
          <a:extLst>
            <a:ext uri="{FF2B5EF4-FFF2-40B4-BE49-F238E27FC236}">
              <a16:creationId xmlns:a16="http://schemas.microsoft.com/office/drawing/2014/main" id="{453E3B80-4518-4719-B997-0C33FAE88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3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6480" name="Picture@5C\QPendientes@" descr="@5C\QPendientes@">
          <a:extLst>
            <a:ext uri="{FF2B5EF4-FFF2-40B4-BE49-F238E27FC236}">
              <a16:creationId xmlns:a16="http://schemas.microsoft.com/office/drawing/2014/main" id="{B7520A19-B794-482A-97B7-42D958812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5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6481" name="Picture@5C\QPendientes@" descr="@5C\QPendientes@">
          <a:extLst>
            <a:ext uri="{FF2B5EF4-FFF2-40B4-BE49-F238E27FC236}">
              <a16:creationId xmlns:a16="http://schemas.microsoft.com/office/drawing/2014/main" id="{64CA3740-0374-4D2C-966D-FF863ED9D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7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6482" name="Picture@5C\QPendientes@" descr="@5C\QPendientes@">
          <a:extLst>
            <a:ext uri="{FF2B5EF4-FFF2-40B4-BE49-F238E27FC236}">
              <a16:creationId xmlns:a16="http://schemas.microsoft.com/office/drawing/2014/main" id="{0A2CD74A-3151-41AB-B806-73D1511FF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9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6483" name="Picture@5C\QPendientes@" descr="@5C\QPendientes@">
          <a:extLst>
            <a:ext uri="{FF2B5EF4-FFF2-40B4-BE49-F238E27FC236}">
              <a16:creationId xmlns:a16="http://schemas.microsoft.com/office/drawing/2014/main" id="{007A6DF7-4558-4367-A1C3-4D4C3F09F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6484" name="Picture@5C\QPendientes@" descr="@5C\QPendientes@">
          <a:extLst>
            <a:ext uri="{FF2B5EF4-FFF2-40B4-BE49-F238E27FC236}">
              <a16:creationId xmlns:a16="http://schemas.microsoft.com/office/drawing/2014/main" id="{0E07063E-AA59-4E76-A9BF-C64802134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2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6485" name="Picture@5C\QPendientes@" descr="@5C\QPendientes@">
          <a:extLst>
            <a:ext uri="{FF2B5EF4-FFF2-40B4-BE49-F238E27FC236}">
              <a16:creationId xmlns:a16="http://schemas.microsoft.com/office/drawing/2014/main" id="{7B15CC84-199A-4D88-B99B-52F9AF65C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4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6486" name="Picture@5C\QPendientes@" descr="@5C\QPendientes@">
          <a:extLst>
            <a:ext uri="{FF2B5EF4-FFF2-40B4-BE49-F238E27FC236}">
              <a16:creationId xmlns:a16="http://schemas.microsoft.com/office/drawing/2014/main" id="{E71BE2BF-54C0-4660-B6CC-4A75C9E955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6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6487" name="Picture@5C\QPendientes@" descr="@5C\QPendientes@">
          <a:extLst>
            <a:ext uri="{FF2B5EF4-FFF2-40B4-BE49-F238E27FC236}">
              <a16:creationId xmlns:a16="http://schemas.microsoft.com/office/drawing/2014/main" id="{3F2A23A7-AA6E-4837-9979-AC1E7B291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8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6488" name="Picture@5C\QPendientes@" descr="@5C\QPendientes@">
          <a:extLst>
            <a:ext uri="{FF2B5EF4-FFF2-40B4-BE49-F238E27FC236}">
              <a16:creationId xmlns:a16="http://schemas.microsoft.com/office/drawing/2014/main" id="{3323DED2-E239-46EA-87E2-FD9427435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0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6489" name="Picture@5C\QPendientes@" descr="@5C\QPendientes@">
          <a:extLst>
            <a:ext uri="{FF2B5EF4-FFF2-40B4-BE49-F238E27FC236}">
              <a16:creationId xmlns:a16="http://schemas.microsoft.com/office/drawing/2014/main" id="{2EE755A9-7D30-4E1C-B711-D53135AD6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2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6490" name="Picture@5C\QPendientes@" descr="@5C\QPendientes@">
          <a:extLst>
            <a:ext uri="{FF2B5EF4-FFF2-40B4-BE49-F238E27FC236}">
              <a16:creationId xmlns:a16="http://schemas.microsoft.com/office/drawing/2014/main" id="{A3E68AEE-236C-4AE3-8D5D-B5B0E8584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3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6491" name="Picture@5C\QPendientes@" descr="@5C\QPendientes@">
          <a:extLst>
            <a:ext uri="{FF2B5EF4-FFF2-40B4-BE49-F238E27FC236}">
              <a16:creationId xmlns:a16="http://schemas.microsoft.com/office/drawing/2014/main" id="{4556DDB0-D58E-4DC3-84F3-5C1791E1F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5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6492" name="Picture@5C\QPendientes@" descr="@5C\QPendientes@">
          <a:extLst>
            <a:ext uri="{FF2B5EF4-FFF2-40B4-BE49-F238E27FC236}">
              <a16:creationId xmlns:a16="http://schemas.microsoft.com/office/drawing/2014/main" id="{7F927AF7-A940-47B1-9FC8-F6B0FBC3E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7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6493" name="Picture@5C\QPendientes@" descr="@5C\QPendientes@">
          <a:extLst>
            <a:ext uri="{FF2B5EF4-FFF2-40B4-BE49-F238E27FC236}">
              <a16:creationId xmlns:a16="http://schemas.microsoft.com/office/drawing/2014/main" id="{B04A0E35-E102-4C69-B625-37A14ECB4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6494" name="Picture@5C\QPendientes@" descr="@5C\QPendientes@">
          <a:extLst>
            <a:ext uri="{FF2B5EF4-FFF2-40B4-BE49-F238E27FC236}">
              <a16:creationId xmlns:a16="http://schemas.microsoft.com/office/drawing/2014/main" id="{B310484A-39D4-4792-8D2D-397BDBAA6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1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6495" name="Picture@5C\QPendientes@" descr="@5C\QPendientes@">
          <a:extLst>
            <a:ext uri="{FF2B5EF4-FFF2-40B4-BE49-F238E27FC236}">
              <a16:creationId xmlns:a16="http://schemas.microsoft.com/office/drawing/2014/main" id="{07EC95A5-04C6-4180-9FAF-32FCA9459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3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6496" name="Picture@5C\QPendientes@" descr="@5C\QPendientes@">
          <a:extLst>
            <a:ext uri="{FF2B5EF4-FFF2-40B4-BE49-F238E27FC236}">
              <a16:creationId xmlns:a16="http://schemas.microsoft.com/office/drawing/2014/main" id="{DB56D3B4-74BB-4AB5-998B-A8D63FD53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4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6497" name="Picture@5C\QPendientes@" descr="@5C\QPendientes@">
          <a:extLst>
            <a:ext uri="{FF2B5EF4-FFF2-40B4-BE49-F238E27FC236}">
              <a16:creationId xmlns:a16="http://schemas.microsoft.com/office/drawing/2014/main" id="{9889976C-5A5A-48F6-B3B8-49F2C6F60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6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6498" name="Picture@5C\QPendientes@" descr="@5C\QPendientes@">
          <a:extLst>
            <a:ext uri="{FF2B5EF4-FFF2-40B4-BE49-F238E27FC236}">
              <a16:creationId xmlns:a16="http://schemas.microsoft.com/office/drawing/2014/main" id="{C8D8B438-EEC6-4303-B28B-9BC7BA679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8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6499" name="Picture@5C\QPendientes@" descr="@5C\QPendientes@">
          <a:extLst>
            <a:ext uri="{FF2B5EF4-FFF2-40B4-BE49-F238E27FC236}">
              <a16:creationId xmlns:a16="http://schemas.microsoft.com/office/drawing/2014/main" id="{33783C96-A389-480E-A5ED-DB97ADAE5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0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6500" name="Picture@5C\QPendientes@" descr="@5C\QPendientes@">
          <a:extLst>
            <a:ext uri="{FF2B5EF4-FFF2-40B4-BE49-F238E27FC236}">
              <a16:creationId xmlns:a16="http://schemas.microsoft.com/office/drawing/2014/main" id="{17B88B97-71C6-4DC6-A32F-4AA570DC1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2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6501" name="Picture@5C\QPendientes@" descr="@5C\QPendientes@">
          <a:extLst>
            <a:ext uri="{FF2B5EF4-FFF2-40B4-BE49-F238E27FC236}">
              <a16:creationId xmlns:a16="http://schemas.microsoft.com/office/drawing/2014/main" id="{19718F80-28C0-402D-9AA5-707489372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4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6502" name="Picture@5C\QPendientes@" descr="@5C\QPendientes@">
          <a:extLst>
            <a:ext uri="{FF2B5EF4-FFF2-40B4-BE49-F238E27FC236}">
              <a16:creationId xmlns:a16="http://schemas.microsoft.com/office/drawing/2014/main" id="{40E8A079-474C-4DB3-BDC7-798C12EA8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5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6503" name="Picture@5C\QPendientes@" descr="@5C\QPendientes@">
          <a:extLst>
            <a:ext uri="{FF2B5EF4-FFF2-40B4-BE49-F238E27FC236}">
              <a16:creationId xmlns:a16="http://schemas.microsoft.com/office/drawing/2014/main" id="{E02E113C-C533-4FC4-AF4B-C77C3E306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6504" name="Picture@5C\QPendientes@" descr="@5C\QPendientes@">
          <a:extLst>
            <a:ext uri="{FF2B5EF4-FFF2-40B4-BE49-F238E27FC236}">
              <a16:creationId xmlns:a16="http://schemas.microsoft.com/office/drawing/2014/main" id="{DA4721EF-54C5-45C8-80B8-354C5CE860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9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6505" name="Picture@5C\QPendientes@" descr="@5C\QPendientes@">
          <a:extLst>
            <a:ext uri="{FF2B5EF4-FFF2-40B4-BE49-F238E27FC236}">
              <a16:creationId xmlns:a16="http://schemas.microsoft.com/office/drawing/2014/main" id="{90F2CFB2-CD0D-40EE-A4F4-FB53DD2C0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1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6506" name="Picture@5C\QPendientes@" descr="@5C\QPendientes@">
          <a:extLst>
            <a:ext uri="{FF2B5EF4-FFF2-40B4-BE49-F238E27FC236}">
              <a16:creationId xmlns:a16="http://schemas.microsoft.com/office/drawing/2014/main" id="{EF75FA2E-E3AE-437D-A162-29D496B8B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3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6507" name="Picture@5C\QPendientes@" descr="@5C\QPendientes@">
          <a:extLst>
            <a:ext uri="{FF2B5EF4-FFF2-40B4-BE49-F238E27FC236}">
              <a16:creationId xmlns:a16="http://schemas.microsoft.com/office/drawing/2014/main" id="{D6762F68-BDAA-42F7-95E5-17FEABE470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5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6508" name="Picture@5C\QPendientes@" descr="@5C\QPendientes@">
          <a:extLst>
            <a:ext uri="{FF2B5EF4-FFF2-40B4-BE49-F238E27FC236}">
              <a16:creationId xmlns:a16="http://schemas.microsoft.com/office/drawing/2014/main" id="{C79D8C34-EAF8-4DCD-9314-74777786B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6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6509" name="Picture@5C\QPendientes@" descr="@5C\QPendientes@">
          <a:extLst>
            <a:ext uri="{FF2B5EF4-FFF2-40B4-BE49-F238E27FC236}">
              <a16:creationId xmlns:a16="http://schemas.microsoft.com/office/drawing/2014/main" id="{1F2C9436-8296-4DE0-B610-6DC33DCC6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8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6510" name="Picture@5C\QPendientes@" descr="@5C\QPendientes@">
          <a:extLst>
            <a:ext uri="{FF2B5EF4-FFF2-40B4-BE49-F238E27FC236}">
              <a16:creationId xmlns:a16="http://schemas.microsoft.com/office/drawing/2014/main" id="{AE855F55-E4D6-4D8E-BA34-FED26D866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0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6511" name="Picture@5C\QPendientes@" descr="@5C\QPendientes@">
          <a:extLst>
            <a:ext uri="{FF2B5EF4-FFF2-40B4-BE49-F238E27FC236}">
              <a16:creationId xmlns:a16="http://schemas.microsoft.com/office/drawing/2014/main" id="{83EDA9EE-06CD-4CCA-917C-88D66DADA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2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6512" name="Picture@5C\QPendientes@" descr="@5C\QPendientes@">
          <a:extLst>
            <a:ext uri="{FF2B5EF4-FFF2-40B4-BE49-F238E27FC236}">
              <a16:creationId xmlns:a16="http://schemas.microsoft.com/office/drawing/2014/main" id="{CA58437E-655B-45C9-8D72-2A2BFDB53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4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6513" name="Picture@5C\QPendientes@" descr="@5C\QPendientes@">
          <a:extLst>
            <a:ext uri="{FF2B5EF4-FFF2-40B4-BE49-F238E27FC236}">
              <a16:creationId xmlns:a16="http://schemas.microsoft.com/office/drawing/2014/main" id="{131D3D5F-A887-41D4-B3DB-CD0641D38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6514" name="Picture@5C\QPendientes@" descr="@5C\QPendientes@">
          <a:extLst>
            <a:ext uri="{FF2B5EF4-FFF2-40B4-BE49-F238E27FC236}">
              <a16:creationId xmlns:a16="http://schemas.microsoft.com/office/drawing/2014/main" id="{40137592-0E38-4089-9840-FD883D953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7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6515" name="Picture@5C\QPendientes@" descr="@5C\QPendientes@">
          <a:extLst>
            <a:ext uri="{FF2B5EF4-FFF2-40B4-BE49-F238E27FC236}">
              <a16:creationId xmlns:a16="http://schemas.microsoft.com/office/drawing/2014/main" id="{31A7F7D6-F9B0-4C17-946C-7BA02F1CB6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9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6516" name="Picture@5C\QPendientes@" descr="@5C\QPendientes@">
          <a:extLst>
            <a:ext uri="{FF2B5EF4-FFF2-40B4-BE49-F238E27FC236}">
              <a16:creationId xmlns:a16="http://schemas.microsoft.com/office/drawing/2014/main" id="{EF8EFF36-FEAF-48EC-BB34-BDE325DBF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1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6517" name="Picture@5C\QPendientes@" descr="@5C\QPendientes@">
          <a:extLst>
            <a:ext uri="{FF2B5EF4-FFF2-40B4-BE49-F238E27FC236}">
              <a16:creationId xmlns:a16="http://schemas.microsoft.com/office/drawing/2014/main" id="{DA1CC24C-5CCF-4685-B742-42D7CBAA8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3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6518" name="Picture@5C\QPendientes@" descr="@5C\QPendientes@">
          <a:extLst>
            <a:ext uri="{FF2B5EF4-FFF2-40B4-BE49-F238E27FC236}">
              <a16:creationId xmlns:a16="http://schemas.microsoft.com/office/drawing/2014/main" id="{E8496C36-97FB-484D-807A-50B72E4BB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5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6519" name="Picture@5C\QPendientes@" descr="@5C\QPendientes@">
          <a:extLst>
            <a:ext uri="{FF2B5EF4-FFF2-40B4-BE49-F238E27FC236}">
              <a16:creationId xmlns:a16="http://schemas.microsoft.com/office/drawing/2014/main" id="{C31B24F2-369D-48DC-BBEA-551954961B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6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6520" name="Picture@5C\QPendientes@" descr="@5C\QPendientes@">
          <a:extLst>
            <a:ext uri="{FF2B5EF4-FFF2-40B4-BE49-F238E27FC236}">
              <a16:creationId xmlns:a16="http://schemas.microsoft.com/office/drawing/2014/main" id="{8F1A21F9-5416-4743-804F-F8275CFAC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8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6521" name="Picture@5C\QPendientes@" descr="@5C\QPendientes@">
          <a:extLst>
            <a:ext uri="{FF2B5EF4-FFF2-40B4-BE49-F238E27FC236}">
              <a16:creationId xmlns:a16="http://schemas.microsoft.com/office/drawing/2014/main" id="{BE923B0E-C1E5-4823-8843-3C0881AF0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0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6522" name="Picture@5C\QPendientes@" descr="@5C\QPendientes@">
          <a:extLst>
            <a:ext uri="{FF2B5EF4-FFF2-40B4-BE49-F238E27FC236}">
              <a16:creationId xmlns:a16="http://schemas.microsoft.com/office/drawing/2014/main" id="{B4E4364F-7585-4999-87D8-36186C0C3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2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6523" name="Picture@5C\QPendientes@" descr="@5C\QPendientes@">
          <a:extLst>
            <a:ext uri="{FF2B5EF4-FFF2-40B4-BE49-F238E27FC236}">
              <a16:creationId xmlns:a16="http://schemas.microsoft.com/office/drawing/2014/main" id="{6DFE8B28-2F4E-4E29-A5CF-D9B1F33F5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6524" name="Picture@5C\QPendientes@" descr="@5C\QPendientes@">
          <a:extLst>
            <a:ext uri="{FF2B5EF4-FFF2-40B4-BE49-F238E27FC236}">
              <a16:creationId xmlns:a16="http://schemas.microsoft.com/office/drawing/2014/main" id="{BBE38ED2-A1A1-4E90-8016-8C112174C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6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6525" name="Picture@5C\QPendientes@" descr="@5C\QPendientes@">
          <a:extLst>
            <a:ext uri="{FF2B5EF4-FFF2-40B4-BE49-F238E27FC236}">
              <a16:creationId xmlns:a16="http://schemas.microsoft.com/office/drawing/2014/main" id="{AFC70F35-3076-4C42-AADB-CCB6DBDD3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7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6526" name="Picture@5C\QPendientes@" descr="@5C\QPendientes@">
          <a:extLst>
            <a:ext uri="{FF2B5EF4-FFF2-40B4-BE49-F238E27FC236}">
              <a16:creationId xmlns:a16="http://schemas.microsoft.com/office/drawing/2014/main" id="{8E9F565B-D4F0-4F6D-9032-B7D7AAEF8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9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6527" name="Picture@5C\QPendientes@" descr="@5C\QPendientes@">
          <a:extLst>
            <a:ext uri="{FF2B5EF4-FFF2-40B4-BE49-F238E27FC236}">
              <a16:creationId xmlns:a16="http://schemas.microsoft.com/office/drawing/2014/main" id="{D3E2E39E-582D-4423-8C8A-80FCC4775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1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6528" name="Picture@5C\QPendientes@" descr="@5C\QPendientes@">
          <a:extLst>
            <a:ext uri="{FF2B5EF4-FFF2-40B4-BE49-F238E27FC236}">
              <a16:creationId xmlns:a16="http://schemas.microsoft.com/office/drawing/2014/main" id="{2077F0F4-CA1D-4C12-A6FD-9CEF87EF8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3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6529" name="Picture@5C\QPendientes@" descr="@5C\QPendientes@">
          <a:extLst>
            <a:ext uri="{FF2B5EF4-FFF2-40B4-BE49-F238E27FC236}">
              <a16:creationId xmlns:a16="http://schemas.microsoft.com/office/drawing/2014/main" id="{78297C57-77FE-424A-8099-DECC7F74F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5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6530" name="Picture@5C\QPendientes@" descr="@5C\QPendientes@">
          <a:extLst>
            <a:ext uri="{FF2B5EF4-FFF2-40B4-BE49-F238E27FC236}">
              <a16:creationId xmlns:a16="http://schemas.microsoft.com/office/drawing/2014/main" id="{9D4C7DD0-6741-484E-B192-B1469DA5D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7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6531" name="Picture@5C\QPendientes@" descr="@5C\QPendientes@">
          <a:extLst>
            <a:ext uri="{FF2B5EF4-FFF2-40B4-BE49-F238E27FC236}">
              <a16:creationId xmlns:a16="http://schemas.microsoft.com/office/drawing/2014/main" id="{16728F9A-E942-4783-B01F-1DC7FB7AB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8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6532" name="Picture@5C\QPendientes@" descr="@5C\QPendientes@">
          <a:extLst>
            <a:ext uri="{FF2B5EF4-FFF2-40B4-BE49-F238E27FC236}">
              <a16:creationId xmlns:a16="http://schemas.microsoft.com/office/drawing/2014/main" id="{DB8459C6-6062-4030-9FC5-142E14C0B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0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6533" name="Picture@5C\QPendientes@" descr="@5C\QPendientes@">
          <a:extLst>
            <a:ext uri="{FF2B5EF4-FFF2-40B4-BE49-F238E27FC236}">
              <a16:creationId xmlns:a16="http://schemas.microsoft.com/office/drawing/2014/main" id="{C5239DAD-96CC-4F5C-A827-EE17DC0F0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6534" name="Picture@5C\QPendientes@" descr="@5C\QPendientes@">
          <a:extLst>
            <a:ext uri="{FF2B5EF4-FFF2-40B4-BE49-F238E27FC236}">
              <a16:creationId xmlns:a16="http://schemas.microsoft.com/office/drawing/2014/main" id="{F66BD0B7-A819-410D-ADC1-F631BCD2C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4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6535" name="Picture@5C\QPendientes@" descr="@5C\QPendientes@">
          <a:extLst>
            <a:ext uri="{FF2B5EF4-FFF2-40B4-BE49-F238E27FC236}">
              <a16:creationId xmlns:a16="http://schemas.microsoft.com/office/drawing/2014/main" id="{EFEC8663-7BF4-4EB2-8DB4-1E7D426F1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6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6536" name="Picture@5C\QPendientes@" descr="@5C\QPendientes@">
          <a:extLst>
            <a:ext uri="{FF2B5EF4-FFF2-40B4-BE49-F238E27FC236}">
              <a16:creationId xmlns:a16="http://schemas.microsoft.com/office/drawing/2014/main" id="{D1226EB2-D57F-43A1-B70E-DD8011A08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8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6537" name="Picture@5C\QPendientes@" descr="@5C\QPendientes@">
          <a:extLst>
            <a:ext uri="{FF2B5EF4-FFF2-40B4-BE49-F238E27FC236}">
              <a16:creationId xmlns:a16="http://schemas.microsoft.com/office/drawing/2014/main" id="{D42F79FE-1512-4F65-A09E-E4B8C047D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9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6538" name="Picture@5C\QPendientes@" descr="@5C\QPendientes@">
          <a:extLst>
            <a:ext uri="{FF2B5EF4-FFF2-40B4-BE49-F238E27FC236}">
              <a16:creationId xmlns:a16="http://schemas.microsoft.com/office/drawing/2014/main" id="{C9BEB97A-FEBE-41A8-89EE-7D934002E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1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6539" name="Picture@5C\QPendientes@" descr="@5C\QPendientes@">
          <a:extLst>
            <a:ext uri="{FF2B5EF4-FFF2-40B4-BE49-F238E27FC236}">
              <a16:creationId xmlns:a16="http://schemas.microsoft.com/office/drawing/2014/main" id="{929F7166-9F62-487B-BE98-1A157C383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3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6540" name="Picture@5C\QPendientes@" descr="@5C\QPendientes@">
          <a:extLst>
            <a:ext uri="{FF2B5EF4-FFF2-40B4-BE49-F238E27FC236}">
              <a16:creationId xmlns:a16="http://schemas.microsoft.com/office/drawing/2014/main" id="{4BDF011B-869B-4590-BC2F-4A5AF3951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5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6541" name="Picture@5C\QPendientes@" descr="@5C\QPendientes@">
          <a:extLst>
            <a:ext uri="{FF2B5EF4-FFF2-40B4-BE49-F238E27FC236}">
              <a16:creationId xmlns:a16="http://schemas.microsoft.com/office/drawing/2014/main" id="{95D2E58B-9BC9-4ABB-8E56-0CD604ED5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7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6542" name="Picture@5C\QPendientes@" descr="@5C\QPendientes@">
          <a:extLst>
            <a:ext uri="{FF2B5EF4-FFF2-40B4-BE49-F238E27FC236}">
              <a16:creationId xmlns:a16="http://schemas.microsoft.com/office/drawing/2014/main" id="{D647C5F0-E74C-43B0-A4C7-3349F65A3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9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6543" name="Picture@5C\QPendientes@" descr="@5C\QPendientes@">
          <a:extLst>
            <a:ext uri="{FF2B5EF4-FFF2-40B4-BE49-F238E27FC236}">
              <a16:creationId xmlns:a16="http://schemas.microsoft.com/office/drawing/2014/main" id="{CD333D0C-0903-4959-A707-502D399BF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6544" name="Picture@5C\QPendientes@" descr="@5C\QPendientes@">
          <a:extLst>
            <a:ext uri="{FF2B5EF4-FFF2-40B4-BE49-F238E27FC236}">
              <a16:creationId xmlns:a16="http://schemas.microsoft.com/office/drawing/2014/main" id="{F3D15064-1300-4053-9DE5-F892E06C7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2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6545" name="Picture@5C\QPendientes@" descr="@5C\QPendientes@">
          <a:extLst>
            <a:ext uri="{FF2B5EF4-FFF2-40B4-BE49-F238E27FC236}">
              <a16:creationId xmlns:a16="http://schemas.microsoft.com/office/drawing/2014/main" id="{5676E6F1-C229-4D70-A599-137B27F75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4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6546" name="Picture@5C\QPendientes@" descr="@5C\QPendientes@">
          <a:extLst>
            <a:ext uri="{FF2B5EF4-FFF2-40B4-BE49-F238E27FC236}">
              <a16:creationId xmlns:a16="http://schemas.microsoft.com/office/drawing/2014/main" id="{D62AC2D0-A8CA-48FB-A715-5607B4A74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6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6547" name="Picture@5C\QPendientes@" descr="@5C\QPendientes@">
          <a:extLst>
            <a:ext uri="{FF2B5EF4-FFF2-40B4-BE49-F238E27FC236}">
              <a16:creationId xmlns:a16="http://schemas.microsoft.com/office/drawing/2014/main" id="{DAA55CB6-1261-429B-BEF8-1E154DEB5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8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6548" name="Picture@5C\QPendientes@" descr="@5C\QPendientes@">
          <a:extLst>
            <a:ext uri="{FF2B5EF4-FFF2-40B4-BE49-F238E27FC236}">
              <a16:creationId xmlns:a16="http://schemas.microsoft.com/office/drawing/2014/main" id="{9FD1FD90-D06B-4F53-8E10-5FF978828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0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6549" name="Picture@5C\QPendientes@" descr="@5C\QPendientes@">
          <a:extLst>
            <a:ext uri="{FF2B5EF4-FFF2-40B4-BE49-F238E27FC236}">
              <a16:creationId xmlns:a16="http://schemas.microsoft.com/office/drawing/2014/main" id="{F49B53E1-C9CF-4EDD-82B2-0C28F441F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1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6550" name="Picture@5C\QPendientes@" descr="@5C\QPendientes@">
          <a:extLst>
            <a:ext uri="{FF2B5EF4-FFF2-40B4-BE49-F238E27FC236}">
              <a16:creationId xmlns:a16="http://schemas.microsoft.com/office/drawing/2014/main" id="{091C7B24-F2C3-4A2B-8E0F-B932B13D7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3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6551" name="Picture@5C\QPendientes@" descr="@5C\QPendientes@">
          <a:extLst>
            <a:ext uri="{FF2B5EF4-FFF2-40B4-BE49-F238E27FC236}">
              <a16:creationId xmlns:a16="http://schemas.microsoft.com/office/drawing/2014/main" id="{56F96D7F-83C3-4D71-9F45-7840357AD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5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6552" name="Picture@5C\QPendientes@" descr="@5C\QPendientes@">
          <a:extLst>
            <a:ext uri="{FF2B5EF4-FFF2-40B4-BE49-F238E27FC236}">
              <a16:creationId xmlns:a16="http://schemas.microsoft.com/office/drawing/2014/main" id="{20F78146-E98E-466A-B133-C1CD8CE2D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7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6553" name="Picture@5C\QPendientes@" descr="@5C\QPendientes@">
          <a:extLst>
            <a:ext uri="{FF2B5EF4-FFF2-40B4-BE49-F238E27FC236}">
              <a16:creationId xmlns:a16="http://schemas.microsoft.com/office/drawing/2014/main" id="{9FC50C60-75A8-4CD8-AAA5-DEED32ED1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6554" name="Picture@5C\QPendientes@" descr="@5C\QPendientes@">
          <a:extLst>
            <a:ext uri="{FF2B5EF4-FFF2-40B4-BE49-F238E27FC236}">
              <a16:creationId xmlns:a16="http://schemas.microsoft.com/office/drawing/2014/main" id="{74756120-288E-429F-94B2-C4AFBD0EE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0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6555" name="Picture@5C\QPendientes@" descr="@5C\QPendientes@">
          <a:extLst>
            <a:ext uri="{FF2B5EF4-FFF2-40B4-BE49-F238E27FC236}">
              <a16:creationId xmlns:a16="http://schemas.microsoft.com/office/drawing/2014/main" id="{54607891-2455-47F4-A7C4-62A68EBBF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2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6556" name="Picture@5C\QPendientes@" descr="@5C\QPendientes@">
          <a:extLst>
            <a:ext uri="{FF2B5EF4-FFF2-40B4-BE49-F238E27FC236}">
              <a16:creationId xmlns:a16="http://schemas.microsoft.com/office/drawing/2014/main" id="{F3CFC36F-AB2D-47C4-ABA5-899696B02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4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6557" name="Picture@5C\QPendientes@" descr="@5C\QPendientes@">
          <a:extLst>
            <a:ext uri="{FF2B5EF4-FFF2-40B4-BE49-F238E27FC236}">
              <a16:creationId xmlns:a16="http://schemas.microsoft.com/office/drawing/2014/main" id="{3A1B09A1-C815-4C19-B097-8D64A5C7D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6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6558" name="Picture@5C\QPendientes@" descr="@5C\QPendientes@">
          <a:extLst>
            <a:ext uri="{FF2B5EF4-FFF2-40B4-BE49-F238E27FC236}">
              <a16:creationId xmlns:a16="http://schemas.microsoft.com/office/drawing/2014/main" id="{944BFD5A-64C8-42D3-8CB6-D4FD10EE1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8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6559" name="Picture@5C\QPendientes@" descr="@5C\QPendientes@">
          <a:extLst>
            <a:ext uri="{FF2B5EF4-FFF2-40B4-BE49-F238E27FC236}">
              <a16:creationId xmlns:a16="http://schemas.microsoft.com/office/drawing/2014/main" id="{6D7D7055-99D1-44E8-8190-7C6D0507B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0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6560" name="Picture@5C\QPendientes@" descr="@5C\QPendientes@">
          <a:extLst>
            <a:ext uri="{FF2B5EF4-FFF2-40B4-BE49-F238E27FC236}">
              <a16:creationId xmlns:a16="http://schemas.microsoft.com/office/drawing/2014/main" id="{0D2EDA06-385C-49DE-84F4-FD175FE67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6561" name="Picture@5C\QPendientes@" descr="@5C\QPendientes@">
          <a:extLst>
            <a:ext uri="{FF2B5EF4-FFF2-40B4-BE49-F238E27FC236}">
              <a16:creationId xmlns:a16="http://schemas.microsoft.com/office/drawing/2014/main" id="{1F2D7E4E-CC78-46EF-8DAD-6525F1CB18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3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6562" name="Picture@5C\QPendientes@" descr="@5C\QPendientes@">
          <a:extLst>
            <a:ext uri="{FF2B5EF4-FFF2-40B4-BE49-F238E27FC236}">
              <a16:creationId xmlns:a16="http://schemas.microsoft.com/office/drawing/2014/main" id="{C7D5948C-E3A0-4E6D-B2DC-7FA71FB0B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5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6563" name="Picture@5C\QPendientes@" descr="@5C\QPendientes@">
          <a:extLst>
            <a:ext uri="{FF2B5EF4-FFF2-40B4-BE49-F238E27FC236}">
              <a16:creationId xmlns:a16="http://schemas.microsoft.com/office/drawing/2014/main" id="{FBC32CDF-E9C7-41A1-B5D5-0CFF897BE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6564" name="Picture@5C\QPendientes@" descr="@5C\QPendientes@">
          <a:extLst>
            <a:ext uri="{FF2B5EF4-FFF2-40B4-BE49-F238E27FC236}">
              <a16:creationId xmlns:a16="http://schemas.microsoft.com/office/drawing/2014/main" id="{A5D8AC48-1EB2-4878-A0F7-4F23974BD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9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6565" name="Picture@5C\QPendientes@" descr="@5C\QPendientes@">
          <a:extLst>
            <a:ext uri="{FF2B5EF4-FFF2-40B4-BE49-F238E27FC236}">
              <a16:creationId xmlns:a16="http://schemas.microsoft.com/office/drawing/2014/main" id="{608A55B8-894C-41AD-AA2A-D704EAB91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1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6566" name="Picture@5C\QPendientes@" descr="@5C\QPendientes@">
          <a:extLst>
            <a:ext uri="{FF2B5EF4-FFF2-40B4-BE49-F238E27FC236}">
              <a16:creationId xmlns:a16="http://schemas.microsoft.com/office/drawing/2014/main" id="{0C432AC3-0CDD-4F3F-9783-7E159FC30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2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6567" name="Picture@5C\QPendientes@" descr="@5C\QPendientes@">
          <a:extLst>
            <a:ext uri="{FF2B5EF4-FFF2-40B4-BE49-F238E27FC236}">
              <a16:creationId xmlns:a16="http://schemas.microsoft.com/office/drawing/2014/main" id="{3A6736D2-2F26-4913-9C82-FDA8700CE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4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6568" name="Picture@5C\QPendientes@" descr="@5C\QPendientes@">
          <a:extLst>
            <a:ext uri="{FF2B5EF4-FFF2-40B4-BE49-F238E27FC236}">
              <a16:creationId xmlns:a16="http://schemas.microsoft.com/office/drawing/2014/main" id="{8787FC24-9273-450F-B9CB-1F4E8C8F8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6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6569" name="Picture@5C\QPendientes@" descr="@5C\QPendientes@">
          <a:extLst>
            <a:ext uri="{FF2B5EF4-FFF2-40B4-BE49-F238E27FC236}">
              <a16:creationId xmlns:a16="http://schemas.microsoft.com/office/drawing/2014/main" id="{DA4F2347-FE6A-47DB-82CB-37C1F0D0B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8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6570" name="Picture@5C\QPendientes@" descr="@5C\QPendientes@">
          <a:extLst>
            <a:ext uri="{FF2B5EF4-FFF2-40B4-BE49-F238E27FC236}">
              <a16:creationId xmlns:a16="http://schemas.microsoft.com/office/drawing/2014/main" id="{1CD82CAB-813E-4C47-9399-A539EA74A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0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6571" name="Picture@5C\QPendientes@" descr="@5C\QPendientes@">
          <a:extLst>
            <a:ext uri="{FF2B5EF4-FFF2-40B4-BE49-F238E27FC236}">
              <a16:creationId xmlns:a16="http://schemas.microsoft.com/office/drawing/2014/main" id="{B7C2A31D-CBFC-4055-8530-A27C80462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2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6572" name="Picture@5C\QPendientes@" descr="@5C\QPendientes@">
          <a:extLst>
            <a:ext uri="{FF2B5EF4-FFF2-40B4-BE49-F238E27FC236}">
              <a16:creationId xmlns:a16="http://schemas.microsoft.com/office/drawing/2014/main" id="{B0D74EAB-75AA-43C3-A97F-B689BE671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3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6573" name="Picture@5C\QPendientes@" descr="@5C\QPendientes@">
          <a:extLst>
            <a:ext uri="{FF2B5EF4-FFF2-40B4-BE49-F238E27FC236}">
              <a16:creationId xmlns:a16="http://schemas.microsoft.com/office/drawing/2014/main" id="{9AD48763-4131-4ED5-A1B4-1C94ADE76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6574" name="Picture@5C\QPendientes@" descr="@5C\QPendientes@">
          <a:extLst>
            <a:ext uri="{FF2B5EF4-FFF2-40B4-BE49-F238E27FC236}">
              <a16:creationId xmlns:a16="http://schemas.microsoft.com/office/drawing/2014/main" id="{FB7F1BE8-F2B5-4A3F-9372-61096AD26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7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6575" name="Picture@5C\QPendientes@" descr="@5C\QPendientes@">
          <a:extLst>
            <a:ext uri="{FF2B5EF4-FFF2-40B4-BE49-F238E27FC236}">
              <a16:creationId xmlns:a16="http://schemas.microsoft.com/office/drawing/2014/main" id="{953BDA60-0EEB-450C-B99C-DBD199051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9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6576" name="Picture@5C\QPendientes@" descr="@5C\QPendientes@">
          <a:extLst>
            <a:ext uri="{FF2B5EF4-FFF2-40B4-BE49-F238E27FC236}">
              <a16:creationId xmlns:a16="http://schemas.microsoft.com/office/drawing/2014/main" id="{23E5378D-753D-4DD2-A91A-347F7DE88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1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6577" name="Picture@5C\QPendientes@" descr="@5C\QPendientes@">
          <a:extLst>
            <a:ext uri="{FF2B5EF4-FFF2-40B4-BE49-F238E27FC236}">
              <a16:creationId xmlns:a16="http://schemas.microsoft.com/office/drawing/2014/main" id="{618C21D5-4C40-4933-B1A2-23AC285F5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3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6578" name="Picture@5C\QPendientes@" descr="@5C\QPendientes@">
          <a:extLst>
            <a:ext uri="{FF2B5EF4-FFF2-40B4-BE49-F238E27FC236}">
              <a16:creationId xmlns:a16="http://schemas.microsoft.com/office/drawing/2014/main" id="{0F75F4A9-880D-4074-B45C-9F13B8EC3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4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6579" name="Picture@5C\QPendientes@" descr="@5C\QPendientes@">
          <a:extLst>
            <a:ext uri="{FF2B5EF4-FFF2-40B4-BE49-F238E27FC236}">
              <a16:creationId xmlns:a16="http://schemas.microsoft.com/office/drawing/2014/main" id="{D354ACAC-1023-49C0-88ED-9E903D1506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6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6580" name="Picture@5C\QPendientes@" descr="@5C\QPendientes@">
          <a:extLst>
            <a:ext uri="{FF2B5EF4-FFF2-40B4-BE49-F238E27FC236}">
              <a16:creationId xmlns:a16="http://schemas.microsoft.com/office/drawing/2014/main" id="{307E5A70-9878-4340-8731-8813B8993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8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6581" name="Picture@5C\QPendientes@" descr="@5C\QPendientes@">
          <a:extLst>
            <a:ext uri="{FF2B5EF4-FFF2-40B4-BE49-F238E27FC236}">
              <a16:creationId xmlns:a16="http://schemas.microsoft.com/office/drawing/2014/main" id="{BDC3181E-0392-470C-9F2C-EF0F4CA98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0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6582" name="Picture@5C\QPendientes@" descr="@5C\QPendientes@">
          <a:extLst>
            <a:ext uri="{FF2B5EF4-FFF2-40B4-BE49-F238E27FC236}">
              <a16:creationId xmlns:a16="http://schemas.microsoft.com/office/drawing/2014/main" id="{B5CC56D1-26BE-442C-A4B2-262AEEA3F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2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6583" name="Picture@5C\QPendientes@" descr="@5C\QPendientes@">
          <a:extLst>
            <a:ext uri="{FF2B5EF4-FFF2-40B4-BE49-F238E27FC236}">
              <a16:creationId xmlns:a16="http://schemas.microsoft.com/office/drawing/2014/main" id="{7D4A3DE3-5592-444A-B811-388A2708E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6584" name="Picture@5C\QPendientes@" descr="@5C\QPendientes@">
          <a:extLst>
            <a:ext uri="{FF2B5EF4-FFF2-40B4-BE49-F238E27FC236}">
              <a16:creationId xmlns:a16="http://schemas.microsoft.com/office/drawing/2014/main" id="{51AE702D-17E8-49EA-A445-CD106D13D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5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6585" name="Picture@5C\QPendientes@" descr="@5C\QPendientes@">
          <a:extLst>
            <a:ext uri="{FF2B5EF4-FFF2-40B4-BE49-F238E27FC236}">
              <a16:creationId xmlns:a16="http://schemas.microsoft.com/office/drawing/2014/main" id="{76C4BEAC-005F-40AC-8BAD-AA058C53D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7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6586" name="Picture@5C\QPendientes@" descr="@5C\QPendientes@">
          <a:extLst>
            <a:ext uri="{FF2B5EF4-FFF2-40B4-BE49-F238E27FC236}">
              <a16:creationId xmlns:a16="http://schemas.microsoft.com/office/drawing/2014/main" id="{7BFD40AC-A5F9-4042-808E-82A959099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9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6587" name="Picture@5C\QPendientes@" descr="@5C\QPendientes@">
          <a:extLst>
            <a:ext uri="{FF2B5EF4-FFF2-40B4-BE49-F238E27FC236}">
              <a16:creationId xmlns:a16="http://schemas.microsoft.com/office/drawing/2014/main" id="{E382EC22-38B6-432E-A42F-2FE5E10C9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1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6588" name="Picture@5C\QPendientes@" descr="@5C\QPendientes@">
          <a:extLst>
            <a:ext uri="{FF2B5EF4-FFF2-40B4-BE49-F238E27FC236}">
              <a16:creationId xmlns:a16="http://schemas.microsoft.com/office/drawing/2014/main" id="{4F456A91-A688-44C5-B5B3-003D1DEAF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3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6589" name="Picture@5C\QPendientes@" descr="@5C\QPendientes@">
          <a:extLst>
            <a:ext uri="{FF2B5EF4-FFF2-40B4-BE49-F238E27FC236}">
              <a16:creationId xmlns:a16="http://schemas.microsoft.com/office/drawing/2014/main" id="{F4246821-9FE7-410E-9C0C-1E74575B7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4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6590" name="Picture@5C\QPendientes@" descr="@5C\QPendientes@">
          <a:extLst>
            <a:ext uri="{FF2B5EF4-FFF2-40B4-BE49-F238E27FC236}">
              <a16:creationId xmlns:a16="http://schemas.microsoft.com/office/drawing/2014/main" id="{F6DDA6AF-5147-4184-8E06-E95928F15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6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6591" name="Picture@5C\QPendientes@" descr="@5C\QPendientes@">
          <a:extLst>
            <a:ext uri="{FF2B5EF4-FFF2-40B4-BE49-F238E27FC236}">
              <a16:creationId xmlns:a16="http://schemas.microsoft.com/office/drawing/2014/main" id="{3493BCD5-907B-4242-9E0E-A6EA6978B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8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6592" name="Picture@5C\QPendientes@" descr="@5C\QPendientes@">
          <a:extLst>
            <a:ext uri="{FF2B5EF4-FFF2-40B4-BE49-F238E27FC236}">
              <a16:creationId xmlns:a16="http://schemas.microsoft.com/office/drawing/2014/main" id="{5FFD2C9B-C7EB-42F7-91FB-484B3C62B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0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6593" name="Picture@5C\QPendientes@" descr="@5C\QPendientes@">
          <a:extLst>
            <a:ext uri="{FF2B5EF4-FFF2-40B4-BE49-F238E27FC236}">
              <a16:creationId xmlns:a16="http://schemas.microsoft.com/office/drawing/2014/main" id="{B851C4DF-C872-4E87-B3A8-A4F864BBE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6594" name="Picture@5C\QPendientes@" descr="@5C\QPendientes@">
          <a:extLst>
            <a:ext uri="{FF2B5EF4-FFF2-40B4-BE49-F238E27FC236}">
              <a16:creationId xmlns:a16="http://schemas.microsoft.com/office/drawing/2014/main" id="{EE39776A-8ECF-4730-BE2B-C4517E633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4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6595" name="Picture@5C\QPendientes@" descr="@5C\QPendientes@">
          <a:extLst>
            <a:ext uri="{FF2B5EF4-FFF2-40B4-BE49-F238E27FC236}">
              <a16:creationId xmlns:a16="http://schemas.microsoft.com/office/drawing/2014/main" id="{72282243-DE28-4C8B-9B0A-5D3A63B82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5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6596" name="Picture@5C\QPendientes@" descr="@5C\QPendientes@">
          <a:extLst>
            <a:ext uri="{FF2B5EF4-FFF2-40B4-BE49-F238E27FC236}">
              <a16:creationId xmlns:a16="http://schemas.microsoft.com/office/drawing/2014/main" id="{93A8726D-42B7-460B-8123-B20D0417E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7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6597" name="Picture@5C\QPendientes@" descr="@5C\QPendientes@">
          <a:extLst>
            <a:ext uri="{FF2B5EF4-FFF2-40B4-BE49-F238E27FC236}">
              <a16:creationId xmlns:a16="http://schemas.microsoft.com/office/drawing/2014/main" id="{62B3ED59-8E95-4637-959E-DFBCE4B4CF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9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6598" name="Picture@5C\QPendientes@" descr="@5C\QPendientes@">
          <a:extLst>
            <a:ext uri="{FF2B5EF4-FFF2-40B4-BE49-F238E27FC236}">
              <a16:creationId xmlns:a16="http://schemas.microsoft.com/office/drawing/2014/main" id="{986A99F1-101D-430F-816C-09001ABCA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1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6599" name="Picture@5C\QPendientes@" descr="@5C\QPendientes@">
          <a:extLst>
            <a:ext uri="{FF2B5EF4-FFF2-40B4-BE49-F238E27FC236}">
              <a16:creationId xmlns:a16="http://schemas.microsoft.com/office/drawing/2014/main" id="{8E5933C1-8946-4B47-AB58-2F2DBBC35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3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6600" name="Picture@5C\QPendientes@" descr="@5C\QPendientes@">
          <a:extLst>
            <a:ext uri="{FF2B5EF4-FFF2-40B4-BE49-F238E27FC236}">
              <a16:creationId xmlns:a16="http://schemas.microsoft.com/office/drawing/2014/main" id="{7815B20E-DC7A-47FD-BB24-6801828E89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5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6601" name="Picture@5C\QPendientes@" descr="@5C\QPendientes@">
          <a:extLst>
            <a:ext uri="{FF2B5EF4-FFF2-40B4-BE49-F238E27FC236}">
              <a16:creationId xmlns:a16="http://schemas.microsoft.com/office/drawing/2014/main" id="{6112835C-CA2E-46FA-8995-5FDF9FD27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6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6602" name="Picture@5C\QPendientes@" descr="@5C\QPendientes@">
          <a:extLst>
            <a:ext uri="{FF2B5EF4-FFF2-40B4-BE49-F238E27FC236}">
              <a16:creationId xmlns:a16="http://schemas.microsoft.com/office/drawing/2014/main" id="{5A48BD2E-BD0D-4CC5-AE87-FA4010249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8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6603" name="Picture@5C\QPendientes@" descr="@5C\QPendientes@">
          <a:extLst>
            <a:ext uri="{FF2B5EF4-FFF2-40B4-BE49-F238E27FC236}">
              <a16:creationId xmlns:a16="http://schemas.microsoft.com/office/drawing/2014/main" id="{077290F2-7349-4B65-82B0-AE8B04B49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6604" name="Picture@5C\QPendientes@" descr="@5C\QPendientes@">
          <a:extLst>
            <a:ext uri="{FF2B5EF4-FFF2-40B4-BE49-F238E27FC236}">
              <a16:creationId xmlns:a16="http://schemas.microsoft.com/office/drawing/2014/main" id="{3A58F421-A0A2-4AB3-82A5-493D43862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2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6605" name="Picture@5C\QPendientes@" descr="@5C\QPendientes@">
          <a:extLst>
            <a:ext uri="{FF2B5EF4-FFF2-40B4-BE49-F238E27FC236}">
              <a16:creationId xmlns:a16="http://schemas.microsoft.com/office/drawing/2014/main" id="{42093EC9-C117-40D3-A9FA-7ABE17F22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4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6606" name="Picture@5C\QPendientes@" descr="@5C\QPendientes@">
          <a:extLst>
            <a:ext uri="{FF2B5EF4-FFF2-40B4-BE49-F238E27FC236}">
              <a16:creationId xmlns:a16="http://schemas.microsoft.com/office/drawing/2014/main" id="{EC3CB695-D300-4B11-8176-D79E16524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6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6607" name="Picture@5C\QPendientes@" descr="@5C\QPendientes@">
          <a:extLst>
            <a:ext uri="{FF2B5EF4-FFF2-40B4-BE49-F238E27FC236}">
              <a16:creationId xmlns:a16="http://schemas.microsoft.com/office/drawing/2014/main" id="{C00E730F-E846-40EB-A672-7504E2347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7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6608" name="Picture@5C\QPendientes@" descr="@5C\QPendientes@">
          <a:extLst>
            <a:ext uri="{FF2B5EF4-FFF2-40B4-BE49-F238E27FC236}">
              <a16:creationId xmlns:a16="http://schemas.microsoft.com/office/drawing/2014/main" id="{B984EA54-9BCF-4EF6-B938-EE6387C83D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9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6609" name="Picture@5C\QPendientes@" descr="@5C\QPendientes@">
          <a:extLst>
            <a:ext uri="{FF2B5EF4-FFF2-40B4-BE49-F238E27FC236}">
              <a16:creationId xmlns:a16="http://schemas.microsoft.com/office/drawing/2014/main" id="{9AB6C749-3003-4170-A165-C842B44E0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1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6610" name="Picture@5C\QPendientes@" descr="@5C\QPendientes@">
          <a:extLst>
            <a:ext uri="{FF2B5EF4-FFF2-40B4-BE49-F238E27FC236}">
              <a16:creationId xmlns:a16="http://schemas.microsoft.com/office/drawing/2014/main" id="{D795FF5E-127C-47AB-94CE-0510667C8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3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6611" name="Picture@5C\QPendientes@" descr="@5C\QPendientes@">
          <a:extLst>
            <a:ext uri="{FF2B5EF4-FFF2-40B4-BE49-F238E27FC236}">
              <a16:creationId xmlns:a16="http://schemas.microsoft.com/office/drawing/2014/main" id="{E658D8E8-8E93-4894-89FE-5F1303858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5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6612" name="Picture@5C\QPendientes@" descr="@5C\QPendientes@">
          <a:extLst>
            <a:ext uri="{FF2B5EF4-FFF2-40B4-BE49-F238E27FC236}">
              <a16:creationId xmlns:a16="http://schemas.microsoft.com/office/drawing/2014/main" id="{9DFDB28E-853E-45D1-9847-69D7B6B4E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7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6613" name="Picture@5C\QPendientes@" descr="@5C\QPendientes@">
          <a:extLst>
            <a:ext uri="{FF2B5EF4-FFF2-40B4-BE49-F238E27FC236}">
              <a16:creationId xmlns:a16="http://schemas.microsoft.com/office/drawing/2014/main" id="{CD5F9757-E3BA-4DE6-A157-24D9EB125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6614" name="Picture@5C\QPendientes@" descr="@5C\QPendientes@">
          <a:extLst>
            <a:ext uri="{FF2B5EF4-FFF2-40B4-BE49-F238E27FC236}">
              <a16:creationId xmlns:a16="http://schemas.microsoft.com/office/drawing/2014/main" id="{8645D49E-D5A5-4671-AD9B-89BAFA4BAF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0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6615" name="Picture@5C\QPendientes@" descr="@5C\QPendientes@">
          <a:extLst>
            <a:ext uri="{FF2B5EF4-FFF2-40B4-BE49-F238E27FC236}">
              <a16:creationId xmlns:a16="http://schemas.microsoft.com/office/drawing/2014/main" id="{A99F68EA-4D2D-4919-938D-217891EE1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2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6616" name="Picture@5C\QPendientes@" descr="@5C\QPendientes@">
          <a:extLst>
            <a:ext uri="{FF2B5EF4-FFF2-40B4-BE49-F238E27FC236}">
              <a16:creationId xmlns:a16="http://schemas.microsoft.com/office/drawing/2014/main" id="{40660E1C-3790-4829-B97E-358C22953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4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6617" name="Picture@5C\QPendientes@" descr="@5C\QPendientes@">
          <a:extLst>
            <a:ext uri="{FF2B5EF4-FFF2-40B4-BE49-F238E27FC236}">
              <a16:creationId xmlns:a16="http://schemas.microsoft.com/office/drawing/2014/main" id="{B03A8C5F-6A25-4CB8-A9DE-15D718C683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6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6618" name="Picture@5C\QPendientes@" descr="@5C\QPendientes@">
          <a:extLst>
            <a:ext uri="{FF2B5EF4-FFF2-40B4-BE49-F238E27FC236}">
              <a16:creationId xmlns:a16="http://schemas.microsoft.com/office/drawing/2014/main" id="{12525690-7A07-460C-BC20-8DC1B05E2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8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6619" name="Picture@5C\QPendientes@" descr="@5C\QPendientes@">
          <a:extLst>
            <a:ext uri="{FF2B5EF4-FFF2-40B4-BE49-F238E27FC236}">
              <a16:creationId xmlns:a16="http://schemas.microsoft.com/office/drawing/2014/main" id="{765E9FF3-A86F-4FF4-A4EF-D6DABF473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9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6620" name="Picture@5C\QPendientes@" descr="@5C\QPendientes@">
          <a:extLst>
            <a:ext uri="{FF2B5EF4-FFF2-40B4-BE49-F238E27FC236}">
              <a16:creationId xmlns:a16="http://schemas.microsoft.com/office/drawing/2014/main" id="{F68D0E4D-4BE6-4197-8F78-F05257177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1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6621" name="Picture@5C\QPendientes@" descr="@5C\QPendientes@">
          <a:extLst>
            <a:ext uri="{FF2B5EF4-FFF2-40B4-BE49-F238E27FC236}">
              <a16:creationId xmlns:a16="http://schemas.microsoft.com/office/drawing/2014/main" id="{74F8C9D6-46DA-4682-A46D-8C82D414E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3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6622" name="Picture@5C\QPendientes@" descr="@5C\QPendientes@">
          <a:extLst>
            <a:ext uri="{FF2B5EF4-FFF2-40B4-BE49-F238E27FC236}">
              <a16:creationId xmlns:a16="http://schemas.microsoft.com/office/drawing/2014/main" id="{1F2C74F5-6550-4F20-86E4-92452CCF6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5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6623" name="Picture@5C\QPendientes@" descr="@5C\QPendientes@">
          <a:extLst>
            <a:ext uri="{FF2B5EF4-FFF2-40B4-BE49-F238E27FC236}">
              <a16:creationId xmlns:a16="http://schemas.microsoft.com/office/drawing/2014/main" id="{73E8E747-8C3F-4F9A-A6A4-A4F1349FB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6624" name="Picture@5C\QPendientes@" descr="@5C\QPendientes@">
          <a:extLst>
            <a:ext uri="{FF2B5EF4-FFF2-40B4-BE49-F238E27FC236}">
              <a16:creationId xmlns:a16="http://schemas.microsoft.com/office/drawing/2014/main" id="{549A41F3-ABD9-4D32-A56A-28B0ABC75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8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6625" name="Picture@5C\QPendientes@" descr="@5C\QPendientes@">
          <a:extLst>
            <a:ext uri="{FF2B5EF4-FFF2-40B4-BE49-F238E27FC236}">
              <a16:creationId xmlns:a16="http://schemas.microsoft.com/office/drawing/2014/main" id="{F6AE985E-F727-41DC-BF56-E4E05884ED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0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6626" name="Picture@5C\QPendientes@" descr="@5C\QPendientes@">
          <a:extLst>
            <a:ext uri="{FF2B5EF4-FFF2-40B4-BE49-F238E27FC236}">
              <a16:creationId xmlns:a16="http://schemas.microsoft.com/office/drawing/2014/main" id="{3798AACB-DC4D-49EF-B4D0-EF7197DA6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2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6627" name="Picture@5C\QPendientes@" descr="@5C\QPendientes@">
          <a:extLst>
            <a:ext uri="{FF2B5EF4-FFF2-40B4-BE49-F238E27FC236}">
              <a16:creationId xmlns:a16="http://schemas.microsoft.com/office/drawing/2014/main" id="{AD388593-3255-4F74-84DB-9D6457AC5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4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6628" name="Picture@5C\QPendientes@" descr="@5C\QPendientes@">
          <a:extLst>
            <a:ext uri="{FF2B5EF4-FFF2-40B4-BE49-F238E27FC236}">
              <a16:creationId xmlns:a16="http://schemas.microsoft.com/office/drawing/2014/main" id="{FB3FD4DF-B777-4141-9282-666E26C21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6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6629" name="Picture@5C\QPendientes@" descr="@5C\QPendientes@">
          <a:extLst>
            <a:ext uri="{FF2B5EF4-FFF2-40B4-BE49-F238E27FC236}">
              <a16:creationId xmlns:a16="http://schemas.microsoft.com/office/drawing/2014/main" id="{6D029828-DE0B-434F-A58F-9BF711D7D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8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6630" name="Picture@5C\QPendientes@" descr="@5C\QPendientes@">
          <a:extLst>
            <a:ext uri="{FF2B5EF4-FFF2-40B4-BE49-F238E27FC236}">
              <a16:creationId xmlns:a16="http://schemas.microsoft.com/office/drawing/2014/main" id="{9CC1A38C-880C-4ECA-B3A1-0B2E9A199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9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6631" name="Picture@5C\QPendientes@" descr="@5C\QPendientes@">
          <a:extLst>
            <a:ext uri="{FF2B5EF4-FFF2-40B4-BE49-F238E27FC236}">
              <a16:creationId xmlns:a16="http://schemas.microsoft.com/office/drawing/2014/main" id="{0A70E678-34A7-45D1-97B8-1E9F03A9F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1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6632" name="Picture@5C\QPendientes@" descr="@5C\QPendientes@">
          <a:extLst>
            <a:ext uri="{FF2B5EF4-FFF2-40B4-BE49-F238E27FC236}">
              <a16:creationId xmlns:a16="http://schemas.microsoft.com/office/drawing/2014/main" id="{0E2A0A8A-393C-438F-B86C-BF343C22A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3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6633" name="Picture@5C\QPendientes@" descr="@5C\QPendientes@">
          <a:extLst>
            <a:ext uri="{FF2B5EF4-FFF2-40B4-BE49-F238E27FC236}">
              <a16:creationId xmlns:a16="http://schemas.microsoft.com/office/drawing/2014/main" id="{08D1475C-883E-48C7-921E-3096004A4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6634" name="Picture@5C\QPendientes@" descr="@5C\QPendientes@">
          <a:extLst>
            <a:ext uri="{FF2B5EF4-FFF2-40B4-BE49-F238E27FC236}">
              <a16:creationId xmlns:a16="http://schemas.microsoft.com/office/drawing/2014/main" id="{F9A803E9-B663-4DC1-8243-31BEFA55C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7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6635" name="Picture@5C\QPendientes@" descr="@5C\QPendientes@">
          <a:extLst>
            <a:ext uri="{FF2B5EF4-FFF2-40B4-BE49-F238E27FC236}">
              <a16:creationId xmlns:a16="http://schemas.microsoft.com/office/drawing/2014/main" id="{9A49F33F-5EAA-4AE8-B306-839D26B56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9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6636" name="Picture@5C\QPendientes@" descr="@5C\QPendientes@">
          <a:extLst>
            <a:ext uri="{FF2B5EF4-FFF2-40B4-BE49-F238E27FC236}">
              <a16:creationId xmlns:a16="http://schemas.microsoft.com/office/drawing/2014/main" id="{3190482D-4717-4583-9223-CA05E891B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0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6637" name="Picture@5C\QPendientes@" descr="@5C\QPendientes@">
          <a:extLst>
            <a:ext uri="{FF2B5EF4-FFF2-40B4-BE49-F238E27FC236}">
              <a16:creationId xmlns:a16="http://schemas.microsoft.com/office/drawing/2014/main" id="{F50CDB5E-A693-43F7-8C4B-787E0119B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2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6638" name="Picture@5C\QPendientes@" descr="@5C\QPendientes@">
          <a:extLst>
            <a:ext uri="{FF2B5EF4-FFF2-40B4-BE49-F238E27FC236}">
              <a16:creationId xmlns:a16="http://schemas.microsoft.com/office/drawing/2014/main" id="{24998BFC-CE0C-40FB-BD6B-F7BCFD399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4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6639" name="Picture@5C\QPendientes@" descr="@5C\QPendientes@">
          <a:extLst>
            <a:ext uri="{FF2B5EF4-FFF2-40B4-BE49-F238E27FC236}">
              <a16:creationId xmlns:a16="http://schemas.microsoft.com/office/drawing/2014/main" id="{BCA51FB7-E81E-4C5B-8395-111FA6FB8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6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6640" name="Picture@5C\QPendientes@" descr="@5C\QPendientes@">
          <a:extLst>
            <a:ext uri="{FF2B5EF4-FFF2-40B4-BE49-F238E27FC236}">
              <a16:creationId xmlns:a16="http://schemas.microsoft.com/office/drawing/2014/main" id="{FC14885F-3CD2-42A6-84BA-633653B17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8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6641" name="Picture@5C\QPendientes@" descr="@5C\QPendientes@">
          <a:extLst>
            <a:ext uri="{FF2B5EF4-FFF2-40B4-BE49-F238E27FC236}">
              <a16:creationId xmlns:a16="http://schemas.microsoft.com/office/drawing/2014/main" id="{2F755093-B4DE-493E-971C-1440DD6B7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0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6642" name="Picture@5C\QPendientes@" descr="@5C\QPendientes@">
          <a:extLst>
            <a:ext uri="{FF2B5EF4-FFF2-40B4-BE49-F238E27FC236}">
              <a16:creationId xmlns:a16="http://schemas.microsoft.com/office/drawing/2014/main" id="{323A36B3-1A83-4F72-8C4B-3C522B6D8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1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6643" name="Picture@5C\QPendientes@" descr="@5C\QPendientes@">
          <a:extLst>
            <a:ext uri="{FF2B5EF4-FFF2-40B4-BE49-F238E27FC236}">
              <a16:creationId xmlns:a16="http://schemas.microsoft.com/office/drawing/2014/main" id="{35BB33F2-04DD-4496-B663-C9F2D97C8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6644" name="Picture@5C\QPendientes@" descr="@5C\QPendientes@">
          <a:extLst>
            <a:ext uri="{FF2B5EF4-FFF2-40B4-BE49-F238E27FC236}">
              <a16:creationId xmlns:a16="http://schemas.microsoft.com/office/drawing/2014/main" id="{69AF8041-35C4-435A-9D4A-8F97B878D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5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6645" name="Picture@5C\QPendientes@" descr="@5C\QPendientes@">
          <a:extLst>
            <a:ext uri="{FF2B5EF4-FFF2-40B4-BE49-F238E27FC236}">
              <a16:creationId xmlns:a16="http://schemas.microsoft.com/office/drawing/2014/main" id="{4092BA7B-9D21-4D91-905F-9EF04EE3A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7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6646" name="Picture@5C\QPendientes@" descr="@5C\QPendientes@">
          <a:extLst>
            <a:ext uri="{FF2B5EF4-FFF2-40B4-BE49-F238E27FC236}">
              <a16:creationId xmlns:a16="http://schemas.microsoft.com/office/drawing/2014/main" id="{A262274A-8C8E-49DE-ADCC-3AC36C1F3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9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6647" name="Picture@5C\QPendientes@" descr="@5C\QPendientes@">
          <a:extLst>
            <a:ext uri="{FF2B5EF4-FFF2-40B4-BE49-F238E27FC236}">
              <a16:creationId xmlns:a16="http://schemas.microsoft.com/office/drawing/2014/main" id="{B9193902-3165-42B9-B07A-B05346A0B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1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6648" name="Picture@5C\QPendientes@" descr="@5C\QPendientes@">
          <a:extLst>
            <a:ext uri="{FF2B5EF4-FFF2-40B4-BE49-F238E27FC236}">
              <a16:creationId xmlns:a16="http://schemas.microsoft.com/office/drawing/2014/main" id="{E1823517-077C-4BA6-BCE2-42D84CE8F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2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6649" name="Picture@5C\QPendientes@" descr="@5C\QPendientes@">
          <a:extLst>
            <a:ext uri="{FF2B5EF4-FFF2-40B4-BE49-F238E27FC236}">
              <a16:creationId xmlns:a16="http://schemas.microsoft.com/office/drawing/2014/main" id="{46EA28D2-2B04-495A-93C3-CEE9D8A09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4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6650" name="Picture@5C\QPendientes@" descr="@5C\QPendientes@">
          <a:extLst>
            <a:ext uri="{FF2B5EF4-FFF2-40B4-BE49-F238E27FC236}">
              <a16:creationId xmlns:a16="http://schemas.microsoft.com/office/drawing/2014/main" id="{DB521BE4-9F50-42CF-89DC-4E0BA5C5E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6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6651" name="Picture@5C\QPendientes@" descr="@5C\QPendientes@">
          <a:extLst>
            <a:ext uri="{FF2B5EF4-FFF2-40B4-BE49-F238E27FC236}">
              <a16:creationId xmlns:a16="http://schemas.microsoft.com/office/drawing/2014/main" id="{25292C1E-2A8C-46B0-815A-9E83382BE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8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6652" name="Picture@5C\QPendientes@" descr="@5C\QPendientes@">
          <a:extLst>
            <a:ext uri="{FF2B5EF4-FFF2-40B4-BE49-F238E27FC236}">
              <a16:creationId xmlns:a16="http://schemas.microsoft.com/office/drawing/2014/main" id="{D476F0C4-CBB7-4B2F-B166-B70638FFC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0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6653" name="Picture@5C\QPendientes@" descr="@5C\QPendientes@">
          <a:extLst>
            <a:ext uri="{FF2B5EF4-FFF2-40B4-BE49-F238E27FC236}">
              <a16:creationId xmlns:a16="http://schemas.microsoft.com/office/drawing/2014/main" id="{B3225566-0CC2-4948-85BB-531160A72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6654" name="Picture@5C\QPendientes@" descr="@5C\QPendientes@">
          <a:extLst>
            <a:ext uri="{FF2B5EF4-FFF2-40B4-BE49-F238E27FC236}">
              <a16:creationId xmlns:a16="http://schemas.microsoft.com/office/drawing/2014/main" id="{4E4B83C8-0BA2-42D1-AD9D-11EC17F26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3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6655" name="Picture@5C\QPendientes@" descr="@5C\QPendientes@">
          <a:extLst>
            <a:ext uri="{FF2B5EF4-FFF2-40B4-BE49-F238E27FC236}">
              <a16:creationId xmlns:a16="http://schemas.microsoft.com/office/drawing/2014/main" id="{174968D2-3A59-47EB-8F09-0E01D829E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5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6656" name="Picture@5C\QPendientes@" descr="@5C\QPendientes@">
          <a:extLst>
            <a:ext uri="{FF2B5EF4-FFF2-40B4-BE49-F238E27FC236}">
              <a16:creationId xmlns:a16="http://schemas.microsoft.com/office/drawing/2014/main" id="{124EC7EE-FE14-4F92-A38C-B181E8037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7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6657" name="Picture@5C\QPendientes@" descr="@5C\QPendientes@">
          <a:extLst>
            <a:ext uri="{FF2B5EF4-FFF2-40B4-BE49-F238E27FC236}">
              <a16:creationId xmlns:a16="http://schemas.microsoft.com/office/drawing/2014/main" id="{0B6DD723-36D0-4BE3-ACDF-4D75E43C1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9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6658" name="Picture@5C\QPendientes@" descr="@5C\QPendientes@">
          <a:extLst>
            <a:ext uri="{FF2B5EF4-FFF2-40B4-BE49-F238E27FC236}">
              <a16:creationId xmlns:a16="http://schemas.microsoft.com/office/drawing/2014/main" id="{A16FE569-9206-45E2-B787-79617B087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1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6659" name="Picture@5C\QPendientes@" descr="@5C\QPendientes@">
          <a:extLst>
            <a:ext uri="{FF2B5EF4-FFF2-40B4-BE49-F238E27FC236}">
              <a16:creationId xmlns:a16="http://schemas.microsoft.com/office/drawing/2014/main" id="{D3A6D7AF-5F29-4C42-A451-67097AC4F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3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6660" name="Picture@5C\QPendientes@" descr="@5C\QPendientes@">
          <a:extLst>
            <a:ext uri="{FF2B5EF4-FFF2-40B4-BE49-F238E27FC236}">
              <a16:creationId xmlns:a16="http://schemas.microsoft.com/office/drawing/2014/main" id="{70E76170-9F90-4F46-B212-578607487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4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6661" name="Picture@5C\QPendientes@" descr="@5C\QPendientes@">
          <a:extLst>
            <a:ext uri="{FF2B5EF4-FFF2-40B4-BE49-F238E27FC236}">
              <a16:creationId xmlns:a16="http://schemas.microsoft.com/office/drawing/2014/main" id="{E9D9C7AD-5ED3-4084-851D-557731B37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6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6662" name="Picture@5C\QPendientes@" descr="@5C\QPendientes@">
          <a:extLst>
            <a:ext uri="{FF2B5EF4-FFF2-40B4-BE49-F238E27FC236}">
              <a16:creationId xmlns:a16="http://schemas.microsoft.com/office/drawing/2014/main" id="{349457D3-7763-4461-9843-40E3879AF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8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6663" name="Picture@5C\QPendientes@" descr="@5C\QPendientes@">
          <a:extLst>
            <a:ext uri="{FF2B5EF4-FFF2-40B4-BE49-F238E27FC236}">
              <a16:creationId xmlns:a16="http://schemas.microsoft.com/office/drawing/2014/main" id="{476EC41D-741D-44BE-AACE-B1C4DEBEF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6664" name="Picture@5C\QPendientes@" descr="@5C\QPendientes@">
          <a:extLst>
            <a:ext uri="{FF2B5EF4-FFF2-40B4-BE49-F238E27FC236}">
              <a16:creationId xmlns:a16="http://schemas.microsoft.com/office/drawing/2014/main" id="{F80D3368-DA5B-47EB-9509-BBAE98204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2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6665" name="Picture@5C\QPendientes@" descr="@5C\QPendientes@">
          <a:extLst>
            <a:ext uri="{FF2B5EF4-FFF2-40B4-BE49-F238E27FC236}">
              <a16:creationId xmlns:a16="http://schemas.microsoft.com/office/drawing/2014/main" id="{FD0F465D-C876-474A-B871-8206F9D83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3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6666" name="Picture@5C\QPendientes@" descr="@5C\QPendientes@">
          <a:extLst>
            <a:ext uri="{FF2B5EF4-FFF2-40B4-BE49-F238E27FC236}">
              <a16:creationId xmlns:a16="http://schemas.microsoft.com/office/drawing/2014/main" id="{DA8F900C-E33A-4496-B431-41F383EB0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5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6667" name="Picture@5C\QPendientes@" descr="@5C\QPendientes@">
          <a:extLst>
            <a:ext uri="{FF2B5EF4-FFF2-40B4-BE49-F238E27FC236}">
              <a16:creationId xmlns:a16="http://schemas.microsoft.com/office/drawing/2014/main" id="{7D0B5CE3-C9E9-4C66-ADA5-0C84EFE43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7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6668" name="Picture@5C\QPendientes@" descr="@5C\QPendientes@">
          <a:extLst>
            <a:ext uri="{FF2B5EF4-FFF2-40B4-BE49-F238E27FC236}">
              <a16:creationId xmlns:a16="http://schemas.microsoft.com/office/drawing/2014/main" id="{E27ECAF8-99EA-44BC-9EC8-286087D1F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9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6669" name="Picture@5C\QPendientes@" descr="@5C\QPendientes@">
          <a:extLst>
            <a:ext uri="{FF2B5EF4-FFF2-40B4-BE49-F238E27FC236}">
              <a16:creationId xmlns:a16="http://schemas.microsoft.com/office/drawing/2014/main" id="{E25485F2-A2C9-4080-8844-F1A947B19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1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6670" name="Picture@5C\QPendientes@" descr="@5C\QPendientes@">
          <a:extLst>
            <a:ext uri="{FF2B5EF4-FFF2-40B4-BE49-F238E27FC236}">
              <a16:creationId xmlns:a16="http://schemas.microsoft.com/office/drawing/2014/main" id="{07A27221-BCC2-48D0-A6CB-925368FEE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3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6671" name="Picture@5C\QPendientes@" descr="@5C\QPendientes@">
          <a:extLst>
            <a:ext uri="{FF2B5EF4-FFF2-40B4-BE49-F238E27FC236}">
              <a16:creationId xmlns:a16="http://schemas.microsoft.com/office/drawing/2014/main" id="{B7EF3E32-F5E0-4A90-B20E-07F528C6C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4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6672" name="Picture@5C\QPendientes@" descr="@5C\QPendientes@">
          <a:extLst>
            <a:ext uri="{FF2B5EF4-FFF2-40B4-BE49-F238E27FC236}">
              <a16:creationId xmlns:a16="http://schemas.microsoft.com/office/drawing/2014/main" id="{6A30BE18-9640-4F3E-B8CD-1CDF29D2D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6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6673" name="Picture@5C\QPendientes@" descr="@5C\QPendientes@">
          <a:extLst>
            <a:ext uri="{FF2B5EF4-FFF2-40B4-BE49-F238E27FC236}">
              <a16:creationId xmlns:a16="http://schemas.microsoft.com/office/drawing/2014/main" id="{28196AC6-4BB7-476E-BA1F-18B94ED7C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6674" name="Picture@5C\QPendientes@" descr="@5C\QPendientes@">
          <a:extLst>
            <a:ext uri="{FF2B5EF4-FFF2-40B4-BE49-F238E27FC236}">
              <a16:creationId xmlns:a16="http://schemas.microsoft.com/office/drawing/2014/main" id="{883CC642-BBB2-4B70-9DD1-F065D745A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0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6675" name="Picture@5C\QPendientes@" descr="@5C\QPendientes@">
          <a:extLst>
            <a:ext uri="{FF2B5EF4-FFF2-40B4-BE49-F238E27FC236}">
              <a16:creationId xmlns:a16="http://schemas.microsoft.com/office/drawing/2014/main" id="{060D643E-10A4-4376-8C8D-B42A6B38B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2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6676" name="Picture@5C\QPendientes@" descr="@5C\QPendientes@">
          <a:extLst>
            <a:ext uri="{FF2B5EF4-FFF2-40B4-BE49-F238E27FC236}">
              <a16:creationId xmlns:a16="http://schemas.microsoft.com/office/drawing/2014/main" id="{91EEB94E-9BEE-40BB-AF7A-5BA33996A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4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6677" name="Picture@5C\QPendientes@" descr="@5C\QPendientes@">
          <a:extLst>
            <a:ext uri="{FF2B5EF4-FFF2-40B4-BE49-F238E27FC236}">
              <a16:creationId xmlns:a16="http://schemas.microsoft.com/office/drawing/2014/main" id="{CA5313A0-3594-4C00-A3CB-4AA051B73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5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6678" name="Picture@5C\QPendientes@" descr="@5C\QPendientes@">
          <a:extLst>
            <a:ext uri="{FF2B5EF4-FFF2-40B4-BE49-F238E27FC236}">
              <a16:creationId xmlns:a16="http://schemas.microsoft.com/office/drawing/2014/main" id="{6174191B-83A5-4DA0-AFFE-2B9468622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7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6679" name="Picture@5C\QPendientes@" descr="@5C\QPendientes@">
          <a:extLst>
            <a:ext uri="{FF2B5EF4-FFF2-40B4-BE49-F238E27FC236}">
              <a16:creationId xmlns:a16="http://schemas.microsoft.com/office/drawing/2014/main" id="{8B31D16F-A76D-4B72-96E7-6B0E8F905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9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6680" name="Picture@5C\QPendientes@" descr="@5C\QPendientes@">
          <a:extLst>
            <a:ext uri="{FF2B5EF4-FFF2-40B4-BE49-F238E27FC236}">
              <a16:creationId xmlns:a16="http://schemas.microsoft.com/office/drawing/2014/main" id="{8528FB83-8BB1-42B2-8027-6CFE81116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1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6681" name="Picture@5C\QPendientes@" descr="@5C\QPendientes@">
          <a:extLst>
            <a:ext uri="{FF2B5EF4-FFF2-40B4-BE49-F238E27FC236}">
              <a16:creationId xmlns:a16="http://schemas.microsoft.com/office/drawing/2014/main" id="{31E39441-9E27-498A-99EC-F254DF4E2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3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6682" name="Picture@5C\QPendientes@" descr="@5C\QPendientes@">
          <a:extLst>
            <a:ext uri="{FF2B5EF4-FFF2-40B4-BE49-F238E27FC236}">
              <a16:creationId xmlns:a16="http://schemas.microsoft.com/office/drawing/2014/main" id="{47BEE1C4-C072-4814-9ED3-DF2A7BC39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5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6683" name="Picture@5C\QPendientes@" descr="@5C\QPendientes@">
          <a:extLst>
            <a:ext uri="{FF2B5EF4-FFF2-40B4-BE49-F238E27FC236}">
              <a16:creationId xmlns:a16="http://schemas.microsoft.com/office/drawing/2014/main" id="{1FDB63B1-1C02-41A7-900B-9CD1AEF42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6684" name="Picture@5C\QPendientes@" descr="@5C\QPendientes@">
          <a:extLst>
            <a:ext uri="{FF2B5EF4-FFF2-40B4-BE49-F238E27FC236}">
              <a16:creationId xmlns:a16="http://schemas.microsoft.com/office/drawing/2014/main" id="{6448C72F-F4C9-4B3B-B585-CA8FAED28B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8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6685" name="Picture@5C\QPendientes@" descr="@5C\QPendientes@">
          <a:extLst>
            <a:ext uri="{FF2B5EF4-FFF2-40B4-BE49-F238E27FC236}">
              <a16:creationId xmlns:a16="http://schemas.microsoft.com/office/drawing/2014/main" id="{58B45247-1FB8-4F0C-821E-83CB0B4D9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0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6686" name="Picture@5C\QPendientes@" descr="@5C\QPendientes@">
          <a:extLst>
            <a:ext uri="{FF2B5EF4-FFF2-40B4-BE49-F238E27FC236}">
              <a16:creationId xmlns:a16="http://schemas.microsoft.com/office/drawing/2014/main" id="{A85F3132-6E2B-41A7-952D-8B270890C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2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6687" name="Picture@5C\QPendientes@" descr="@5C\QPendientes@">
          <a:extLst>
            <a:ext uri="{FF2B5EF4-FFF2-40B4-BE49-F238E27FC236}">
              <a16:creationId xmlns:a16="http://schemas.microsoft.com/office/drawing/2014/main" id="{1CB05544-75BA-4080-B531-27116FF17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4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6688" name="Picture@5C\QPendientes@" descr="@5C\QPendientes@">
          <a:extLst>
            <a:ext uri="{FF2B5EF4-FFF2-40B4-BE49-F238E27FC236}">
              <a16:creationId xmlns:a16="http://schemas.microsoft.com/office/drawing/2014/main" id="{615F03D5-9F41-45D4-8617-509AE373A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6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6689" name="Picture@5C\QPendientes@" descr="@5C\QPendientes@">
          <a:extLst>
            <a:ext uri="{FF2B5EF4-FFF2-40B4-BE49-F238E27FC236}">
              <a16:creationId xmlns:a16="http://schemas.microsoft.com/office/drawing/2014/main" id="{51FCFA10-9DF4-408D-A837-5443DA063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7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6690" name="Picture@5C\QPendientes@" descr="@5C\QPendientes@">
          <a:extLst>
            <a:ext uri="{FF2B5EF4-FFF2-40B4-BE49-F238E27FC236}">
              <a16:creationId xmlns:a16="http://schemas.microsoft.com/office/drawing/2014/main" id="{B0F3A60F-5C05-43CD-96BB-686EDDCEA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9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6691" name="Picture@5C\QPendientes@" descr="@5C\QPendientes@">
          <a:extLst>
            <a:ext uri="{FF2B5EF4-FFF2-40B4-BE49-F238E27FC236}">
              <a16:creationId xmlns:a16="http://schemas.microsoft.com/office/drawing/2014/main" id="{E1FF3080-79DA-4722-AB72-4840BC2AD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1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6692" name="Picture@5C\QPendientes@" descr="@5C\QPendientes@">
          <a:extLst>
            <a:ext uri="{FF2B5EF4-FFF2-40B4-BE49-F238E27FC236}">
              <a16:creationId xmlns:a16="http://schemas.microsoft.com/office/drawing/2014/main" id="{9E0B2CDE-8594-4C94-85B4-2B47C856E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3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6693" name="Picture@5C\QPendientes@" descr="@5C\QPendientes@">
          <a:extLst>
            <a:ext uri="{FF2B5EF4-FFF2-40B4-BE49-F238E27FC236}">
              <a16:creationId xmlns:a16="http://schemas.microsoft.com/office/drawing/2014/main" id="{167EA0E7-0A58-45F8-AA73-7BA8A494E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6694" name="Picture@5C\QPendientes@" descr="@5C\QPendientes@">
          <a:extLst>
            <a:ext uri="{FF2B5EF4-FFF2-40B4-BE49-F238E27FC236}">
              <a16:creationId xmlns:a16="http://schemas.microsoft.com/office/drawing/2014/main" id="{5B7612B4-9A5C-439F-9FBE-9F1314F53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7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6695" name="Picture@5C\QPendientes@" descr="@5C\QPendientes@">
          <a:extLst>
            <a:ext uri="{FF2B5EF4-FFF2-40B4-BE49-F238E27FC236}">
              <a16:creationId xmlns:a16="http://schemas.microsoft.com/office/drawing/2014/main" id="{22B9D43F-CDFF-4C9F-A43D-8650C8997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8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6696" name="Picture@5C\QPendientes@" descr="@5C\QPendientes@">
          <a:extLst>
            <a:ext uri="{FF2B5EF4-FFF2-40B4-BE49-F238E27FC236}">
              <a16:creationId xmlns:a16="http://schemas.microsoft.com/office/drawing/2014/main" id="{7EE13655-AE91-41C6-9A20-F55014743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0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6697" name="Picture@5C\QPendientes@" descr="@5C\QPendientes@">
          <a:extLst>
            <a:ext uri="{FF2B5EF4-FFF2-40B4-BE49-F238E27FC236}">
              <a16:creationId xmlns:a16="http://schemas.microsoft.com/office/drawing/2014/main" id="{C625C555-EA91-43B3-A356-BBD0E48D0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2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6698" name="Picture@5C\QPendientes@" descr="@5C\QPendientes@">
          <a:extLst>
            <a:ext uri="{FF2B5EF4-FFF2-40B4-BE49-F238E27FC236}">
              <a16:creationId xmlns:a16="http://schemas.microsoft.com/office/drawing/2014/main" id="{2B749B88-9FF8-49FB-B908-BE137056E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4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6699" name="Picture@5C\QPendientes@" descr="@5C\QPendientes@">
          <a:extLst>
            <a:ext uri="{FF2B5EF4-FFF2-40B4-BE49-F238E27FC236}">
              <a16:creationId xmlns:a16="http://schemas.microsoft.com/office/drawing/2014/main" id="{C1AB5F15-5C25-4726-8635-05F74A013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6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6700" name="Picture@5C\QPendientes@" descr="@5C\QPendientes@">
          <a:extLst>
            <a:ext uri="{FF2B5EF4-FFF2-40B4-BE49-F238E27FC236}">
              <a16:creationId xmlns:a16="http://schemas.microsoft.com/office/drawing/2014/main" id="{E402DF81-3078-46E7-AFD9-6B71CFD38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7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6701" name="Picture@5C\QPendientes@" descr="@5C\QPendientes@">
          <a:extLst>
            <a:ext uri="{FF2B5EF4-FFF2-40B4-BE49-F238E27FC236}">
              <a16:creationId xmlns:a16="http://schemas.microsoft.com/office/drawing/2014/main" id="{6E3AB1FD-DC56-410F-B221-CEDF32ED7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9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6702" name="Picture@5C\QPendientes@" descr="@5C\QPendientes@">
          <a:extLst>
            <a:ext uri="{FF2B5EF4-FFF2-40B4-BE49-F238E27FC236}">
              <a16:creationId xmlns:a16="http://schemas.microsoft.com/office/drawing/2014/main" id="{FA5C744C-5A2B-4624-B0FA-4291A92FE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1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6703" name="Picture@5C\QPendientes@" descr="@5C\QPendientes@">
          <a:extLst>
            <a:ext uri="{FF2B5EF4-FFF2-40B4-BE49-F238E27FC236}">
              <a16:creationId xmlns:a16="http://schemas.microsoft.com/office/drawing/2014/main" id="{F9ED222A-79B8-4B99-B504-554698FE3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6704" name="Picture@5C\QPendientes@" descr="@5C\QPendientes@">
          <a:extLst>
            <a:ext uri="{FF2B5EF4-FFF2-40B4-BE49-F238E27FC236}">
              <a16:creationId xmlns:a16="http://schemas.microsoft.com/office/drawing/2014/main" id="{4ED5A7F7-C1AF-4279-BDC2-45B519574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5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6705" name="Picture@5C\QPendientes@" descr="@5C\QPendientes@">
          <a:extLst>
            <a:ext uri="{FF2B5EF4-FFF2-40B4-BE49-F238E27FC236}">
              <a16:creationId xmlns:a16="http://schemas.microsoft.com/office/drawing/2014/main" id="{52AE84DF-A00E-442B-9E44-DDC96C7BA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7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6706" name="Picture@5C\QPendientes@" descr="@5C\QPendientes@">
          <a:extLst>
            <a:ext uri="{FF2B5EF4-FFF2-40B4-BE49-F238E27FC236}">
              <a16:creationId xmlns:a16="http://schemas.microsoft.com/office/drawing/2014/main" id="{F2CB88AA-FFA0-41E5-91F2-36CFEF8FC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8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6707" name="Picture@5C\QPendientes@" descr="@5C\QPendientes@">
          <a:extLst>
            <a:ext uri="{FF2B5EF4-FFF2-40B4-BE49-F238E27FC236}">
              <a16:creationId xmlns:a16="http://schemas.microsoft.com/office/drawing/2014/main" id="{93F73648-3E63-45D1-90EF-81C66A3BD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0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6708" name="Picture@5C\QPendientes@" descr="@5C\QPendientes@">
          <a:extLst>
            <a:ext uri="{FF2B5EF4-FFF2-40B4-BE49-F238E27FC236}">
              <a16:creationId xmlns:a16="http://schemas.microsoft.com/office/drawing/2014/main" id="{555B70F9-0CA6-406B-80E5-550A6BDDC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2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6709" name="Picture@5C\QPendientes@" descr="@5C\QPendientes@">
          <a:extLst>
            <a:ext uri="{FF2B5EF4-FFF2-40B4-BE49-F238E27FC236}">
              <a16:creationId xmlns:a16="http://schemas.microsoft.com/office/drawing/2014/main" id="{608CD349-D883-4B2C-BA1A-B77A8232E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4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6710" name="Picture@5C\QPendientes@" descr="@5C\QPendientes@">
          <a:extLst>
            <a:ext uri="{FF2B5EF4-FFF2-40B4-BE49-F238E27FC236}">
              <a16:creationId xmlns:a16="http://schemas.microsoft.com/office/drawing/2014/main" id="{D56D2E77-E5E4-4BEE-9636-C64DFD9D4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6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6711" name="Picture@5C\QPendientes@" descr="@5C\QPendientes@">
          <a:extLst>
            <a:ext uri="{FF2B5EF4-FFF2-40B4-BE49-F238E27FC236}">
              <a16:creationId xmlns:a16="http://schemas.microsoft.com/office/drawing/2014/main" id="{D260AB6F-1054-4E14-9EE5-4FFB32A09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8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6712" name="Picture@5C\QPendientes@" descr="@5C\QPendientes@">
          <a:extLst>
            <a:ext uri="{FF2B5EF4-FFF2-40B4-BE49-F238E27FC236}">
              <a16:creationId xmlns:a16="http://schemas.microsoft.com/office/drawing/2014/main" id="{B34E6B3F-D404-4768-8503-09C32D846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9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6713" name="Picture@5C\QPendientes@" descr="@5C\QPendientes@">
          <a:extLst>
            <a:ext uri="{FF2B5EF4-FFF2-40B4-BE49-F238E27FC236}">
              <a16:creationId xmlns:a16="http://schemas.microsoft.com/office/drawing/2014/main" id="{5B7C54A6-9777-41AE-BF42-4D7B0A80E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6714" name="Picture@5C\QPendientes@" descr="@5C\QPendientes@">
          <a:extLst>
            <a:ext uri="{FF2B5EF4-FFF2-40B4-BE49-F238E27FC236}">
              <a16:creationId xmlns:a16="http://schemas.microsoft.com/office/drawing/2014/main" id="{9C3AD884-11E1-40DC-BBFA-7B79C0761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3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6715" name="Picture@5C\QPendientes@" descr="@5C\QPendientes@">
          <a:extLst>
            <a:ext uri="{FF2B5EF4-FFF2-40B4-BE49-F238E27FC236}">
              <a16:creationId xmlns:a16="http://schemas.microsoft.com/office/drawing/2014/main" id="{75C625FB-561F-4FB6-BE2E-13E80E866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5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6716" name="Picture@5C\QPendientes@" descr="@5C\QPendientes@">
          <a:extLst>
            <a:ext uri="{FF2B5EF4-FFF2-40B4-BE49-F238E27FC236}">
              <a16:creationId xmlns:a16="http://schemas.microsoft.com/office/drawing/2014/main" id="{989FBA23-1BD2-4769-9B3D-40E88760C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7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6717" name="Picture@5C\QPendientes@" descr="@5C\QPendientes@">
          <a:extLst>
            <a:ext uri="{FF2B5EF4-FFF2-40B4-BE49-F238E27FC236}">
              <a16:creationId xmlns:a16="http://schemas.microsoft.com/office/drawing/2014/main" id="{7F116A6F-4AE4-4267-897C-1CC755B0D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9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6718" name="Picture@5C\QPendientes@" descr="@5C\QPendientes@">
          <a:extLst>
            <a:ext uri="{FF2B5EF4-FFF2-40B4-BE49-F238E27FC236}">
              <a16:creationId xmlns:a16="http://schemas.microsoft.com/office/drawing/2014/main" id="{29F7C883-E2C9-4C86-A9D3-15213BAFF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0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6719" name="Picture@5C\QPendientes@" descr="@5C\QPendientes@">
          <a:extLst>
            <a:ext uri="{FF2B5EF4-FFF2-40B4-BE49-F238E27FC236}">
              <a16:creationId xmlns:a16="http://schemas.microsoft.com/office/drawing/2014/main" id="{747A37AB-2E52-4DE6-BF44-CB975C434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2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6720" name="Picture@5C\QPendientes@" descr="@5C\QPendientes@">
          <a:extLst>
            <a:ext uri="{FF2B5EF4-FFF2-40B4-BE49-F238E27FC236}">
              <a16:creationId xmlns:a16="http://schemas.microsoft.com/office/drawing/2014/main" id="{E0433150-8D97-4D1B-926E-CF915DCC29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4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6721" name="Picture@5C\QPendientes@" descr="@5C\QPendientes@">
          <a:extLst>
            <a:ext uri="{FF2B5EF4-FFF2-40B4-BE49-F238E27FC236}">
              <a16:creationId xmlns:a16="http://schemas.microsoft.com/office/drawing/2014/main" id="{563A1799-E912-41B6-B51F-F81A4EF22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6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6722" name="Picture@5C\QPendientes@" descr="@5C\QPendientes@">
          <a:extLst>
            <a:ext uri="{FF2B5EF4-FFF2-40B4-BE49-F238E27FC236}">
              <a16:creationId xmlns:a16="http://schemas.microsoft.com/office/drawing/2014/main" id="{0EA3C218-EE7C-47AC-948B-3C1EA794D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8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6723" name="Picture@5C\QPendientes@" descr="@5C\QPendientes@">
          <a:extLst>
            <a:ext uri="{FF2B5EF4-FFF2-40B4-BE49-F238E27FC236}">
              <a16:creationId xmlns:a16="http://schemas.microsoft.com/office/drawing/2014/main" id="{751D407E-0B7D-4D81-9142-C8C697C50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6724" name="Picture@5C\QPendientes@" descr="@5C\QPendientes@">
          <a:extLst>
            <a:ext uri="{FF2B5EF4-FFF2-40B4-BE49-F238E27FC236}">
              <a16:creationId xmlns:a16="http://schemas.microsoft.com/office/drawing/2014/main" id="{C2A23FB9-804D-4B86-9AB7-46032B48C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1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6725" name="Picture@5C\QPendientes@" descr="@5C\QPendientes@">
          <a:extLst>
            <a:ext uri="{FF2B5EF4-FFF2-40B4-BE49-F238E27FC236}">
              <a16:creationId xmlns:a16="http://schemas.microsoft.com/office/drawing/2014/main" id="{4DD9BED5-85C0-48E1-A41E-34F87C17A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3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6726" name="Picture@5C\QPendientes@" descr="@5C\QPendientes@">
          <a:extLst>
            <a:ext uri="{FF2B5EF4-FFF2-40B4-BE49-F238E27FC236}">
              <a16:creationId xmlns:a16="http://schemas.microsoft.com/office/drawing/2014/main" id="{593887FF-FAE6-40A8-8B6F-E041F2006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5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6727" name="Picture@5C\QPendientes@" descr="@5C\QPendientes@">
          <a:extLst>
            <a:ext uri="{FF2B5EF4-FFF2-40B4-BE49-F238E27FC236}">
              <a16:creationId xmlns:a16="http://schemas.microsoft.com/office/drawing/2014/main" id="{142005CA-9C79-48D9-A6DE-CDE9206A3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7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6728" name="Picture@5C\QPendientes@" descr="@5C\QPendientes@">
          <a:extLst>
            <a:ext uri="{FF2B5EF4-FFF2-40B4-BE49-F238E27FC236}">
              <a16:creationId xmlns:a16="http://schemas.microsoft.com/office/drawing/2014/main" id="{E2BDCEB9-C89C-497C-84B3-B9D4087D9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9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6729" name="Picture@5C\QPendientes@" descr="@5C\QPendientes@">
          <a:extLst>
            <a:ext uri="{FF2B5EF4-FFF2-40B4-BE49-F238E27FC236}">
              <a16:creationId xmlns:a16="http://schemas.microsoft.com/office/drawing/2014/main" id="{1798A85E-51F8-4E15-92B0-62297B25C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1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6730" name="Picture@5C\QPendientes@" descr="@5C\QPendientes@">
          <a:extLst>
            <a:ext uri="{FF2B5EF4-FFF2-40B4-BE49-F238E27FC236}">
              <a16:creationId xmlns:a16="http://schemas.microsoft.com/office/drawing/2014/main" id="{B2937CB2-34EE-4E01-AD5E-EBB8368A0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2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6731" name="Picture@5C\QPendientes@" descr="@5C\QPendientes@">
          <a:extLst>
            <a:ext uri="{FF2B5EF4-FFF2-40B4-BE49-F238E27FC236}">
              <a16:creationId xmlns:a16="http://schemas.microsoft.com/office/drawing/2014/main" id="{4422F2E6-15E2-42C0-9B39-6E90DEDF9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4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6732" name="Picture@5C\QPendientes@" descr="@5C\QPendientes@">
          <a:extLst>
            <a:ext uri="{FF2B5EF4-FFF2-40B4-BE49-F238E27FC236}">
              <a16:creationId xmlns:a16="http://schemas.microsoft.com/office/drawing/2014/main" id="{3F5F844D-A65C-4F7D-85FD-51F6B4646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6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6733" name="Picture@5C\QPendientes@" descr="@5C\QPendientes@">
          <a:extLst>
            <a:ext uri="{FF2B5EF4-FFF2-40B4-BE49-F238E27FC236}">
              <a16:creationId xmlns:a16="http://schemas.microsoft.com/office/drawing/2014/main" id="{A0B63261-C4B6-4351-9A54-774AA50A8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6734" name="Picture@5C\QPendientes@" descr="@5C\QPendientes@">
          <a:extLst>
            <a:ext uri="{FF2B5EF4-FFF2-40B4-BE49-F238E27FC236}">
              <a16:creationId xmlns:a16="http://schemas.microsoft.com/office/drawing/2014/main" id="{D297A861-8281-43E6-99A6-4ACC265A9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0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6735" name="Picture@5C\QPendientes@" descr="@5C\QPendientes@">
          <a:extLst>
            <a:ext uri="{FF2B5EF4-FFF2-40B4-BE49-F238E27FC236}">
              <a16:creationId xmlns:a16="http://schemas.microsoft.com/office/drawing/2014/main" id="{CEBBC68E-9358-4482-8F8D-36A467A33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1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6736" name="Picture@5C\QPendientes@" descr="@5C\QPendientes@">
          <a:extLst>
            <a:ext uri="{FF2B5EF4-FFF2-40B4-BE49-F238E27FC236}">
              <a16:creationId xmlns:a16="http://schemas.microsoft.com/office/drawing/2014/main" id="{084C5F1E-4C2E-48B1-B887-0914E960B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3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6737" name="Picture@5C\QPendientes@" descr="@5C\QPendientes@">
          <a:extLst>
            <a:ext uri="{FF2B5EF4-FFF2-40B4-BE49-F238E27FC236}">
              <a16:creationId xmlns:a16="http://schemas.microsoft.com/office/drawing/2014/main" id="{75912846-970B-4F1E-A6D9-48A86B9DA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5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6738" name="Picture@5C\QPendientes@" descr="@5C\QPendientes@">
          <a:extLst>
            <a:ext uri="{FF2B5EF4-FFF2-40B4-BE49-F238E27FC236}">
              <a16:creationId xmlns:a16="http://schemas.microsoft.com/office/drawing/2014/main" id="{88ADABBC-F43E-4FEF-BD1D-83B7426FE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7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6739" name="Picture@5C\QPendientes@" descr="@5C\QPendientes@">
          <a:extLst>
            <a:ext uri="{FF2B5EF4-FFF2-40B4-BE49-F238E27FC236}">
              <a16:creationId xmlns:a16="http://schemas.microsoft.com/office/drawing/2014/main" id="{193B45A2-A1F1-4CC9-BD69-81EB12BFD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9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6740" name="Picture@5C\QPendientes@" descr="@5C\QPendientes@">
          <a:extLst>
            <a:ext uri="{FF2B5EF4-FFF2-40B4-BE49-F238E27FC236}">
              <a16:creationId xmlns:a16="http://schemas.microsoft.com/office/drawing/2014/main" id="{CEF584F2-6E88-4471-A8EE-922B76093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1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6741" name="Picture@5C\QPendientes@" descr="@5C\QPendientes@">
          <a:extLst>
            <a:ext uri="{FF2B5EF4-FFF2-40B4-BE49-F238E27FC236}">
              <a16:creationId xmlns:a16="http://schemas.microsoft.com/office/drawing/2014/main" id="{B5C26F9B-0731-4855-B200-43C4BD166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2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6742" name="Picture@5C\QPendientes@" descr="@5C\QPendientes@">
          <a:extLst>
            <a:ext uri="{FF2B5EF4-FFF2-40B4-BE49-F238E27FC236}">
              <a16:creationId xmlns:a16="http://schemas.microsoft.com/office/drawing/2014/main" id="{62B8651F-FAD9-489B-B6C3-AEFAA0DB5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4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6743" name="Picture@5C\QPendientes@" descr="@5C\QPendientes@">
          <a:extLst>
            <a:ext uri="{FF2B5EF4-FFF2-40B4-BE49-F238E27FC236}">
              <a16:creationId xmlns:a16="http://schemas.microsoft.com/office/drawing/2014/main" id="{C1EFB0B0-9214-4720-A8BD-FD7976DF0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6744" name="Picture@5C\QPendientes@" descr="@5C\QPendientes@">
          <a:extLst>
            <a:ext uri="{FF2B5EF4-FFF2-40B4-BE49-F238E27FC236}">
              <a16:creationId xmlns:a16="http://schemas.microsoft.com/office/drawing/2014/main" id="{AE1804BD-5C2F-4122-BBCC-7D071DE5A1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8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6745" name="Picture@5C\QPendientes@" descr="@5C\QPendientes@">
          <a:extLst>
            <a:ext uri="{FF2B5EF4-FFF2-40B4-BE49-F238E27FC236}">
              <a16:creationId xmlns:a16="http://schemas.microsoft.com/office/drawing/2014/main" id="{729FBDD9-40A3-4EDF-B70C-D62FEEA5B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0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6746" name="Picture@5C\QPendientes@" descr="@5C\QPendientes@">
          <a:extLst>
            <a:ext uri="{FF2B5EF4-FFF2-40B4-BE49-F238E27FC236}">
              <a16:creationId xmlns:a16="http://schemas.microsoft.com/office/drawing/2014/main" id="{EAA5AF7F-7BD7-4B42-8328-E0F837DEF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2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6747" name="Picture@5C\QPendientes@" descr="@5C\QPendientes@">
          <a:extLst>
            <a:ext uri="{FF2B5EF4-FFF2-40B4-BE49-F238E27FC236}">
              <a16:creationId xmlns:a16="http://schemas.microsoft.com/office/drawing/2014/main" id="{3F367D8A-6361-4D1B-9265-E733A1210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3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6748" name="Picture@5C\QPendientes@" descr="@5C\QPendientes@">
          <a:extLst>
            <a:ext uri="{FF2B5EF4-FFF2-40B4-BE49-F238E27FC236}">
              <a16:creationId xmlns:a16="http://schemas.microsoft.com/office/drawing/2014/main" id="{EF0E637C-C7FC-4F2F-A0E1-9BB6F3A8B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5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6749" name="Picture@5C\QPendientes@" descr="@5C\QPendientes@">
          <a:extLst>
            <a:ext uri="{FF2B5EF4-FFF2-40B4-BE49-F238E27FC236}">
              <a16:creationId xmlns:a16="http://schemas.microsoft.com/office/drawing/2014/main" id="{7C8EF441-CB87-4043-9333-EF17DE371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7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6750" name="Picture@5C\QPendientes@" descr="@5C\QPendientes@">
          <a:extLst>
            <a:ext uri="{FF2B5EF4-FFF2-40B4-BE49-F238E27FC236}">
              <a16:creationId xmlns:a16="http://schemas.microsoft.com/office/drawing/2014/main" id="{039226FD-7D03-4553-A5F1-F78E5E0FD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9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6751" name="Picture@5C\QPendientes@" descr="@5C\QPendientes@">
          <a:extLst>
            <a:ext uri="{FF2B5EF4-FFF2-40B4-BE49-F238E27FC236}">
              <a16:creationId xmlns:a16="http://schemas.microsoft.com/office/drawing/2014/main" id="{5BB2977F-DAE7-4B2C-869B-6301AD227A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1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6752" name="Picture@5C\QPendientes@" descr="@5C\QPendientes@">
          <a:extLst>
            <a:ext uri="{FF2B5EF4-FFF2-40B4-BE49-F238E27FC236}">
              <a16:creationId xmlns:a16="http://schemas.microsoft.com/office/drawing/2014/main" id="{91378792-312C-420F-A55C-BC6A42130A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3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6753" name="Picture@5C\QPendientes@" descr="@5C\QPendientes@">
          <a:extLst>
            <a:ext uri="{FF2B5EF4-FFF2-40B4-BE49-F238E27FC236}">
              <a16:creationId xmlns:a16="http://schemas.microsoft.com/office/drawing/2014/main" id="{4C7B1628-A5CA-4E61-A720-8BE204162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6754" name="Picture@5C\QPendientes@" descr="@5C\QPendientes@">
          <a:extLst>
            <a:ext uri="{FF2B5EF4-FFF2-40B4-BE49-F238E27FC236}">
              <a16:creationId xmlns:a16="http://schemas.microsoft.com/office/drawing/2014/main" id="{3B8DBAA9-9136-477E-9B2E-3D2B0AAB1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6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6755" name="Picture@5C\QPendientes@" descr="@5C\QPendientes@">
          <a:extLst>
            <a:ext uri="{FF2B5EF4-FFF2-40B4-BE49-F238E27FC236}">
              <a16:creationId xmlns:a16="http://schemas.microsoft.com/office/drawing/2014/main" id="{5A921741-7824-441C-9FF4-664234F79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8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6756" name="Picture@5C\QPendientes@" descr="@5C\QPendientes@">
          <a:extLst>
            <a:ext uri="{FF2B5EF4-FFF2-40B4-BE49-F238E27FC236}">
              <a16:creationId xmlns:a16="http://schemas.microsoft.com/office/drawing/2014/main" id="{2AC8BA7B-3E1C-405D-84EB-03693240C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0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6757" name="Picture@5C\QPendientes@" descr="@5C\QPendientes@">
          <a:extLst>
            <a:ext uri="{FF2B5EF4-FFF2-40B4-BE49-F238E27FC236}">
              <a16:creationId xmlns:a16="http://schemas.microsoft.com/office/drawing/2014/main" id="{87ECDEFE-B1A0-4E29-9938-8DCAE17A1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2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6758" name="Picture@5C\QPendientes@" descr="@5C\QPendientes@">
          <a:extLst>
            <a:ext uri="{FF2B5EF4-FFF2-40B4-BE49-F238E27FC236}">
              <a16:creationId xmlns:a16="http://schemas.microsoft.com/office/drawing/2014/main" id="{3F68B586-0EAF-4237-BA6F-D4CE5E2A2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4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6759" name="Picture@5C\QPendientes@" descr="@5C\QPendientes@">
          <a:extLst>
            <a:ext uri="{FF2B5EF4-FFF2-40B4-BE49-F238E27FC236}">
              <a16:creationId xmlns:a16="http://schemas.microsoft.com/office/drawing/2014/main" id="{E9BFE4EB-9003-44ED-A460-728E21058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5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6760" name="Picture@5C\QPendientes@" descr="@5C\QPendientes@">
          <a:extLst>
            <a:ext uri="{FF2B5EF4-FFF2-40B4-BE49-F238E27FC236}">
              <a16:creationId xmlns:a16="http://schemas.microsoft.com/office/drawing/2014/main" id="{7D86536C-B968-4DA6-9E14-5DD7471D6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7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6761" name="Picture@5C\QPendientes@" descr="@5C\QPendientes@">
          <a:extLst>
            <a:ext uri="{FF2B5EF4-FFF2-40B4-BE49-F238E27FC236}">
              <a16:creationId xmlns:a16="http://schemas.microsoft.com/office/drawing/2014/main" id="{1C233FC7-9880-4E3C-8FB7-85EEF00B5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9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6762" name="Picture@5C\QPendientes@" descr="@5C\QPendientes@">
          <a:extLst>
            <a:ext uri="{FF2B5EF4-FFF2-40B4-BE49-F238E27FC236}">
              <a16:creationId xmlns:a16="http://schemas.microsoft.com/office/drawing/2014/main" id="{74580DE3-D701-4BAF-A555-BB06B6924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1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6763" name="Picture@5C\QPendientes@" descr="@5C\QPendientes@">
          <a:extLst>
            <a:ext uri="{FF2B5EF4-FFF2-40B4-BE49-F238E27FC236}">
              <a16:creationId xmlns:a16="http://schemas.microsoft.com/office/drawing/2014/main" id="{6F1D7D31-554D-438A-98FD-6942AA03B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6764" name="Picture@5C\QPendientes@" descr="@5C\QPendientes@">
          <a:extLst>
            <a:ext uri="{FF2B5EF4-FFF2-40B4-BE49-F238E27FC236}">
              <a16:creationId xmlns:a16="http://schemas.microsoft.com/office/drawing/2014/main" id="{C86ED248-6496-4AD8-BFA1-E7829ACC2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5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6765" name="Picture@5C\QPendientes@" descr="@5C\QPendientes@">
          <a:extLst>
            <a:ext uri="{FF2B5EF4-FFF2-40B4-BE49-F238E27FC236}">
              <a16:creationId xmlns:a16="http://schemas.microsoft.com/office/drawing/2014/main" id="{6DDE34DD-BB17-4ABF-BF17-AC58A5F5C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6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6766" name="Picture@5C\QPendientes@" descr="@5C\QPendientes@">
          <a:extLst>
            <a:ext uri="{FF2B5EF4-FFF2-40B4-BE49-F238E27FC236}">
              <a16:creationId xmlns:a16="http://schemas.microsoft.com/office/drawing/2014/main" id="{99A9AD0B-6855-4AE6-B892-A690087DF9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8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6767" name="Picture@5C\QPendientes@" descr="@5C\QPendientes@">
          <a:extLst>
            <a:ext uri="{FF2B5EF4-FFF2-40B4-BE49-F238E27FC236}">
              <a16:creationId xmlns:a16="http://schemas.microsoft.com/office/drawing/2014/main" id="{DABC3201-AE9E-4CD2-87F0-4CA2604AD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0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6768" name="Picture@5C\QPendientes@" descr="@5C\QPendientes@">
          <a:extLst>
            <a:ext uri="{FF2B5EF4-FFF2-40B4-BE49-F238E27FC236}">
              <a16:creationId xmlns:a16="http://schemas.microsoft.com/office/drawing/2014/main" id="{26A52FA6-53FB-4221-AEE7-5469D9F4E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2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6769" name="Picture@5C\QPendientes@" descr="@5C\QPendientes@">
          <a:extLst>
            <a:ext uri="{FF2B5EF4-FFF2-40B4-BE49-F238E27FC236}">
              <a16:creationId xmlns:a16="http://schemas.microsoft.com/office/drawing/2014/main" id="{414BDD97-019A-4EE4-A6C7-EB89C038D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4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6770" name="Picture@5C\QPendientes@" descr="@5C\QPendientes@">
          <a:extLst>
            <a:ext uri="{FF2B5EF4-FFF2-40B4-BE49-F238E27FC236}">
              <a16:creationId xmlns:a16="http://schemas.microsoft.com/office/drawing/2014/main" id="{624C967C-B961-4234-85C2-6CB3FCE74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6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6771" name="Picture@5C\QPendientes@" descr="@5C\QPendientes@">
          <a:extLst>
            <a:ext uri="{FF2B5EF4-FFF2-40B4-BE49-F238E27FC236}">
              <a16:creationId xmlns:a16="http://schemas.microsoft.com/office/drawing/2014/main" id="{611AFFD4-FFA4-4C58-A438-7DF6C4F85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7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6772" name="Picture@5C\QPendientes@" descr="@5C\QPendientes@">
          <a:extLst>
            <a:ext uri="{FF2B5EF4-FFF2-40B4-BE49-F238E27FC236}">
              <a16:creationId xmlns:a16="http://schemas.microsoft.com/office/drawing/2014/main" id="{DF1DF8A9-FB1B-4722-9AA7-84B6B8DB0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9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6773" name="Picture@5C\QPendientes@" descr="@5C\QPendientes@">
          <a:extLst>
            <a:ext uri="{FF2B5EF4-FFF2-40B4-BE49-F238E27FC236}">
              <a16:creationId xmlns:a16="http://schemas.microsoft.com/office/drawing/2014/main" id="{3D70DB83-A999-4C9B-842A-7083E074A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6774" name="Picture@5C\QPendientes@" descr="@5C\QPendientes@">
          <a:extLst>
            <a:ext uri="{FF2B5EF4-FFF2-40B4-BE49-F238E27FC236}">
              <a16:creationId xmlns:a16="http://schemas.microsoft.com/office/drawing/2014/main" id="{E52E99C4-02DF-45DA-AAD9-9F37634AF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3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6775" name="Picture@5C\QPendientes@" descr="@5C\QPendientes@">
          <a:extLst>
            <a:ext uri="{FF2B5EF4-FFF2-40B4-BE49-F238E27FC236}">
              <a16:creationId xmlns:a16="http://schemas.microsoft.com/office/drawing/2014/main" id="{592B786F-984F-4387-AB4D-30A501DC6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5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6776" name="Picture@5C\QPendientes@" descr="@5C\QPendientes@">
          <a:extLst>
            <a:ext uri="{FF2B5EF4-FFF2-40B4-BE49-F238E27FC236}">
              <a16:creationId xmlns:a16="http://schemas.microsoft.com/office/drawing/2014/main" id="{25881342-D874-414C-A350-A62A62E03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6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6777" name="Picture@5C\QPendientes@" descr="@5C\QPendientes@">
          <a:extLst>
            <a:ext uri="{FF2B5EF4-FFF2-40B4-BE49-F238E27FC236}">
              <a16:creationId xmlns:a16="http://schemas.microsoft.com/office/drawing/2014/main" id="{7E1D84A1-3F4D-4469-A5E4-BC90D43B4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8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6778" name="Picture@5C\QPendientes@" descr="@5C\QPendientes@">
          <a:extLst>
            <a:ext uri="{FF2B5EF4-FFF2-40B4-BE49-F238E27FC236}">
              <a16:creationId xmlns:a16="http://schemas.microsoft.com/office/drawing/2014/main" id="{78424EEC-593D-48E7-988C-092F76E5B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0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6779" name="Picture@5C\QPendientes@" descr="@5C\QPendientes@">
          <a:extLst>
            <a:ext uri="{FF2B5EF4-FFF2-40B4-BE49-F238E27FC236}">
              <a16:creationId xmlns:a16="http://schemas.microsoft.com/office/drawing/2014/main" id="{5EB2EC78-C456-4B2E-80D7-EF3629217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2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6780" name="Picture@5C\QPendientes@" descr="@5C\QPendientes@">
          <a:extLst>
            <a:ext uri="{FF2B5EF4-FFF2-40B4-BE49-F238E27FC236}">
              <a16:creationId xmlns:a16="http://schemas.microsoft.com/office/drawing/2014/main" id="{E9DB01DC-1558-4504-80B2-9A2DC4A6F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4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6781" name="Picture@5C\QPendientes@" descr="@5C\QPendientes@">
          <a:extLst>
            <a:ext uri="{FF2B5EF4-FFF2-40B4-BE49-F238E27FC236}">
              <a16:creationId xmlns:a16="http://schemas.microsoft.com/office/drawing/2014/main" id="{B028DB63-C8F1-4214-9BF3-9F8C92C29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6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6782" name="Picture@5C\QPendientes@" descr="@5C\QPendientes@">
          <a:extLst>
            <a:ext uri="{FF2B5EF4-FFF2-40B4-BE49-F238E27FC236}">
              <a16:creationId xmlns:a16="http://schemas.microsoft.com/office/drawing/2014/main" id="{F823EBB1-0DCA-41C5-9FF1-803A36747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7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6783" name="Picture@5C\QPendientes@" descr="@5C\QPendientes@">
          <a:extLst>
            <a:ext uri="{FF2B5EF4-FFF2-40B4-BE49-F238E27FC236}">
              <a16:creationId xmlns:a16="http://schemas.microsoft.com/office/drawing/2014/main" id="{3F36FA98-6828-448B-A52F-41BF759E77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6784" name="Picture@5C\QPendientes@" descr="@5C\QPendientes@">
          <a:extLst>
            <a:ext uri="{FF2B5EF4-FFF2-40B4-BE49-F238E27FC236}">
              <a16:creationId xmlns:a16="http://schemas.microsoft.com/office/drawing/2014/main" id="{111F12D9-2BF5-41FF-9CF6-02C3597C8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1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6785" name="Picture@5C\QPendientes@" descr="@5C\QPendientes@">
          <a:extLst>
            <a:ext uri="{FF2B5EF4-FFF2-40B4-BE49-F238E27FC236}">
              <a16:creationId xmlns:a16="http://schemas.microsoft.com/office/drawing/2014/main" id="{8A2E20A4-4E9C-4047-B4CD-F215F8503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3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6786" name="Picture@5C\QPendientes@" descr="@5C\QPendientes@">
          <a:extLst>
            <a:ext uri="{FF2B5EF4-FFF2-40B4-BE49-F238E27FC236}">
              <a16:creationId xmlns:a16="http://schemas.microsoft.com/office/drawing/2014/main" id="{D0D80F81-E0C3-45D8-A340-39B106281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5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6787" name="Picture@5C\QPendientes@" descr="@5C\QPendientes@">
          <a:extLst>
            <a:ext uri="{FF2B5EF4-FFF2-40B4-BE49-F238E27FC236}">
              <a16:creationId xmlns:a16="http://schemas.microsoft.com/office/drawing/2014/main" id="{C9001D38-AC66-479C-B6B4-F88BFF291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7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6788" name="Picture@5C\QPendientes@" descr="@5C\QPendientes@">
          <a:extLst>
            <a:ext uri="{FF2B5EF4-FFF2-40B4-BE49-F238E27FC236}">
              <a16:creationId xmlns:a16="http://schemas.microsoft.com/office/drawing/2014/main" id="{A31D4877-88B1-4F55-81E0-0500C7727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8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6789" name="Picture@5C\QPendientes@" descr="@5C\QPendientes@">
          <a:extLst>
            <a:ext uri="{FF2B5EF4-FFF2-40B4-BE49-F238E27FC236}">
              <a16:creationId xmlns:a16="http://schemas.microsoft.com/office/drawing/2014/main" id="{8BB3EBCD-2805-4537-A4A1-F41DC415A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0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6790" name="Picture@5C\QPendientes@" descr="@5C\QPendientes@">
          <a:extLst>
            <a:ext uri="{FF2B5EF4-FFF2-40B4-BE49-F238E27FC236}">
              <a16:creationId xmlns:a16="http://schemas.microsoft.com/office/drawing/2014/main" id="{C0769D3D-478A-4C30-A1FF-32FAAC287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2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6791" name="Picture@5C\QPendientes@" descr="@5C\QPendientes@">
          <a:extLst>
            <a:ext uri="{FF2B5EF4-FFF2-40B4-BE49-F238E27FC236}">
              <a16:creationId xmlns:a16="http://schemas.microsoft.com/office/drawing/2014/main" id="{C368CB6C-1E4D-461A-B372-E3D7C8BCA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4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6792" name="Picture@5C\QPendientes@" descr="@5C\QPendientes@">
          <a:extLst>
            <a:ext uri="{FF2B5EF4-FFF2-40B4-BE49-F238E27FC236}">
              <a16:creationId xmlns:a16="http://schemas.microsoft.com/office/drawing/2014/main" id="{35875234-F86E-4DFA-90AF-C1A026796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6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6793" name="Picture@5C\QPendientes@" descr="@5C\QPendientes@">
          <a:extLst>
            <a:ext uri="{FF2B5EF4-FFF2-40B4-BE49-F238E27FC236}">
              <a16:creationId xmlns:a16="http://schemas.microsoft.com/office/drawing/2014/main" id="{9B1FBF95-BE05-4521-BA6C-34757B2A3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6794" name="Picture@5C\QPendientes@" descr="@5C\QPendientes@">
          <a:extLst>
            <a:ext uri="{FF2B5EF4-FFF2-40B4-BE49-F238E27FC236}">
              <a16:creationId xmlns:a16="http://schemas.microsoft.com/office/drawing/2014/main" id="{1DBC6D08-9B06-4763-8875-77B0F4A5C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9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6795" name="Picture@5C\QPendientes@" descr="@5C\QPendientes@">
          <a:extLst>
            <a:ext uri="{FF2B5EF4-FFF2-40B4-BE49-F238E27FC236}">
              <a16:creationId xmlns:a16="http://schemas.microsoft.com/office/drawing/2014/main" id="{D00227A6-C387-4AD9-8909-D3EDC2BC7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1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6796" name="Picture@5C\QPendientes@" descr="@5C\QPendientes@">
          <a:extLst>
            <a:ext uri="{FF2B5EF4-FFF2-40B4-BE49-F238E27FC236}">
              <a16:creationId xmlns:a16="http://schemas.microsoft.com/office/drawing/2014/main" id="{C0142011-C16A-4243-AF3E-A34AF9973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3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6797" name="Picture@5C\QPendientes@" descr="@5C\QPendientes@">
          <a:extLst>
            <a:ext uri="{FF2B5EF4-FFF2-40B4-BE49-F238E27FC236}">
              <a16:creationId xmlns:a16="http://schemas.microsoft.com/office/drawing/2014/main" id="{3F41188F-EED6-43EC-B684-512A9A0B6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5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6798" name="Picture@5C\QPendientes@" descr="@5C\QPendientes@">
          <a:extLst>
            <a:ext uri="{FF2B5EF4-FFF2-40B4-BE49-F238E27FC236}">
              <a16:creationId xmlns:a16="http://schemas.microsoft.com/office/drawing/2014/main" id="{0E39EBCA-0A27-4180-9646-9E031BAE5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7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6799" name="Picture@5C\QPendientes@" descr="@5C\QPendientes@">
          <a:extLst>
            <a:ext uri="{FF2B5EF4-FFF2-40B4-BE49-F238E27FC236}">
              <a16:creationId xmlns:a16="http://schemas.microsoft.com/office/drawing/2014/main" id="{3CA8172A-376D-4E4A-B98E-F6AA27647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9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6800" name="Picture@5C\QPendientes@" descr="@5C\QPendientes@">
          <a:extLst>
            <a:ext uri="{FF2B5EF4-FFF2-40B4-BE49-F238E27FC236}">
              <a16:creationId xmlns:a16="http://schemas.microsoft.com/office/drawing/2014/main" id="{3054CF63-DD8C-46C8-BFEC-7B7478727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0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6801" name="Picture@5C\QPendientes@" descr="@5C\QPendientes@">
          <a:extLst>
            <a:ext uri="{FF2B5EF4-FFF2-40B4-BE49-F238E27FC236}">
              <a16:creationId xmlns:a16="http://schemas.microsoft.com/office/drawing/2014/main" id="{7EF925EC-37D2-408F-B877-36C158BA0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2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6802" name="Picture@5C\QPendientes@" descr="@5C\QPendientes@">
          <a:extLst>
            <a:ext uri="{FF2B5EF4-FFF2-40B4-BE49-F238E27FC236}">
              <a16:creationId xmlns:a16="http://schemas.microsoft.com/office/drawing/2014/main" id="{B1D029DF-2BDC-4B84-B23B-06189C646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4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6803" name="Picture@5C\QPendientes@" descr="@5C\QPendientes@">
          <a:extLst>
            <a:ext uri="{FF2B5EF4-FFF2-40B4-BE49-F238E27FC236}">
              <a16:creationId xmlns:a16="http://schemas.microsoft.com/office/drawing/2014/main" id="{4C7AA192-37E8-4B35-A7EF-F4846B049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6804" name="Picture@5C\QPendientes@" descr="@5C\QPendientes@">
          <a:extLst>
            <a:ext uri="{FF2B5EF4-FFF2-40B4-BE49-F238E27FC236}">
              <a16:creationId xmlns:a16="http://schemas.microsoft.com/office/drawing/2014/main" id="{B1D5C629-01B2-4580-9324-850DD875D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8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6805" name="Picture@5C\QPendientes@" descr="@5C\QPendientes@">
          <a:extLst>
            <a:ext uri="{FF2B5EF4-FFF2-40B4-BE49-F238E27FC236}">
              <a16:creationId xmlns:a16="http://schemas.microsoft.com/office/drawing/2014/main" id="{0CA10098-9FB0-48CB-92D1-7F95E9F0E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0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6806" name="Picture@5C\QPendientes@" descr="@5C\QPendientes@">
          <a:extLst>
            <a:ext uri="{FF2B5EF4-FFF2-40B4-BE49-F238E27FC236}">
              <a16:creationId xmlns:a16="http://schemas.microsoft.com/office/drawing/2014/main" id="{1968E712-EEBF-49BB-8BAA-C8F1FD8CCA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1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6807" name="Picture@5C\QPendientes@" descr="@5C\QPendientes@">
          <a:extLst>
            <a:ext uri="{FF2B5EF4-FFF2-40B4-BE49-F238E27FC236}">
              <a16:creationId xmlns:a16="http://schemas.microsoft.com/office/drawing/2014/main" id="{BCC4EF85-ABC7-48F7-8AEE-33A5D11B2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3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6808" name="Picture@5C\QPendientes@" descr="@5C\QPendientes@">
          <a:extLst>
            <a:ext uri="{FF2B5EF4-FFF2-40B4-BE49-F238E27FC236}">
              <a16:creationId xmlns:a16="http://schemas.microsoft.com/office/drawing/2014/main" id="{7D62675B-06A5-44AA-97FC-6F1459ED9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5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6809" name="Picture@5C\QPendientes@" descr="@5C\QPendientes@">
          <a:extLst>
            <a:ext uri="{FF2B5EF4-FFF2-40B4-BE49-F238E27FC236}">
              <a16:creationId xmlns:a16="http://schemas.microsoft.com/office/drawing/2014/main" id="{68EF1515-CAF1-49D8-AAFF-9162C0A06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7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6810" name="Picture@5C\QPendientes@" descr="@5C\QPendientes@">
          <a:extLst>
            <a:ext uri="{FF2B5EF4-FFF2-40B4-BE49-F238E27FC236}">
              <a16:creationId xmlns:a16="http://schemas.microsoft.com/office/drawing/2014/main" id="{52126C70-D531-4A7F-9E95-BCC67C151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9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6811" name="Picture@5C\QPendientes@" descr="@5C\QPendientes@">
          <a:extLst>
            <a:ext uri="{FF2B5EF4-FFF2-40B4-BE49-F238E27FC236}">
              <a16:creationId xmlns:a16="http://schemas.microsoft.com/office/drawing/2014/main" id="{0161172F-21CC-4D7D-82BA-ABA4D131F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0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6812" name="Picture@5C\QPendientes@" descr="@5C\QPendientes@">
          <a:extLst>
            <a:ext uri="{FF2B5EF4-FFF2-40B4-BE49-F238E27FC236}">
              <a16:creationId xmlns:a16="http://schemas.microsoft.com/office/drawing/2014/main" id="{8B515812-2524-4556-A724-3C7E247F6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2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6813" name="Picture@5C\QPendientes@" descr="@5C\QPendientes@">
          <a:extLst>
            <a:ext uri="{FF2B5EF4-FFF2-40B4-BE49-F238E27FC236}">
              <a16:creationId xmlns:a16="http://schemas.microsoft.com/office/drawing/2014/main" id="{7CF12412-3A5F-42E7-BEFA-DD3AF3CBD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6814" name="Picture@5C\QPendientes@" descr="@5C\QPendientes@">
          <a:extLst>
            <a:ext uri="{FF2B5EF4-FFF2-40B4-BE49-F238E27FC236}">
              <a16:creationId xmlns:a16="http://schemas.microsoft.com/office/drawing/2014/main" id="{B22AB256-2114-4CB9-AE9C-D1DD2E0BEF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6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6815" name="Picture@5C\QPendientes@" descr="@5C\QPendientes@">
          <a:extLst>
            <a:ext uri="{FF2B5EF4-FFF2-40B4-BE49-F238E27FC236}">
              <a16:creationId xmlns:a16="http://schemas.microsoft.com/office/drawing/2014/main" id="{B972AC1D-FCC0-493B-B9A8-FEB2643D7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8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6816" name="Picture@5C\QPendientes@" descr="@5C\QPendientes@">
          <a:extLst>
            <a:ext uri="{FF2B5EF4-FFF2-40B4-BE49-F238E27FC236}">
              <a16:creationId xmlns:a16="http://schemas.microsoft.com/office/drawing/2014/main" id="{28C66DA4-2868-49F2-9B00-E73A08722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0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6817" name="Picture@5C\QPendientes@" descr="@5C\QPendientes@">
          <a:extLst>
            <a:ext uri="{FF2B5EF4-FFF2-40B4-BE49-F238E27FC236}">
              <a16:creationId xmlns:a16="http://schemas.microsoft.com/office/drawing/2014/main" id="{CA55DAED-5320-4688-BC03-8299DDDC4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1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6818" name="Picture@5C\QPendientes@" descr="@5C\QPendientes@">
          <a:extLst>
            <a:ext uri="{FF2B5EF4-FFF2-40B4-BE49-F238E27FC236}">
              <a16:creationId xmlns:a16="http://schemas.microsoft.com/office/drawing/2014/main" id="{D3BD19C6-8F7D-41E7-970B-7523E5C52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3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6819" name="Picture@5C\QPendientes@" descr="@5C\QPendientes@">
          <a:extLst>
            <a:ext uri="{FF2B5EF4-FFF2-40B4-BE49-F238E27FC236}">
              <a16:creationId xmlns:a16="http://schemas.microsoft.com/office/drawing/2014/main" id="{B2644302-5917-4E80-90BE-A278D18CA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5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6820" name="Picture@5C\QPendientes@" descr="@5C\QPendientes@">
          <a:extLst>
            <a:ext uri="{FF2B5EF4-FFF2-40B4-BE49-F238E27FC236}">
              <a16:creationId xmlns:a16="http://schemas.microsoft.com/office/drawing/2014/main" id="{2F018762-060E-4FE6-8967-C028FE852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7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6821" name="Picture@5C\QPendientes@" descr="@5C\QPendientes@">
          <a:extLst>
            <a:ext uri="{FF2B5EF4-FFF2-40B4-BE49-F238E27FC236}">
              <a16:creationId xmlns:a16="http://schemas.microsoft.com/office/drawing/2014/main" id="{136A2ADF-FA5A-4587-9E2A-0ACF910A1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9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6822" name="Picture@5C\QPendientes@" descr="@5C\QPendientes@">
          <a:extLst>
            <a:ext uri="{FF2B5EF4-FFF2-40B4-BE49-F238E27FC236}">
              <a16:creationId xmlns:a16="http://schemas.microsoft.com/office/drawing/2014/main" id="{251AFD03-D15D-478E-AF73-5745A319E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1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6823" name="Picture@5C\QPendientes@" descr="@5C\QPendientes@">
          <a:extLst>
            <a:ext uri="{FF2B5EF4-FFF2-40B4-BE49-F238E27FC236}">
              <a16:creationId xmlns:a16="http://schemas.microsoft.com/office/drawing/2014/main" id="{DD217DF4-5F4C-4170-B9DF-688647129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6824" name="Picture@5C\QPendientes@" descr="@5C\QPendientes@">
          <a:extLst>
            <a:ext uri="{FF2B5EF4-FFF2-40B4-BE49-F238E27FC236}">
              <a16:creationId xmlns:a16="http://schemas.microsoft.com/office/drawing/2014/main" id="{22FE0502-0A6B-45B8-B969-487694EEE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4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6825" name="Picture@5C\QPendientes@" descr="@5C\QPendientes@">
          <a:extLst>
            <a:ext uri="{FF2B5EF4-FFF2-40B4-BE49-F238E27FC236}">
              <a16:creationId xmlns:a16="http://schemas.microsoft.com/office/drawing/2014/main" id="{B7685AE4-C2CF-4AE5-B1D7-B8A25BF7A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6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6826" name="Picture@5C\QPendientes@" descr="@5C\QPendientes@">
          <a:extLst>
            <a:ext uri="{FF2B5EF4-FFF2-40B4-BE49-F238E27FC236}">
              <a16:creationId xmlns:a16="http://schemas.microsoft.com/office/drawing/2014/main" id="{2AC7BFC2-EB81-4387-AB29-D806CE969D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8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6827" name="Picture@5C\QPendientes@" descr="@5C\QPendientes@">
          <a:extLst>
            <a:ext uri="{FF2B5EF4-FFF2-40B4-BE49-F238E27FC236}">
              <a16:creationId xmlns:a16="http://schemas.microsoft.com/office/drawing/2014/main" id="{58B03A84-B8C3-4C7A-A2B8-3D682257C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0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6828" name="Picture@5C\QPendientes@" descr="@5C\QPendientes@">
          <a:extLst>
            <a:ext uri="{FF2B5EF4-FFF2-40B4-BE49-F238E27FC236}">
              <a16:creationId xmlns:a16="http://schemas.microsoft.com/office/drawing/2014/main" id="{8AF5BAC9-12CC-483A-9EB1-E14DE6880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2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6829" name="Picture@5C\QPendientes@" descr="@5C\QPendientes@">
          <a:extLst>
            <a:ext uri="{FF2B5EF4-FFF2-40B4-BE49-F238E27FC236}">
              <a16:creationId xmlns:a16="http://schemas.microsoft.com/office/drawing/2014/main" id="{364CBEF4-9A33-4492-8C5D-41557F0EC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3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6830" name="Picture@5C\QPendientes@" descr="@5C\QPendientes@">
          <a:extLst>
            <a:ext uri="{FF2B5EF4-FFF2-40B4-BE49-F238E27FC236}">
              <a16:creationId xmlns:a16="http://schemas.microsoft.com/office/drawing/2014/main" id="{6D254A6F-8C75-4113-83EB-2A2447AA0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5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6831" name="Picture@5C\QPendientes@" descr="@5C\QPendientes@">
          <a:extLst>
            <a:ext uri="{FF2B5EF4-FFF2-40B4-BE49-F238E27FC236}">
              <a16:creationId xmlns:a16="http://schemas.microsoft.com/office/drawing/2014/main" id="{C309CEA4-9991-4B0A-AEF9-24DFDE89F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7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6832" name="Picture@5C\QPendientes@" descr="@5C\QPendientes@">
          <a:extLst>
            <a:ext uri="{FF2B5EF4-FFF2-40B4-BE49-F238E27FC236}">
              <a16:creationId xmlns:a16="http://schemas.microsoft.com/office/drawing/2014/main" id="{8293A81D-237B-46C6-BECE-F26646E5A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9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6833" name="Picture@5C\QPendientes@" descr="@5C\QPendientes@">
          <a:extLst>
            <a:ext uri="{FF2B5EF4-FFF2-40B4-BE49-F238E27FC236}">
              <a16:creationId xmlns:a16="http://schemas.microsoft.com/office/drawing/2014/main" id="{16F4BE44-FBEC-466F-BB2B-61F731DCB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6834" name="Picture@5C\QPendientes@" descr="@5C\QPendientes@">
          <a:extLst>
            <a:ext uri="{FF2B5EF4-FFF2-40B4-BE49-F238E27FC236}">
              <a16:creationId xmlns:a16="http://schemas.microsoft.com/office/drawing/2014/main" id="{CC653A73-8B89-4F6D-9659-9207325E5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3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6835" name="Picture@5C\QPendientes@" descr="@5C\QPendientes@">
          <a:extLst>
            <a:ext uri="{FF2B5EF4-FFF2-40B4-BE49-F238E27FC236}">
              <a16:creationId xmlns:a16="http://schemas.microsoft.com/office/drawing/2014/main" id="{3FE888B5-FC6D-4B0D-842A-5878BAB9F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4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6836" name="Picture@5C\QPendientes@" descr="@5C\QPendientes@">
          <a:extLst>
            <a:ext uri="{FF2B5EF4-FFF2-40B4-BE49-F238E27FC236}">
              <a16:creationId xmlns:a16="http://schemas.microsoft.com/office/drawing/2014/main" id="{840C278A-0C68-4DE6-934F-6BB25B9F2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6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6837" name="Picture@5C\QPendientes@" descr="@5C\QPendientes@">
          <a:extLst>
            <a:ext uri="{FF2B5EF4-FFF2-40B4-BE49-F238E27FC236}">
              <a16:creationId xmlns:a16="http://schemas.microsoft.com/office/drawing/2014/main" id="{6E7E1CDF-8B03-4C4F-8173-95E903238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8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6838" name="Picture@5C\QPendientes@" descr="@5C\QPendientes@">
          <a:extLst>
            <a:ext uri="{FF2B5EF4-FFF2-40B4-BE49-F238E27FC236}">
              <a16:creationId xmlns:a16="http://schemas.microsoft.com/office/drawing/2014/main" id="{5C5EFF59-B8EC-4B7A-850D-F3C083E44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0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6839" name="Picture@5C\QPendientes@" descr="@5C\QPendientes@">
          <a:extLst>
            <a:ext uri="{FF2B5EF4-FFF2-40B4-BE49-F238E27FC236}">
              <a16:creationId xmlns:a16="http://schemas.microsoft.com/office/drawing/2014/main" id="{B62695A6-13E4-4AD8-9AB8-F1817A25C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2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6840" name="Picture@5C\QPendientes@" descr="@5C\QPendientes@">
          <a:extLst>
            <a:ext uri="{FF2B5EF4-FFF2-40B4-BE49-F238E27FC236}">
              <a16:creationId xmlns:a16="http://schemas.microsoft.com/office/drawing/2014/main" id="{DC873305-23A7-43CF-A7F4-8347F1040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4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6841" name="Picture@5C\QPendientes@" descr="@5C\QPendientes@">
          <a:extLst>
            <a:ext uri="{FF2B5EF4-FFF2-40B4-BE49-F238E27FC236}">
              <a16:creationId xmlns:a16="http://schemas.microsoft.com/office/drawing/2014/main" id="{7EB288DF-7A08-4AC1-8783-110CC4B3E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5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6842" name="Picture@5C\QPendientes@" descr="@5C\QPendientes@">
          <a:extLst>
            <a:ext uri="{FF2B5EF4-FFF2-40B4-BE49-F238E27FC236}">
              <a16:creationId xmlns:a16="http://schemas.microsoft.com/office/drawing/2014/main" id="{4EB846FB-5840-4082-9E6D-20BFEEB925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7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6843" name="Picture@5C\QPendientes@" descr="@5C\QPendientes@">
          <a:extLst>
            <a:ext uri="{FF2B5EF4-FFF2-40B4-BE49-F238E27FC236}">
              <a16:creationId xmlns:a16="http://schemas.microsoft.com/office/drawing/2014/main" id="{B34098A3-4FEC-48EE-87DF-F4E8FBAC5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6844" name="Picture@5C\QPendientes@" descr="@5C\QPendientes@">
          <a:extLst>
            <a:ext uri="{FF2B5EF4-FFF2-40B4-BE49-F238E27FC236}">
              <a16:creationId xmlns:a16="http://schemas.microsoft.com/office/drawing/2014/main" id="{1E3B9587-3BA9-44CB-B046-AF8C9D7C5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1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6845" name="Picture@5C\QPendientes@" descr="@5C\QPendientes@">
          <a:extLst>
            <a:ext uri="{FF2B5EF4-FFF2-40B4-BE49-F238E27FC236}">
              <a16:creationId xmlns:a16="http://schemas.microsoft.com/office/drawing/2014/main" id="{94354A67-DE66-4CDC-AAA3-9A783718A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3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6846" name="Picture@5C\QPendientes@" descr="@5C\QPendientes@">
          <a:extLst>
            <a:ext uri="{FF2B5EF4-FFF2-40B4-BE49-F238E27FC236}">
              <a16:creationId xmlns:a16="http://schemas.microsoft.com/office/drawing/2014/main" id="{8BE1A020-DE0D-42AC-9351-750293A77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4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6847" name="Picture@5C\QPendientes@" descr="@5C\QPendientes@">
          <a:extLst>
            <a:ext uri="{FF2B5EF4-FFF2-40B4-BE49-F238E27FC236}">
              <a16:creationId xmlns:a16="http://schemas.microsoft.com/office/drawing/2014/main" id="{6E0E5C84-449F-438B-BC91-1CDA87AA9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6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6848" name="Picture@5C\QPendientes@" descr="@5C\QPendientes@">
          <a:extLst>
            <a:ext uri="{FF2B5EF4-FFF2-40B4-BE49-F238E27FC236}">
              <a16:creationId xmlns:a16="http://schemas.microsoft.com/office/drawing/2014/main" id="{738D7E54-DD02-4A56-9680-9195F1255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8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6849" name="Picture@5C\QPendientes@" descr="@5C\QPendientes@">
          <a:extLst>
            <a:ext uri="{FF2B5EF4-FFF2-40B4-BE49-F238E27FC236}">
              <a16:creationId xmlns:a16="http://schemas.microsoft.com/office/drawing/2014/main" id="{A47D2C09-1F7E-4D62-A152-0EC0372D0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0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6850" name="Picture@5C\QPendientes@" descr="@5C\QPendientes@">
          <a:extLst>
            <a:ext uri="{FF2B5EF4-FFF2-40B4-BE49-F238E27FC236}">
              <a16:creationId xmlns:a16="http://schemas.microsoft.com/office/drawing/2014/main" id="{D75A4189-046A-4E83-B7BF-898F866E2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2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6851" name="Picture@5C\QPendientes@" descr="@5C\QPendientes@">
          <a:extLst>
            <a:ext uri="{FF2B5EF4-FFF2-40B4-BE49-F238E27FC236}">
              <a16:creationId xmlns:a16="http://schemas.microsoft.com/office/drawing/2014/main" id="{C9A6C2C4-E13E-48E8-AE69-8D4A37157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4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6852" name="Picture@5C\QPendientes@" descr="@5C\QPendientes@">
          <a:extLst>
            <a:ext uri="{FF2B5EF4-FFF2-40B4-BE49-F238E27FC236}">
              <a16:creationId xmlns:a16="http://schemas.microsoft.com/office/drawing/2014/main" id="{A1A2F5E0-00FF-4D6B-B186-498E8FFA5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5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6853" name="Picture@5C\QPendientes@" descr="@5C\QPendientes@">
          <a:extLst>
            <a:ext uri="{FF2B5EF4-FFF2-40B4-BE49-F238E27FC236}">
              <a16:creationId xmlns:a16="http://schemas.microsoft.com/office/drawing/2014/main" id="{9D1F1E58-E9E3-4D4A-A25B-3FBD9952F8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6854" name="Picture@5C\QPendientes@" descr="@5C\QPendientes@">
          <a:extLst>
            <a:ext uri="{FF2B5EF4-FFF2-40B4-BE49-F238E27FC236}">
              <a16:creationId xmlns:a16="http://schemas.microsoft.com/office/drawing/2014/main" id="{1756C888-79AB-41FB-A3A0-CFC0F1163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9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6855" name="Picture@5C\QPendientes@" descr="@5C\QPendientes@">
          <a:extLst>
            <a:ext uri="{FF2B5EF4-FFF2-40B4-BE49-F238E27FC236}">
              <a16:creationId xmlns:a16="http://schemas.microsoft.com/office/drawing/2014/main" id="{0689A400-4724-4E19-8D6C-BF4A4F64F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1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6856" name="Picture@5C\QPendientes@" descr="@5C\QPendientes@">
          <a:extLst>
            <a:ext uri="{FF2B5EF4-FFF2-40B4-BE49-F238E27FC236}">
              <a16:creationId xmlns:a16="http://schemas.microsoft.com/office/drawing/2014/main" id="{76A31485-FA86-4A9D-8283-FE01B030B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3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6857" name="Picture@5C\QPendientes@" descr="@5C\QPendientes@">
          <a:extLst>
            <a:ext uri="{FF2B5EF4-FFF2-40B4-BE49-F238E27FC236}">
              <a16:creationId xmlns:a16="http://schemas.microsoft.com/office/drawing/2014/main" id="{1315B4C9-54E3-491F-B956-50A7A498A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5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6858" name="Picture@5C\QPendientes@" descr="@5C\QPendientes@">
          <a:extLst>
            <a:ext uri="{FF2B5EF4-FFF2-40B4-BE49-F238E27FC236}">
              <a16:creationId xmlns:a16="http://schemas.microsoft.com/office/drawing/2014/main" id="{36FCB712-27F0-4D52-A01B-EF6F66449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6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6859" name="Picture@5C\QPendientes@" descr="@5C\QPendientes@">
          <a:extLst>
            <a:ext uri="{FF2B5EF4-FFF2-40B4-BE49-F238E27FC236}">
              <a16:creationId xmlns:a16="http://schemas.microsoft.com/office/drawing/2014/main" id="{61B5C6E8-96B5-40C6-96CA-23764E221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8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6860" name="Picture@5C\QPendientes@" descr="@5C\QPendientes@">
          <a:extLst>
            <a:ext uri="{FF2B5EF4-FFF2-40B4-BE49-F238E27FC236}">
              <a16:creationId xmlns:a16="http://schemas.microsoft.com/office/drawing/2014/main" id="{AF26FD11-B52C-48AD-97C9-A6A270BDF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0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6861" name="Picture@5C\QPendientes@" descr="@5C\QPendientes@">
          <a:extLst>
            <a:ext uri="{FF2B5EF4-FFF2-40B4-BE49-F238E27FC236}">
              <a16:creationId xmlns:a16="http://schemas.microsoft.com/office/drawing/2014/main" id="{C36F6687-07B8-45C9-BDD2-BFE0A6D7C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2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6862" name="Picture@5C\QPendientes@" descr="@5C\QPendientes@">
          <a:extLst>
            <a:ext uri="{FF2B5EF4-FFF2-40B4-BE49-F238E27FC236}">
              <a16:creationId xmlns:a16="http://schemas.microsoft.com/office/drawing/2014/main" id="{D0F224A5-8572-44BB-A411-609DE0754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4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6863" name="Picture@5C\QPendientes@" descr="@5C\QPendientes@">
          <a:extLst>
            <a:ext uri="{FF2B5EF4-FFF2-40B4-BE49-F238E27FC236}">
              <a16:creationId xmlns:a16="http://schemas.microsoft.com/office/drawing/2014/main" id="{CC433DDD-B25F-4C85-BC76-51654640C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6864" name="Picture@5C\QPendientes@" descr="@5C\QPendientes@">
          <a:extLst>
            <a:ext uri="{FF2B5EF4-FFF2-40B4-BE49-F238E27FC236}">
              <a16:creationId xmlns:a16="http://schemas.microsoft.com/office/drawing/2014/main" id="{E2E23D21-6368-4337-876B-BD748F964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7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6865" name="Picture@5C\QPendientes@" descr="@5C\QPendientes@">
          <a:extLst>
            <a:ext uri="{FF2B5EF4-FFF2-40B4-BE49-F238E27FC236}">
              <a16:creationId xmlns:a16="http://schemas.microsoft.com/office/drawing/2014/main" id="{6947CD9D-1CD4-4F05-9DD3-C770C86AC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9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6866" name="Picture@5C\QPendientes@" descr="@5C\QPendientes@">
          <a:extLst>
            <a:ext uri="{FF2B5EF4-FFF2-40B4-BE49-F238E27FC236}">
              <a16:creationId xmlns:a16="http://schemas.microsoft.com/office/drawing/2014/main" id="{5E2A654F-75CF-49BD-A72B-0A5CA8A33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1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6867" name="Picture@5C\QPendientes@" descr="@5C\QPendientes@">
          <a:extLst>
            <a:ext uri="{FF2B5EF4-FFF2-40B4-BE49-F238E27FC236}">
              <a16:creationId xmlns:a16="http://schemas.microsoft.com/office/drawing/2014/main" id="{D05A4EC2-8043-43E3-A565-3B30918D9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3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6868" name="Picture@5C\QPendientes@" descr="@5C\QPendientes@">
          <a:extLst>
            <a:ext uri="{FF2B5EF4-FFF2-40B4-BE49-F238E27FC236}">
              <a16:creationId xmlns:a16="http://schemas.microsoft.com/office/drawing/2014/main" id="{AAD0B8C2-8A27-4390-BEC9-E66CC7260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5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6869" name="Picture@5C\QPendientes@" descr="@5C\QPendientes@">
          <a:extLst>
            <a:ext uri="{FF2B5EF4-FFF2-40B4-BE49-F238E27FC236}">
              <a16:creationId xmlns:a16="http://schemas.microsoft.com/office/drawing/2014/main" id="{0DF1D193-6EA4-49D7-A6F1-79DD24C81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7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6870" name="Picture@5C\QPendientes@" descr="@5C\QPendientes@">
          <a:extLst>
            <a:ext uri="{FF2B5EF4-FFF2-40B4-BE49-F238E27FC236}">
              <a16:creationId xmlns:a16="http://schemas.microsoft.com/office/drawing/2014/main" id="{5E3FDBDC-F61C-4531-AAE9-3C77A2B03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8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6871" name="Picture@5C\QPendientes@" descr="@5C\QPendientes@">
          <a:extLst>
            <a:ext uri="{FF2B5EF4-FFF2-40B4-BE49-F238E27FC236}">
              <a16:creationId xmlns:a16="http://schemas.microsoft.com/office/drawing/2014/main" id="{EB820123-B84C-45DF-86F8-320B6E50F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0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6872" name="Picture@5C\QPendientes@" descr="@5C\QPendientes@">
          <a:extLst>
            <a:ext uri="{FF2B5EF4-FFF2-40B4-BE49-F238E27FC236}">
              <a16:creationId xmlns:a16="http://schemas.microsoft.com/office/drawing/2014/main" id="{DFF1E533-9991-49FB-9725-0A3CF1722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2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6873" name="Picture@5C\QPendientes@" descr="@5C\QPendientes@">
          <a:extLst>
            <a:ext uri="{FF2B5EF4-FFF2-40B4-BE49-F238E27FC236}">
              <a16:creationId xmlns:a16="http://schemas.microsoft.com/office/drawing/2014/main" id="{7268547B-9B2F-4193-A35F-F916B5C1D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6874" name="Picture@5C\QPendientes@" descr="@5C\QPendientes@">
          <a:extLst>
            <a:ext uri="{FF2B5EF4-FFF2-40B4-BE49-F238E27FC236}">
              <a16:creationId xmlns:a16="http://schemas.microsoft.com/office/drawing/2014/main" id="{6B20D630-B554-42D5-A3DC-A2DC05D7A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6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6875" name="Picture@5C\QPendientes@" descr="@5C\QPendientes@">
          <a:extLst>
            <a:ext uri="{FF2B5EF4-FFF2-40B4-BE49-F238E27FC236}">
              <a16:creationId xmlns:a16="http://schemas.microsoft.com/office/drawing/2014/main" id="{B204E710-E975-4AE6-88C7-911040193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8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6876" name="Picture@5C\QPendientes@" descr="@5C\QPendientes@">
          <a:extLst>
            <a:ext uri="{FF2B5EF4-FFF2-40B4-BE49-F238E27FC236}">
              <a16:creationId xmlns:a16="http://schemas.microsoft.com/office/drawing/2014/main" id="{91B15FAA-AA33-4B75-8526-D6A5DF5A5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9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6877" name="Picture@5C\QPendientes@" descr="@5C\QPendientes@">
          <a:extLst>
            <a:ext uri="{FF2B5EF4-FFF2-40B4-BE49-F238E27FC236}">
              <a16:creationId xmlns:a16="http://schemas.microsoft.com/office/drawing/2014/main" id="{FD938D55-8E4B-4249-AAC8-93C7D12EB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1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6878" name="Picture@5C\QPendientes@" descr="@5C\QPendientes@">
          <a:extLst>
            <a:ext uri="{FF2B5EF4-FFF2-40B4-BE49-F238E27FC236}">
              <a16:creationId xmlns:a16="http://schemas.microsoft.com/office/drawing/2014/main" id="{D7D08A9C-FD19-4CCC-AF04-BB0616482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3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6879" name="Picture@5C\QPendientes@" descr="@5C\QPendientes@">
          <a:extLst>
            <a:ext uri="{FF2B5EF4-FFF2-40B4-BE49-F238E27FC236}">
              <a16:creationId xmlns:a16="http://schemas.microsoft.com/office/drawing/2014/main" id="{8EF5456E-2202-4A03-99A9-FC8AEA0A7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5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6880" name="Picture@5C\QPendientes@" descr="@5C\QPendientes@">
          <a:extLst>
            <a:ext uri="{FF2B5EF4-FFF2-40B4-BE49-F238E27FC236}">
              <a16:creationId xmlns:a16="http://schemas.microsoft.com/office/drawing/2014/main" id="{2FFFC81B-B0C7-4AFF-9371-2CD37779C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7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6881" name="Picture@5C\QPendientes@" descr="@5C\QPendientes@">
          <a:extLst>
            <a:ext uri="{FF2B5EF4-FFF2-40B4-BE49-F238E27FC236}">
              <a16:creationId xmlns:a16="http://schemas.microsoft.com/office/drawing/2014/main" id="{E43B30FD-EFF5-4592-9D15-66207442D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8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6882" name="Picture@5C\QPendientes@" descr="@5C\QPendientes@">
          <a:extLst>
            <a:ext uri="{FF2B5EF4-FFF2-40B4-BE49-F238E27FC236}">
              <a16:creationId xmlns:a16="http://schemas.microsoft.com/office/drawing/2014/main" id="{A7100773-20DB-467E-9956-8E352EADD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0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6883" name="Picture@5C\QPendientes@" descr="@5C\QPendientes@">
          <a:extLst>
            <a:ext uri="{FF2B5EF4-FFF2-40B4-BE49-F238E27FC236}">
              <a16:creationId xmlns:a16="http://schemas.microsoft.com/office/drawing/2014/main" id="{7057EB7C-4942-4118-A7C7-FD33B6A1C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6884" name="Picture@5C\QPendientes@" descr="@5C\QPendientes@">
          <a:extLst>
            <a:ext uri="{FF2B5EF4-FFF2-40B4-BE49-F238E27FC236}">
              <a16:creationId xmlns:a16="http://schemas.microsoft.com/office/drawing/2014/main" id="{EA6C89CD-8E21-4472-834F-128564823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4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6885" name="Picture@5C\QPendientes@" descr="@5C\QPendientes@">
          <a:extLst>
            <a:ext uri="{FF2B5EF4-FFF2-40B4-BE49-F238E27FC236}">
              <a16:creationId xmlns:a16="http://schemas.microsoft.com/office/drawing/2014/main" id="{FDC377ED-33ED-44DA-826C-2024E3030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6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6886" name="Picture@5C\QPendientes@" descr="@5C\QPendientes@">
          <a:extLst>
            <a:ext uri="{FF2B5EF4-FFF2-40B4-BE49-F238E27FC236}">
              <a16:creationId xmlns:a16="http://schemas.microsoft.com/office/drawing/2014/main" id="{4B4363DC-5B43-47FA-B7E7-6CC6A7BDA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8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6887" name="Picture@5C\QPendientes@" descr="@5C\QPendientes@">
          <a:extLst>
            <a:ext uri="{FF2B5EF4-FFF2-40B4-BE49-F238E27FC236}">
              <a16:creationId xmlns:a16="http://schemas.microsoft.com/office/drawing/2014/main" id="{E8BB4B1B-B898-4AE3-8BEB-E06C7C77B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9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6888" name="Picture@5C\QPendientes@" descr="@5C\QPendientes@">
          <a:extLst>
            <a:ext uri="{FF2B5EF4-FFF2-40B4-BE49-F238E27FC236}">
              <a16:creationId xmlns:a16="http://schemas.microsoft.com/office/drawing/2014/main" id="{34781A1F-4FC7-49C3-A089-3BD6B2CA3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1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6889" name="Picture@5C\QPendientes@" descr="@5C\QPendientes@">
          <a:extLst>
            <a:ext uri="{FF2B5EF4-FFF2-40B4-BE49-F238E27FC236}">
              <a16:creationId xmlns:a16="http://schemas.microsoft.com/office/drawing/2014/main" id="{4B9DF818-7603-4406-8C81-DD4ECAF22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3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6890" name="Picture@5C\QPendientes@" descr="@5C\QPendientes@">
          <a:extLst>
            <a:ext uri="{FF2B5EF4-FFF2-40B4-BE49-F238E27FC236}">
              <a16:creationId xmlns:a16="http://schemas.microsoft.com/office/drawing/2014/main" id="{058DB1D5-4E69-4840-A6FA-9A84DB359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5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6891" name="Picture@5C\QPendientes@" descr="@5C\QPendientes@">
          <a:extLst>
            <a:ext uri="{FF2B5EF4-FFF2-40B4-BE49-F238E27FC236}">
              <a16:creationId xmlns:a16="http://schemas.microsoft.com/office/drawing/2014/main" id="{CB26024C-5463-4EE8-A910-BC8936D373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7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6892" name="Picture@5C\QPendientes@" descr="@5C\QPendientes@">
          <a:extLst>
            <a:ext uri="{FF2B5EF4-FFF2-40B4-BE49-F238E27FC236}">
              <a16:creationId xmlns:a16="http://schemas.microsoft.com/office/drawing/2014/main" id="{35F2D609-B800-4E31-A873-8623ADE37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9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6893" name="Picture@5C\QPendientes@" descr="@5C\QPendientes@">
          <a:extLst>
            <a:ext uri="{FF2B5EF4-FFF2-40B4-BE49-F238E27FC236}">
              <a16:creationId xmlns:a16="http://schemas.microsoft.com/office/drawing/2014/main" id="{E761F870-A147-49A0-BCE0-762512AC2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6894" name="Picture@5C\QPendientes@" descr="@5C\QPendientes@">
          <a:extLst>
            <a:ext uri="{FF2B5EF4-FFF2-40B4-BE49-F238E27FC236}">
              <a16:creationId xmlns:a16="http://schemas.microsoft.com/office/drawing/2014/main" id="{2DBDFA8F-A0D1-44AD-BBA4-6B7A90104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2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6895" name="Picture@5C\QPendientes@" descr="@5C\QPendientes@">
          <a:extLst>
            <a:ext uri="{FF2B5EF4-FFF2-40B4-BE49-F238E27FC236}">
              <a16:creationId xmlns:a16="http://schemas.microsoft.com/office/drawing/2014/main" id="{533A95AB-0CF5-4B3F-B3C4-355BD8331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4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6896" name="Picture@5C\QPendientes@" descr="@5C\QPendientes@">
          <a:extLst>
            <a:ext uri="{FF2B5EF4-FFF2-40B4-BE49-F238E27FC236}">
              <a16:creationId xmlns:a16="http://schemas.microsoft.com/office/drawing/2014/main" id="{83EA7E0C-684E-4C9F-8DC4-B6D7C3E08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6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6897" name="Picture@5C\QPendientes@" descr="@5C\QPendientes@">
          <a:extLst>
            <a:ext uri="{FF2B5EF4-FFF2-40B4-BE49-F238E27FC236}">
              <a16:creationId xmlns:a16="http://schemas.microsoft.com/office/drawing/2014/main" id="{837FCB8C-BFA0-49E2-8BC5-556FE14EE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8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6898" name="Picture@5C\QPendientes@" descr="@5C\QPendientes@">
          <a:extLst>
            <a:ext uri="{FF2B5EF4-FFF2-40B4-BE49-F238E27FC236}">
              <a16:creationId xmlns:a16="http://schemas.microsoft.com/office/drawing/2014/main" id="{D193D811-49FD-4D02-8166-0349D3A21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0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6899" name="Picture@5C\QPendientes@" descr="@5C\QPendientes@">
          <a:extLst>
            <a:ext uri="{FF2B5EF4-FFF2-40B4-BE49-F238E27FC236}">
              <a16:creationId xmlns:a16="http://schemas.microsoft.com/office/drawing/2014/main" id="{DC7166AC-CE37-4BC1-A257-FA33AE3E4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1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6900" name="Picture@5C\QPendientes@" descr="@5C\QPendientes@">
          <a:extLst>
            <a:ext uri="{FF2B5EF4-FFF2-40B4-BE49-F238E27FC236}">
              <a16:creationId xmlns:a16="http://schemas.microsoft.com/office/drawing/2014/main" id="{18040A8C-A189-4B79-94DF-A8A748DA4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3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6901" name="Picture@5C\QPendientes@" descr="@5C\QPendientes@">
          <a:extLst>
            <a:ext uri="{FF2B5EF4-FFF2-40B4-BE49-F238E27FC236}">
              <a16:creationId xmlns:a16="http://schemas.microsoft.com/office/drawing/2014/main" id="{C6F25491-044A-4174-9738-8F060BAC0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5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6902" name="Picture@5C\QPendientes@" descr="@5C\QPendientes@">
          <a:extLst>
            <a:ext uri="{FF2B5EF4-FFF2-40B4-BE49-F238E27FC236}">
              <a16:creationId xmlns:a16="http://schemas.microsoft.com/office/drawing/2014/main" id="{0CC862E0-B833-4474-841A-693591583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7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6903" name="Picture@5C\QPendientes@" descr="@5C\QPendientes@">
          <a:extLst>
            <a:ext uri="{FF2B5EF4-FFF2-40B4-BE49-F238E27FC236}">
              <a16:creationId xmlns:a16="http://schemas.microsoft.com/office/drawing/2014/main" id="{6838B2FE-BBA9-41B4-9BDC-4601F6C5C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6904" name="Picture@5C\QPendientes@" descr="@5C\QPendientes@">
          <a:extLst>
            <a:ext uri="{FF2B5EF4-FFF2-40B4-BE49-F238E27FC236}">
              <a16:creationId xmlns:a16="http://schemas.microsoft.com/office/drawing/2014/main" id="{0603E3CD-D563-4486-95E8-0C852DFA4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1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6905" name="Picture@5C\QPendientes@" descr="@5C\QPendientes@">
          <a:extLst>
            <a:ext uri="{FF2B5EF4-FFF2-40B4-BE49-F238E27FC236}">
              <a16:creationId xmlns:a16="http://schemas.microsoft.com/office/drawing/2014/main" id="{505693F2-0424-4FF1-8434-CA0389711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2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6906" name="Picture@5C\QPendientes@" descr="@5C\QPendientes@">
          <a:extLst>
            <a:ext uri="{FF2B5EF4-FFF2-40B4-BE49-F238E27FC236}">
              <a16:creationId xmlns:a16="http://schemas.microsoft.com/office/drawing/2014/main" id="{F06B434A-9604-4469-8997-4683674A1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4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6907" name="Picture@5C\QPendientes@" descr="@5C\QPendientes@">
          <a:extLst>
            <a:ext uri="{FF2B5EF4-FFF2-40B4-BE49-F238E27FC236}">
              <a16:creationId xmlns:a16="http://schemas.microsoft.com/office/drawing/2014/main" id="{06853DE6-2264-4114-86A8-69B4E0A79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6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6908" name="Picture@5C\QPendientes@" descr="@5C\QPendientes@">
          <a:extLst>
            <a:ext uri="{FF2B5EF4-FFF2-40B4-BE49-F238E27FC236}">
              <a16:creationId xmlns:a16="http://schemas.microsoft.com/office/drawing/2014/main" id="{1B68CA77-14EF-4976-9B66-D5E11A43D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8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6909" name="Picture@5C\QPendientes@" descr="@5C\QPendientes@">
          <a:extLst>
            <a:ext uri="{FF2B5EF4-FFF2-40B4-BE49-F238E27FC236}">
              <a16:creationId xmlns:a16="http://schemas.microsoft.com/office/drawing/2014/main" id="{ED26B5B4-7034-487C-BDDA-0334BA246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0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6910" name="Picture@5C\QPendientes@" descr="@5C\QPendientes@">
          <a:extLst>
            <a:ext uri="{FF2B5EF4-FFF2-40B4-BE49-F238E27FC236}">
              <a16:creationId xmlns:a16="http://schemas.microsoft.com/office/drawing/2014/main" id="{6DD1864C-E228-4DF2-8CFF-9D5FD72B2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2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6911" name="Picture@5C\QPendientes@" descr="@5C\QPendientes@">
          <a:extLst>
            <a:ext uri="{FF2B5EF4-FFF2-40B4-BE49-F238E27FC236}">
              <a16:creationId xmlns:a16="http://schemas.microsoft.com/office/drawing/2014/main" id="{E13B53F5-6606-4A89-86B1-9554B1470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3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6912" name="Picture@5C\QPendientes@" descr="@5C\QPendientes@">
          <a:extLst>
            <a:ext uri="{FF2B5EF4-FFF2-40B4-BE49-F238E27FC236}">
              <a16:creationId xmlns:a16="http://schemas.microsoft.com/office/drawing/2014/main" id="{7D331C8E-F7AA-4F26-919C-9201EB8A1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5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6913" name="Picture@5C\QPendientes@" descr="@5C\QPendientes@">
          <a:extLst>
            <a:ext uri="{FF2B5EF4-FFF2-40B4-BE49-F238E27FC236}">
              <a16:creationId xmlns:a16="http://schemas.microsoft.com/office/drawing/2014/main" id="{8C532186-C110-4A7E-AE6E-4248E427D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6914" name="Picture@5C\QPendientes@" descr="@5C\QPendientes@">
          <a:extLst>
            <a:ext uri="{FF2B5EF4-FFF2-40B4-BE49-F238E27FC236}">
              <a16:creationId xmlns:a16="http://schemas.microsoft.com/office/drawing/2014/main" id="{7D590858-3D7A-4DD7-9865-DC9BE6F47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9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6915" name="Picture@5C\QPendientes@" descr="@5C\QPendientes@">
          <a:extLst>
            <a:ext uri="{FF2B5EF4-FFF2-40B4-BE49-F238E27FC236}">
              <a16:creationId xmlns:a16="http://schemas.microsoft.com/office/drawing/2014/main" id="{4C74FA1E-B32F-4762-9D4F-A9B9D7980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1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6916" name="Picture@5C\QPendientes@" descr="@5C\QPendientes@">
          <a:extLst>
            <a:ext uri="{FF2B5EF4-FFF2-40B4-BE49-F238E27FC236}">
              <a16:creationId xmlns:a16="http://schemas.microsoft.com/office/drawing/2014/main" id="{3915EFA0-B697-4AFA-94D2-E8E4ECD14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3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6917" name="Picture@5C\QPendientes@" descr="@5C\QPendientes@">
          <a:extLst>
            <a:ext uri="{FF2B5EF4-FFF2-40B4-BE49-F238E27FC236}">
              <a16:creationId xmlns:a16="http://schemas.microsoft.com/office/drawing/2014/main" id="{D362E747-2AC4-4706-B75A-70F7EA75F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4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6918" name="Picture@5C\QPendientes@" descr="@5C\QPendientes@">
          <a:extLst>
            <a:ext uri="{FF2B5EF4-FFF2-40B4-BE49-F238E27FC236}">
              <a16:creationId xmlns:a16="http://schemas.microsoft.com/office/drawing/2014/main" id="{F0461A20-4413-441A-BC01-82B541292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6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6919" name="Picture@5C\QPendientes@" descr="@5C\QPendientes@">
          <a:extLst>
            <a:ext uri="{FF2B5EF4-FFF2-40B4-BE49-F238E27FC236}">
              <a16:creationId xmlns:a16="http://schemas.microsoft.com/office/drawing/2014/main" id="{7ACF74BA-E599-4C8A-A35E-BBE082564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8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6920" name="Picture@5C\QPendientes@" descr="@5C\QPendientes@">
          <a:extLst>
            <a:ext uri="{FF2B5EF4-FFF2-40B4-BE49-F238E27FC236}">
              <a16:creationId xmlns:a16="http://schemas.microsoft.com/office/drawing/2014/main" id="{894C730D-9A5D-49C7-8878-7D1D26844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0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6921" name="Picture@5C\QPendientes@" descr="@5C\QPendientes@">
          <a:extLst>
            <a:ext uri="{FF2B5EF4-FFF2-40B4-BE49-F238E27FC236}">
              <a16:creationId xmlns:a16="http://schemas.microsoft.com/office/drawing/2014/main" id="{23F04478-E8A4-4261-B5D9-73190899B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2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6922" name="Picture@5C\QPendientes@" descr="@5C\QPendientes@">
          <a:extLst>
            <a:ext uri="{FF2B5EF4-FFF2-40B4-BE49-F238E27FC236}">
              <a16:creationId xmlns:a16="http://schemas.microsoft.com/office/drawing/2014/main" id="{F0DFFC71-F684-4B98-858C-A85ACB00D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3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6923" name="Picture@5C\QPendientes@" descr="@5C\QPendientes@">
          <a:extLst>
            <a:ext uri="{FF2B5EF4-FFF2-40B4-BE49-F238E27FC236}">
              <a16:creationId xmlns:a16="http://schemas.microsoft.com/office/drawing/2014/main" id="{A222963B-CC99-4AEA-9D24-1D6111444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6924" name="Picture@5C\QPendientes@" descr="@5C\QPendientes@">
          <a:extLst>
            <a:ext uri="{FF2B5EF4-FFF2-40B4-BE49-F238E27FC236}">
              <a16:creationId xmlns:a16="http://schemas.microsoft.com/office/drawing/2014/main" id="{DD26FCF9-7DE2-450F-9314-C22C6A843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7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6925" name="Picture@5C\QPendientes@" descr="@5C\QPendientes@">
          <a:extLst>
            <a:ext uri="{FF2B5EF4-FFF2-40B4-BE49-F238E27FC236}">
              <a16:creationId xmlns:a16="http://schemas.microsoft.com/office/drawing/2014/main" id="{87E07D6D-FBB1-4BA9-BE7F-C30AA98646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9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6926" name="Picture@5C\QPendientes@" descr="@5C\QPendientes@">
          <a:extLst>
            <a:ext uri="{FF2B5EF4-FFF2-40B4-BE49-F238E27FC236}">
              <a16:creationId xmlns:a16="http://schemas.microsoft.com/office/drawing/2014/main" id="{D866D032-2A79-4095-9948-CEA644864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1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6927" name="Picture@5C\QPendientes@" descr="@5C\QPendientes@">
          <a:extLst>
            <a:ext uri="{FF2B5EF4-FFF2-40B4-BE49-F238E27FC236}">
              <a16:creationId xmlns:a16="http://schemas.microsoft.com/office/drawing/2014/main" id="{7AD722B9-DC74-4379-9E06-B5C82E3E6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3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6928" name="Picture@5C\QPendientes@" descr="@5C\QPendientes@">
          <a:extLst>
            <a:ext uri="{FF2B5EF4-FFF2-40B4-BE49-F238E27FC236}">
              <a16:creationId xmlns:a16="http://schemas.microsoft.com/office/drawing/2014/main" id="{AD4D5F12-EDE8-471F-9950-E4EB27400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4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6929" name="Picture@5C\QPendientes@" descr="@5C\QPendientes@">
          <a:extLst>
            <a:ext uri="{FF2B5EF4-FFF2-40B4-BE49-F238E27FC236}">
              <a16:creationId xmlns:a16="http://schemas.microsoft.com/office/drawing/2014/main" id="{5015820E-2BCA-466B-8DFC-11E2D0392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6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6930" name="Picture@5C\QPendientes@" descr="@5C\QPendientes@">
          <a:extLst>
            <a:ext uri="{FF2B5EF4-FFF2-40B4-BE49-F238E27FC236}">
              <a16:creationId xmlns:a16="http://schemas.microsoft.com/office/drawing/2014/main" id="{D2EE3F65-86B9-4BCE-B005-6FE184D97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8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6931" name="Picture@5C\QPendientes@" descr="@5C\QPendientes@">
          <a:extLst>
            <a:ext uri="{FF2B5EF4-FFF2-40B4-BE49-F238E27FC236}">
              <a16:creationId xmlns:a16="http://schemas.microsoft.com/office/drawing/2014/main" id="{163FF922-A710-4DC9-BE15-87AAC4BBB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0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6932" name="Picture@5C\QPendientes@" descr="@5C\QPendientes@">
          <a:extLst>
            <a:ext uri="{FF2B5EF4-FFF2-40B4-BE49-F238E27FC236}">
              <a16:creationId xmlns:a16="http://schemas.microsoft.com/office/drawing/2014/main" id="{D3970BA5-39CE-4FA7-86C5-3F0B12974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2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6933" name="Picture@5C\QPendientes@" descr="@5C\QPendientes@">
          <a:extLst>
            <a:ext uri="{FF2B5EF4-FFF2-40B4-BE49-F238E27FC236}">
              <a16:creationId xmlns:a16="http://schemas.microsoft.com/office/drawing/2014/main" id="{3A07B7B5-2790-48EA-BE56-4653E7965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6934" name="Picture@5C\QPendientes@" descr="@5C\QPendientes@">
          <a:extLst>
            <a:ext uri="{FF2B5EF4-FFF2-40B4-BE49-F238E27FC236}">
              <a16:creationId xmlns:a16="http://schemas.microsoft.com/office/drawing/2014/main" id="{9961993D-99D4-4E46-BC12-82F463247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5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6935" name="Picture@5C\QPendientes@" descr="@5C\QPendientes@">
          <a:extLst>
            <a:ext uri="{FF2B5EF4-FFF2-40B4-BE49-F238E27FC236}">
              <a16:creationId xmlns:a16="http://schemas.microsoft.com/office/drawing/2014/main" id="{16A34D32-E524-4364-9A9B-449DF7E7A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7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6936" name="Picture@5C\QPendientes@" descr="@5C\QPendientes@">
          <a:extLst>
            <a:ext uri="{FF2B5EF4-FFF2-40B4-BE49-F238E27FC236}">
              <a16:creationId xmlns:a16="http://schemas.microsoft.com/office/drawing/2014/main" id="{DE7E6836-779A-4E1E-B474-062D98256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9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6937" name="Picture@5C\QPendientes@" descr="@5C\QPendientes@">
          <a:extLst>
            <a:ext uri="{FF2B5EF4-FFF2-40B4-BE49-F238E27FC236}">
              <a16:creationId xmlns:a16="http://schemas.microsoft.com/office/drawing/2014/main" id="{237A8447-06C8-4672-B0C7-BB11AD904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1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6938" name="Picture@5C\QPendientes@" descr="@5C\QPendientes@">
          <a:extLst>
            <a:ext uri="{FF2B5EF4-FFF2-40B4-BE49-F238E27FC236}">
              <a16:creationId xmlns:a16="http://schemas.microsoft.com/office/drawing/2014/main" id="{83187B4A-8448-426A-A52D-1C44E746B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3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6939" name="Picture@5C\QPendientes@" descr="@5C\QPendientes@">
          <a:extLst>
            <a:ext uri="{FF2B5EF4-FFF2-40B4-BE49-F238E27FC236}">
              <a16:creationId xmlns:a16="http://schemas.microsoft.com/office/drawing/2014/main" id="{5B063AE7-AFF9-4423-8970-91AD0A91F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5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6940" name="Picture@5C\QPendientes@" descr="@5C\QPendientes@">
          <a:extLst>
            <a:ext uri="{FF2B5EF4-FFF2-40B4-BE49-F238E27FC236}">
              <a16:creationId xmlns:a16="http://schemas.microsoft.com/office/drawing/2014/main" id="{8827DB1D-0CCE-48DB-8926-7500F43FE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6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6941" name="Picture@5C\QPendientes@" descr="@5C\QPendientes@">
          <a:extLst>
            <a:ext uri="{FF2B5EF4-FFF2-40B4-BE49-F238E27FC236}">
              <a16:creationId xmlns:a16="http://schemas.microsoft.com/office/drawing/2014/main" id="{A7CFF8EF-8DD3-4BA9-A8D0-4409FD01F2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8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6942" name="Picture@5C\QPendientes@" descr="@5C\QPendientes@">
          <a:extLst>
            <a:ext uri="{FF2B5EF4-FFF2-40B4-BE49-F238E27FC236}">
              <a16:creationId xmlns:a16="http://schemas.microsoft.com/office/drawing/2014/main" id="{8E00C9BC-A190-429C-A986-13AFB35B6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0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6943" name="Picture@5C\QPendientes@" descr="@5C\QPendientes@">
          <a:extLst>
            <a:ext uri="{FF2B5EF4-FFF2-40B4-BE49-F238E27FC236}">
              <a16:creationId xmlns:a16="http://schemas.microsoft.com/office/drawing/2014/main" id="{95E6A936-6E0A-4DB8-9697-E05E4A0CD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6944" name="Picture@5C\QPendientes@" descr="@5C\QPendientes@">
          <a:extLst>
            <a:ext uri="{FF2B5EF4-FFF2-40B4-BE49-F238E27FC236}">
              <a16:creationId xmlns:a16="http://schemas.microsoft.com/office/drawing/2014/main" id="{01CB36DF-A276-41E6-A7C9-1C825C8F0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4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6945" name="Picture@5C\QPendientes@" descr="@5C\QPendientes@">
          <a:extLst>
            <a:ext uri="{FF2B5EF4-FFF2-40B4-BE49-F238E27FC236}">
              <a16:creationId xmlns:a16="http://schemas.microsoft.com/office/drawing/2014/main" id="{C188C38B-DBCE-42D6-952F-20D3EBA05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6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6946" name="Picture@5C\QPendientes@" descr="@5C\QPendientes@">
          <a:extLst>
            <a:ext uri="{FF2B5EF4-FFF2-40B4-BE49-F238E27FC236}">
              <a16:creationId xmlns:a16="http://schemas.microsoft.com/office/drawing/2014/main" id="{F8D1F923-4C90-4136-8159-96A875C11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7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6947" name="Picture@5C\QPendientes@" descr="@5C\QPendientes@">
          <a:extLst>
            <a:ext uri="{FF2B5EF4-FFF2-40B4-BE49-F238E27FC236}">
              <a16:creationId xmlns:a16="http://schemas.microsoft.com/office/drawing/2014/main" id="{7E0B25E6-5540-4F36-BC37-F5B6DC093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9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6948" name="Picture@5C\QPendientes@" descr="@5C\QPendientes@">
          <a:extLst>
            <a:ext uri="{FF2B5EF4-FFF2-40B4-BE49-F238E27FC236}">
              <a16:creationId xmlns:a16="http://schemas.microsoft.com/office/drawing/2014/main" id="{A69F86EF-3E86-408C-A6FC-2347A540E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1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6949" name="Picture@5C\QPendientes@" descr="@5C\QPendientes@">
          <a:extLst>
            <a:ext uri="{FF2B5EF4-FFF2-40B4-BE49-F238E27FC236}">
              <a16:creationId xmlns:a16="http://schemas.microsoft.com/office/drawing/2014/main" id="{F74C8E3E-1E36-4658-8023-D37CCEEEB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3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6950" name="Picture@5C\QPendientes@" descr="@5C\QPendientes@">
          <a:extLst>
            <a:ext uri="{FF2B5EF4-FFF2-40B4-BE49-F238E27FC236}">
              <a16:creationId xmlns:a16="http://schemas.microsoft.com/office/drawing/2014/main" id="{D9BAFCD9-D28D-4BBB-95C8-04C1E07F8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5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6951" name="Picture@5C\QPendientes@" descr="@5C\QPendientes@">
          <a:extLst>
            <a:ext uri="{FF2B5EF4-FFF2-40B4-BE49-F238E27FC236}">
              <a16:creationId xmlns:a16="http://schemas.microsoft.com/office/drawing/2014/main" id="{6B1A277F-F204-4737-9965-231C2D5C6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7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6952" name="Picture@5C\QPendientes@" descr="@5C\QPendientes@">
          <a:extLst>
            <a:ext uri="{FF2B5EF4-FFF2-40B4-BE49-F238E27FC236}">
              <a16:creationId xmlns:a16="http://schemas.microsoft.com/office/drawing/2014/main" id="{CB8CDB59-7978-4ADB-B52D-C43CA1929D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8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6953" name="Picture@5C\QPendientes@" descr="@5C\QPendientes@">
          <a:extLst>
            <a:ext uri="{FF2B5EF4-FFF2-40B4-BE49-F238E27FC236}">
              <a16:creationId xmlns:a16="http://schemas.microsoft.com/office/drawing/2014/main" id="{8CA683FF-E936-4C6C-BBF8-F8C94FD91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6954" name="Picture@5C\QPendientes@" descr="@5C\QPendientes@">
          <a:extLst>
            <a:ext uri="{FF2B5EF4-FFF2-40B4-BE49-F238E27FC236}">
              <a16:creationId xmlns:a16="http://schemas.microsoft.com/office/drawing/2014/main" id="{B81645A5-8DF4-41CA-9328-E2688F775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2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6955" name="Picture@5C\QPendientes@" descr="@5C\QPendientes@">
          <a:extLst>
            <a:ext uri="{FF2B5EF4-FFF2-40B4-BE49-F238E27FC236}">
              <a16:creationId xmlns:a16="http://schemas.microsoft.com/office/drawing/2014/main" id="{231CBB0B-6370-455D-B561-C690F74EA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4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6956" name="Picture@5C\QPendientes@" descr="@5C\QPendientes@">
          <a:extLst>
            <a:ext uri="{FF2B5EF4-FFF2-40B4-BE49-F238E27FC236}">
              <a16:creationId xmlns:a16="http://schemas.microsoft.com/office/drawing/2014/main" id="{C3D80725-158D-438D-BAC7-6E874C7AD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6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6957" name="Picture@5C\QPendientes@" descr="@5C\QPendientes@">
          <a:extLst>
            <a:ext uri="{FF2B5EF4-FFF2-40B4-BE49-F238E27FC236}">
              <a16:creationId xmlns:a16="http://schemas.microsoft.com/office/drawing/2014/main" id="{54E494E5-D5DA-4D5C-A0A5-F3812E1350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7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6958" name="Picture@5C\QPendientes@" descr="@5C\QPendientes@">
          <a:extLst>
            <a:ext uri="{FF2B5EF4-FFF2-40B4-BE49-F238E27FC236}">
              <a16:creationId xmlns:a16="http://schemas.microsoft.com/office/drawing/2014/main" id="{033798A3-7E76-4FD3-B57A-31667A63C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9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6959" name="Picture@5C\QPendientes@" descr="@5C\QPendientes@">
          <a:extLst>
            <a:ext uri="{FF2B5EF4-FFF2-40B4-BE49-F238E27FC236}">
              <a16:creationId xmlns:a16="http://schemas.microsoft.com/office/drawing/2014/main" id="{8F4EBDF3-2954-4961-8AFE-16D0D1C99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1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6960" name="Picture@5C\QPendientes@" descr="@5C\QPendientes@">
          <a:extLst>
            <a:ext uri="{FF2B5EF4-FFF2-40B4-BE49-F238E27FC236}">
              <a16:creationId xmlns:a16="http://schemas.microsoft.com/office/drawing/2014/main" id="{42B61AFE-4F7B-43A7-B412-9DF61C0BA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3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6961" name="Picture@5C\QPendientes@" descr="@5C\QPendientes@">
          <a:extLst>
            <a:ext uri="{FF2B5EF4-FFF2-40B4-BE49-F238E27FC236}">
              <a16:creationId xmlns:a16="http://schemas.microsoft.com/office/drawing/2014/main" id="{1AFC1F53-EE5E-4868-86C8-E72EFF4FC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5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6962" name="Picture@5C\QPendientes@" descr="@5C\QPendientes@">
          <a:extLst>
            <a:ext uri="{FF2B5EF4-FFF2-40B4-BE49-F238E27FC236}">
              <a16:creationId xmlns:a16="http://schemas.microsoft.com/office/drawing/2014/main" id="{2A8EED04-E5EF-440E-BACC-7B6A6F6BA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7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6963" name="Picture@5C\QPendientes@" descr="@5C\QPendientes@">
          <a:extLst>
            <a:ext uri="{FF2B5EF4-FFF2-40B4-BE49-F238E27FC236}">
              <a16:creationId xmlns:a16="http://schemas.microsoft.com/office/drawing/2014/main" id="{C149A79B-01AC-4C07-A75F-866FF2B8A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6964" name="Picture@5C\QPendientes@" descr="@5C\QPendientes@">
          <a:extLst>
            <a:ext uri="{FF2B5EF4-FFF2-40B4-BE49-F238E27FC236}">
              <a16:creationId xmlns:a16="http://schemas.microsoft.com/office/drawing/2014/main" id="{FF04D9DC-5BB6-43AB-9EA9-6E2CD68E2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0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6965" name="Picture@5C\QPendientes@" descr="@5C\QPendientes@">
          <a:extLst>
            <a:ext uri="{FF2B5EF4-FFF2-40B4-BE49-F238E27FC236}">
              <a16:creationId xmlns:a16="http://schemas.microsoft.com/office/drawing/2014/main" id="{56E05561-B624-4EC3-8D62-58F15C4B6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2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6966" name="Picture@5C\QPendientes@" descr="@5C\QPendientes@">
          <a:extLst>
            <a:ext uri="{FF2B5EF4-FFF2-40B4-BE49-F238E27FC236}">
              <a16:creationId xmlns:a16="http://schemas.microsoft.com/office/drawing/2014/main" id="{8E389FD2-63FD-4BE3-949F-0DAC67DE9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4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6967" name="Picture@5C\QPendientes@" descr="@5C\QPendientes@">
          <a:extLst>
            <a:ext uri="{FF2B5EF4-FFF2-40B4-BE49-F238E27FC236}">
              <a16:creationId xmlns:a16="http://schemas.microsoft.com/office/drawing/2014/main" id="{7FC3B6F0-57C3-4758-8BDC-139302310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6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6968" name="Picture@5C\QPendientes@" descr="@5C\QPendientes@">
          <a:extLst>
            <a:ext uri="{FF2B5EF4-FFF2-40B4-BE49-F238E27FC236}">
              <a16:creationId xmlns:a16="http://schemas.microsoft.com/office/drawing/2014/main" id="{540EE4F4-92B1-4BDC-A619-044131A0B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8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6969" name="Picture@5C\QPendientes@" descr="@5C\QPendientes@">
          <a:extLst>
            <a:ext uri="{FF2B5EF4-FFF2-40B4-BE49-F238E27FC236}">
              <a16:creationId xmlns:a16="http://schemas.microsoft.com/office/drawing/2014/main" id="{CEBE4895-C9E9-47DD-AD7D-112ACFAFCC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9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6970" name="Picture@5C\QPendientes@" descr="@5C\QPendientes@">
          <a:extLst>
            <a:ext uri="{FF2B5EF4-FFF2-40B4-BE49-F238E27FC236}">
              <a16:creationId xmlns:a16="http://schemas.microsoft.com/office/drawing/2014/main" id="{A68321B3-8712-4D6D-8865-1D7634E4B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1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6971" name="Picture@5C\QPendientes@" descr="@5C\QPendientes@">
          <a:extLst>
            <a:ext uri="{FF2B5EF4-FFF2-40B4-BE49-F238E27FC236}">
              <a16:creationId xmlns:a16="http://schemas.microsoft.com/office/drawing/2014/main" id="{14A02DCD-6123-4E47-9524-B97FB2F87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3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6972" name="Picture@5C\QPendientes@" descr="@5C\QPendientes@">
          <a:extLst>
            <a:ext uri="{FF2B5EF4-FFF2-40B4-BE49-F238E27FC236}">
              <a16:creationId xmlns:a16="http://schemas.microsoft.com/office/drawing/2014/main" id="{B4660B0A-6CDC-47FA-A9A4-4B4A16FA0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5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6973" name="Picture@5C\QPendientes@" descr="@5C\QPendientes@">
          <a:extLst>
            <a:ext uri="{FF2B5EF4-FFF2-40B4-BE49-F238E27FC236}">
              <a16:creationId xmlns:a16="http://schemas.microsoft.com/office/drawing/2014/main" id="{98DBF373-D147-489A-824B-A518736AD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6974" name="Picture@5C\QPendientes@" descr="@5C\QPendientes@">
          <a:extLst>
            <a:ext uri="{FF2B5EF4-FFF2-40B4-BE49-F238E27FC236}">
              <a16:creationId xmlns:a16="http://schemas.microsoft.com/office/drawing/2014/main" id="{0BF93941-DA0C-4672-AF9C-4081618A2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9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6975" name="Picture@5C\QPendientes@" descr="@5C\QPendientes@">
          <a:extLst>
            <a:ext uri="{FF2B5EF4-FFF2-40B4-BE49-F238E27FC236}">
              <a16:creationId xmlns:a16="http://schemas.microsoft.com/office/drawing/2014/main" id="{BF86EF92-9519-4D1A-BA3E-B2F0E5208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0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6976" name="Picture@5C\QPendientes@" descr="@5C\QPendientes@">
          <a:extLst>
            <a:ext uri="{FF2B5EF4-FFF2-40B4-BE49-F238E27FC236}">
              <a16:creationId xmlns:a16="http://schemas.microsoft.com/office/drawing/2014/main" id="{5A39E17B-E0FD-477C-A785-F69712982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2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6977" name="Picture@5C\QPendientes@" descr="@5C\QPendientes@">
          <a:extLst>
            <a:ext uri="{FF2B5EF4-FFF2-40B4-BE49-F238E27FC236}">
              <a16:creationId xmlns:a16="http://schemas.microsoft.com/office/drawing/2014/main" id="{84F1D95F-C392-4FA6-83C0-0A4085C70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4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6978" name="Picture@5C\QPendientes@" descr="@5C\QPendientes@">
          <a:extLst>
            <a:ext uri="{FF2B5EF4-FFF2-40B4-BE49-F238E27FC236}">
              <a16:creationId xmlns:a16="http://schemas.microsoft.com/office/drawing/2014/main" id="{79C2F53C-4264-492F-A299-8152D945B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6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6979" name="Picture@5C\QPendientes@" descr="@5C\QPendientes@">
          <a:extLst>
            <a:ext uri="{FF2B5EF4-FFF2-40B4-BE49-F238E27FC236}">
              <a16:creationId xmlns:a16="http://schemas.microsoft.com/office/drawing/2014/main" id="{9BE77116-5379-4B7F-B3A4-902A0ACA7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8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6980" name="Picture@5C\QPendientes@" descr="@5C\QPendientes@">
          <a:extLst>
            <a:ext uri="{FF2B5EF4-FFF2-40B4-BE49-F238E27FC236}">
              <a16:creationId xmlns:a16="http://schemas.microsoft.com/office/drawing/2014/main" id="{5ADC807C-8710-49BA-8D67-3AF71CE70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0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6981" name="Picture@5C\QPendientes@" descr="@5C\QPendientes@">
          <a:extLst>
            <a:ext uri="{FF2B5EF4-FFF2-40B4-BE49-F238E27FC236}">
              <a16:creationId xmlns:a16="http://schemas.microsoft.com/office/drawing/2014/main" id="{AD809C8C-DC08-4128-84FD-0347882F6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1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6982" name="Picture@5C\QPendientes@" descr="@5C\QPendientes@">
          <a:extLst>
            <a:ext uri="{FF2B5EF4-FFF2-40B4-BE49-F238E27FC236}">
              <a16:creationId xmlns:a16="http://schemas.microsoft.com/office/drawing/2014/main" id="{0594F42B-B26B-468D-9F4D-A2107CD43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3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6983" name="Picture@5C\QPendientes@" descr="@5C\QPendientes@">
          <a:extLst>
            <a:ext uri="{FF2B5EF4-FFF2-40B4-BE49-F238E27FC236}">
              <a16:creationId xmlns:a16="http://schemas.microsoft.com/office/drawing/2014/main" id="{64696F85-ADE7-42B2-BE35-0E82C26E4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6984" name="Picture@5C\QPendientes@" descr="@5C\QPendientes@">
          <a:extLst>
            <a:ext uri="{FF2B5EF4-FFF2-40B4-BE49-F238E27FC236}">
              <a16:creationId xmlns:a16="http://schemas.microsoft.com/office/drawing/2014/main" id="{41980073-6D1A-44BE-8C06-134157FEE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7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6985" name="Picture@5C\QPendientes@" descr="@5C\QPendientes@">
          <a:extLst>
            <a:ext uri="{FF2B5EF4-FFF2-40B4-BE49-F238E27FC236}">
              <a16:creationId xmlns:a16="http://schemas.microsoft.com/office/drawing/2014/main" id="{8598B4DB-82D6-4A3C-964A-076A6E0D2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9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6986" name="Picture@5C\QPendientes@" descr="@5C\QPendientes@">
          <a:extLst>
            <a:ext uri="{FF2B5EF4-FFF2-40B4-BE49-F238E27FC236}">
              <a16:creationId xmlns:a16="http://schemas.microsoft.com/office/drawing/2014/main" id="{81C94457-55DE-4398-BC0E-0E4FB5327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1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6987" name="Picture@5C\QPendientes@" descr="@5C\QPendientes@">
          <a:extLst>
            <a:ext uri="{FF2B5EF4-FFF2-40B4-BE49-F238E27FC236}">
              <a16:creationId xmlns:a16="http://schemas.microsoft.com/office/drawing/2014/main" id="{A6A614DC-C854-4C72-9A57-EAD8BF56C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2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6988" name="Picture@5C\QPendientes@" descr="@5C\QPendientes@">
          <a:extLst>
            <a:ext uri="{FF2B5EF4-FFF2-40B4-BE49-F238E27FC236}">
              <a16:creationId xmlns:a16="http://schemas.microsoft.com/office/drawing/2014/main" id="{C8E62670-5044-453A-8B3F-580DC2D67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4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6989" name="Picture@5C\QPendientes@" descr="@5C\QPendientes@">
          <a:extLst>
            <a:ext uri="{FF2B5EF4-FFF2-40B4-BE49-F238E27FC236}">
              <a16:creationId xmlns:a16="http://schemas.microsoft.com/office/drawing/2014/main" id="{49597502-B3DE-42FB-985D-EA2FFE815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6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6990" name="Picture@5C\QPendientes@" descr="@5C\QPendientes@">
          <a:extLst>
            <a:ext uri="{FF2B5EF4-FFF2-40B4-BE49-F238E27FC236}">
              <a16:creationId xmlns:a16="http://schemas.microsoft.com/office/drawing/2014/main" id="{82FB5010-8C6D-45DE-95D7-41AE62920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8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6991" name="Picture@5C\QPendientes@" descr="@5C\QPendientes@">
          <a:extLst>
            <a:ext uri="{FF2B5EF4-FFF2-40B4-BE49-F238E27FC236}">
              <a16:creationId xmlns:a16="http://schemas.microsoft.com/office/drawing/2014/main" id="{F6B84EB6-3056-4D7D-8B52-C34F8F51F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0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6992" name="Picture@5C\QPendientes@" descr="@5C\QPendientes@">
          <a:extLst>
            <a:ext uri="{FF2B5EF4-FFF2-40B4-BE49-F238E27FC236}">
              <a16:creationId xmlns:a16="http://schemas.microsoft.com/office/drawing/2014/main" id="{9BFED511-1F0A-4F53-90B1-2C7157E5A1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1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6993" name="Picture@5C\QPendientes@" descr="@5C\QPendientes@">
          <a:extLst>
            <a:ext uri="{FF2B5EF4-FFF2-40B4-BE49-F238E27FC236}">
              <a16:creationId xmlns:a16="http://schemas.microsoft.com/office/drawing/2014/main" id="{285CEB96-A91B-4008-9077-38748377B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6994" name="Picture@5C\QPendientes@" descr="@5C\QPendientes@">
          <a:extLst>
            <a:ext uri="{FF2B5EF4-FFF2-40B4-BE49-F238E27FC236}">
              <a16:creationId xmlns:a16="http://schemas.microsoft.com/office/drawing/2014/main" id="{B2E15AEF-F636-4BE9-A11E-275B96A99E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5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6995" name="Picture@5C\QPendientes@" descr="@5C\QPendientes@">
          <a:extLst>
            <a:ext uri="{FF2B5EF4-FFF2-40B4-BE49-F238E27FC236}">
              <a16:creationId xmlns:a16="http://schemas.microsoft.com/office/drawing/2014/main" id="{7321887C-C2E4-4038-9F51-4CA340C92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7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6996" name="Picture@5C\QPendientes@" descr="@5C\QPendientes@">
          <a:extLst>
            <a:ext uri="{FF2B5EF4-FFF2-40B4-BE49-F238E27FC236}">
              <a16:creationId xmlns:a16="http://schemas.microsoft.com/office/drawing/2014/main" id="{F2CA9D64-F0F8-43BC-80B4-8F070685B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9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6997" name="Picture@5C\QPendientes@" descr="@5C\QPendientes@">
          <a:extLst>
            <a:ext uri="{FF2B5EF4-FFF2-40B4-BE49-F238E27FC236}">
              <a16:creationId xmlns:a16="http://schemas.microsoft.com/office/drawing/2014/main" id="{EAC73936-D7F0-47E1-87BC-9A030B44B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1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6998" name="Picture@5C\QPendientes@" descr="@5C\QPendientes@">
          <a:extLst>
            <a:ext uri="{FF2B5EF4-FFF2-40B4-BE49-F238E27FC236}">
              <a16:creationId xmlns:a16="http://schemas.microsoft.com/office/drawing/2014/main" id="{2E826464-A252-4CE2-95FB-DDCE11A0F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2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6999" name="Picture@5C\QPendientes@" descr="@5C\QPendientes@">
          <a:extLst>
            <a:ext uri="{FF2B5EF4-FFF2-40B4-BE49-F238E27FC236}">
              <a16:creationId xmlns:a16="http://schemas.microsoft.com/office/drawing/2014/main" id="{F2CCF22D-51A8-4C34-A743-7D93B34D0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4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7000" name="Picture@5C\QPendientes@" descr="@5C\QPendientes@">
          <a:extLst>
            <a:ext uri="{FF2B5EF4-FFF2-40B4-BE49-F238E27FC236}">
              <a16:creationId xmlns:a16="http://schemas.microsoft.com/office/drawing/2014/main" id="{70A6FB90-2DA5-474D-AF1F-FF001720D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6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7001" name="Picture@5C\QPendientes@" descr="@5C\QPendientes@">
          <a:extLst>
            <a:ext uri="{FF2B5EF4-FFF2-40B4-BE49-F238E27FC236}">
              <a16:creationId xmlns:a16="http://schemas.microsoft.com/office/drawing/2014/main" id="{562469DC-F514-4632-BEB3-BDE71A31E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8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7002" name="Picture@5C\QPendientes@" descr="@5C\QPendientes@">
          <a:extLst>
            <a:ext uri="{FF2B5EF4-FFF2-40B4-BE49-F238E27FC236}">
              <a16:creationId xmlns:a16="http://schemas.microsoft.com/office/drawing/2014/main" id="{B8D20AA5-FBF3-4A6D-A891-DE50B56A2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0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7003" name="Picture@5C\QPendientes@" descr="@5C\QPendientes@">
          <a:extLst>
            <a:ext uri="{FF2B5EF4-FFF2-40B4-BE49-F238E27FC236}">
              <a16:creationId xmlns:a16="http://schemas.microsoft.com/office/drawing/2014/main" id="{B2EC3673-D0FC-4D92-81BA-10DF33475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7004" name="Picture@5C\QPendientes@" descr="@5C\QPendientes@">
          <a:extLst>
            <a:ext uri="{FF2B5EF4-FFF2-40B4-BE49-F238E27FC236}">
              <a16:creationId xmlns:a16="http://schemas.microsoft.com/office/drawing/2014/main" id="{3F46BDC6-DEF6-4B40-A2E3-5EB05212D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3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7005" name="Picture@5C\QPendientes@" descr="@5C\QPendientes@">
          <a:extLst>
            <a:ext uri="{FF2B5EF4-FFF2-40B4-BE49-F238E27FC236}">
              <a16:creationId xmlns:a16="http://schemas.microsoft.com/office/drawing/2014/main" id="{42CE4DCE-B9E8-4521-86C7-A774B5BE4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5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7006" name="Picture@5C\QPendientes@" descr="@5C\QPendientes@">
          <a:extLst>
            <a:ext uri="{FF2B5EF4-FFF2-40B4-BE49-F238E27FC236}">
              <a16:creationId xmlns:a16="http://schemas.microsoft.com/office/drawing/2014/main" id="{E82B4DAA-8859-4EEA-816D-2D2302954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7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7007" name="Picture@5C\QPendientes@" descr="@5C\QPendientes@">
          <a:extLst>
            <a:ext uri="{FF2B5EF4-FFF2-40B4-BE49-F238E27FC236}">
              <a16:creationId xmlns:a16="http://schemas.microsoft.com/office/drawing/2014/main" id="{BB280797-152F-4F26-A8EF-315E839D7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9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7008" name="Picture@5C\QPendientes@" descr="@5C\QPendientes@">
          <a:extLst>
            <a:ext uri="{FF2B5EF4-FFF2-40B4-BE49-F238E27FC236}">
              <a16:creationId xmlns:a16="http://schemas.microsoft.com/office/drawing/2014/main" id="{318FEE9F-8D32-483D-96D9-A635420EF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1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7009" name="Picture@5C\QPendientes@" descr="@5C\QPendientes@">
          <a:extLst>
            <a:ext uri="{FF2B5EF4-FFF2-40B4-BE49-F238E27FC236}">
              <a16:creationId xmlns:a16="http://schemas.microsoft.com/office/drawing/2014/main" id="{B074DA7C-D111-4E31-BEFA-0558A1B6A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3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7010" name="Picture@5C\QPendientes@" descr="@5C\QPendientes@">
          <a:extLst>
            <a:ext uri="{FF2B5EF4-FFF2-40B4-BE49-F238E27FC236}">
              <a16:creationId xmlns:a16="http://schemas.microsoft.com/office/drawing/2014/main" id="{75B089FC-EE14-4F9A-95B5-7E16C87BF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4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7011" name="Picture@5C\QPendientes@" descr="@5C\QPendientes@">
          <a:extLst>
            <a:ext uri="{FF2B5EF4-FFF2-40B4-BE49-F238E27FC236}">
              <a16:creationId xmlns:a16="http://schemas.microsoft.com/office/drawing/2014/main" id="{B7C65A9E-5F3C-4CED-BD0B-7B89C44B2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6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7012" name="Picture@5C\QPendientes@" descr="@5C\QPendientes@">
          <a:extLst>
            <a:ext uri="{FF2B5EF4-FFF2-40B4-BE49-F238E27FC236}">
              <a16:creationId xmlns:a16="http://schemas.microsoft.com/office/drawing/2014/main" id="{908439DB-C438-46E5-A77D-E0350ED5C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8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7013" name="Picture@5C\QPendientes@" descr="@5C\QPendientes@">
          <a:extLst>
            <a:ext uri="{FF2B5EF4-FFF2-40B4-BE49-F238E27FC236}">
              <a16:creationId xmlns:a16="http://schemas.microsoft.com/office/drawing/2014/main" id="{D7CF8094-DF26-448A-A82C-9678E1C04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7014" name="Picture@5C\QPendientes@" descr="@5C\QPendientes@">
          <a:extLst>
            <a:ext uri="{FF2B5EF4-FFF2-40B4-BE49-F238E27FC236}">
              <a16:creationId xmlns:a16="http://schemas.microsoft.com/office/drawing/2014/main" id="{5B31499F-55F5-4851-A019-4E5F473283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2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7015" name="Picture@5C\QPendientes@" descr="@5C\QPendientes@">
          <a:extLst>
            <a:ext uri="{FF2B5EF4-FFF2-40B4-BE49-F238E27FC236}">
              <a16:creationId xmlns:a16="http://schemas.microsoft.com/office/drawing/2014/main" id="{90D3C83F-A83F-473F-84B4-413674D43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4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7016" name="Picture@5C\QPendientes@" descr="@5C\QPendientes@">
          <a:extLst>
            <a:ext uri="{FF2B5EF4-FFF2-40B4-BE49-F238E27FC236}">
              <a16:creationId xmlns:a16="http://schemas.microsoft.com/office/drawing/2014/main" id="{C9C10BB1-6363-454C-B9FB-151744C5B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5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7017" name="Picture@5C\QPendientes@" descr="@5C\QPendientes@">
          <a:extLst>
            <a:ext uri="{FF2B5EF4-FFF2-40B4-BE49-F238E27FC236}">
              <a16:creationId xmlns:a16="http://schemas.microsoft.com/office/drawing/2014/main" id="{68BE6C9B-51D9-477A-AC60-1134BBD5D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7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7018" name="Picture@5C\QPendientes@" descr="@5C\QPendientes@">
          <a:extLst>
            <a:ext uri="{FF2B5EF4-FFF2-40B4-BE49-F238E27FC236}">
              <a16:creationId xmlns:a16="http://schemas.microsoft.com/office/drawing/2014/main" id="{2D0D6E5C-EB84-4BAC-8BE0-ECF190696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9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7019" name="Picture@5C\QPendientes@" descr="@5C\QPendientes@">
          <a:extLst>
            <a:ext uri="{FF2B5EF4-FFF2-40B4-BE49-F238E27FC236}">
              <a16:creationId xmlns:a16="http://schemas.microsoft.com/office/drawing/2014/main" id="{3BD08B91-9844-4AAD-A9B0-AE320A00C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1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7020" name="Picture@5C\QPendientes@" descr="@5C\QPendientes@">
          <a:extLst>
            <a:ext uri="{FF2B5EF4-FFF2-40B4-BE49-F238E27FC236}">
              <a16:creationId xmlns:a16="http://schemas.microsoft.com/office/drawing/2014/main" id="{4498BC49-8AE8-4A69-9F48-1CFCE2396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3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7021" name="Picture@5C\QPendientes@" descr="@5C\QPendientes@">
          <a:extLst>
            <a:ext uri="{FF2B5EF4-FFF2-40B4-BE49-F238E27FC236}">
              <a16:creationId xmlns:a16="http://schemas.microsoft.com/office/drawing/2014/main" id="{0FCD72F6-49F4-4CA7-BBCF-DE8753AB4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5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7022" name="Picture@5C\QPendientes@" descr="@5C\QPendientes@">
          <a:extLst>
            <a:ext uri="{FF2B5EF4-FFF2-40B4-BE49-F238E27FC236}">
              <a16:creationId xmlns:a16="http://schemas.microsoft.com/office/drawing/2014/main" id="{5CD09B2A-3CA6-4DF7-8751-79432EB65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6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7023" name="Picture@5C\QPendientes@" descr="@5C\QPendientes@">
          <a:extLst>
            <a:ext uri="{FF2B5EF4-FFF2-40B4-BE49-F238E27FC236}">
              <a16:creationId xmlns:a16="http://schemas.microsoft.com/office/drawing/2014/main" id="{3D5A80EC-8D36-4B16-BD5A-7D06618FB0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7024" name="Picture@5C\QPendientes@" descr="@5C\QPendientes@">
          <a:extLst>
            <a:ext uri="{FF2B5EF4-FFF2-40B4-BE49-F238E27FC236}">
              <a16:creationId xmlns:a16="http://schemas.microsoft.com/office/drawing/2014/main" id="{7D313EB4-9CD7-4113-BE37-D1234C456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0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7025" name="Picture@5C\QPendientes@" descr="@5C\QPendientes@">
          <a:extLst>
            <a:ext uri="{FF2B5EF4-FFF2-40B4-BE49-F238E27FC236}">
              <a16:creationId xmlns:a16="http://schemas.microsoft.com/office/drawing/2014/main" id="{70B7556C-6C9B-4F67-B2E6-D9EEF873F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2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7026" name="Picture@5C\QPendientes@" descr="@5C\QPendientes@">
          <a:extLst>
            <a:ext uri="{FF2B5EF4-FFF2-40B4-BE49-F238E27FC236}">
              <a16:creationId xmlns:a16="http://schemas.microsoft.com/office/drawing/2014/main" id="{EE5F5A4A-E1B4-414E-B5E9-090F2B636E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4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7027" name="Picture@5C\QPendientes@" descr="@5C\QPendientes@">
          <a:extLst>
            <a:ext uri="{FF2B5EF4-FFF2-40B4-BE49-F238E27FC236}">
              <a16:creationId xmlns:a16="http://schemas.microsoft.com/office/drawing/2014/main" id="{5F8CB130-D051-402D-A5C6-58FF0B9EC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6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7028" name="Picture@5C\QPendientes@" descr="@5C\QPendientes@">
          <a:extLst>
            <a:ext uri="{FF2B5EF4-FFF2-40B4-BE49-F238E27FC236}">
              <a16:creationId xmlns:a16="http://schemas.microsoft.com/office/drawing/2014/main" id="{2801BF89-D27D-4841-AE50-F40AD1D4D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7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7029" name="Picture@5C\QPendientes@" descr="@5C\QPendientes@">
          <a:extLst>
            <a:ext uri="{FF2B5EF4-FFF2-40B4-BE49-F238E27FC236}">
              <a16:creationId xmlns:a16="http://schemas.microsoft.com/office/drawing/2014/main" id="{E088FEAF-C41E-44C1-B601-7979610E7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9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7030" name="Picture@5C\QPendientes@" descr="@5C\QPendientes@">
          <a:extLst>
            <a:ext uri="{FF2B5EF4-FFF2-40B4-BE49-F238E27FC236}">
              <a16:creationId xmlns:a16="http://schemas.microsoft.com/office/drawing/2014/main" id="{D75F8286-1BE3-42C0-BF2B-4919CD031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1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7031" name="Picture@5C\QPendientes@" descr="@5C\QPendientes@">
          <a:extLst>
            <a:ext uri="{FF2B5EF4-FFF2-40B4-BE49-F238E27FC236}">
              <a16:creationId xmlns:a16="http://schemas.microsoft.com/office/drawing/2014/main" id="{610ED3C6-B0E6-49E7-98FC-B1987AE1E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3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7032" name="Picture@5C\QPendientes@" descr="@5C\QPendientes@">
          <a:extLst>
            <a:ext uri="{FF2B5EF4-FFF2-40B4-BE49-F238E27FC236}">
              <a16:creationId xmlns:a16="http://schemas.microsoft.com/office/drawing/2014/main" id="{7F97E7C6-3D0D-437D-BEDA-42B1CBEAD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5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7033" name="Picture@5C\QPendientes@" descr="@5C\QPendientes@">
          <a:extLst>
            <a:ext uri="{FF2B5EF4-FFF2-40B4-BE49-F238E27FC236}">
              <a16:creationId xmlns:a16="http://schemas.microsoft.com/office/drawing/2014/main" id="{1317349E-589D-4251-AC7B-556DF6537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7034" name="Picture@5C\QPendientes@" descr="@5C\QPendientes@">
          <a:extLst>
            <a:ext uri="{FF2B5EF4-FFF2-40B4-BE49-F238E27FC236}">
              <a16:creationId xmlns:a16="http://schemas.microsoft.com/office/drawing/2014/main" id="{07CF2848-CDFB-418F-84F2-1BE1FD564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8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7035" name="Picture@5C\QPendientes@" descr="@5C\QPendientes@">
          <a:extLst>
            <a:ext uri="{FF2B5EF4-FFF2-40B4-BE49-F238E27FC236}">
              <a16:creationId xmlns:a16="http://schemas.microsoft.com/office/drawing/2014/main" id="{E0F448A6-812B-486D-8BDD-972E41A3B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0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7036" name="Picture@5C\QPendientes@" descr="@5C\QPendientes@">
          <a:extLst>
            <a:ext uri="{FF2B5EF4-FFF2-40B4-BE49-F238E27FC236}">
              <a16:creationId xmlns:a16="http://schemas.microsoft.com/office/drawing/2014/main" id="{C77FB620-E9D2-4953-81CA-EC1B2BAA4C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2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7037" name="Picture@5C\QPendientes@" descr="@5C\QPendientes@">
          <a:extLst>
            <a:ext uri="{FF2B5EF4-FFF2-40B4-BE49-F238E27FC236}">
              <a16:creationId xmlns:a16="http://schemas.microsoft.com/office/drawing/2014/main" id="{343320D4-F82E-4326-B4E6-AC640B5FA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4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7038" name="Picture@5C\QPendientes@" descr="@5C\QPendientes@">
          <a:extLst>
            <a:ext uri="{FF2B5EF4-FFF2-40B4-BE49-F238E27FC236}">
              <a16:creationId xmlns:a16="http://schemas.microsoft.com/office/drawing/2014/main" id="{14FBF6AC-FD0D-4933-A5BE-6A9E80BB4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6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7039" name="Picture@5C\QPendientes@" descr="@5C\QPendientes@">
          <a:extLst>
            <a:ext uri="{FF2B5EF4-FFF2-40B4-BE49-F238E27FC236}">
              <a16:creationId xmlns:a16="http://schemas.microsoft.com/office/drawing/2014/main" id="{C2EDC334-6606-45E8-86AB-DC80736FA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7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7040" name="Picture@5C\QPendientes@" descr="@5C\QPendientes@">
          <a:extLst>
            <a:ext uri="{FF2B5EF4-FFF2-40B4-BE49-F238E27FC236}">
              <a16:creationId xmlns:a16="http://schemas.microsoft.com/office/drawing/2014/main" id="{ADF128E4-38B1-4FE9-BF9B-F0C840442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9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7041" name="Picture@5C\QPendientes@" descr="@5C\QPendientes@">
          <a:extLst>
            <a:ext uri="{FF2B5EF4-FFF2-40B4-BE49-F238E27FC236}">
              <a16:creationId xmlns:a16="http://schemas.microsoft.com/office/drawing/2014/main" id="{55C89049-CD8B-4E4C-A9FF-BCA6A1DBD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1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7042" name="Picture@5C\QPendientes@" descr="@5C\QPendientes@">
          <a:extLst>
            <a:ext uri="{FF2B5EF4-FFF2-40B4-BE49-F238E27FC236}">
              <a16:creationId xmlns:a16="http://schemas.microsoft.com/office/drawing/2014/main" id="{28DB8159-85AC-4257-B814-E045D3BEA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3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7043" name="Picture@5C\QPendientes@" descr="@5C\QPendientes@">
          <a:extLst>
            <a:ext uri="{FF2B5EF4-FFF2-40B4-BE49-F238E27FC236}">
              <a16:creationId xmlns:a16="http://schemas.microsoft.com/office/drawing/2014/main" id="{AD36E65D-E013-4D73-964A-A2AE45367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7044" name="Picture@5C\QPendientes@" descr="@5C\QPendientes@">
          <a:extLst>
            <a:ext uri="{FF2B5EF4-FFF2-40B4-BE49-F238E27FC236}">
              <a16:creationId xmlns:a16="http://schemas.microsoft.com/office/drawing/2014/main" id="{FBDC1F5E-D581-4EAF-BCF2-4C36016D7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7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7045" name="Picture@5C\QPendientes@" descr="@5C\QPendientes@">
          <a:extLst>
            <a:ext uri="{FF2B5EF4-FFF2-40B4-BE49-F238E27FC236}">
              <a16:creationId xmlns:a16="http://schemas.microsoft.com/office/drawing/2014/main" id="{FD6EBC6C-E622-4D05-968B-1684EC410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8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7046" name="Picture@5C\QPendientes@" descr="@5C\QPendientes@">
          <a:extLst>
            <a:ext uri="{FF2B5EF4-FFF2-40B4-BE49-F238E27FC236}">
              <a16:creationId xmlns:a16="http://schemas.microsoft.com/office/drawing/2014/main" id="{81DFE34B-AEA2-459C-B768-C99EB22B2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0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7047" name="Picture@5C\QPendientes@" descr="@5C\QPendientes@">
          <a:extLst>
            <a:ext uri="{FF2B5EF4-FFF2-40B4-BE49-F238E27FC236}">
              <a16:creationId xmlns:a16="http://schemas.microsoft.com/office/drawing/2014/main" id="{D75B011E-59AA-4D6C-8283-06A3C5EBD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2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7048" name="Picture@5C\QPendientes@" descr="@5C\QPendientes@">
          <a:extLst>
            <a:ext uri="{FF2B5EF4-FFF2-40B4-BE49-F238E27FC236}">
              <a16:creationId xmlns:a16="http://schemas.microsoft.com/office/drawing/2014/main" id="{10B7DBE2-7F94-457B-B633-8B4330A8D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4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7049" name="Picture@5C\QPendientes@" descr="@5C\QPendientes@">
          <a:extLst>
            <a:ext uri="{FF2B5EF4-FFF2-40B4-BE49-F238E27FC236}">
              <a16:creationId xmlns:a16="http://schemas.microsoft.com/office/drawing/2014/main" id="{E5058D30-AA3C-451B-B963-79381E6C27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6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7050" name="Picture@5C\QPendientes@" descr="@5C\QPendientes@">
          <a:extLst>
            <a:ext uri="{FF2B5EF4-FFF2-40B4-BE49-F238E27FC236}">
              <a16:creationId xmlns:a16="http://schemas.microsoft.com/office/drawing/2014/main" id="{75B1F522-7D70-416C-A016-C12557E19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8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7051" name="Picture@5C\QPendientes@" descr="@5C\QPendientes@">
          <a:extLst>
            <a:ext uri="{FF2B5EF4-FFF2-40B4-BE49-F238E27FC236}">
              <a16:creationId xmlns:a16="http://schemas.microsoft.com/office/drawing/2014/main" id="{F98EB97D-4BB6-4381-9A46-EE525F0CD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9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7052" name="Picture@5C\QPendientes@" descr="@5C\QPendientes@">
          <a:extLst>
            <a:ext uri="{FF2B5EF4-FFF2-40B4-BE49-F238E27FC236}">
              <a16:creationId xmlns:a16="http://schemas.microsoft.com/office/drawing/2014/main" id="{08FA04F5-3CDE-4772-B389-8152975C0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1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7053" name="Picture@5C\QPendientes@" descr="@5C\QPendientes@">
          <a:extLst>
            <a:ext uri="{FF2B5EF4-FFF2-40B4-BE49-F238E27FC236}">
              <a16:creationId xmlns:a16="http://schemas.microsoft.com/office/drawing/2014/main" id="{3247C1EE-C723-4DCB-9B8C-6253EA149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7054" name="Picture@5C\QPendientes@" descr="@5C\QPendientes@">
          <a:extLst>
            <a:ext uri="{FF2B5EF4-FFF2-40B4-BE49-F238E27FC236}">
              <a16:creationId xmlns:a16="http://schemas.microsoft.com/office/drawing/2014/main" id="{43F6C0DD-E6AB-4969-A9FD-43D8E0905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5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7055" name="Picture@5C\QPendientes@" descr="@5C\QPendientes@">
          <a:extLst>
            <a:ext uri="{FF2B5EF4-FFF2-40B4-BE49-F238E27FC236}">
              <a16:creationId xmlns:a16="http://schemas.microsoft.com/office/drawing/2014/main" id="{F8DCA462-0102-4903-9004-3FE22492D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7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7056" name="Picture@5C\QPendientes@" descr="@5C\QPendientes@">
          <a:extLst>
            <a:ext uri="{FF2B5EF4-FFF2-40B4-BE49-F238E27FC236}">
              <a16:creationId xmlns:a16="http://schemas.microsoft.com/office/drawing/2014/main" id="{54EA54FD-7BE9-4C2F-A92D-907D3FA2D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9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7057" name="Picture@5C\QPendientes@" descr="@5C\QPendientes@">
          <a:extLst>
            <a:ext uri="{FF2B5EF4-FFF2-40B4-BE49-F238E27FC236}">
              <a16:creationId xmlns:a16="http://schemas.microsoft.com/office/drawing/2014/main" id="{FF1098D7-18D5-4A50-850E-93A2447DB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0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7058" name="Picture@5C\QPendientes@" descr="@5C\QPendientes@">
          <a:extLst>
            <a:ext uri="{FF2B5EF4-FFF2-40B4-BE49-F238E27FC236}">
              <a16:creationId xmlns:a16="http://schemas.microsoft.com/office/drawing/2014/main" id="{46FC4B04-5FCE-43A7-B446-A6552F2A0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2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7059" name="Picture@5C\QPendientes@" descr="@5C\QPendientes@">
          <a:extLst>
            <a:ext uri="{FF2B5EF4-FFF2-40B4-BE49-F238E27FC236}">
              <a16:creationId xmlns:a16="http://schemas.microsoft.com/office/drawing/2014/main" id="{039B5A36-F9F8-4AD9-B3C4-B379FD985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4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7060" name="Picture@5C\QPendientes@" descr="@5C\QPendientes@">
          <a:extLst>
            <a:ext uri="{FF2B5EF4-FFF2-40B4-BE49-F238E27FC236}">
              <a16:creationId xmlns:a16="http://schemas.microsoft.com/office/drawing/2014/main" id="{FE6DBFC7-5521-493B-B919-B6081FA16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6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7061" name="Picture@5C\QPendientes@" descr="@5C\QPendientes@">
          <a:extLst>
            <a:ext uri="{FF2B5EF4-FFF2-40B4-BE49-F238E27FC236}">
              <a16:creationId xmlns:a16="http://schemas.microsoft.com/office/drawing/2014/main" id="{3ECDB4B4-8E4F-41AC-9402-A12606DD2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8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7062" name="Picture@5C\QPendientes@" descr="@5C\QPendientes@">
          <a:extLst>
            <a:ext uri="{FF2B5EF4-FFF2-40B4-BE49-F238E27FC236}">
              <a16:creationId xmlns:a16="http://schemas.microsoft.com/office/drawing/2014/main" id="{1534C645-9931-4524-9557-9DC0D1249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0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7063" name="Picture@5C\QPendientes@" descr="@5C\QPendientes@">
          <a:extLst>
            <a:ext uri="{FF2B5EF4-FFF2-40B4-BE49-F238E27FC236}">
              <a16:creationId xmlns:a16="http://schemas.microsoft.com/office/drawing/2014/main" id="{AAEA9C97-C887-4632-98C2-F8FF97CE8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7064" name="Picture@5C\QPendientes@" descr="@5C\QPendientes@">
          <a:extLst>
            <a:ext uri="{FF2B5EF4-FFF2-40B4-BE49-F238E27FC236}">
              <a16:creationId xmlns:a16="http://schemas.microsoft.com/office/drawing/2014/main" id="{F8F267E9-CB17-439A-BA60-8C5C7868C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3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7065" name="Picture@5C\QPendientes@" descr="@5C\QPendientes@">
          <a:extLst>
            <a:ext uri="{FF2B5EF4-FFF2-40B4-BE49-F238E27FC236}">
              <a16:creationId xmlns:a16="http://schemas.microsoft.com/office/drawing/2014/main" id="{EC4C8A1B-C9F1-48D6-8908-89A6A2B6F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5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7066" name="Picture@5C\QPendientes@" descr="@5C\QPendientes@">
          <a:extLst>
            <a:ext uri="{FF2B5EF4-FFF2-40B4-BE49-F238E27FC236}">
              <a16:creationId xmlns:a16="http://schemas.microsoft.com/office/drawing/2014/main" id="{F713CA29-5DF1-40D1-AD4D-A4D251368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7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7067" name="Picture@5C\QPendientes@" descr="@5C\QPendientes@">
          <a:extLst>
            <a:ext uri="{FF2B5EF4-FFF2-40B4-BE49-F238E27FC236}">
              <a16:creationId xmlns:a16="http://schemas.microsoft.com/office/drawing/2014/main" id="{E9BAA2B3-78B2-4141-A397-32C624E477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9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7068" name="Picture@5C\QPendientes@" descr="@5C\QPendientes@">
          <a:extLst>
            <a:ext uri="{FF2B5EF4-FFF2-40B4-BE49-F238E27FC236}">
              <a16:creationId xmlns:a16="http://schemas.microsoft.com/office/drawing/2014/main" id="{2D1716B0-E673-4611-BB4C-7063E7EC80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0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7069" name="Picture@5C\QPendientes@" descr="@5C\QPendientes@">
          <a:extLst>
            <a:ext uri="{FF2B5EF4-FFF2-40B4-BE49-F238E27FC236}">
              <a16:creationId xmlns:a16="http://schemas.microsoft.com/office/drawing/2014/main" id="{3EBA8751-26E7-42B9-8832-1B43C8858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2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7070" name="Picture@5C\QPendientes@" descr="@5C\QPendientes@">
          <a:extLst>
            <a:ext uri="{FF2B5EF4-FFF2-40B4-BE49-F238E27FC236}">
              <a16:creationId xmlns:a16="http://schemas.microsoft.com/office/drawing/2014/main" id="{963E45F6-FE16-4F7A-BAFB-E838E02C7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4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7071" name="Picture@5C\QPendientes@" descr="@5C\QPendientes@">
          <a:extLst>
            <a:ext uri="{FF2B5EF4-FFF2-40B4-BE49-F238E27FC236}">
              <a16:creationId xmlns:a16="http://schemas.microsoft.com/office/drawing/2014/main" id="{49E258B3-DF42-499C-A53E-C6D7DB942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6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7072" name="Picture@5C\QPendientes@" descr="@5C\QPendientes@">
          <a:extLst>
            <a:ext uri="{FF2B5EF4-FFF2-40B4-BE49-F238E27FC236}">
              <a16:creationId xmlns:a16="http://schemas.microsoft.com/office/drawing/2014/main" id="{50E75E24-336F-47D3-AE5F-A768184DE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8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7073" name="Picture@5C\QPendientes@" descr="@5C\QPendientes@">
          <a:extLst>
            <a:ext uri="{FF2B5EF4-FFF2-40B4-BE49-F238E27FC236}">
              <a16:creationId xmlns:a16="http://schemas.microsoft.com/office/drawing/2014/main" id="{F8759A9A-2828-49E5-99BF-4A0370481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7074" name="Picture@5C\QPendientes@" descr="@5C\QPendientes@">
          <a:extLst>
            <a:ext uri="{FF2B5EF4-FFF2-40B4-BE49-F238E27FC236}">
              <a16:creationId xmlns:a16="http://schemas.microsoft.com/office/drawing/2014/main" id="{E4B87939-2D78-4913-9D9C-CECD8E824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1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7075" name="Picture@5C\QPendientes@" descr="@5C\QPendientes@">
          <a:extLst>
            <a:ext uri="{FF2B5EF4-FFF2-40B4-BE49-F238E27FC236}">
              <a16:creationId xmlns:a16="http://schemas.microsoft.com/office/drawing/2014/main" id="{C1E80133-6DF0-4B09-BE46-F7D11553C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3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7076" name="Picture@5C\QPendientes@" descr="@5C\QPendientes@">
          <a:extLst>
            <a:ext uri="{FF2B5EF4-FFF2-40B4-BE49-F238E27FC236}">
              <a16:creationId xmlns:a16="http://schemas.microsoft.com/office/drawing/2014/main" id="{CB615262-EC6C-4EE9-BDA4-F841EF35B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5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7077" name="Picture@5C\QPendientes@" descr="@5C\QPendientes@">
          <a:extLst>
            <a:ext uri="{FF2B5EF4-FFF2-40B4-BE49-F238E27FC236}">
              <a16:creationId xmlns:a16="http://schemas.microsoft.com/office/drawing/2014/main" id="{913BFCB4-DF76-4061-B972-035D6223F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7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7078" name="Picture@5C\QPendientes@" descr="@5C\QPendientes@">
          <a:extLst>
            <a:ext uri="{FF2B5EF4-FFF2-40B4-BE49-F238E27FC236}">
              <a16:creationId xmlns:a16="http://schemas.microsoft.com/office/drawing/2014/main" id="{15C82D19-9EEE-4CC1-B714-C441BC8A9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9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7079" name="Picture@5C\QPendientes@" descr="@5C\QPendientes@">
          <a:extLst>
            <a:ext uri="{FF2B5EF4-FFF2-40B4-BE49-F238E27FC236}">
              <a16:creationId xmlns:a16="http://schemas.microsoft.com/office/drawing/2014/main" id="{D3EF8A38-62F3-4FF3-90C4-6D5560624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1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7080" name="Picture@5C\QPendientes@" descr="@5C\QPendientes@">
          <a:extLst>
            <a:ext uri="{FF2B5EF4-FFF2-40B4-BE49-F238E27FC236}">
              <a16:creationId xmlns:a16="http://schemas.microsoft.com/office/drawing/2014/main" id="{D59108B7-2430-47CF-8C55-B0253B0E0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2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7081" name="Picture@5C\QPendientes@" descr="@5C\QPendientes@">
          <a:extLst>
            <a:ext uri="{FF2B5EF4-FFF2-40B4-BE49-F238E27FC236}">
              <a16:creationId xmlns:a16="http://schemas.microsoft.com/office/drawing/2014/main" id="{8C0899F3-EE9F-4B7C-9926-FC9CD3653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4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7082" name="Picture@5C\QPendientes@" descr="@5C\QPendientes@">
          <a:extLst>
            <a:ext uri="{FF2B5EF4-FFF2-40B4-BE49-F238E27FC236}">
              <a16:creationId xmlns:a16="http://schemas.microsoft.com/office/drawing/2014/main" id="{1836EF7C-85F7-4A77-A7EA-CF2E1870E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6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7083" name="Picture@5C\QPendientes@" descr="@5C\QPendientes@">
          <a:extLst>
            <a:ext uri="{FF2B5EF4-FFF2-40B4-BE49-F238E27FC236}">
              <a16:creationId xmlns:a16="http://schemas.microsoft.com/office/drawing/2014/main" id="{E40316A4-3C30-437F-97FA-F80BA9CC3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7084" name="Picture@5C\QPendientes@" descr="@5C\QPendientes@">
          <a:extLst>
            <a:ext uri="{FF2B5EF4-FFF2-40B4-BE49-F238E27FC236}">
              <a16:creationId xmlns:a16="http://schemas.microsoft.com/office/drawing/2014/main" id="{2E8E9434-4492-4271-ACCF-D704A7101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0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7085" name="Picture@5C\QPendientes@" descr="@5C\QPendientes@">
          <a:extLst>
            <a:ext uri="{FF2B5EF4-FFF2-40B4-BE49-F238E27FC236}">
              <a16:creationId xmlns:a16="http://schemas.microsoft.com/office/drawing/2014/main" id="{4DC0B8DD-CC3E-469D-85D4-DA8816475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2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7086" name="Picture@5C\QPendientes@" descr="@5C\QPendientes@">
          <a:extLst>
            <a:ext uri="{FF2B5EF4-FFF2-40B4-BE49-F238E27FC236}">
              <a16:creationId xmlns:a16="http://schemas.microsoft.com/office/drawing/2014/main" id="{BAA2882A-E284-402A-8A1D-7432C58AE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3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7087" name="Picture@5C\QPendientes@" descr="@5C\QPendientes@">
          <a:extLst>
            <a:ext uri="{FF2B5EF4-FFF2-40B4-BE49-F238E27FC236}">
              <a16:creationId xmlns:a16="http://schemas.microsoft.com/office/drawing/2014/main" id="{5FF1D578-0133-4C2A-867D-653A2F8256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5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7088" name="Picture@5C\QPendientes@" descr="@5C\QPendientes@">
          <a:extLst>
            <a:ext uri="{FF2B5EF4-FFF2-40B4-BE49-F238E27FC236}">
              <a16:creationId xmlns:a16="http://schemas.microsoft.com/office/drawing/2014/main" id="{F1EC38D8-A675-47C6-96DC-C396CD7F7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7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7089" name="Picture@5C\QPendientes@" descr="@5C\QPendientes@">
          <a:extLst>
            <a:ext uri="{FF2B5EF4-FFF2-40B4-BE49-F238E27FC236}">
              <a16:creationId xmlns:a16="http://schemas.microsoft.com/office/drawing/2014/main" id="{F0C642A2-4FFC-4245-99E7-E35CC75A6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9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7090" name="Picture@5C\QPendientes@" descr="@5C\QPendientes@">
          <a:extLst>
            <a:ext uri="{FF2B5EF4-FFF2-40B4-BE49-F238E27FC236}">
              <a16:creationId xmlns:a16="http://schemas.microsoft.com/office/drawing/2014/main" id="{B3CC61BD-D75B-4E8F-8390-E024D28D3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1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7091" name="Picture@5C\QPendientes@" descr="@5C\QPendientes@">
          <a:extLst>
            <a:ext uri="{FF2B5EF4-FFF2-40B4-BE49-F238E27FC236}">
              <a16:creationId xmlns:a16="http://schemas.microsoft.com/office/drawing/2014/main" id="{7AAD6B57-8F56-4046-9E56-BABAF9651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3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7092" name="Picture@5C\QPendientes@" descr="@5C\QPendientes@">
          <a:extLst>
            <a:ext uri="{FF2B5EF4-FFF2-40B4-BE49-F238E27FC236}">
              <a16:creationId xmlns:a16="http://schemas.microsoft.com/office/drawing/2014/main" id="{FCB6827F-498B-45DE-AC1E-B8B46A6F1A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4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7093" name="Picture@5C\QPendientes@" descr="@5C\QPendientes@">
          <a:extLst>
            <a:ext uri="{FF2B5EF4-FFF2-40B4-BE49-F238E27FC236}">
              <a16:creationId xmlns:a16="http://schemas.microsoft.com/office/drawing/2014/main" id="{64B583B2-4F84-44AD-BF82-FEC39CC8D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7094" name="Picture@5C\QPendientes@" descr="@5C\QPendientes@">
          <a:extLst>
            <a:ext uri="{FF2B5EF4-FFF2-40B4-BE49-F238E27FC236}">
              <a16:creationId xmlns:a16="http://schemas.microsoft.com/office/drawing/2014/main" id="{2771E04F-D1C6-432F-8C64-C15A782DF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8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7095" name="Picture@5C\QPendientes@" descr="@5C\QPendientes@">
          <a:extLst>
            <a:ext uri="{FF2B5EF4-FFF2-40B4-BE49-F238E27FC236}">
              <a16:creationId xmlns:a16="http://schemas.microsoft.com/office/drawing/2014/main" id="{ED47AC74-4319-4011-970B-8291F4B73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0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7096" name="Picture@5C\QPendientes@" descr="@5C\QPendientes@">
          <a:extLst>
            <a:ext uri="{FF2B5EF4-FFF2-40B4-BE49-F238E27FC236}">
              <a16:creationId xmlns:a16="http://schemas.microsoft.com/office/drawing/2014/main" id="{7BA640FF-6914-4550-9A40-165086247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2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7097" name="Picture@5C\QPendientes@" descr="@5C\QPendientes@">
          <a:extLst>
            <a:ext uri="{FF2B5EF4-FFF2-40B4-BE49-F238E27FC236}">
              <a16:creationId xmlns:a16="http://schemas.microsoft.com/office/drawing/2014/main" id="{95E45C3E-D49C-432C-8574-6389478C6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4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7098" name="Picture@5C\QPendientes@" descr="@5C\QPendientes@">
          <a:extLst>
            <a:ext uri="{FF2B5EF4-FFF2-40B4-BE49-F238E27FC236}">
              <a16:creationId xmlns:a16="http://schemas.microsoft.com/office/drawing/2014/main" id="{80A3A4AF-7102-45E5-927F-66389CFD6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5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7099" name="Picture@5C\QPendientes@" descr="@5C\QPendientes@">
          <a:extLst>
            <a:ext uri="{FF2B5EF4-FFF2-40B4-BE49-F238E27FC236}">
              <a16:creationId xmlns:a16="http://schemas.microsoft.com/office/drawing/2014/main" id="{CA3097E5-F2C6-410C-B7C1-BEBFD670C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7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7100" name="Picture@5C\QPendientes@" descr="@5C\QPendientes@">
          <a:extLst>
            <a:ext uri="{FF2B5EF4-FFF2-40B4-BE49-F238E27FC236}">
              <a16:creationId xmlns:a16="http://schemas.microsoft.com/office/drawing/2014/main" id="{D7569904-CC06-46C4-B7FB-3347F2902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9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7101" name="Picture@5C\QPendientes@" descr="@5C\QPendientes@">
          <a:extLst>
            <a:ext uri="{FF2B5EF4-FFF2-40B4-BE49-F238E27FC236}">
              <a16:creationId xmlns:a16="http://schemas.microsoft.com/office/drawing/2014/main" id="{76444181-15C6-47CC-8834-923B31190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1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7102" name="Picture@5C\QPendientes@" descr="@5C\QPendientes@">
          <a:extLst>
            <a:ext uri="{FF2B5EF4-FFF2-40B4-BE49-F238E27FC236}">
              <a16:creationId xmlns:a16="http://schemas.microsoft.com/office/drawing/2014/main" id="{7F672020-58C4-4604-9B7E-E65BB712A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3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7103" name="Picture@5C\QPendientes@" descr="@5C\QPendientes@">
          <a:extLst>
            <a:ext uri="{FF2B5EF4-FFF2-40B4-BE49-F238E27FC236}">
              <a16:creationId xmlns:a16="http://schemas.microsoft.com/office/drawing/2014/main" id="{8B7BBCDC-1C01-47D3-9D4D-10AFACE0C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7104" name="Picture@5C\QPendientes@" descr="@5C\QPendientes@">
          <a:extLst>
            <a:ext uri="{FF2B5EF4-FFF2-40B4-BE49-F238E27FC236}">
              <a16:creationId xmlns:a16="http://schemas.microsoft.com/office/drawing/2014/main" id="{C2641312-C177-4D00-BD7E-62DAC5E07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6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7105" name="Picture@5C\QPendientes@" descr="@5C\QPendientes@">
          <a:extLst>
            <a:ext uri="{FF2B5EF4-FFF2-40B4-BE49-F238E27FC236}">
              <a16:creationId xmlns:a16="http://schemas.microsoft.com/office/drawing/2014/main" id="{D3E87A3F-2EEC-46B7-9EB7-4506EA848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8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7106" name="Picture@5C\QPendientes@" descr="@5C\QPendientes@">
          <a:extLst>
            <a:ext uri="{FF2B5EF4-FFF2-40B4-BE49-F238E27FC236}">
              <a16:creationId xmlns:a16="http://schemas.microsoft.com/office/drawing/2014/main" id="{D0E3A0EC-E4CE-4794-B978-86DBEE595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0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7107" name="Picture@5C\QPendientes@" descr="@5C\QPendientes@">
          <a:extLst>
            <a:ext uri="{FF2B5EF4-FFF2-40B4-BE49-F238E27FC236}">
              <a16:creationId xmlns:a16="http://schemas.microsoft.com/office/drawing/2014/main" id="{EF573A94-AAB5-4D11-97C7-8A538700A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2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7108" name="Picture@5C\QPendientes@" descr="@5C\QPendientes@">
          <a:extLst>
            <a:ext uri="{FF2B5EF4-FFF2-40B4-BE49-F238E27FC236}">
              <a16:creationId xmlns:a16="http://schemas.microsoft.com/office/drawing/2014/main" id="{2A1BAC77-5717-40BA-A005-E1C121098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4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7109" name="Picture@5C\QPendientes@" descr="@5C\QPendientes@">
          <a:extLst>
            <a:ext uri="{FF2B5EF4-FFF2-40B4-BE49-F238E27FC236}">
              <a16:creationId xmlns:a16="http://schemas.microsoft.com/office/drawing/2014/main" id="{6C2997C5-07E7-44EC-93DC-DACEB2C72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5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7110" name="Picture@5C\QPendientes@" descr="@5C\QPendientes@">
          <a:extLst>
            <a:ext uri="{FF2B5EF4-FFF2-40B4-BE49-F238E27FC236}">
              <a16:creationId xmlns:a16="http://schemas.microsoft.com/office/drawing/2014/main" id="{51CCD4D8-0D46-46F3-8E98-6999FBD0F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7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7111" name="Picture@5C\QPendientes@" descr="@5C\QPendientes@">
          <a:extLst>
            <a:ext uri="{FF2B5EF4-FFF2-40B4-BE49-F238E27FC236}">
              <a16:creationId xmlns:a16="http://schemas.microsoft.com/office/drawing/2014/main" id="{FFF8E994-E08E-4D1A-8489-A030D37AFE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9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7112" name="Picture@5C\QPendientes@" descr="@5C\QPendientes@">
          <a:extLst>
            <a:ext uri="{FF2B5EF4-FFF2-40B4-BE49-F238E27FC236}">
              <a16:creationId xmlns:a16="http://schemas.microsoft.com/office/drawing/2014/main" id="{64FE8C24-9AEE-4D04-BCA4-BBEDDC31F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1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7113" name="Picture@5C\QPendientes@" descr="@5C\QPendientes@">
          <a:extLst>
            <a:ext uri="{FF2B5EF4-FFF2-40B4-BE49-F238E27FC236}">
              <a16:creationId xmlns:a16="http://schemas.microsoft.com/office/drawing/2014/main" id="{ED9E00F0-5AFA-4D39-836C-D372C395D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7114" name="Picture@5C\QPendientes@" descr="@5C\QPendientes@">
          <a:extLst>
            <a:ext uri="{FF2B5EF4-FFF2-40B4-BE49-F238E27FC236}">
              <a16:creationId xmlns:a16="http://schemas.microsoft.com/office/drawing/2014/main" id="{09F9D9ED-444F-4A5C-8B59-D511EE338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5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7115" name="Picture@5C\QPendientes@" descr="@5C\QPendientes@">
          <a:extLst>
            <a:ext uri="{FF2B5EF4-FFF2-40B4-BE49-F238E27FC236}">
              <a16:creationId xmlns:a16="http://schemas.microsoft.com/office/drawing/2014/main" id="{AE367BE3-13C3-4301-87F7-0294F3CFE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6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7116" name="Picture@5C\QPendientes@" descr="@5C\QPendientes@">
          <a:extLst>
            <a:ext uri="{FF2B5EF4-FFF2-40B4-BE49-F238E27FC236}">
              <a16:creationId xmlns:a16="http://schemas.microsoft.com/office/drawing/2014/main" id="{41D6DBB7-A141-4A4F-9FBC-06FCACB7C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8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7117" name="Picture@5C\QPendientes@" descr="@5C\QPendientes@">
          <a:extLst>
            <a:ext uri="{FF2B5EF4-FFF2-40B4-BE49-F238E27FC236}">
              <a16:creationId xmlns:a16="http://schemas.microsoft.com/office/drawing/2014/main" id="{01C42303-B771-413A-9997-AED1EA628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0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7118" name="Picture@5C\QPendientes@" descr="@5C\QPendientes@">
          <a:extLst>
            <a:ext uri="{FF2B5EF4-FFF2-40B4-BE49-F238E27FC236}">
              <a16:creationId xmlns:a16="http://schemas.microsoft.com/office/drawing/2014/main" id="{414FCC21-BC4F-4EDD-848B-7E4BFE94A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2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7119" name="Picture@5C\QPendientes@" descr="@5C\QPendientes@">
          <a:extLst>
            <a:ext uri="{FF2B5EF4-FFF2-40B4-BE49-F238E27FC236}">
              <a16:creationId xmlns:a16="http://schemas.microsoft.com/office/drawing/2014/main" id="{FF715A9D-23A6-4DB3-B112-B6F915177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4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7120" name="Picture@5C\QPendientes@" descr="@5C\QPendientes@">
          <a:extLst>
            <a:ext uri="{FF2B5EF4-FFF2-40B4-BE49-F238E27FC236}">
              <a16:creationId xmlns:a16="http://schemas.microsoft.com/office/drawing/2014/main" id="{E90877F3-DF66-435F-918A-20D665594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6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7121" name="Picture@5C\QPendientes@" descr="@5C\QPendientes@">
          <a:extLst>
            <a:ext uri="{FF2B5EF4-FFF2-40B4-BE49-F238E27FC236}">
              <a16:creationId xmlns:a16="http://schemas.microsoft.com/office/drawing/2014/main" id="{99467EF8-B91C-401B-8BDC-A92724151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7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7122" name="Picture@5C\QPendientes@" descr="@5C\QPendientes@">
          <a:extLst>
            <a:ext uri="{FF2B5EF4-FFF2-40B4-BE49-F238E27FC236}">
              <a16:creationId xmlns:a16="http://schemas.microsoft.com/office/drawing/2014/main" id="{6FD7215F-980B-4922-9B7B-93BF025E9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9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7123" name="Picture@5C\QPendientes@" descr="@5C\QPendientes@">
          <a:extLst>
            <a:ext uri="{FF2B5EF4-FFF2-40B4-BE49-F238E27FC236}">
              <a16:creationId xmlns:a16="http://schemas.microsoft.com/office/drawing/2014/main" id="{93C8B7C1-7FEC-435D-B66A-9D70BD276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7124" name="Picture@5C\QPendientes@" descr="@5C\QPendientes@">
          <a:extLst>
            <a:ext uri="{FF2B5EF4-FFF2-40B4-BE49-F238E27FC236}">
              <a16:creationId xmlns:a16="http://schemas.microsoft.com/office/drawing/2014/main" id="{D29E7775-E783-453A-A2B9-DAD750985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3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7125" name="Picture@5C\QPendientes@" descr="@5C\QPendientes@">
          <a:extLst>
            <a:ext uri="{FF2B5EF4-FFF2-40B4-BE49-F238E27FC236}">
              <a16:creationId xmlns:a16="http://schemas.microsoft.com/office/drawing/2014/main" id="{A1C7F396-1DD8-4FC7-AC0E-2A8F77907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5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7126" name="Picture@5C\QPendientes@" descr="@5C\QPendientes@">
          <a:extLst>
            <a:ext uri="{FF2B5EF4-FFF2-40B4-BE49-F238E27FC236}">
              <a16:creationId xmlns:a16="http://schemas.microsoft.com/office/drawing/2014/main" id="{1FB41E58-C3F9-4D02-A440-33E321A3C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7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7127" name="Picture@5C\QPendientes@" descr="@5C\QPendientes@">
          <a:extLst>
            <a:ext uri="{FF2B5EF4-FFF2-40B4-BE49-F238E27FC236}">
              <a16:creationId xmlns:a16="http://schemas.microsoft.com/office/drawing/2014/main" id="{602AAF55-A422-427A-9229-438881F6D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8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7128" name="Picture@5C\QPendientes@" descr="@5C\QPendientes@">
          <a:extLst>
            <a:ext uri="{FF2B5EF4-FFF2-40B4-BE49-F238E27FC236}">
              <a16:creationId xmlns:a16="http://schemas.microsoft.com/office/drawing/2014/main" id="{C87E5103-FCA1-43F3-8828-FBEB129FF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0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7129" name="Picture@5C\QPendientes@" descr="@5C\QPendientes@">
          <a:extLst>
            <a:ext uri="{FF2B5EF4-FFF2-40B4-BE49-F238E27FC236}">
              <a16:creationId xmlns:a16="http://schemas.microsoft.com/office/drawing/2014/main" id="{BFF7C9A9-2E59-4FAF-95B7-2765A5E3F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2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7130" name="Picture@5C\QPendientes@" descr="@5C\QPendientes@">
          <a:extLst>
            <a:ext uri="{FF2B5EF4-FFF2-40B4-BE49-F238E27FC236}">
              <a16:creationId xmlns:a16="http://schemas.microsoft.com/office/drawing/2014/main" id="{D332D9DB-A4E2-435D-8DDC-4D0C673F41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4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7131" name="Picture@5C\QPendientes@" descr="@5C\QPendientes@">
          <a:extLst>
            <a:ext uri="{FF2B5EF4-FFF2-40B4-BE49-F238E27FC236}">
              <a16:creationId xmlns:a16="http://schemas.microsoft.com/office/drawing/2014/main" id="{C1F5BAD6-240E-4585-B1B1-2ACFC9774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6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7132" name="Picture@5C\QPendientes@" descr="@5C\QPendientes@">
          <a:extLst>
            <a:ext uri="{FF2B5EF4-FFF2-40B4-BE49-F238E27FC236}">
              <a16:creationId xmlns:a16="http://schemas.microsoft.com/office/drawing/2014/main" id="{050BBF86-FA60-4100-A78A-3EEFD0D1D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8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7133" name="Picture@5C\QPendientes@" descr="@5C\QPendientes@">
          <a:extLst>
            <a:ext uri="{FF2B5EF4-FFF2-40B4-BE49-F238E27FC236}">
              <a16:creationId xmlns:a16="http://schemas.microsoft.com/office/drawing/2014/main" id="{ECAAFAC7-744C-4E81-B5CB-E67E12DDB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7134" name="Picture@5C\QPendientes@" descr="@5C\QPendientes@">
          <a:extLst>
            <a:ext uri="{FF2B5EF4-FFF2-40B4-BE49-F238E27FC236}">
              <a16:creationId xmlns:a16="http://schemas.microsoft.com/office/drawing/2014/main" id="{49F38091-546C-46A9-8331-720E11CF3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1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7135" name="Picture@5C\QPendientes@" descr="@5C\QPendientes@">
          <a:extLst>
            <a:ext uri="{FF2B5EF4-FFF2-40B4-BE49-F238E27FC236}">
              <a16:creationId xmlns:a16="http://schemas.microsoft.com/office/drawing/2014/main" id="{57D4BF43-7F34-4FF0-9839-8406AE084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3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7136" name="Picture@5C\QPendientes@" descr="@5C\QPendientes@">
          <a:extLst>
            <a:ext uri="{FF2B5EF4-FFF2-40B4-BE49-F238E27FC236}">
              <a16:creationId xmlns:a16="http://schemas.microsoft.com/office/drawing/2014/main" id="{89C03C8E-2665-4B06-8101-F9506A050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5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7137" name="Picture@5C\QPendientes@" descr="@5C\QPendientes@">
          <a:extLst>
            <a:ext uri="{FF2B5EF4-FFF2-40B4-BE49-F238E27FC236}">
              <a16:creationId xmlns:a16="http://schemas.microsoft.com/office/drawing/2014/main" id="{3B4FFFE6-419D-4752-90ED-BDFCB4CC9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7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7138" name="Picture@5C\QPendientes@" descr="@5C\QPendientes@">
          <a:extLst>
            <a:ext uri="{FF2B5EF4-FFF2-40B4-BE49-F238E27FC236}">
              <a16:creationId xmlns:a16="http://schemas.microsoft.com/office/drawing/2014/main" id="{298C436B-B0BE-4CD4-972D-15B3852D8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9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7139" name="Picture@5C\QPendientes@" descr="@5C\QPendientes@">
          <a:extLst>
            <a:ext uri="{FF2B5EF4-FFF2-40B4-BE49-F238E27FC236}">
              <a16:creationId xmlns:a16="http://schemas.microsoft.com/office/drawing/2014/main" id="{AB17B87B-592E-4E2A-A365-E4D8C6DB6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0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7140" name="Picture@5C\QPendientes@" descr="@5C\QPendientes@">
          <a:extLst>
            <a:ext uri="{FF2B5EF4-FFF2-40B4-BE49-F238E27FC236}">
              <a16:creationId xmlns:a16="http://schemas.microsoft.com/office/drawing/2014/main" id="{8BF4314A-8969-4F67-8284-C110B695F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2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7141" name="Picture@5C\QPendientes@" descr="@5C\QPendientes@">
          <a:extLst>
            <a:ext uri="{FF2B5EF4-FFF2-40B4-BE49-F238E27FC236}">
              <a16:creationId xmlns:a16="http://schemas.microsoft.com/office/drawing/2014/main" id="{9A522333-CD90-4563-8D6C-25BB453C4F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4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7142" name="Picture@5C\QPendientes@" descr="@5C\QPendientes@">
          <a:extLst>
            <a:ext uri="{FF2B5EF4-FFF2-40B4-BE49-F238E27FC236}">
              <a16:creationId xmlns:a16="http://schemas.microsoft.com/office/drawing/2014/main" id="{632B9832-2D61-4E74-8302-2D652021B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6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7143" name="Picture@5C\QPendientes@" descr="@5C\QPendientes@">
          <a:extLst>
            <a:ext uri="{FF2B5EF4-FFF2-40B4-BE49-F238E27FC236}">
              <a16:creationId xmlns:a16="http://schemas.microsoft.com/office/drawing/2014/main" id="{98382F8E-3D6F-4E1F-914B-2A00483E4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7144" name="Picture@5C\QPendientes@" descr="@5C\QPendientes@">
          <a:extLst>
            <a:ext uri="{FF2B5EF4-FFF2-40B4-BE49-F238E27FC236}">
              <a16:creationId xmlns:a16="http://schemas.microsoft.com/office/drawing/2014/main" id="{F7E813BB-80C0-4A87-A7D0-78E168034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9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7145" name="Picture@5C\QPendientes@" descr="@5C\QPendientes@">
          <a:extLst>
            <a:ext uri="{FF2B5EF4-FFF2-40B4-BE49-F238E27FC236}">
              <a16:creationId xmlns:a16="http://schemas.microsoft.com/office/drawing/2014/main" id="{C19FEE3A-49E9-4F8C-BE58-F0AFA0DD8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1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7146" name="Picture@5C\QPendientes@" descr="@5C\QPendientes@">
          <a:extLst>
            <a:ext uri="{FF2B5EF4-FFF2-40B4-BE49-F238E27FC236}">
              <a16:creationId xmlns:a16="http://schemas.microsoft.com/office/drawing/2014/main" id="{B9F9F91A-8429-4681-8282-DB35BDC59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3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7147" name="Picture@5C\QPendientes@" descr="@5C\QPendientes@">
          <a:extLst>
            <a:ext uri="{FF2B5EF4-FFF2-40B4-BE49-F238E27FC236}">
              <a16:creationId xmlns:a16="http://schemas.microsoft.com/office/drawing/2014/main" id="{5B4C3262-198A-4753-B8F1-F8CE16234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5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7148" name="Picture@5C\QPendientes@" descr="@5C\QPendientes@">
          <a:extLst>
            <a:ext uri="{FF2B5EF4-FFF2-40B4-BE49-F238E27FC236}">
              <a16:creationId xmlns:a16="http://schemas.microsoft.com/office/drawing/2014/main" id="{92DBCE14-0D5F-4463-A80A-3EDC43333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7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7149" name="Picture@5C\QPendientes@" descr="@5C\QPendientes@">
          <a:extLst>
            <a:ext uri="{FF2B5EF4-FFF2-40B4-BE49-F238E27FC236}">
              <a16:creationId xmlns:a16="http://schemas.microsoft.com/office/drawing/2014/main" id="{BB80E5F8-3F29-4C4E-971C-799B8AC64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9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7150" name="Picture@5C\QPendientes@" descr="@5C\QPendientes@">
          <a:extLst>
            <a:ext uri="{FF2B5EF4-FFF2-40B4-BE49-F238E27FC236}">
              <a16:creationId xmlns:a16="http://schemas.microsoft.com/office/drawing/2014/main" id="{4BF87DA5-69E0-48A9-B212-C333CEE03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0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7151" name="Picture@5C\QPendientes@" descr="@5C\QPendientes@">
          <a:extLst>
            <a:ext uri="{FF2B5EF4-FFF2-40B4-BE49-F238E27FC236}">
              <a16:creationId xmlns:a16="http://schemas.microsoft.com/office/drawing/2014/main" id="{8DADC6DF-943F-4BD2-A5E4-BD806F038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2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7152" name="Picture@5C\QPendientes@" descr="@5C\QPendientes@">
          <a:extLst>
            <a:ext uri="{FF2B5EF4-FFF2-40B4-BE49-F238E27FC236}">
              <a16:creationId xmlns:a16="http://schemas.microsoft.com/office/drawing/2014/main" id="{7B3F1867-8810-4969-9299-6F714C99D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4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7153" name="Picture@5C\QPendientes@" descr="@5C\QPendientes@">
          <a:extLst>
            <a:ext uri="{FF2B5EF4-FFF2-40B4-BE49-F238E27FC236}">
              <a16:creationId xmlns:a16="http://schemas.microsoft.com/office/drawing/2014/main" id="{0DEDC0CF-5B41-4351-856D-CA5BFDC6B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7154" name="Picture@5C\QPendientes@" descr="@5C\QPendientes@">
          <a:extLst>
            <a:ext uri="{FF2B5EF4-FFF2-40B4-BE49-F238E27FC236}">
              <a16:creationId xmlns:a16="http://schemas.microsoft.com/office/drawing/2014/main" id="{10F70F48-12DE-4DCA-8DF5-520D92321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8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7155" name="Picture@5C\QPendientes@" descr="@5C\QPendientes@">
          <a:extLst>
            <a:ext uri="{FF2B5EF4-FFF2-40B4-BE49-F238E27FC236}">
              <a16:creationId xmlns:a16="http://schemas.microsoft.com/office/drawing/2014/main" id="{AF6FD744-DB2C-4333-98A0-A26F0EEF3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0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7156" name="Picture@5C\QPendientes@" descr="@5C\QPendientes@">
          <a:extLst>
            <a:ext uri="{FF2B5EF4-FFF2-40B4-BE49-F238E27FC236}">
              <a16:creationId xmlns:a16="http://schemas.microsoft.com/office/drawing/2014/main" id="{0B00F22D-7F8F-4B26-9222-83E9C78F0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1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7157" name="Picture@5C\QPendientes@" descr="@5C\QPendientes@">
          <a:extLst>
            <a:ext uri="{FF2B5EF4-FFF2-40B4-BE49-F238E27FC236}">
              <a16:creationId xmlns:a16="http://schemas.microsoft.com/office/drawing/2014/main" id="{DEEB1E3D-6A56-4AD3-B8BE-4C8B49BEA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3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7158" name="Picture@5C\QPendientes@" descr="@5C\QPendientes@">
          <a:extLst>
            <a:ext uri="{FF2B5EF4-FFF2-40B4-BE49-F238E27FC236}">
              <a16:creationId xmlns:a16="http://schemas.microsoft.com/office/drawing/2014/main" id="{7860064D-583C-4CE6-9E5E-4F7304033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5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7159" name="Picture@5C\QPendientes@" descr="@5C\QPendientes@">
          <a:extLst>
            <a:ext uri="{FF2B5EF4-FFF2-40B4-BE49-F238E27FC236}">
              <a16:creationId xmlns:a16="http://schemas.microsoft.com/office/drawing/2014/main" id="{44C96DF3-FC11-451D-8483-EFC84D40D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7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7160" name="Picture@5C\QPendientes@" descr="@5C\QPendientes@">
          <a:extLst>
            <a:ext uri="{FF2B5EF4-FFF2-40B4-BE49-F238E27FC236}">
              <a16:creationId xmlns:a16="http://schemas.microsoft.com/office/drawing/2014/main" id="{D2F11F33-3D50-4010-9260-31B3EE58C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9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7161" name="Picture@5C\QPendientes@" descr="@5C\QPendientes@">
          <a:extLst>
            <a:ext uri="{FF2B5EF4-FFF2-40B4-BE49-F238E27FC236}">
              <a16:creationId xmlns:a16="http://schemas.microsoft.com/office/drawing/2014/main" id="{6F8217C7-0E84-4593-9D7B-E2C20E7ED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1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7162" name="Picture@5C\QPendientes@" descr="@5C\QPendientes@">
          <a:extLst>
            <a:ext uri="{FF2B5EF4-FFF2-40B4-BE49-F238E27FC236}">
              <a16:creationId xmlns:a16="http://schemas.microsoft.com/office/drawing/2014/main" id="{EF0CAA57-17D8-4241-AE67-F7AFC3AD4A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2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7163" name="Picture@5C\QPendientes@" descr="@5C\QPendientes@">
          <a:extLst>
            <a:ext uri="{FF2B5EF4-FFF2-40B4-BE49-F238E27FC236}">
              <a16:creationId xmlns:a16="http://schemas.microsoft.com/office/drawing/2014/main" id="{22E1E6BB-14EA-47F9-BBB8-8025530A2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7164" name="Picture@5C\QPendientes@" descr="@5C\QPendientes@">
          <a:extLst>
            <a:ext uri="{FF2B5EF4-FFF2-40B4-BE49-F238E27FC236}">
              <a16:creationId xmlns:a16="http://schemas.microsoft.com/office/drawing/2014/main" id="{6727E3EF-7309-4F74-8DF8-70DE28689A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6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7165" name="Picture@5C\QPendientes@" descr="@5C\QPendientes@">
          <a:extLst>
            <a:ext uri="{FF2B5EF4-FFF2-40B4-BE49-F238E27FC236}">
              <a16:creationId xmlns:a16="http://schemas.microsoft.com/office/drawing/2014/main" id="{54623630-C23A-4ADB-9324-7CF217F1D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8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7166" name="Picture@5C\QPendientes@" descr="@5C\QPendientes@">
          <a:extLst>
            <a:ext uri="{FF2B5EF4-FFF2-40B4-BE49-F238E27FC236}">
              <a16:creationId xmlns:a16="http://schemas.microsoft.com/office/drawing/2014/main" id="{5A438DD2-69D0-4C7D-9C01-634538D77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0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7167" name="Picture@5C\QPendientes@" descr="@5C\QPendientes@">
          <a:extLst>
            <a:ext uri="{FF2B5EF4-FFF2-40B4-BE49-F238E27FC236}">
              <a16:creationId xmlns:a16="http://schemas.microsoft.com/office/drawing/2014/main" id="{F402367B-4E77-4F8C-BF2B-32939C8B7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2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7168" name="Picture@5C\QPendientes@" descr="@5C\QPendientes@">
          <a:extLst>
            <a:ext uri="{FF2B5EF4-FFF2-40B4-BE49-F238E27FC236}">
              <a16:creationId xmlns:a16="http://schemas.microsoft.com/office/drawing/2014/main" id="{52045D43-B739-4CC4-A927-E2BB238D1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3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7169" name="Picture@5C\QPendientes@" descr="@5C\QPendientes@">
          <a:extLst>
            <a:ext uri="{FF2B5EF4-FFF2-40B4-BE49-F238E27FC236}">
              <a16:creationId xmlns:a16="http://schemas.microsoft.com/office/drawing/2014/main" id="{6CC89934-A73B-4BAA-8C1A-6ECFBBA53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5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7170" name="Picture@5C\QPendientes@" descr="@5C\QPendientes@">
          <a:extLst>
            <a:ext uri="{FF2B5EF4-FFF2-40B4-BE49-F238E27FC236}">
              <a16:creationId xmlns:a16="http://schemas.microsoft.com/office/drawing/2014/main" id="{C3A3E0B5-652D-4E83-A97E-F7AE7B54F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7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7171" name="Picture@5C\QPendientes@" descr="@5C\QPendientes@">
          <a:extLst>
            <a:ext uri="{FF2B5EF4-FFF2-40B4-BE49-F238E27FC236}">
              <a16:creationId xmlns:a16="http://schemas.microsoft.com/office/drawing/2014/main" id="{CFA092C2-BB8E-4BDD-8E44-21A5275D2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9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7172" name="Picture@5C\QPendientes@" descr="@5C\QPendientes@">
          <a:extLst>
            <a:ext uri="{FF2B5EF4-FFF2-40B4-BE49-F238E27FC236}">
              <a16:creationId xmlns:a16="http://schemas.microsoft.com/office/drawing/2014/main" id="{F5D306D3-AE1F-40C7-A5EC-428B56EA7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1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7173" name="Picture@5C\QPendientes@" descr="@5C\QPendientes@">
          <a:extLst>
            <a:ext uri="{FF2B5EF4-FFF2-40B4-BE49-F238E27FC236}">
              <a16:creationId xmlns:a16="http://schemas.microsoft.com/office/drawing/2014/main" id="{C51A333C-2569-4E71-87C1-A924465AD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7174" name="Picture@5C\QPendientes@" descr="@5C\QPendientes@">
          <a:extLst>
            <a:ext uri="{FF2B5EF4-FFF2-40B4-BE49-F238E27FC236}">
              <a16:creationId xmlns:a16="http://schemas.microsoft.com/office/drawing/2014/main" id="{504C0F10-4624-4C70-8D34-6D669A737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4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7175" name="Picture@5C\QPendientes@" descr="@5C\QPendientes@">
          <a:extLst>
            <a:ext uri="{FF2B5EF4-FFF2-40B4-BE49-F238E27FC236}">
              <a16:creationId xmlns:a16="http://schemas.microsoft.com/office/drawing/2014/main" id="{44375F7D-B25A-4B0F-B2E7-0D51DD53B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6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7176" name="Picture@5C\QPendientes@" descr="@5C\QPendientes@">
          <a:extLst>
            <a:ext uri="{FF2B5EF4-FFF2-40B4-BE49-F238E27FC236}">
              <a16:creationId xmlns:a16="http://schemas.microsoft.com/office/drawing/2014/main" id="{2178DE27-4090-4ED1-B779-7C3C08D9B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8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7177" name="Picture@5C\QPendientes@" descr="@5C\QPendientes@">
          <a:extLst>
            <a:ext uri="{FF2B5EF4-FFF2-40B4-BE49-F238E27FC236}">
              <a16:creationId xmlns:a16="http://schemas.microsoft.com/office/drawing/2014/main" id="{E11CE4BE-C18E-4637-8F11-E8F63C6A7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0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7178" name="Picture@5C\QPendientes@" descr="@5C\QPendientes@">
          <a:extLst>
            <a:ext uri="{FF2B5EF4-FFF2-40B4-BE49-F238E27FC236}">
              <a16:creationId xmlns:a16="http://schemas.microsoft.com/office/drawing/2014/main" id="{215EE3F8-4773-4216-A9B2-BAFC890A2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2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7179" name="Picture@5C\QPendientes@" descr="@5C\QPendientes@">
          <a:extLst>
            <a:ext uri="{FF2B5EF4-FFF2-40B4-BE49-F238E27FC236}">
              <a16:creationId xmlns:a16="http://schemas.microsoft.com/office/drawing/2014/main" id="{BC4E0CDB-DE9B-496F-871B-14162B0CB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3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7180" name="Picture@5C\QPendientes@" descr="@5C\QPendientes@">
          <a:extLst>
            <a:ext uri="{FF2B5EF4-FFF2-40B4-BE49-F238E27FC236}">
              <a16:creationId xmlns:a16="http://schemas.microsoft.com/office/drawing/2014/main" id="{87323731-963F-4AB2-8437-4FF8B7888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5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7181" name="Picture@5C\QPendientes@" descr="@5C\QPendientes@">
          <a:extLst>
            <a:ext uri="{FF2B5EF4-FFF2-40B4-BE49-F238E27FC236}">
              <a16:creationId xmlns:a16="http://schemas.microsoft.com/office/drawing/2014/main" id="{4A19AD3F-44D0-4970-8091-E2FED3F47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7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7182" name="Picture@5C\QPendientes@" descr="@5C\QPendientes@">
          <a:extLst>
            <a:ext uri="{FF2B5EF4-FFF2-40B4-BE49-F238E27FC236}">
              <a16:creationId xmlns:a16="http://schemas.microsoft.com/office/drawing/2014/main" id="{0F71069E-7337-4CB3-A279-E0794B62B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9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7183" name="Picture@5C\QPendientes@" descr="@5C\QPendientes@">
          <a:extLst>
            <a:ext uri="{FF2B5EF4-FFF2-40B4-BE49-F238E27FC236}">
              <a16:creationId xmlns:a16="http://schemas.microsoft.com/office/drawing/2014/main" id="{3AD29BF6-712D-422E-9ECB-7132F941C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7184" name="Picture@5C\QPendientes@" descr="@5C\QPendientes@">
          <a:extLst>
            <a:ext uri="{FF2B5EF4-FFF2-40B4-BE49-F238E27FC236}">
              <a16:creationId xmlns:a16="http://schemas.microsoft.com/office/drawing/2014/main" id="{59716DF3-955B-4566-96D0-1D5DC6C78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3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7185" name="Picture@5C\QPendientes@" descr="@5C\QPendientes@">
          <a:extLst>
            <a:ext uri="{FF2B5EF4-FFF2-40B4-BE49-F238E27FC236}">
              <a16:creationId xmlns:a16="http://schemas.microsoft.com/office/drawing/2014/main" id="{1FBA236D-ED14-4C1F-838A-D9EB94779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4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7186" name="Picture@5C\QPendientes@" descr="@5C\QPendientes@">
          <a:extLst>
            <a:ext uri="{FF2B5EF4-FFF2-40B4-BE49-F238E27FC236}">
              <a16:creationId xmlns:a16="http://schemas.microsoft.com/office/drawing/2014/main" id="{1811E7A9-B59C-4D71-B8B0-D8EEF1871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6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7187" name="Picture@5C\QPendientes@" descr="@5C\QPendientes@">
          <a:extLst>
            <a:ext uri="{FF2B5EF4-FFF2-40B4-BE49-F238E27FC236}">
              <a16:creationId xmlns:a16="http://schemas.microsoft.com/office/drawing/2014/main" id="{31CA8E18-67D4-44F0-B94F-42EAA3796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8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7188" name="Picture@5C\QPendientes@" descr="@5C\QPendientes@">
          <a:extLst>
            <a:ext uri="{FF2B5EF4-FFF2-40B4-BE49-F238E27FC236}">
              <a16:creationId xmlns:a16="http://schemas.microsoft.com/office/drawing/2014/main" id="{A41CAFAD-6057-4CB3-BA47-088E5056B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0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7189" name="Picture@5C\QPendientes@" descr="@5C\QPendientes@">
          <a:extLst>
            <a:ext uri="{FF2B5EF4-FFF2-40B4-BE49-F238E27FC236}">
              <a16:creationId xmlns:a16="http://schemas.microsoft.com/office/drawing/2014/main" id="{6F9C3F5A-1AFF-4C53-B04B-DBC7256C5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2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7190" name="Picture@5C\QPendientes@" descr="@5C\QPendientes@">
          <a:extLst>
            <a:ext uri="{FF2B5EF4-FFF2-40B4-BE49-F238E27FC236}">
              <a16:creationId xmlns:a16="http://schemas.microsoft.com/office/drawing/2014/main" id="{17A765A8-701B-4D9A-A691-8BC41E0D3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4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7191" name="Picture@5C\QPendientes@" descr="@5C\QPendientes@">
          <a:extLst>
            <a:ext uri="{FF2B5EF4-FFF2-40B4-BE49-F238E27FC236}">
              <a16:creationId xmlns:a16="http://schemas.microsoft.com/office/drawing/2014/main" id="{D329C8AF-F921-4DE8-97D1-F158422C1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5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7192" name="Picture@5C\QPendientes@" descr="@5C\QPendientes@">
          <a:extLst>
            <a:ext uri="{FF2B5EF4-FFF2-40B4-BE49-F238E27FC236}">
              <a16:creationId xmlns:a16="http://schemas.microsoft.com/office/drawing/2014/main" id="{8654C540-6C3E-4802-AB20-684281AC4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7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7193" name="Picture@5C\QPendientes@" descr="@5C\QPendientes@">
          <a:extLst>
            <a:ext uri="{FF2B5EF4-FFF2-40B4-BE49-F238E27FC236}">
              <a16:creationId xmlns:a16="http://schemas.microsoft.com/office/drawing/2014/main" id="{5EF347C1-9955-46C2-97F8-69D094950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7194" name="Picture@5C\QPendientes@" descr="@5C\QPendientes@">
          <a:extLst>
            <a:ext uri="{FF2B5EF4-FFF2-40B4-BE49-F238E27FC236}">
              <a16:creationId xmlns:a16="http://schemas.microsoft.com/office/drawing/2014/main" id="{41503CB0-B82C-47B4-8D5B-BBA092EA9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1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7195" name="Picture@5C\QPendientes@" descr="@5C\QPendientes@">
          <a:extLst>
            <a:ext uri="{FF2B5EF4-FFF2-40B4-BE49-F238E27FC236}">
              <a16:creationId xmlns:a16="http://schemas.microsoft.com/office/drawing/2014/main" id="{B433595B-F271-431F-B7F2-307368ED3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3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7196" name="Picture@5C\QPendientes@" descr="@5C\QPendientes@">
          <a:extLst>
            <a:ext uri="{FF2B5EF4-FFF2-40B4-BE49-F238E27FC236}">
              <a16:creationId xmlns:a16="http://schemas.microsoft.com/office/drawing/2014/main" id="{88BDAB3D-3262-4C48-8CF0-DD1D92B22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5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7197" name="Picture@5C\QPendientes@" descr="@5C\QPendientes@">
          <a:extLst>
            <a:ext uri="{FF2B5EF4-FFF2-40B4-BE49-F238E27FC236}">
              <a16:creationId xmlns:a16="http://schemas.microsoft.com/office/drawing/2014/main" id="{C7E56405-193C-445A-8151-228C64BC7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6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7198" name="Picture@5C\QPendientes@" descr="@5C\QPendientes@">
          <a:extLst>
            <a:ext uri="{FF2B5EF4-FFF2-40B4-BE49-F238E27FC236}">
              <a16:creationId xmlns:a16="http://schemas.microsoft.com/office/drawing/2014/main" id="{2D2A675A-D661-413A-A496-C4938A723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8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7199" name="Picture@5C\QPendientes@" descr="@5C\QPendientes@">
          <a:extLst>
            <a:ext uri="{FF2B5EF4-FFF2-40B4-BE49-F238E27FC236}">
              <a16:creationId xmlns:a16="http://schemas.microsoft.com/office/drawing/2014/main" id="{09A1A87A-31FB-4B68-AC19-444DC8652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0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7200" name="Picture@5C\QPendientes@" descr="@5C\QPendientes@">
          <a:extLst>
            <a:ext uri="{FF2B5EF4-FFF2-40B4-BE49-F238E27FC236}">
              <a16:creationId xmlns:a16="http://schemas.microsoft.com/office/drawing/2014/main" id="{A0552C0B-C376-4D4D-B753-5DF49F252D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2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7201" name="Picture@5C\QPendientes@" descr="@5C\QPendientes@">
          <a:extLst>
            <a:ext uri="{FF2B5EF4-FFF2-40B4-BE49-F238E27FC236}">
              <a16:creationId xmlns:a16="http://schemas.microsoft.com/office/drawing/2014/main" id="{BFEF967A-02A0-460B-8E6D-E51512BBF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4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7202" name="Picture@5C\QPendientes@" descr="@5C\QPendientes@">
          <a:extLst>
            <a:ext uri="{FF2B5EF4-FFF2-40B4-BE49-F238E27FC236}">
              <a16:creationId xmlns:a16="http://schemas.microsoft.com/office/drawing/2014/main" id="{41BE1E36-98A1-4AEC-8E58-3F58A5EC5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6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7203" name="Picture@5C\QPendientes@" descr="@5C\QPendientes@">
          <a:extLst>
            <a:ext uri="{FF2B5EF4-FFF2-40B4-BE49-F238E27FC236}">
              <a16:creationId xmlns:a16="http://schemas.microsoft.com/office/drawing/2014/main" id="{7FD4B16B-469A-4E8C-8DA9-39122279D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7204" name="Picture@5C\QPendientes@" descr="@5C\QPendientes@">
          <a:extLst>
            <a:ext uri="{FF2B5EF4-FFF2-40B4-BE49-F238E27FC236}">
              <a16:creationId xmlns:a16="http://schemas.microsoft.com/office/drawing/2014/main" id="{D2580B07-74E2-4770-AAAE-FCC458BBA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9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7205" name="Picture@5C\QPendientes@" descr="@5C\QPendientes@">
          <a:extLst>
            <a:ext uri="{FF2B5EF4-FFF2-40B4-BE49-F238E27FC236}">
              <a16:creationId xmlns:a16="http://schemas.microsoft.com/office/drawing/2014/main" id="{4E899C6A-C739-4C7C-9B52-FF1E05140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1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7206" name="Picture@5C\QPendientes@" descr="@5C\QPendientes@">
          <a:extLst>
            <a:ext uri="{FF2B5EF4-FFF2-40B4-BE49-F238E27FC236}">
              <a16:creationId xmlns:a16="http://schemas.microsoft.com/office/drawing/2014/main" id="{87D2E60A-F4F8-4543-955C-B6AC3B204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3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7207" name="Picture@5C\QPendientes@" descr="@5C\QPendientes@">
          <a:extLst>
            <a:ext uri="{FF2B5EF4-FFF2-40B4-BE49-F238E27FC236}">
              <a16:creationId xmlns:a16="http://schemas.microsoft.com/office/drawing/2014/main" id="{375B81DB-ECD9-4BD1-8169-8DDF1B677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5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7208" name="Picture@5C\QPendientes@" descr="@5C\QPendientes@">
          <a:extLst>
            <a:ext uri="{FF2B5EF4-FFF2-40B4-BE49-F238E27FC236}">
              <a16:creationId xmlns:a16="http://schemas.microsoft.com/office/drawing/2014/main" id="{D07C17E6-DF69-4818-A97A-9E00201A0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7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7209" name="Picture@5C\QPendientes@" descr="@5C\QPendientes@">
          <a:extLst>
            <a:ext uri="{FF2B5EF4-FFF2-40B4-BE49-F238E27FC236}">
              <a16:creationId xmlns:a16="http://schemas.microsoft.com/office/drawing/2014/main" id="{9E0DE66A-8DE8-43C2-84D5-2FBF75894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8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7210" name="Picture@5C\QPendientes@" descr="@5C\QPendientes@">
          <a:extLst>
            <a:ext uri="{FF2B5EF4-FFF2-40B4-BE49-F238E27FC236}">
              <a16:creationId xmlns:a16="http://schemas.microsoft.com/office/drawing/2014/main" id="{5048574C-819E-4E1A-A2CE-669B3B406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0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7211" name="Picture@5C\QPendientes@" descr="@5C\QPendientes@">
          <a:extLst>
            <a:ext uri="{FF2B5EF4-FFF2-40B4-BE49-F238E27FC236}">
              <a16:creationId xmlns:a16="http://schemas.microsoft.com/office/drawing/2014/main" id="{F5D66A05-1EB5-4AFD-85C4-9A1B5B467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2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7212" name="Picture@5C\QPendientes@" descr="@5C\QPendientes@">
          <a:extLst>
            <a:ext uri="{FF2B5EF4-FFF2-40B4-BE49-F238E27FC236}">
              <a16:creationId xmlns:a16="http://schemas.microsoft.com/office/drawing/2014/main" id="{B0C93DBD-3499-4A77-A254-B43EA098E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4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7213" name="Picture@5C\QPendientes@" descr="@5C\QPendientes@">
          <a:extLst>
            <a:ext uri="{FF2B5EF4-FFF2-40B4-BE49-F238E27FC236}">
              <a16:creationId xmlns:a16="http://schemas.microsoft.com/office/drawing/2014/main" id="{D01868C9-D8F7-4B71-BF2C-8CE43230D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7214" name="Picture@5C\QPendientes@" descr="@5C\QPendientes@">
          <a:extLst>
            <a:ext uri="{FF2B5EF4-FFF2-40B4-BE49-F238E27FC236}">
              <a16:creationId xmlns:a16="http://schemas.microsoft.com/office/drawing/2014/main" id="{D3753741-CE63-4C2A-8E2F-FF31945B4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7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7215" name="Picture@5C\QPendientes@" descr="@5C\QPendientes@">
          <a:extLst>
            <a:ext uri="{FF2B5EF4-FFF2-40B4-BE49-F238E27FC236}">
              <a16:creationId xmlns:a16="http://schemas.microsoft.com/office/drawing/2014/main" id="{6E5DBDB9-06CC-4E11-B8F5-F804C35E5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9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7216" name="Picture@5C\QPendientes@" descr="@5C\QPendientes@">
          <a:extLst>
            <a:ext uri="{FF2B5EF4-FFF2-40B4-BE49-F238E27FC236}">
              <a16:creationId xmlns:a16="http://schemas.microsoft.com/office/drawing/2014/main" id="{9155C03D-E2B6-4269-ADE1-481B2115D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1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7217" name="Picture@5C\QPendientes@" descr="@5C\QPendientes@">
          <a:extLst>
            <a:ext uri="{FF2B5EF4-FFF2-40B4-BE49-F238E27FC236}">
              <a16:creationId xmlns:a16="http://schemas.microsoft.com/office/drawing/2014/main" id="{20184AD0-CD02-4720-BDFD-E93DC308E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3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7218" name="Picture@5C\QPendientes@" descr="@5C\QPendientes@">
          <a:extLst>
            <a:ext uri="{FF2B5EF4-FFF2-40B4-BE49-F238E27FC236}">
              <a16:creationId xmlns:a16="http://schemas.microsoft.com/office/drawing/2014/main" id="{7E7F85AD-0949-451E-9B95-F005BF174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5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7219" name="Picture@5C\QPendientes@" descr="@5C\QPendientes@">
          <a:extLst>
            <a:ext uri="{FF2B5EF4-FFF2-40B4-BE49-F238E27FC236}">
              <a16:creationId xmlns:a16="http://schemas.microsoft.com/office/drawing/2014/main" id="{CC9DAA3D-B84B-4D2A-9D40-507A86D03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7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7220" name="Picture@5C\QPendientes@" descr="@5C\QPendientes@">
          <a:extLst>
            <a:ext uri="{FF2B5EF4-FFF2-40B4-BE49-F238E27FC236}">
              <a16:creationId xmlns:a16="http://schemas.microsoft.com/office/drawing/2014/main" id="{D51CD432-7B62-40BB-9AC6-8C21FF3EA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8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7221" name="Picture@5C\QPendientes@" descr="@5C\QPendientes@">
          <a:extLst>
            <a:ext uri="{FF2B5EF4-FFF2-40B4-BE49-F238E27FC236}">
              <a16:creationId xmlns:a16="http://schemas.microsoft.com/office/drawing/2014/main" id="{B67C36F0-70C3-4E59-96B6-51F7C9929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0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7222" name="Picture@5C\QPendientes@" descr="@5C\QPendientes@">
          <a:extLst>
            <a:ext uri="{FF2B5EF4-FFF2-40B4-BE49-F238E27FC236}">
              <a16:creationId xmlns:a16="http://schemas.microsoft.com/office/drawing/2014/main" id="{EF1F0296-484B-4307-B006-7B33A5556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2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7223" name="Picture@5C\QPendientes@" descr="@5C\QPendientes@">
          <a:extLst>
            <a:ext uri="{FF2B5EF4-FFF2-40B4-BE49-F238E27FC236}">
              <a16:creationId xmlns:a16="http://schemas.microsoft.com/office/drawing/2014/main" id="{C3DB87EC-74B1-414F-9391-B6C294100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7224" name="Picture@5C\QPendientes@" descr="@5C\QPendientes@">
          <a:extLst>
            <a:ext uri="{FF2B5EF4-FFF2-40B4-BE49-F238E27FC236}">
              <a16:creationId xmlns:a16="http://schemas.microsoft.com/office/drawing/2014/main" id="{D9CB8436-669E-4DD6-99F1-1E69F533B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6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7225" name="Picture@5C\QPendientes@" descr="@5C\QPendientes@">
          <a:extLst>
            <a:ext uri="{FF2B5EF4-FFF2-40B4-BE49-F238E27FC236}">
              <a16:creationId xmlns:a16="http://schemas.microsoft.com/office/drawing/2014/main" id="{A8BE63A6-8A5F-465C-B6E9-62623AC71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8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7226" name="Picture@5C\QPendientes@" descr="@5C\QPendientes@">
          <a:extLst>
            <a:ext uri="{FF2B5EF4-FFF2-40B4-BE49-F238E27FC236}">
              <a16:creationId xmlns:a16="http://schemas.microsoft.com/office/drawing/2014/main" id="{E013B5BC-B237-477D-B1A3-C1D617C43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9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7227" name="Picture@5C\QPendientes@" descr="@5C\QPendientes@">
          <a:extLst>
            <a:ext uri="{FF2B5EF4-FFF2-40B4-BE49-F238E27FC236}">
              <a16:creationId xmlns:a16="http://schemas.microsoft.com/office/drawing/2014/main" id="{08AB800D-D1C5-4854-B622-13485D89C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1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7228" name="Picture@5C\QPendientes@" descr="@5C\QPendientes@">
          <a:extLst>
            <a:ext uri="{FF2B5EF4-FFF2-40B4-BE49-F238E27FC236}">
              <a16:creationId xmlns:a16="http://schemas.microsoft.com/office/drawing/2014/main" id="{B2103695-7575-4A9F-A70C-E7E4E7D9C4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3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7229" name="Picture@5C\QPendientes@" descr="@5C\QPendientes@">
          <a:extLst>
            <a:ext uri="{FF2B5EF4-FFF2-40B4-BE49-F238E27FC236}">
              <a16:creationId xmlns:a16="http://schemas.microsoft.com/office/drawing/2014/main" id="{4957263A-8921-4D7A-8C24-C662D8835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5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7230" name="Picture@5C\QPendientes@" descr="@5C\QPendientes@">
          <a:extLst>
            <a:ext uri="{FF2B5EF4-FFF2-40B4-BE49-F238E27FC236}">
              <a16:creationId xmlns:a16="http://schemas.microsoft.com/office/drawing/2014/main" id="{02C1F12C-5E49-4EDB-B71D-1BD069296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7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7231" name="Picture@5C\QPendientes@" descr="@5C\QPendientes@">
          <a:extLst>
            <a:ext uri="{FF2B5EF4-FFF2-40B4-BE49-F238E27FC236}">
              <a16:creationId xmlns:a16="http://schemas.microsoft.com/office/drawing/2014/main" id="{D67F1676-0610-4561-AA9E-AB865C9B7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9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7232" name="Picture@5C\QPendientes@" descr="@5C\QPendientes@">
          <a:extLst>
            <a:ext uri="{FF2B5EF4-FFF2-40B4-BE49-F238E27FC236}">
              <a16:creationId xmlns:a16="http://schemas.microsoft.com/office/drawing/2014/main" id="{3A425188-59D1-46C6-A575-A908EE1AF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0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7233" name="Picture@5C\QPendientes@" descr="@5C\QPendientes@">
          <a:extLst>
            <a:ext uri="{FF2B5EF4-FFF2-40B4-BE49-F238E27FC236}">
              <a16:creationId xmlns:a16="http://schemas.microsoft.com/office/drawing/2014/main" id="{305B7DD0-8B6B-4CA4-B4A3-76B9948BC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7234" name="Picture@5C\QPendientes@" descr="@5C\QPendientes@">
          <a:extLst>
            <a:ext uri="{FF2B5EF4-FFF2-40B4-BE49-F238E27FC236}">
              <a16:creationId xmlns:a16="http://schemas.microsoft.com/office/drawing/2014/main" id="{32FF7E84-2914-440C-A133-4072BAC53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4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7235" name="Picture@5C\QPendientes@" descr="@5C\QPendientes@">
          <a:extLst>
            <a:ext uri="{FF2B5EF4-FFF2-40B4-BE49-F238E27FC236}">
              <a16:creationId xmlns:a16="http://schemas.microsoft.com/office/drawing/2014/main" id="{932D589F-9915-4F42-A6F1-FC230B462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6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7236" name="Picture@5C\QPendientes@" descr="@5C\QPendientes@">
          <a:extLst>
            <a:ext uri="{FF2B5EF4-FFF2-40B4-BE49-F238E27FC236}">
              <a16:creationId xmlns:a16="http://schemas.microsoft.com/office/drawing/2014/main" id="{FFCAD647-137C-4FC8-AF53-24A5BAAF0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8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7237" name="Picture@5C\QPendientes@" descr="@5C\QPendientes@">
          <a:extLst>
            <a:ext uri="{FF2B5EF4-FFF2-40B4-BE49-F238E27FC236}">
              <a16:creationId xmlns:a16="http://schemas.microsoft.com/office/drawing/2014/main" id="{CBAA4727-53D2-48C2-9544-A3707D429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0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7238" name="Picture@5C\QPendientes@" descr="@5C\QPendientes@">
          <a:extLst>
            <a:ext uri="{FF2B5EF4-FFF2-40B4-BE49-F238E27FC236}">
              <a16:creationId xmlns:a16="http://schemas.microsoft.com/office/drawing/2014/main" id="{4863B78A-3B25-448B-8D5D-BF80A9490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1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7239" name="Picture@5C\QPendientes@" descr="@5C\QPendientes@">
          <a:extLst>
            <a:ext uri="{FF2B5EF4-FFF2-40B4-BE49-F238E27FC236}">
              <a16:creationId xmlns:a16="http://schemas.microsoft.com/office/drawing/2014/main" id="{332304A4-6135-4FC4-9CBE-D8CF1A7BE0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3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7240" name="Picture@5C\QPendientes@" descr="@5C\QPendientes@">
          <a:extLst>
            <a:ext uri="{FF2B5EF4-FFF2-40B4-BE49-F238E27FC236}">
              <a16:creationId xmlns:a16="http://schemas.microsoft.com/office/drawing/2014/main" id="{D2BDC802-E82D-4E81-B02B-1E63FC262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5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7241" name="Picture@5C\QPendientes@" descr="@5C\QPendientes@">
          <a:extLst>
            <a:ext uri="{FF2B5EF4-FFF2-40B4-BE49-F238E27FC236}">
              <a16:creationId xmlns:a16="http://schemas.microsoft.com/office/drawing/2014/main" id="{EC22939A-8185-40E2-A730-2157A9D48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7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7242" name="Picture@5C\QPendientes@" descr="@5C\QPendientes@">
          <a:extLst>
            <a:ext uri="{FF2B5EF4-FFF2-40B4-BE49-F238E27FC236}">
              <a16:creationId xmlns:a16="http://schemas.microsoft.com/office/drawing/2014/main" id="{AA06A97E-2261-4EFD-9F64-3F39CFCA1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7243" name="Picture@5C\QPendientes@" descr="@5C\QPendientes@">
          <a:extLst>
            <a:ext uri="{FF2B5EF4-FFF2-40B4-BE49-F238E27FC236}">
              <a16:creationId xmlns:a16="http://schemas.microsoft.com/office/drawing/2014/main" id="{45DDB3EB-4E27-454B-BEF9-D87379799D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7244" name="Picture@5C\QPendientes@" descr="@5C\QPendientes@">
          <a:extLst>
            <a:ext uri="{FF2B5EF4-FFF2-40B4-BE49-F238E27FC236}">
              <a16:creationId xmlns:a16="http://schemas.microsoft.com/office/drawing/2014/main" id="{17EEDFA0-EFA8-4E24-A95D-2D0F77821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2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7245" name="Picture@5C\QPendientes@" descr="@5C\QPendientes@">
          <a:extLst>
            <a:ext uri="{FF2B5EF4-FFF2-40B4-BE49-F238E27FC236}">
              <a16:creationId xmlns:a16="http://schemas.microsoft.com/office/drawing/2014/main" id="{3AEB6B34-ABF8-4D97-952B-054B007B3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4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7246" name="Picture@5C\QPendientes@" descr="@5C\QPendientes@">
          <a:extLst>
            <a:ext uri="{FF2B5EF4-FFF2-40B4-BE49-F238E27FC236}">
              <a16:creationId xmlns:a16="http://schemas.microsoft.com/office/drawing/2014/main" id="{4A03F563-04DF-49B5-94D9-58C422F92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6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7247" name="Picture@5C\QPendientes@" descr="@5C\QPendientes@">
          <a:extLst>
            <a:ext uri="{FF2B5EF4-FFF2-40B4-BE49-F238E27FC236}">
              <a16:creationId xmlns:a16="http://schemas.microsoft.com/office/drawing/2014/main" id="{0229DD50-958A-4D33-B28D-1214C2B1C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8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7248" name="Picture@5C\QPendientes@" descr="@5C\QPendientes@">
          <a:extLst>
            <a:ext uri="{FF2B5EF4-FFF2-40B4-BE49-F238E27FC236}">
              <a16:creationId xmlns:a16="http://schemas.microsoft.com/office/drawing/2014/main" id="{70ABB311-8ED5-4183-AF94-2AE5FB9D5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0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7249" name="Picture@5C\QPendientes@" descr="@5C\QPendientes@">
          <a:extLst>
            <a:ext uri="{FF2B5EF4-FFF2-40B4-BE49-F238E27FC236}">
              <a16:creationId xmlns:a16="http://schemas.microsoft.com/office/drawing/2014/main" id="{1C7E6245-6725-4919-8DD7-DD7483D0C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1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7250" name="Picture@5C\QPendientes@" descr="@5C\QPendientes@">
          <a:extLst>
            <a:ext uri="{FF2B5EF4-FFF2-40B4-BE49-F238E27FC236}">
              <a16:creationId xmlns:a16="http://schemas.microsoft.com/office/drawing/2014/main" id="{2092A9C1-7230-40BB-BF2B-8EF842718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3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7251" name="Picture@5C\QPendientes@" descr="@5C\QPendientes@">
          <a:extLst>
            <a:ext uri="{FF2B5EF4-FFF2-40B4-BE49-F238E27FC236}">
              <a16:creationId xmlns:a16="http://schemas.microsoft.com/office/drawing/2014/main" id="{3170D638-B1BD-4916-B08E-F523819D0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5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7252" name="Picture@5C\QPendientes@" descr="@5C\QPendientes@">
          <a:extLst>
            <a:ext uri="{FF2B5EF4-FFF2-40B4-BE49-F238E27FC236}">
              <a16:creationId xmlns:a16="http://schemas.microsoft.com/office/drawing/2014/main" id="{A14061CC-E8C5-4622-BA6C-3F012A2E9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7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7253" name="Picture@5C\QPendientes@" descr="@5C\QPendientes@">
          <a:extLst>
            <a:ext uri="{FF2B5EF4-FFF2-40B4-BE49-F238E27FC236}">
              <a16:creationId xmlns:a16="http://schemas.microsoft.com/office/drawing/2014/main" id="{E257986C-6A9F-446F-B8ED-0F4CEE450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7254" name="Picture@5C\QPendientes@" descr="@5C\QPendientes@">
          <a:extLst>
            <a:ext uri="{FF2B5EF4-FFF2-40B4-BE49-F238E27FC236}">
              <a16:creationId xmlns:a16="http://schemas.microsoft.com/office/drawing/2014/main" id="{042AF144-C0D7-4CAE-9CFA-AF48B8407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1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7255" name="Picture@5C\QPendientes@" descr="@5C\QPendientes@">
          <a:extLst>
            <a:ext uri="{FF2B5EF4-FFF2-40B4-BE49-F238E27FC236}">
              <a16:creationId xmlns:a16="http://schemas.microsoft.com/office/drawing/2014/main" id="{0E9D691F-2A10-4467-BBED-B0D47ACC2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2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7256" name="Picture@5C\QPendientes@" descr="@5C\QPendientes@">
          <a:extLst>
            <a:ext uri="{FF2B5EF4-FFF2-40B4-BE49-F238E27FC236}">
              <a16:creationId xmlns:a16="http://schemas.microsoft.com/office/drawing/2014/main" id="{9BF6BA2E-DEEC-4AE8-BB0F-45EA21AFE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4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7257" name="Picture@5C\QPendientes@" descr="@5C\QPendientes@">
          <a:extLst>
            <a:ext uri="{FF2B5EF4-FFF2-40B4-BE49-F238E27FC236}">
              <a16:creationId xmlns:a16="http://schemas.microsoft.com/office/drawing/2014/main" id="{214F35E1-B551-4542-B566-4F0EE8654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6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7258" name="Picture@5C\QPendientes@" descr="@5C\QPendientes@">
          <a:extLst>
            <a:ext uri="{FF2B5EF4-FFF2-40B4-BE49-F238E27FC236}">
              <a16:creationId xmlns:a16="http://schemas.microsoft.com/office/drawing/2014/main" id="{C6819A24-266A-4593-BF19-5F32850EC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8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7259" name="Picture@5C\QPendientes@" descr="@5C\QPendientes@">
          <a:extLst>
            <a:ext uri="{FF2B5EF4-FFF2-40B4-BE49-F238E27FC236}">
              <a16:creationId xmlns:a16="http://schemas.microsoft.com/office/drawing/2014/main" id="{2D971E30-397B-4B6F-BACD-A4092B70B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0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7260" name="Picture@5C\QPendientes@" descr="@5C\QPendientes@">
          <a:extLst>
            <a:ext uri="{FF2B5EF4-FFF2-40B4-BE49-F238E27FC236}">
              <a16:creationId xmlns:a16="http://schemas.microsoft.com/office/drawing/2014/main" id="{F7A7A077-C9D9-4980-8733-A5C7208B5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2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7261" name="Picture@5C\QPendientes@" descr="@5C\QPendientes@">
          <a:extLst>
            <a:ext uri="{FF2B5EF4-FFF2-40B4-BE49-F238E27FC236}">
              <a16:creationId xmlns:a16="http://schemas.microsoft.com/office/drawing/2014/main" id="{665F8DFB-7C33-43FB-80B6-6AF90AEF7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3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7262" name="Picture@5C\QPendientes@" descr="@5C\QPendientes@">
          <a:extLst>
            <a:ext uri="{FF2B5EF4-FFF2-40B4-BE49-F238E27FC236}">
              <a16:creationId xmlns:a16="http://schemas.microsoft.com/office/drawing/2014/main" id="{2C8C3187-309D-4F1B-823F-DD3F0B4DB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5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7263" name="Picture@5C\QPendientes@" descr="@5C\QPendientes@">
          <a:extLst>
            <a:ext uri="{FF2B5EF4-FFF2-40B4-BE49-F238E27FC236}">
              <a16:creationId xmlns:a16="http://schemas.microsoft.com/office/drawing/2014/main" id="{0C0EC93C-A29E-434C-BDE7-86B891E6E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7264" name="Picture@5C\QPendientes@" descr="@5C\QPendientes@">
          <a:extLst>
            <a:ext uri="{FF2B5EF4-FFF2-40B4-BE49-F238E27FC236}">
              <a16:creationId xmlns:a16="http://schemas.microsoft.com/office/drawing/2014/main" id="{4FB2B58D-3B4F-44F5-9D99-2A0C60768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9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7265" name="Picture@5C\QPendientes@" descr="@5C\QPendientes@">
          <a:extLst>
            <a:ext uri="{FF2B5EF4-FFF2-40B4-BE49-F238E27FC236}">
              <a16:creationId xmlns:a16="http://schemas.microsoft.com/office/drawing/2014/main" id="{2A20C20B-2B50-4C84-A2F9-0B23D7172B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1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7266" name="Picture@5C\QPendientes@" descr="@5C\QPendientes@">
          <a:extLst>
            <a:ext uri="{FF2B5EF4-FFF2-40B4-BE49-F238E27FC236}">
              <a16:creationId xmlns:a16="http://schemas.microsoft.com/office/drawing/2014/main" id="{36484F19-FB2A-4159-BD7D-1B115B413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3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7267" name="Picture@5C\QPendientes@" descr="@5C\QPendientes@">
          <a:extLst>
            <a:ext uri="{FF2B5EF4-FFF2-40B4-BE49-F238E27FC236}">
              <a16:creationId xmlns:a16="http://schemas.microsoft.com/office/drawing/2014/main" id="{5A544129-E8A6-4B72-94A1-3BCD1336B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4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7268" name="Picture@5C\QPendientes@" descr="@5C\QPendientes@">
          <a:extLst>
            <a:ext uri="{FF2B5EF4-FFF2-40B4-BE49-F238E27FC236}">
              <a16:creationId xmlns:a16="http://schemas.microsoft.com/office/drawing/2014/main" id="{E101A88D-EDE7-4B2F-BF38-B9DFE7764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6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7269" name="Picture@5C\QPendientes@" descr="@5C\QPendientes@">
          <a:extLst>
            <a:ext uri="{FF2B5EF4-FFF2-40B4-BE49-F238E27FC236}">
              <a16:creationId xmlns:a16="http://schemas.microsoft.com/office/drawing/2014/main" id="{880252F3-C8A1-46FA-BE55-55A5F8402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8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7270" name="Picture@5C\QPendientes@" descr="@5C\QPendientes@">
          <a:extLst>
            <a:ext uri="{FF2B5EF4-FFF2-40B4-BE49-F238E27FC236}">
              <a16:creationId xmlns:a16="http://schemas.microsoft.com/office/drawing/2014/main" id="{A143F2A4-FF03-46C2-9D5D-343844634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0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7271" name="Picture@5C\QPendientes@" descr="@5C\QPendientes@">
          <a:extLst>
            <a:ext uri="{FF2B5EF4-FFF2-40B4-BE49-F238E27FC236}">
              <a16:creationId xmlns:a16="http://schemas.microsoft.com/office/drawing/2014/main" id="{28F5028C-4F03-4D30-BA5F-A5B2B6E7E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2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7272" name="Picture@5C\QPendientes@" descr="@5C\QPendientes@">
          <a:extLst>
            <a:ext uri="{FF2B5EF4-FFF2-40B4-BE49-F238E27FC236}">
              <a16:creationId xmlns:a16="http://schemas.microsoft.com/office/drawing/2014/main" id="{77D03F85-764D-483E-AA33-49BD3493C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4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7273" name="Picture@5C\QPendientes@" descr="@5C\QPendientes@">
          <a:extLst>
            <a:ext uri="{FF2B5EF4-FFF2-40B4-BE49-F238E27FC236}">
              <a16:creationId xmlns:a16="http://schemas.microsoft.com/office/drawing/2014/main" id="{F151EF6A-5EFC-46EF-BC48-987B39533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7274" name="Picture@5C\QPendientes@" descr="@5C\QPendientes@">
          <a:extLst>
            <a:ext uri="{FF2B5EF4-FFF2-40B4-BE49-F238E27FC236}">
              <a16:creationId xmlns:a16="http://schemas.microsoft.com/office/drawing/2014/main" id="{9C6254A1-32D9-4E2F-9275-7224BC9E1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7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7275" name="Picture@5C\QPendientes@" descr="@5C\QPendientes@">
          <a:extLst>
            <a:ext uri="{FF2B5EF4-FFF2-40B4-BE49-F238E27FC236}">
              <a16:creationId xmlns:a16="http://schemas.microsoft.com/office/drawing/2014/main" id="{A3B9EF70-EED0-4A19-960D-03A811CC7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9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7276" name="Picture@5C\QPendientes@" descr="@5C\QPendientes@">
          <a:extLst>
            <a:ext uri="{FF2B5EF4-FFF2-40B4-BE49-F238E27FC236}">
              <a16:creationId xmlns:a16="http://schemas.microsoft.com/office/drawing/2014/main" id="{0890E078-9803-48B7-86AA-C229BA144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1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7277" name="Picture@5C\QPendientes@" descr="@5C\QPendientes@">
          <a:extLst>
            <a:ext uri="{FF2B5EF4-FFF2-40B4-BE49-F238E27FC236}">
              <a16:creationId xmlns:a16="http://schemas.microsoft.com/office/drawing/2014/main" id="{27F81EEA-FA5D-47AA-950B-802822DDE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3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7278" name="Picture@5C\QPendientes@" descr="@5C\QPendientes@">
          <a:extLst>
            <a:ext uri="{FF2B5EF4-FFF2-40B4-BE49-F238E27FC236}">
              <a16:creationId xmlns:a16="http://schemas.microsoft.com/office/drawing/2014/main" id="{13984405-03B2-4839-9623-BA405B830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5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7279" name="Picture@5C\QPendientes@" descr="@5C\QPendientes@">
          <a:extLst>
            <a:ext uri="{FF2B5EF4-FFF2-40B4-BE49-F238E27FC236}">
              <a16:creationId xmlns:a16="http://schemas.microsoft.com/office/drawing/2014/main" id="{302D4F58-8E17-4FD5-A905-CFCA681F7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6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7280" name="Picture@5C\QPendientes@" descr="@5C\QPendientes@">
          <a:extLst>
            <a:ext uri="{FF2B5EF4-FFF2-40B4-BE49-F238E27FC236}">
              <a16:creationId xmlns:a16="http://schemas.microsoft.com/office/drawing/2014/main" id="{43BC90ED-0A2C-41F0-B77E-FB61508E5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8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7281" name="Picture@5C\QPendientes@" descr="@5C\QPendientes@">
          <a:extLst>
            <a:ext uri="{FF2B5EF4-FFF2-40B4-BE49-F238E27FC236}">
              <a16:creationId xmlns:a16="http://schemas.microsoft.com/office/drawing/2014/main" id="{87DB8A3E-7361-4629-8F7E-B865A25FB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0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7282" name="Picture@5C\QPendientes@" descr="@5C\QPendientes@">
          <a:extLst>
            <a:ext uri="{FF2B5EF4-FFF2-40B4-BE49-F238E27FC236}">
              <a16:creationId xmlns:a16="http://schemas.microsoft.com/office/drawing/2014/main" id="{C8D2F005-0A0F-414F-8518-257503B73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2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7283" name="Picture@5C\QPendientes@" descr="@5C\QPendientes@">
          <a:extLst>
            <a:ext uri="{FF2B5EF4-FFF2-40B4-BE49-F238E27FC236}">
              <a16:creationId xmlns:a16="http://schemas.microsoft.com/office/drawing/2014/main" id="{C3403AA0-A810-4BA7-92E0-ED31CA04F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7284" name="Picture@5C\QPendientes@" descr="@5C\QPendientes@">
          <a:extLst>
            <a:ext uri="{FF2B5EF4-FFF2-40B4-BE49-F238E27FC236}">
              <a16:creationId xmlns:a16="http://schemas.microsoft.com/office/drawing/2014/main" id="{8F1DF4AB-F790-477D-928A-9A0AB9F5E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6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7285" name="Picture@5C\QPendientes@" descr="@5C\QPendientes@">
          <a:extLst>
            <a:ext uri="{FF2B5EF4-FFF2-40B4-BE49-F238E27FC236}">
              <a16:creationId xmlns:a16="http://schemas.microsoft.com/office/drawing/2014/main" id="{1EDE2AED-0EBB-4338-9E2F-6FDE0ED3D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7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7286" name="Picture@5C\QPendientes@" descr="@5C\QPendientes@">
          <a:extLst>
            <a:ext uri="{FF2B5EF4-FFF2-40B4-BE49-F238E27FC236}">
              <a16:creationId xmlns:a16="http://schemas.microsoft.com/office/drawing/2014/main" id="{9E0E803A-3A18-44DF-82DD-A894762C4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9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7287" name="Picture@5C\QPendientes@" descr="@5C\QPendientes@">
          <a:extLst>
            <a:ext uri="{FF2B5EF4-FFF2-40B4-BE49-F238E27FC236}">
              <a16:creationId xmlns:a16="http://schemas.microsoft.com/office/drawing/2014/main" id="{7B2BE2BE-50A0-488B-9CD0-87147B73D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1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7288" name="Picture@5C\QPendientes@" descr="@5C\QPendientes@">
          <a:extLst>
            <a:ext uri="{FF2B5EF4-FFF2-40B4-BE49-F238E27FC236}">
              <a16:creationId xmlns:a16="http://schemas.microsoft.com/office/drawing/2014/main" id="{DF92830C-19BF-49ED-95F1-24050B75B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3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7289" name="Picture@5C\QPendientes@" descr="@5C\QPendientes@">
          <a:extLst>
            <a:ext uri="{FF2B5EF4-FFF2-40B4-BE49-F238E27FC236}">
              <a16:creationId xmlns:a16="http://schemas.microsoft.com/office/drawing/2014/main" id="{63192A50-68FA-49C6-A9A0-02152298B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5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7290" name="Picture@5C\QPendientes@" descr="@5C\QPendientes@">
          <a:extLst>
            <a:ext uri="{FF2B5EF4-FFF2-40B4-BE49-F238E27FC236}">
              <a16:creationId xmlns:a16="http://schemas.microsoft.com/office/drawing/2014/main" id="{48169080-3C97-47B3-81CD-0EBC16643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6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7291" name="Picture@5C\QPendientes@" descr="@5C\QPendientes@">
          <a:extLst>
            <a:ext uri="{FF2B5EF4-FFF2-40B4-BE49-F238E27FC236}">
              <a16:creationId xmlns:a16="http://schemas.microsoft.com/office/drawing/2014/main" id="{21D24C87-EFEB-481F-9C64-9328F1EDC3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8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7292" name="Picture@5C\QPendientes@" descr="@5C\QPendientes@">
          <a:extLst>
            <a:ext uri="{FF2B5EF4-FFF2-40B4-BE49-F238E27FC236}">
              <a16:creationId xmlns:a16="http://schemas.microsoft.com/office/drawing/2014/main" id="{D45DEDF2-A419-4452-BE78-6BA0060CF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0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7293" name="Picture@5C\QPendientes@" descr="@5C\QPendientes@">
          <a:extLst>
            <a:ext uri="{FF2B5EF4-FFF2-40B4-BE49-F238E27FC236}">
              <a16:creationId xmlns:a16="http://schemas.microsoft.com/office/drawing/2014/main" id="{749DF2E5-F0F0-4026-89F8-7BF8F1B7D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7294" name="Picture@5C\QPendientes@" descr="@5C\QPendientes@">
          <a:extLst>
            <a:ext uri="{FF2B5EF4-FFF2-40B4-BE49-F238E27FC236}">
              <a16:creationId xmlns:a16="http://schemas.microsoft.com/office/drawing/2014/main" id="{B147AA8F-7130-4C56-B793-751655023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4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7295" name="Picture@5C\QPendientes@" descr="@5C\QPendientes@">
          <a:extLst>
            <a:ext uri="{FF2B5EF4-FFF2-40B4-BE49-F238E27FC236}">
              <a16:creationId xmlns:a16="http://schemas.microsoft.com/office/drawing/2014/main" id="{E48AA66C-2CAD-45FB-8114-3092FAEBF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6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7296" name="Picture@5C\QPendientes@" descr="@5C\QPendientes@">
          <a:extLst>
            <a:ext uri="{FF2B5EF4-FFF2-40B4-BE49-F238E27FC236}">
              <a16:creationId xmlns:a16="http://schemas.microsoft.com/office/drawing/2014/main" id="{2D63A296-1CB8-4378-B5A9-14566200E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7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7297" name="Picture@5C\QPendientes@" descr="@5C\QPendientes@">
          <a:extLst>
            <a:ext uri="{FF2B5EF4-FFF2-40B4-BE49-F238E27FC236}">
              <a16:creationId xmlns:a16="http://schemas.microsoft.com/office/drawing/2014/main" id="{6C54EA96-474B-4BCE-8595-7CF4263A3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9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7298" name="Picture@5C\QPendientes@" descr="@5C\QPendientes@">
          <a:extLst>
            <a:ext uri="{FF2B5EF4-FFF2-40B4-BE49-F238E27FC236}">
              <a16:creationId xmlns:a16="http://schemas.microsoft.com/office/drawing/2014/main" id="{2AE5291F-DB37-4FF7-86C7-B89BD1EE0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1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7299" name="Picture@5C\QPendientes@" descr="@5C\QPendientes@">
          <a:extLst>
            <a:ext uri="{FF2B5EF4-FFF2-40B4-BE49-F238E27FC236}">
              <a16:creationId xmlns:a16="http://schemas.microsoft.com/office/drawing/2014/main" id="{968EB2D2-D13C-45D9-962C-B8BA05153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3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7300" name="Picture@5C\QPendientes@" descr="@5C\QPendientes@">
          <a:extLst>
            <a:ext uri="{FF2B5EF4-FFF2-40B4-BE49-F238E27FC236}">
              <a16:creationId xmlns:a16="http://schemas.microsoft.com/office/drawing/2014/main" id="{8CB78486-DEBE-4742-972F-5F4749D4C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5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7301" name="Picture@5C\QPendientes@" descr="@5C\QPendientes@">
          <a:extLst>
            <a:ext uri="{FF2B5EF4-FFF2-40B4-BE49-F238E27FC236}">
              <a16:creationId xmlns:a16="http://schemas.microsoft.com/office/drawing/2014/main" id="{E17B107A-8D40-4850-AE23-0715ABCE31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7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7302" name="Picture@5C\QPendientes@" descr="@5C\QPendientes@">
          <a:extLst>
            <a:ext uri="{FF2B5EF4-FFF2-40B4-BE49-F238E27FC236}">
              <a16:creationId xmlns:a16="http://schemas.microsoft.com/office/drawing/2014/main" id="{E8B91FFE-2FB8-4E70-870C-8EA2651A0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8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7303" name="Picture@5C\QPendientes@" descr="@5C\QPendientes@">
          <a:extLst>
            <a:ext uri="{FF2B5EF4-FFF2-40B4-BE49-F238E27FC236}">
              <a16:creationId xmlns:a16="http://schemas.microsoft.com/office/drawing/2014/main" id="{527C10CF-3B4E-4354-BA43-06208D90C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7304" name="Picture@5C\QPendientes@" descr="@5C\QPendientes@">
          <a:extLst>
            <a:ext uri="{FF2B5EF4-FFF2-40B4-BE49-F238E27FC236}">
              <a16:creationId xmlns:a16="http://schemas.microsoft.com/office/drawing/2014/main" id="{91AC30C1-FEF0-44A0-BD7E-FF8CAC460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2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7305" name="Picture@5C\QPendientes@" descr="@5C\QPendientes@">
          <a:extLst>
            <a:ext uri="{FF2B5EF4-FFF2-40B4-BE49-F238E27FC236}">
              <a16:creationId xmlns:a16="http://schemas.microsoft.com/office/drawing/2014/main" id="{F020949F-DA6C-4954-BFF8-6C458A675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4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7306" name="Picture@5C\QPendientes@" descr="@5C\QPendientes@">
          <a:extLst>
            <a:ext uri="{FF2B5EF4-FFF2-40B4-BE49-F238E27FC236}">
              <a16:creationId xmlns:a16="http://schemas.microsoft.com/office/drawing/2014/main" id="{393085E0-8BE7-40D7-B7F3-C51B11A60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6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7307" name="Picture@5C\QPendientes@" descr="@5C\QPendientes@">
          <a:extLst>
            <a:ext uri="{FF2B5EF4-FFF2-40B4-BE49-F238E27FC236}">
              <a16:creationId xmlns:a16="http://schemas.microsoft.com/office/drawing/2014/main" id="{1EF30986-A341-48BD-8F04-B38BDF75D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8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7308" name="Picture@5C\QPendientes@" descr="@5C\QPendientes@">
          <a:extLst>
            <a:ext uri="{FF2B5EF4-FFF2-40B4-BE49-F238E27FC236}">
              <a16:creationId xmlns:a16="http://schemas.microsoft.com/office/drawing/2014/main" id="{155B6B35-F495-48E7-AAA5-8C3044280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9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7309" name="Picture@5C\QPendientes@" descr="@5C\QPendientes@">
          <a:extLst>
            <a:ext uri="{FF2B5EF4-FFF2-40B4-BE49-F238E27FC236}">
              <a16:creationId xmlns:a16="http://schemas.microsoft.com/office/drawing/2014/main" id="{4BD3D225-5B59-4E3C-9066-8F1DEDB9F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1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7310" name="Picture@5C\QPendientes@" descr="@5C\QPendientes@">
          <a:extLst>
            <a:ext uri="{FF2B5EF4-FFF2-40B4-BE49-F238E27FC236}">
              <a16:creationId xmlns:a16="http://schemas.microsoft.com/office/drawing/2014/main" id="{7334A47A-95F8-4648-AB1B-74C20BAAD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3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7311" name="Picture@5C\QPendientes@" descr="@5C\QPendientes@">
          <a:extLst>
            <a:ext uri="{FF2B5EF4-FFF2-40B4-BE49-F238E27FC236}">
              <a16:creationId xmlns:a16="http://schemas.microsoft.com/office/drawing/2014/main" id="{5512E8DE-55B7-4D22-AF10-A2B8927EE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5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7312" name="Picture@5C\QPendientes@" descr="@5C\QPendientes@">
          <a:extLst>
            <a:ext uri="{FF2B5EF4-FFF2-40B4-BE49-F238E27FC236}">
              <a16:creationId xmlns:a16="http://schemas.microsoft.com/office/drawing/2014/main" id="{E34782D6-2D87-4475-BB38-DEF4519ED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7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7313" name="Picture@5C\QPendientes@" descr="@5C\QPendientes@">
          <a:extLst>
            <a:ext uri="{FF2B5EF4-FFF2-40B4-BE49-F238E27FC236}">
              <a16:creationId xmlns:a16="http://schemas.microsoft.com/office/drawing/2014/main" id="{0F717BD6-9A92-4C5C-90E9-BE9408E44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7314" name="Picture@5C\QPendientes@" descr="@5C\QPendientes@">
          <a:extLst>
            <a:ext uri="{FF2B5EF4-FFF2-40B4-BE49-F238E27FC236}">
              <a16:creationId xmlns:a16="http://schemas.microsoft.com/office/drawing/2014/main" id="{3A89EB7C-CF8C-461A-832C-C55419407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0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7315" name="Picture@5C\QPendientes@" descr="@5C\QPendientes@">
          <a:extLst>
            <a:ext uri="{FF2B5EF4-FFF2-40B4-BE49-F238E27FC236}">
              <a16:creationId xmlns:a16="http://schemas.microsoft.com/office/drawing/2014/main" id="{5FC4679D-15E4-408D-B417-3B79DCCCE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2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7316" name="Picture@5C\QPendientes@" descr="@5C\QPendientes@">
          <a:extLst>
            <a:ext uri="{FF2B5EF4-FFF2-40B4-BE49-F238E27FC236}">
              <a16:creationId xmlns:a16="http://schemas.microsoft.com/office/drawing/2014/main" id="{B6E39F32-0994-4489-A9D9-754ED3A51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4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7317" name="Picture@5C\QPendientes@" descr="@5C\QPendientes@">
          <a:extLst>
            <a:ext uri="{FF2B5EF4-FFF2-40B4-BE49-F238E27FC236}">
              <a16:creationId xmlns:a16="http://schemas.microsoft.com/office/drawing/2014/main" id="{A01B22CD-E796-4826-8589-93A90C448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6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7318" name="Picture@5C\QPendientes@" descr="@5C\QPendientes@">
          <a:extLst>
            <a:ext uri="{FF2B5EF4-FFF2-40B4-BE49-F238E27FC236}">
              <a16:creationId xmlns:a16="http://schemas.microsoft.com/office/drawing/2014/main" id="{1D2AE351-D08B-4F90-AD41-ABBA5EED8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8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7319" name="Picture@5C\QPendientes@" descr="@5C\QPendientes@">
          <a:extLst>
            <a:ext uri="{FF2B5EF4-FFF2-40B4-BE49-F238E27FC236}">
              <a16:creationId xmlns:a16="http://schemas.microsoft.com/office/drawing/2014/main" id="{6D96CCCA-6715-4923-804A-625D144B4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0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7320" name="Picture@5C\QPendientes@" descr="@5C\QPendientes@">
          <a:extLst>
            <a:ext uri="{FF2B5EF4-FFF2-40B4-BE49-F238E27FC236}">
              <a16:creationId xmlns:a16="http://schemas.microsoft.com/office/drawing/2014/main" id="{778529FB-0155-422C-BD20-F23544CA3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1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7321" name="Picture@5C\QPendientes@" descr="@5C\QPendientes@">
          <a:extLst>
            <a:ext uri="{FF2B5EF4-FFF2-40B4-BE49-F238E27FC236}">
              <a16:creationId xmlns:a16="http://schemas.microsoft.com/office/drawing/2014/main" id="{3D75A8AC-FB04-4D7B-9C5D-1CD3DC38B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3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7322" name="Picture@5C\QPendientes@" descr="@5C\QPendientes@">
          <a:extLst>
            <a:ext uri="{FF2B5EF4-FFF2-40B4-BE49-F238E27FC236}">
              <a16:creationId xmlns:a16="http://schemas.microsoft.com/office/drawing/2014/main" id="{2B2376ED-6E01-4BC3-ADC5-9436309DF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5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7323" name="Picture@5C\QPendientes@" descr="@5C\QPendientes@">
          <a:extLst>
            <a:ext uri="{FF2B5EF4-FFF2-40B4-BE49-F238E27FC236}">
              <a16:creationId xmlns:a16="http://schemas.microsoft.com/office/drawing/2014/main" id="{28ECB0ED-75D5-4D74-A9C8-51E646997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7324" name="Picture@5C\QPendientes@" descr="@5C\QPendientes@">
          <a:extLst>
            <a:ext uri="{FF2B5EF4-FFF2-40B4-BE49-F238E27FC236}">
              <a16:creationId xmlns:a16="http://schemas.microsoft.com/office/drawing/2014/main" id="{6B8FC74E-2F5C-4128-9939-8718AB3AA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9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7325" name="Picture@5C\QPendientes@" descr="@5C\QPendientes@">
          <a:extLst>
            <a:ext uri="{FF2B5EF4-FFF2-40B4-BE49-F238E27FC236}">
              <a16:creationId xmlns:a16="http://schemas.microsoft.com/office/drawing/2014/main" id="{01754BB0-B704-4934-BAED-191153943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0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7326" name="Picture@5C\QPendientes@" descr="@5C\QPendientes@">
          <a:extLst>
            <a:ext uri="{FF2B5EF4-FFF2-40B4-BE49-F238E27FC236}">
              <a16:creationId xmlns:a16="http://schemas.microsoft.com/office/drawing/2014/main" id="{F1510040-52B6-4CDF-A5AD-377EB8655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2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7327" name="Picture@5C\QPendientes@" descr="@5C\QPendientes@">
          <a:extLst>
            <a:ext uri="{FF2B5EF4-FFF2-40B4-BE49-F238E27FC236}">
              <a16:creationId xmlns:a16="http://schemas.microsoft.com/office/drawing/2014/main" id="{3B3540D7-013C-490F-884A-F4DFE90B4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4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7328" name="Picture@5C\QPendientes@" descr="@5C\QPendientes@">
          <a:extLst>
            <a:ext uri="{FF2B5EF4-FFF2-40B4-BE49-F238E27FC236}">
              <a16:creationId xmlns:a16="http://schemas.microsoft.com/office/drawing/2014/main" id="{AD4D5FD2-9603-4CEC-A5A0-6757EC4CE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6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7329" name="Picture@5C\QPendientes@" descr="@5C\QPendientes@">
          <a:extLst>
            <a:ext uri="{FF2B5EF4-FFF2-40B4-BE49-F238E27FC236}">
              <a16:creationId xmlns:a16="http://schemas.microsoft.com/office/drawing/2014/main" id="{1763EB55-074C-4124-9C9E-3895C1207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8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7330" name="Picture@5C\QPendientes@" descr="@5C\QPendientes@">
          <a:extLst>
            <a:ext uri="{FF2B5EF4-FFF2-40B4-BE49-F238E27FC236}">
              <a16:creationId xmlns:a16="http://schemas.microsoft.com/office/drawing/2014/main" id="{3FD43094-FCF8-4741-8EA4-13C0DEFC0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0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7331" name="Picture@5C\QPendientes@" descr="@5C\QPendientes@">
          <a:extLst>
            <a:ext uri="{FF2B5EF4-FFF2-40B4-BE49-F238E27FC236}">
              <a16:creationId xmlns:a16="http://schemas.microsoft.com/office/drawing/2014/main" id="{45FB7EF9-B8EB-4B95-9AC0-BA22632F6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1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7332" name="Picture@5C\QPendientes@" descr="@5C\QPendientes@">
          <a:extLst>
            <a:ext uri="{FF2B5EF4-FFF2-40B4-BE49-F238E27FC236}">
              <a16:creationId xmlns:a16="http://schemas.microsoft.com/office/drawing/2014/main" id="{5133527E-7C51-4DA6-92FB-7E0810E75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3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7333" name="Picture@5C\QPendientes@" descr="@5C\QPendientes@">
          <a:extLst>
            <a:ext uri="{FF2B5EF4-FFF2-40B4-BE49-F238E27FC236}">
              <a16:creationId xmlns:a16="http://schemas.microsoft.com/office/drawing/2014/main" id="{3CBBE496-3CFF-41B1-BC27-F5301F48B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7334" name="Picture@5C\QPendientes@" descr="@5C\QPendientes@">
          <a:extLst>
            <a:ext uri="{FF2B5EF4-FFF2-40B4-BE49-F238E27FC236}">
              <a16:creationId xmlns:a16="http://schemas.microsoft.com/office/drawing/2014/main" id="{090D7657-3E61-4171-AECD-41FDF3984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7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7335" name="Picture@5C\QPendientes@" descr="@5C\QPendientes@">
          <a:extLst>
            <a:ext uri="{FF2B5EF4-FFF2-40B4-BE49-F238E27FC236}">
              <a16:creationId xmlns:a16="http://schemas.microsoft.com/office/drawing/2014/main" id="{0653479C-104A-4BF0-88BB-63D54D8CE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9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7336" name="Picture@5C\QPendientes@" descr="@5C\QPendientes@">
          <a:extLst>
            <a:ext uri="{FF2B5EF4-FFF2-40B4-BE49-F238E27FC236}">
              <a16:creationId xmlns:a16="http://schemas.microsoft.com/office/drawing/2014/main" id="{8FDA127E-3B50-4677-9324-AE4C04903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1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7337" name="Picture@5C\QPendientes@" descr="@5C\QPendientes@">
          <a:extLst>
            <a:ext uri="{FF2B5EF4-FFF2-40B4-BE49-F238E27FC236}">
              <a16:creationId xmlns:a16="http://schemas.microsoft.com/office/drawing/2014/main" id="{1A849EFE-9FEF-4AF3-934F-A3546311B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2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7338" name="Picture@5C\QPendientes@" descr="@5C\QPendientes@">
          <a:extLst>
            <a:ext uri="{FF2B5EF4-FFF2-40B4-BE49-F238E27FC236}">
              <a16:creationId xmlns:a16="http://schemas.microsoft.com/office/drawing/2014/main" id="{B808CCB7-8139-4171-969F-381322463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4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7339" name="Picture@5C\QPendientes@" descr="@5C\QPendientes@">
          <a:extLst>
            <a:ext uri="{FF2B5EF4-FFF2-40B4-BE49-F238E27FC236}">
              <a16:creationId xmlns:a16="http://schemas.microsoft.com/office/drawing/2014/main" id="{A4EE9218-DBAC-494A-A1F1-E0F207465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6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7340" name="Picture@5C\QPendientes@" descr="@5C\QPendientes@">
          <a:extLst>
            <a:ext uri="{FF2B5EF4-FFF2-40B4-BE49-F238E27FC236}">
              <a16:creationId xmlns:a16="http://schemas.microsoft.com/office/drawing/2014/main" id="{DFB30C35-85D5-44B8-9865-4E2C3CE77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8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7341" name="Picture@5C\QPendientes@" descr="@5C\QPendientes@">
          <a:extLst>
            <a:ext uri="{FF2B5EF4-FFF2-40B4-BE49-F238E27FC236}">
              <a16:creationId xmlns:a16="http://schemas.microsoft.com/office/drawing/2014/main" id="{7122EA2D-DC3D-4FBB-B593-171B714CA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0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7342" name="Picture@5C\QPendientes@" descr="@5C\QPendientes@">
          <a:extLst>
            <a:ext uri="{FF2B5EF4-FFF2-40B4-BE49-F238E27FC236}">
              <a16:creationId xmlns:a16="http://schemas.microsoft.com/office/drawing/2014/main" id="{88DED757-4749-4C8B-BD29-0436050EC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2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7343" name="Picture@5C\QPendientes@" descr="@5C\QPendientes@">
          <a:extLst>
            <a:ext uri="{FF2B5EF4-FFF2-40B4-BE49-F238E27FC236}">
              <a16:creationId xmlns:a16="http://schemas.microsoft.com/office/drawing/2014/main" id="{1BC497A4-4630-49CD-AC6B-6E2C9E21C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7344" name="Picture@5C\QPendientes@" descr="@5C\QPendientes@">
          <a:extLst>
            <a:ext uri="{FF2B5EF4-FFF2-40B4-BE49-F238E27FC236}">
              <a16:creationId xmlns:a16="http://schemas.microsoft.com/office/drawing/2014/main" id="{C3D044B5-5528-4DDD-870C-DB05041F6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5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7345" name="Picture@5C\QPendientes@" descr="@5C\QPendientes@">
          <a:extLst>
            <a:ext uri="{FF2B5EF4-FFF2-40B4-BE49-F238E27FC236}">
              <a16:creationId xmlns:a16="http://schemas.microsoft.com/office/drawing/2014/main" id="{9C5314B7-8915-43FC-BBCA-0EDDB713D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7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7346" name="Picture@5C\QPendientes@" descr="@5C\QPendientes@">
          <a:extLst>
            <a:ext uri="{FF2B5EF4-FFF2-40B4-BE49-F238E27FC236}">
              <a16:creationId xmlns:a16="http://schemas.microsoft.com/office/drawing/2014/main" id="{76480E41-B0BC-4A44-93F6-7B81E0BAA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9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7347" name="Picture@5C\QPendientes@" descr="@5C\QPendientes@">
          <a:extLst>
            <a:ext uri="{FF2B5EF4-FFF2-40B4-BE49-F238E27FC236}">
              <a16:creationId xmlns:a16="http://schemas.microsoft.com/office/drawing/2014/main" id="{607A1568-159B-441C-B07A-8E4391A71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1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7348" name="Picture@5C\QPendientes@" descr="@5C\QPendientes@">
          <a:extLst>
            <a:ext uri="{FF2B5EF4-FFF2-40B4-BE49-F238E27FC236}">
              <a16:creationId xmlns:a16="http://schemas.microsoft.com/office/drawing/2014/main" id="{0DDD3A8C-1935-4637-8524-45EBD28F7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3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7349" name="Picture@5C\QPendientes@" descr="@5C\QPendientes@">
          <a:extLst>
            <a:ext uri="{FF2B5EF4-FFF2-40B4-BE49-F238E27FC236}">
              <a16:creationId xmlns:a16="http://schemas.microsoft.com/office/drawing/2014/main" id="{FEE573B4-6C63-4077-BEF1-414FF619E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4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7350" name="Picture@5C\QPendientes@" descr="@5C\QPendientes@">
          <a:extLst>
            <a:ext uri="{FF2B5EF4-FFF2-40B4-BE49-F238E27FC236}">
              <a16:creationId xmlns:a16="http://schemas.microsoft.com/office/drawing/2014/main" id="{584AE91E-3AC5-4C10-84BA-684883539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6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7351" name="Picture@5C\QPendientes@" descr="@5C\QPendientes@">
          <a:extLst>
            <a:ext uri="{FF2B5EF4-FFF2-40B4-BE49-F238E27FC236}">
              <a16:creationId xmlns:a16="http://schemas.microsoft.com/office/drawing/2014/main" id="{16A3BB62-DF20-4001-8C23-2EBBB4330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8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7352" name="Picture@5C\QPendientes@" descr="@5C\QPendientes@">
          <a:extLst>
            <a:ext uri="{FF2B5EF4-FFF2-40B4-BE49-F238E27FC236}">
              <a16:creationId xmlns:a16="http://schemas.microsoft.com/office/drawing/2014/main" id="{9F62E319-CD2A-42B0-920C-ACD026BD7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0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7353" name="Picture@5C\QPendientes@" descr="@5C\QPendientes@">
          <a:extLst>
            <a:ext uri="{FF2B5EF4-FFF2-40B4-BE49-F238E27FC236}">
              <a16:creationId xmlns:a16="http://schemas.microsoft.com/office/drawing/2014/main" id="{BA582E03-137D-4596-A3EA-84D7B20F9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7354" name="Picture@5C\QPendientes@" descr="@5C\QPendientes@">
          <a:extLst>
            <a:ext uri="{FF2B5EF4-FFF2-40B4-BE49-F238E27FC236}">
              <a16:creationId xmlns:a16="http://schemas.microsoft.com/office/drawing/2014/main" id="{D91274A4-E856-4E0F-9DEA-015B6898C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4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7355" name="Picture@5C\QPendientes@" descr="@5C\QPendientes@">
          <a:extLst>
            <a:ext uri="{FF2B5EF4-FFF2-40B4-BE49-F238E27FC236}">
              <a16:creationId xmlns:a16="http://schemas.microsoft.com/office/drawing/2014/main" id="{BC221577-D2C9-41E5-945D-048C37937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5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7356" name="Picture@5C\QPendientes@" descr="@5C\QPendientes@">
          <a:extLst>
            <a:ext uri="{FF2B5EF4-FFF2-40B4-BE49-F238E27FC236}">
              <a16:creationId xmlns:a16="http://schemas.microsoft.com/office/drawing/2014/main" id="{1AAF565C-D33A-43E9-9CDC-8A1894646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7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7357" name="Picture@5C\QPendientes@" descr="@5C\QPendientes@">
          <a:extLst>
            <a:ext uri="{FF2B5EF4-FFF2-40B4-BE49-F238E27FC236}">
              <a16:creationId xmlns:a16="http://schemas.microsoft.com/office/drawing/2014/main" id="{1E6D916C-AE6B-4FDC-B61A-8F97F4747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9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7358" name="Picture@5C\QPendientes@" descr="@5C\QPendientes@">
          <a:extLst>
            <a:ext uri="{FF2B5EF4-FFF2-40B4-BE49-F238E27FC236}">
              <a16:creationId xmlns:a16="http://schemas.microsoft.com/office/drawing/2014/main" id="{31A65960-7B2F-4698-8D7C-80C81FDBB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1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7359" name="Picture@5C\QPendientes@" descr="@5C\QPendientes@">
          <a:extLst>
            <a:ext uri="{FF2B5EF4-FFF2-40B4-BE49-F238E27FC236}">
              <a16:creationId xmlns:a16="http://schemas.microsoft.com/office/drawing/2014/main" id="{5BD6A2CE-7804-475C-A9E1-33BC46F17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3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7360" name="Picture@5C\QPendientes@" descr="@5C\QPendientes@">
          <a:extLst>
            <a:ext uri="{FF2B5EF4-FFF2-40B4-BE49-F238E27FC236}">
              <a16:creationId xmlns:a16="http://schemas.microsoft.com/office/drawing/2014/main" id="{DA36CBA0-17FF-40BB-8A9E-9D02BD368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4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7361" name="Picture@5C\QPendientes@" descr="@5C\QPendientes@">
          <a:extLst>
            <a:ext uri="{FF2B5EF4-FFF2-40B4-BE49-F238E27FC236}">
              <a16:creationId xmlns:a16="http://schemas.microsoft.com/office/drawing/2014/main" id="{B82A4F63-3DA2-4BDB-91C9-30561751C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6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7362" name="Picture@5C\QPendientes@" descr="@5C\QPendientes@">
          <a:extLst>
            <a:ext uri="{FF2B5EF4-FFF2-40B4-BE49-F238E27FC236}">
              <a16:creationId xmlns:a16="http://schemas.microsoft.com/office/drawing/2014/main" id="{6D17E8A6-853F-4FB2-B35C-F5C2C4E3B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8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7363" name="Picture@5C\QPendientes@" descr="@5C\QPendientes@">
          <a:extLst>
            <a:ext uri="{FF2B5EF4-FFF2-40B4-BE49-F238E27FC236}">
              <a16:creationId xmlns:a16="http://schemas.microsoft.com/office/drawing/2014/main" id="{EF158FDF-0D34-4693-8631-1724B5D30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7364" name="Picture@5C\QPendientes@" descr="@5C\QPendientes@">
          <a:extLst>
            <a:ext uri="{FF2B5EF4-FFF2-40B4-BE49-F238E27FC236}">
              <a16:creationId xmlns:a16="http://schemas.microsoft.com/office/drawing/2014/main" id="{4B9B0C3E-D19D-4967-93ED-921A31C0D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2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7365" name="Picture@5C\QPendientes@" descr="@5C\QPendientes@">
          <a:extLst>
            <a:ext uri="{FF2B5EF4-FFF2-40B4-BE49-F238E27FC236}">
              <a16:creationId xmlns:a16="http://schemas.microsoft.com/office/drawing/2014/main" id="{7FA734BC-A65C-475E-874B-443CB7340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4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7366" name="Picture@5C\QPendientes@" descr="@5C\QPendientes@">
          <a:extLst>
            <a:ext uri="{FF2B5EF4-FFF2-40B4-BE49-F238E27FC236}">
              <a16:creationId xmlns:a16="http://schemas.microsoft.com/office/drawing/2014/main" id="{4DFDDC35-D0FB-427D-A238-FCC7E8453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5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7367" name="Picture@5C\QPendientes@" descr="@5C\QPendientes@">
          <a:extLst>
            <a:ext uri="{FF2B5EF4-FFF2-40B4-BE49-F238E27FC236}">
              <a16:creationId xmlns:a16="http://schemas.microsoft.com/office/drawing/2014/main" id="{685EE9E4-4DBE-4E84-ACBC-3E486932C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7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7368" name="Picture@5C\QPendientes@" descr="@5C\QPendientes@">
          <a:extLst>
            <a:ext uri="{FF2B5EF4-FFF2-40B4-BE49-F238E27FC236}">
              <a16:creationId xmlns:a16="http://schemas.microsoft.com/office/drawing/2014/main" id="{8F4821A6-95A7-48CD-9896-4587CDBF6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9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7369" name="Picture@5C\QPendientes@" descr="@5C\QPendientes@">
          <a:extLst>
            <a:ext uri="{FF2B5EF4-FFF2-40B4-BE49-F238E27FC236}">
              <a16:creationId xmlns:a16="http://schemas.microsoft.com/office/drawing/2014/main" id="{96A79047-4A1C-4F27-AA3B-B0AC73E52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1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7370" name="Picture@5C\QPendientes@" descr="@5C\QPendientes@">
          <a:extLst>
            <a:ext uri="{FF2B5EF4-FFF2-40B4-BE49-F238E27FC236}">
              <a16:creationId xmlns:a16="http://schemas.microsoft.com/office/drawing/2014/main" id="{9D6D35BC-17A1-4042-AD0A-539742D3B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3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7371" name="Picture@5C\QPendientes@" descr="@5C\QPendientes@">
          <a:extLst>
            <a:ext uri="{FF2B5EF4-FFF2-40B4-BE49-F238E27FC236}">
              <a16:creationId xmlns:a16="http://schemas.microsoft.com/office/drawing/2014/main" id="{E81EA6ED-C531-4E41-A611-8D0C8CF62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5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7372" name="Picture@5C\QPendientes@" descr="@5C\QPendientes@">
          <a:extLst>
            <a:ext uri="{FF2B5EF4-FFF2-40B4-BE49-F238E27FC236}">
              <a16:creationId xmlns:a16="http://schemas.microsoft.com/office/drawing/2014/main" id="{D660802C-CA9E-4644-B492-9D2731E79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6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7373" name="Picture@5C\QPendientes@" descr="@5C\QPendientes@">
          <a:extLst>
            <a:ext uri="{FF2B5EF4-FFF2-40B4-BE49-F238E27FC236}">
              <a16:creationId xmlns:a16="http://schemas.microsoft.com/office/drawing/2014/main" id="{68F3EFF9-A727-48AF-AC71-36C49FF68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7374" name="Picture@5C\QPendientes@" descr="@5C\QPendientes@">
          <a:extLst>
            <a:ext uri="{FF2B5EF4-FFF2-40B4-BE49-F238E27FC236}">
              <a16:creationId xmlns:a16="http://schemas.microsoft.com/office/drawing/2014/main" id="{B4BCF587-21AA-4875-BF05-5247C688E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0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7375" name="Picture@5C\QPendientes@" descr="@5C\QPendientes@">
          <a:extLst>
            <a:ext uri="{FF2B5EF4-FFF2-40B4-BE49-F238E27FC236}">
              <a16:creationId xmlns:a16="http://schemas.microsoft.com/office/drawing/2014/main" id="{8B672FD6-9028-48B8-A9A9-F77A78304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2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7376" name="Picture@5C\QPendientes@" descr="@5C\QPendientes@">
          <a:extLst>
            <a:ext uri="{FF2B5EF4-FFF2-40B4-BE49-F238E27FC236}">
              <a16:creationId xmlns:a16="http://schemas.microsoft.com/office/drawing/2014/main" id="{989DB0C9-9C53-4B16-B09B-3E5B07FA5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4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7377" name="Picture@5C\QPendientes@" descr="@5C\QPendientes@">
          <a:extLst>
            <a:ext uri="{FF2B5EF4-FFF2-40B4-BE49-F238E27FC236}">
              <a16:creationId xmlns:a16="http://schemas.microsoft.com/office/drawing/2014/main" id="{685586B2-B7B1-4F24-B60F-8F7D06608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6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7378" name="Picture@5C\QPendientes@" descr="@5C\QPendientes@">
          <a:extLst>
            <a:ext uri="{FF2B5EF4-FFF2-40B4-BE49-F238E27FC236}">
              <a16:creationId xmlns:a16="http://schemas.microsoft.com/office/drawing/2014/main" id="{E3E5ABC0-4662-420C-8A5F-60B97745C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7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7379" name="Picture@5C\QPendientes@" descr="@5C\QPendientes@">
          <a:extLst>
            <a:ext uri="{FF2B5EF4-FFF2-40B4-BE49-F238E27FC236}">
              <a16:creationId xmlns:a16="http://schemas.microsoft.com/office/drawing/2014/main" id="{F5985E2E-A66A-4D8C-BF07-9B4E1894E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9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7380" name="Picture@5C\QPendientes@" descr="@5C\QPendientes@">
          <a:extLst>
            <a:ext uri="{FF2B5EF4-FFF2-40B4-BE49-F238E27FC236}">
              <a16:creationId xmlns:a16="http://schemas.microsoft.com/office/drawing/2014/main" id="{3063496C-FDA3-47D2-A28E-BC94713D4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1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7381" name="Picture@5C\QPendientes@" descr="@5C\QPendientes@">
          <a:extLst>
            <a:ext uri="{FF2B5EF4-FFF2-40B4-BE49-F238E27FC236}">
              <a16:creationId xmlns:a16="http://schemas.microsoft.com/office/drawing/2014/main" id="{0068F214-4C3C-4515-8721-3ADFD26B3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3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7382" name="Picture@5C\QPendientes@" descr="@5C\QPendientes@">
          <a:extLst>
            <a:ext uri="{FF2B5EF4-FFF2-40B4-BE49-F238E27FC236}">
              <a16:creationId xmlns:a16="http://schemas.microsoft.com/office/drawing/2014/main" id="{FD5FCF28-AD41-4038-99AF-83577DC38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5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7383" name="Picture@5C\QPendientes@" descr="@5C\QPendientes@">
          <a:extLst>
            <a:ext uri="{FF2B5EF4-FFF2-40B4-BE49-F238E27FC236}">
              <a16:creationId xmlns:a16="http://schemas.microsoft.com/office/drawing/2014/main" id="{F7E3004C-B9B5-4B55-A531-D77A4DBB8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7384" name="Picture@5C\QPendientes@" descr="@5C\QPendientes@">
          <a:extLst>
            <a:ext uri="{FF2B5EF4-FFF2-40B4-BE49-F238E27FC236}">
              <a16:creationId xmlns:a16="http://schemas.microsoft.com/office/drawing/2014/main" id="{6FE23333-E641-470C-8876-B2038A1B5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8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7385" name="Picture@5C\QPendientes@" descr="@5C\QPendientes@">
          <a:extLst>
            <a:ext uri="{FF2B5EF4-FFF2-40B4-BE49-F238E27FC236}">
              <a16:creationId xmlns:a16="http://schemas.microsoft.com/office/drawing/2014/main" id="{63F294D2-ADE5-43DE-AE57-FC45697C3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0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7386" name="Picture@5C\QPendientes@" descr="@5C\QPendientes@">
          <a:extLst>
            <a:ext uri="{FF2B5EF4-FFF2-40B4-BE49-F238E27FC236}">
              <a16:creationId xmlns:a16="http://schemas.microsoft.com/office/drawing/2014/main" id="{B5540D36-517D-43AD-8D2F-9D9497994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2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7387" name="Picture@5C\QPendientes@" descr="@5C\QPendientes@">
          <a:extLst>
            <a:ext uri="{FF2B5EF4-FFF2-40B4-BE49-F238E27FC236}">
              <a16:creationId xmlns:a16="http://schemas.microsoft.com/office/drawing/2014/main" id="{ACB02E38-A749-486E-A0A4-1C67BAC35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4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7388" name="Picture@5C\QPendientes@" descr="@5C\QPendientes@">
          <a:extLst>
            <a:ext uri="{FF2B5EF4-FFF2-40B4-BE49-F238E27FC236}">
              <a16:creationId xmlns:a16="http://schemas.microsoft.com/office/drawing/2014/main" id="{B7110AC5-8A20-4653-BE5C-719BEB9FB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6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7389" name="Picture@5C\QPendientes@" descr="@5C\QPendientes@">
          <a:extLst>
            <a:ext uri="{FF2B5EF4-FFF2-40B4-BE49-F238E27FC236}">
              <a16:creationId xmlns:a16="http://schemas.microsoft.com/office/drawing/2014/main" id="{11D7C701-AA32-4733-9A1F-6F513C688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8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7390" name="Picture@5C\QPendientes@" descr="@5C\QPendientes@">
          <a:extLst>
            <a:ext uri="{FF2B5EF4-FFF2-40B4-BE49-F238E27FC236}">
              <a16:creationId xmlns:a16="http://schemas.microsoft.com/office/drawing/2014/main" id="{A7503D5B-003D-4393-BEAB-2BD176B00D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9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7391" name="Picture@5C\QPendientes@" descr="@5C\QPendientes@">
          <a:extLst>
            <a:ext uri="{FF2B5EF4-FFF2-40B4-BE49-F238E27FC236}">
              <a16:creationId xmlns:a16="http://schemas.microsoft.com/office/drawing/2014/main" id="{51B27DF0-CC78-421A-B9E1-022890091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1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7392" name="Picture@5C\QPendientes@" descr="@5C\QPendientes@">
          <a:extLst>
            <a:ext uri="{FF2B5EF4-FFF2-40B4-BE49-F238E27FC236}">
              <a16:creationId xmlns:a16="http://schemas.microsoft.com/office/drawing/2014/main" id="{0F774774-A8D4-4C55-A8AC-08884D5C6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3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7393" name="Picture@5C\QPendientes@" descr="@5C\QPendientes@">
          <a:extLst>
            <a:ext uri="{FF2B5EF4-FFF2-40B4-BE49-F238E27FC236}">
              <a16:creationId xmlns:a16="http://schemas.microsoft.com/office/drawing/2014/main" id="{E821E85C-0E18-4B0A-9028-B2E33E39C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7394" name="Picture@5C\QPendientes@" descr="@5C\QPendientes@">
          <a:extLst>
            <a:ext uri="{FF2B5EF4-FFF2-40B4-BE49-F238E27FC236}">
              <a16:creationId xmlns:a16="http://schemas.microsoft.com/office/drawing/2014/main" id="{1B086AE5-84B1-422F-ABB8-CEB1ABEBE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7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7395" name="Picture@5C\QPendientes@" descr="@5C\QPendientes@">
          <a:extLst>
            <a:ext uri="{FF2B5EF4-FFF2-40B4-BE49-F238E27FC236}">
              <a16:creationId xmlns:a16="http://schemas.microsoft.com/office/drawing/2014/main" id="{9FA96073-BE48-4161-AEA7-4D512444A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9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7396" name="Picture@5C\QPendientes@" descr="@5C\QPendientes@">
          <a:extLst>
            <a:ext uri="{FF2B5EF4-FFF2-40B4-BE49-F238E27FC236}">
              <a16:creationId xmlns:a16="http://schemas.microsoft.com/office/drawing/2014/main" id="{3505E826-1638-4B92-B6DD-3EABEDA39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0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7397" name="Picture@5C\QPendientes@" descr="@5C\QPendientes@">
          <a:extLst>
            <a:ext uri="{FF2B5EF4-FFF2-40B4-BE49-F238E27FC236}">
              <a16:creationId xmlns:a16="http://schemas.microsoft.com/office/drawing/2014/main" id="{EC3CD0DC-0549-4F98-A9A6-E8DB6C18D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2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7398" name="Picture@5C\QPendientes@" descr="@5C\QPendientes@">
          <a:extLst>
            <a:ext uri="{FF2B5EF4-FFF2-40B4-BE49-F238E27FC236}">
              <a16:creationId xmlns:a16="http://schemas.microsoft.com/office/drawing/2014/main" id="{384453E1-F020-4870-BD0E-9801856DF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4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7399" name="Picture@5C\QPendientes@" descr="@5C\QPendientes@">
          <a:extLst>
            <a:ext uri="{FF2B5EF4-FFF2-40B4-BE49-F238E27FC236}">
              <a16:creationId xmlns:a16="http://schemas.microsoft.com/office/drawing/2014/main" id="{21CA19E6-C497-4BDA-8238-D42B3F984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6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7400" name="Picture@5C\QPendientes@" descr="@5C\QPendientes@">
          <a:extLst>
            <a:ext uri="{FF2B5EF4-FFF2-40B4-BE49-F238E27FC236}">
              <a16:creationId xmlns:a16="http://schemas.microsoft.com/office/drawing/2014/main" id="{C9C788C8-7FC4-42EB-B93F-C3DE17784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8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7401" name="Picture@5C\QPendientes@" descr="@5C\QPendientes@">
          <a:extLst>
            <a:ext uri="{FF2B5EF4-FFF2-40B4-BE49-F238E27FC236}">
              <a16:creationId xmlns:a16="http://schemas.microsoft.com/office/drawing/2014/main" id="{6E8B8B93-0274-4E58-960A-0CECA23CD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9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7402" name="Picture@5C\QPendientes@" descr="@5C\QPendientes@">
          <a:extLst>
            <a:ext uri="{FF2B5EF4-FFF2-40B4-BE49-F238E27FC236}">
              <a16:creationId xmlns:a16="http://schemas.microsoft.com/office/drawing/2014/main" id="{083B4939-0A9C-4DE5-9DA4-721B9E23F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1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7403" name="Picture@5C\QPendientes@" descr="@5C\QPendientes@">
          <a:extLst>
            <a:ext uri="{FF2B5EF4-FFF2-40B4-BE49-F238E27FC236}">
              <a16:creationId xmlns:a16="http://schemas.microsoft.com/office/drawing/2014/main" id="{CFC19335-5E1E-4E81-A61E-C5E51136B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7404" name="Picture@5C\QPendientes@" descr="@5C\QPendientes@">
          <a:extLst>
            <a:ext uri="{FF2B5EF4-FFF2-40B4-BE49-F238E27FC236}">
              <a16:creationId xmlns:a16="http://schemas.microsoft.com/office/drawing/2014/main" id="{611D72B8-18A3-4B68-83A7-31A3B772C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5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7405" name="Picture@5C\QPendientes@" descr="@5C\QPendientes@">
          <a:extLst>
            <a:ext uri="{FF2B5EF4-FFF2-40B4-BE49-F238E27FC236}">
              <a16:creationId xmlns:a16="http://schemas.microsoft.com/office/drawing/2014/main" id="{DEB39DF0-3218-43E0-B0EA-C4AD011A8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7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7406" name="Picture@5C\QPendientes@" descr="@5C\QPendientes@">
          <a:extLst>
            <a:ext uri="{FF2B5EF4-FFF2-40B4-BE49-F238E27FC236}">
              <a16:creationId xmlns:a16="http://schemas.microsoft.com/office/drawing/2014/main" id="{DAD5C6C6-2494-43C1-A3BD-61A0A4213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9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7407" name="Picture@5C\QPendientes@" descr="@5C\QPendientes@">
          <a:extLst>
            <a:ext uri="{FF2B5EF4-FFF2-40B4-BE49-F238E27FC236}">
              <a16:creationId xmlns:a16="http://schemas.microsoft.com/office/drawing/2014/main" id="{EDA4B5D5-9EF3-4778-BC36-091AEFD6B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0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7408" name="Picture@5C\QPendientes@" descr="@5C\QPendientes@">
          <a:extLst>
            <a:ext uri="{FF2B5EF4-FFF2-40B4-BE49-F238E27FC236}">
              <a16:creationId xmlns:a16="http://schemas.microsoft.com/office/drawing/2014/main" id="{79A92BF0-DD73-4FCE-8FE8-9FDB7E42B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2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7409" name="Picture@5C\QPendientes@" descr="@5C\QPendientes@">
          <a:extLst>
            <a:ext uri="{FF2B5EF4-FFF2-40B4-BE49-F238E27FC236}">
              <a16:creationId xmlns:a16="http://schemas.microsoft.com/office/drawing/2014/main" id="{19148678-2C2B-4BA5-BA7B-CDF4F12A4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4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7410" name="Picture@5C\QPendientes@" descr="@5C\QPendientes@">
          <a:extLst>
            <a:ext uri="{FF2B5EF4-FFF2-40B4-BE49-F238E27FC236}">
              <a16:creationId xmlns:a16="http://schemas.microsoft.com/office/drawing/2014/main" id="{E5E1586E-CDEA-4877-9C08-AEAF59B90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6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7411" name="Picture@5C\QPendientes@" descr="@5C\QPendientes@">
          <a:extLst>
            <a:ext uri="{FF2B5EF4-FFF2-40B4-BE49-F238E27FC236}">
              <a16:creationId xmlns:a16="http://schemas.microsoft.com/office/drawing/2014/main" id="{15F54A55-3F9D-483D-9907-8644DBA47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8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7412" name="Picture@5C\QPendientes@" descr="@5C\QPendientes@">
          <a:extLst>
            <a:ext uri="{FF2B5EF4-FFF2-40B4-BE49-F238E27FC236}">
              <a16:creationId xmlns:a16="http://schemas.microsoft.com/office/drawing/2014/main" id="{676C8FC4-EE05-4841-82A9-D3A2A9462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0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7413" name="Picture@5C\QPendientes@" descr="@5C\QPendientes@">
          <a:extLst>
            <a:ext uri="{FF2B5EF4-FFF2-40B4-BE49-F238E27FC236}">
              <a16:creationId xmlns:a16="http://schemas.microsoft.com/office/drawing/2014/main" id="{2F89DE4C-0225-43BE-A24C-0D9BF86B5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7414" name="Picture@5C\QPendientes@" descr="@5C\QPendientes@">
          <a:extLst>
            <a:ext uri="{FF2B5EF4-FFF2-40B4-BE49-F238E27FC236}">
              <a16:creationId xmlns:a16="http://schemas.microsoft.com/office/drawing/2014/main" id="{3F8A6FA3-70D0-4D20-AD45-DAD1533D5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3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7415" name="Picture@5C\QPendientes@" descr="@5C\QPendientes@">
          <a:extLst>
            <a:ext uri="{FF2B5EF4-FFF2-40B4-BE49-F238E27FC236}">
              <a16:creationId xmlns:a16="http://schemas.microsoft.com/office/drawing/2014/main" id="{BBB97AE1-56B3-4D00-9870-F9362C491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5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7416" name="Picture@5C\QPendientes@" descr="@5C\QPendientes@">
          <a:extLst>
            <a:ext uri="{FF2B5EF4-FFF2-40B4-BE49-F238E27FC236}">
              <a16:creationId xmlns:a16="http://schemas.microsoft.com/office/drawing/2014/main" id="{18404485-B91B-4D5C-83B1-F1919614E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7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7417" name="Picture@5C\QPendientes@" descr="@5C\QPendientes@">
          <a:extLst>
            <a:ext uri="{FF2B5EF4-FFF2-40B4-BE49-F238E27FC236}">
              <a16:creationId xmlns:a16="http://schemas.microsoft.com/office/drawing/2014/main" id="{489684AA-02C9-4032-B7AB-F650DE02E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9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7418" name="Picture@5C\QPendientes@" descr="@5C\QPendientes@">
          <a:extLst>
            <a:ext uri="{FF2B5EF4-FFF2-40B4-BE49-F238E27FC236}">
              <a16:creationId xmlns:a16="http://schemas.microsoft.com/office/drawing/2014/main" id="{32DFD51B-4A32-49D3-AD11-2BC513529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1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7419" name="Picture@5C\QPendientes@" descr="@5C\QPendientes@">
          <a:extLst>
            <a:ext uri="{FF2B5EF4-FFF2-40B4-BE49-F238E27FC236}">
              <a16:creationId xmlns:a16="http://schemas.microsoft.com/office/drawing/2014/main" id="{CBF1C828-C494-4427-9648-E10F27708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2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7420" name="Picture@5C\QPendientes@" descr="@5C\QPendientes@">
          <a:extLst>
            <a:ext uri="{FF2B5EF4-FFF2-40B4-BE49-F238E27FC236}">
              <a16:creationId xmlns:a16="http://schemas.microsoft.com/office/drawing/2014/main" id="{10330964-711B-4C6B-A91C-B9544A1D4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4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7421" name="Picture@5C\QPendientes@" descr="@5C\QPendientes@">
          <a:extLst>
            <a:ext uri="{FF2B5EF4-FFF2-40B4-BE49-F238E27FC236}">
              <a16:creationId xmlns:a16="http://schemas.microsoft.com/office/drawing/2014/main" id="{1C77BFE6-0705-4700-80FA-BA63C7E9F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6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7422" name="Picture@5C\QPendientes@" descr="@5C\QPendientes@">
          <a:extLst>
            <a:ext uri="{FF2B5EF4-FFF2-40B4-BE49-F238E27FC236}">
              <a16:creationId xmlns:a16="http://schemas.microsoft.com/office/drawing/2014/main" id="{7D75378E-A190-4E94-8EB1-DE4A058BE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8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7423" name="Picture@5C\QPendientes@" descr="@5C\QPendientes@">
          <a:extLst>
            <a:ext uri="{FF2B5EF4-FFF2-40B4-BE49-F238E27FC236}">
              <a16:creationId xmlns:a16="http://schemas.microsoft.com/office/drawing/2014/main" id="{CC152ABE-8652-4762-A9A0-24E3E57F78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7424" name="Picture@5C\QPendientes@" descr="@5C\QPendientes@">
          <a:extLst>
            <a:ext uri="{FF2B5EF4-FFF2-40B4-BE49-F238E27FC236}">
              <a16:creationId xmlns:a16="http://schemas.microsoft.com/office/drawing/2014/main" id="{0F4CBEE5-7646-4ECA-B708-EB0BA5F453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2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7425" name="Picture@5C\QPendientes@" descr="@5C\QPendientes@">
          <a:extLst>
            <a:ext uri="{FF2B5EF4-FFF2-40B4-BE49-F238E27FC236}">
              <a16:creationId xmlns:a16="http://schemas.microsoft.com/office/drawing/2014/main" id="{DA7CAE6B-2EAA-441C-97DD-0D491F5DE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3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7426" name="Picture@5C\QPendientes@" descr="@5C\QPendientes@">
          <a:extLst>
            <a:ext uri="{FF2B5EF4-FFF2-40B4-BE49-F238E27FC236}">
              <a16:creationId xmlns:a16="http://schemas.microsoft.com/office/drawing/2014/main" id="{6FEDF5DA-7122-49A4-A710-5609291F9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5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7427" name="Picture@5C\QPendientes@" descr="@5C\QPendientes@">
          <a:extLst>
            <a:ext uri="{FF2B5EF4-FFF2-40B4-BE49-F238E27FC236}">
              <a16:creationId xmlns:a16="http://schemas.microsoft.com/office/drawing/2014/main" id="{AB08E744-879A-464D-8B59-867753BE9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7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7428" name="Picture@5C\QPendientes@" descr="@5C\QPendientes@">
          <a:extLst>
            <a:ext uri="{FF2B5EF4-FFF2-40B4-BE49-F238E27FC236}">
              <a16:creationId xmlns:a16="http://schemas.microsoft.com/office/drawing/2014/main" id="{52B15949-22E2-417E-9FC1-619F02185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9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7429" name="Picture@5C\QPendientes@" descr="@5C\QPendientes@">
          <a:extLst>
            <a:ext uri="{FF2B5EF4-FFF2-40B4-BE49-F238E27FC236}">
              <a16:creationId xmlns:a16="http://schemas.microsoft.com/office/drawing/2014/main" id="{39D6E897-B2DF-41DA-AF59-8887AFFEA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1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7430" name="Picture@5C\QPendientes@" descr="@5C\QPendientes@">
          <a:extLst>
            <a:ext uri="{FF2B5EF4-FFF2-40B4-BE49-F238E27FC236}">
              <a16:creationId xmlns:a16="http://schemas.microsoft.com/office/drawing/2014/main" id="{10038716-857B-466D-9CF8-43C7AD564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3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7431" name="Picture@5C\QPendientes@" descr="@5C\QPendientes@">
          <a:extLst>
            <a:ext uri="{FF2B5EF4-FFF2-40B4-BE49-F238E27FC236}">
              <a16:creationId xmlns:a16="http://schemas.microsoft.com/office/drawing/2014/main" id="{40E33F0C-E2AB-4836-8F88-B710C4732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4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7432" name="Picture@5C\QPendientes@" descr="@5C\QPendientes@">
          <a:extLst>
            <a:ext uri="{FF2B5EF4-FFF2-40B4-BE49-F238E27FC236}">
              <a16:creationId xmlns:a16="http://schemas.microsoft.com/office/drawing/2014/main" id="{58157C64-7559-4988-AD47-2B8E5D0C7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6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7433" name="Picture@5C\QPendientes@" descr="@5C\QPendientes@">
          <a:extLst>
            <a:ext uri="{FF2B5EF4-FFF2-40B4-BE49-F238E27FC236}">
              <a16:creationId xmlns:a16="http://schemas.microsoft.com/office/drawing/2014/main" id="{5C396AE2-E5CB-4F54-93B9-759B6E912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7434" name="Picture@5C\QPendientes@" descr="@5C\QPendientes@">
          <a:extLst>
            <a:ext uri="{FF2B5EF4-FFF2-40B4-BE49-F238E27FC236}">
              <a16:creationId xmlns:a16="http://schemas.microsoft.com/office/drawing/2014/main" id="{D332000C-0B43-4C22-8CA1-AB279C902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0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7435" name="Picture@5C\QPendientes@" descr="@5C\QPendientes@">
          <a:extLst>
            <a:ext uri="{FF2B5EF4-FFF2-40B4-BE49-F238E27FC236}">
              <a16:creationId xmlns:a16="http://schemas.microsoft.com/office/drawing/2014/main" id="{1AB3D6D7-6C63-4CA9-8153-E4D0E04BF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2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7436" name="Picture@5C\QPendientes@" descr="@5C\QPendientes@">
          <a:extLst>
            <a:ext uri="{FF2B5EF4-FFF2-40B4-BE49-F238E27FC236}">
              <a16:creationId xmlns:a16="http://schemas.microsoft.com/office/drawing/2014/main" id="{136222B5-86D4-4F02-A65A-C7F1B40AA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3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7437" name="Picture@5C\QPendientes@" descr="@5C\QPendientes@">
          <a:extLst>
            <a:ext uri="{FF2B5EF4-FFF2-40B4-BE49-F238E27FC236}">
              <a16:creationId xmlns:a16="http://schemas.microsoft.com/office/drawing/2014/main" id="{A1B2EBF8-F5F3-4E08-90AD-D62F36F69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5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7438" name="Picture@5C\QPendientes@" descr="@5C\QPendientes@">
          <a:extLst>
            <a:ext uri="{FF2B5EF4-FFF2-40B4-BE49-F238E27FC236}">
              <a16:creationId xmlns:a16="http://schemas.microsoft.com/office/drawing/2014/main" id="{CB2DA367-F469-4CF1-A9C8-14F8EE35A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7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7439" name="Picture@5C\QPendientes@" descr="@5C\QPendientes@">
          <a:extLst>
            <a:ext uri="{FF2B5EF4-FFF2-40B4-BE49-F238E27FC236}">
              <a16:creationId xmlns:a16="http://schemas.microsoft.com/office/drawing/2014/main" id="{13124A24-239C-4F9E-9ACB-EC622C0EB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9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7440" name="Picture@5C\QPendientes@" descr="@5C\QPendientes@">
          <a:extLst>
            <a:ext uri="{FF2B5EF4-FFF2-40B4-BE49-F238E27FC236}">
              <a16:creationId xmlns:a16="http://schemas.microsoft.com/office/drawing/2014/main" id="{644A0C28-75C3-483A-8829-447049158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1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7441" name="Picture@5C\QPendientes@" descr="@5C\QPendientes@">
          <a:extLst>
            <a:ext uri="{FF2B5EF4-FFF2-40B4-BE49-F238E27FC236}">
              <a16:creationId xmlns:a16="http://schemas.microsoft.com/office/drawing/2014/main" id="{E7C2CE22-AF73-430E-9896-C3BD3C6748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3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7442" name="Picture@5C\QPendientes@" descr="@5C\QPendientes@">
          <a:extLst>
            <a:ext uri="{FF2B5EF4-FFF2-40B4-BE49-F238E27FC236}">
              <a16:creationId xmlns:a16="http://schemas.microsoft.com/office/drawing/2014/main" id="{F45DD870-96DB-49E6-8E25-91056E58E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4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7443" name="Picture@5C\QPendientes@" descr="@5C\QPendientes@">
          <a:extLst>
            <a:ext uri="{FF2B5EF4-FFF2-40B4-BE49-F238E27FC236}">
              <a16:creationId xmlns:a16="http://schemas.microsoft.com/office/drawing/2014/main" id="{3F6242B3-1B43-4E3B-8BB0-478390784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7444" name="Picture@5C\QPendientes@" descr="@5C\QPendientes@">
          <a:extLst>
            <a:ext uri="{FF2B5EF4-FFF2-40B4-BE49-F238E27FC236}">
              <a16:creationId xmlns:a16="http://schemas.microsoft.com/office/drawing/2014/main" id="{9EFF99C2-8F98-448F-8CFA-DE879E5B2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8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7445" name="Picture@5C\QPendientes@" descr="@5C\QPendientes@">
          <a:extLst>
            <a:ext uri="{FF2B5EF4-FFF2-40B4-BE49-F238E27FC236}">
              <a16:creationId xmlns:a16="http://schemas.microsoft.com/office/drawing/2014/main" id="{6DC0CC1D-0D2F-4443-8EBA-FA5427E30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0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7446" name="Picture@5C\QPendientes@" descr="@5C\QPendientes@">
          <a:extLst>
            <a:ext uri="{FF2B5EF4-FFF2-40B4-BE49-F238E27FC236}">
              <a16:creationId xmlns:a16="http://schemas.microsoft.com/office/drawing/2014/main" id="{37A2D0DE-2CE6-4013-99C4-2CB2BA29D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2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7447" name="Picture@5C\QPendientes@" descr="@5C\QPendientes@">
          <a:extLst>
            <a:ext uri="{FF2B5EF4-FFF2-40B4-BE49-F238E27FC236}">
              <a16:creationId xmlns:a16="http://schemas.microsoft.com/office/drawing/2014/main" id="{47EB2DD3-B9E0-4B43-8AF5-C5020DA87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4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7448" name="Picture@5C\QPendientes@" descr="@5C\QPendientes@">
          <a:extLst>
            <a:ext uri="{FF2B5EF4-FFF2-40B4-BE49-F238E27FC236}">
              <a16:creationId xmlns:a16="http://schemas.microsoft.com/office/drawing/2014/main" id="{9C456784-5277-411A-A2BA-116EBC1FD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5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7449" name="Picture@5C\QPendientes@" descr="@5C\QPendientes@">
          <a:extLst>
            <a:ext uri="{FF2B5EF4-FFF2-40B4-BE49-F238E27FC236}">
              <a16:creationId xmlns:a16="http://schemas.microsoft.com/office/drawing/2014/main" id="{EB31BC85-5200-492D-A75A-16DB69ABB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7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7450" name="Picture@5C\QPendientes@" descr="@5C\QPendientes@">
          <a:extLst>
            <a:ext uri="{FF2B5EF4-FFF2-40B4-BE49-F238E27FC236}">
              <a16:creationId xmlns:a16="http://schemas.microsoft.com/office/drawing/2014/main" id="{B84FC589-61AD-41D4-8950-A90C47D0E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9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7451" name="Picture@5C\QPendientes@" descr="@5C\QPendientes@">
          <a:extLst>
            <a:ext uri="{FF2B5EF4-FFF2-40B4-BE49-F238E27FC236}">
              <a16:creationId xmlns:a16="http://schemas.microsoft.com/office/drawing/2014/main" id="{7AED4534-177C-4C29-8C32-03D93B0C9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1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7452" name="Picture@5C\QPendientes@" descr="@5C\QPendientes@">
          <a:extLst>
            <a:ext uri="{FF2B5EF4-FFF2-40B4-BE49-F238E27FC236}">
              <a16:creationId xmlns:a16="http://schemas.microsoft.com/office/drawing/2014/main" id="{B600E723-CD74-409C-A1A0-4C37C7E56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3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7453" name="Picture@5C\QPendientes@" descr="@5C\QPendientes@">
          <a:extLst>
            <a:ext uri="{FF2B5EF4-FFF2-40B4-BE49-F238E27FC236}">
              <a16:creationId xmlns:a16="http://schemas.microsoft.com/office/drawing/2014/main" id="{FB5AB190-9281-4D4A-9DBC-DFDEF0DD3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7454" name="Picture@5C\QPendientes@" descr="@5C\QPendientes@">
          <a:extLst>
            <a:ext uri="{FF2B5EF4-FFF2-40B4-BE49-F238E27FC236}">
              <a16:creationId xmlns:a16="http://schemas.microsoft.com/office/drawing/2014/main" id="{45A55DFB-A4DA-46BF-B904-10D659208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6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7455" name="Picture@5C\QPendientes@" descr="@5C\QPendientes@">
          <a:extLst>
            <a:ext uri="{FF2B5EF4-FFF2-40B4-BE49-F238E27FC236}">
              <a16:creationId xmlns:a16="http://schemas.microsoft.com/office/drawing/2014/main" id="{66B6E178-2813-4178-987C-6C81F1A5C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8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7456" name="Picture@5C\QPendientes@" descr="@5C\QPendientes@">
          <a:extLst>
            <a:ext uri="{FF2B5EF4-FFF2-40B4-BE49-F238E27FC236}">
              <a16:creationId xmlns:a16="http://schemas.microsoft.com/office/drawing/2014/main" id="{8171B7DF-F878-4781-A27D-5040247F1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0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7457" name="Picture@5C\QPendientes@" descr="@5C\QPendientes@">
          <a:extLst>
            <a:ext uri="{FF2B5EF4-FFF2-40B4-BE49-F238E27FC236}">
              <a16:creationId xmlns:a16="http://schemas.microsoft.com/office/drawing/2014/main" id="{9E59B0F4-D841-4336-BD4B-1C71485E1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2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7458" name="Picture@5C\QPendientes@" descr="@5C\QPendientes@">
          <a:extLst>
            <a:ext uri="{FF2B5EF4-FFF2-40B4-BE49-F238E27FC236}">
              <a16:creationId xmlns:a16="http://schemas.microsoft.com/office/drawing/2014/main" id="{F96D8F09-1171-4430-8F91-92F7178AD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4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7459" name="Picture@5C\QPendientes@" descr="@5C\QPendientes@">
          <a:extLst>
            <a:ext uri="{FF2B5EF4-FFF2-40B4-BE49-F238E27FC236}">
              <a16:creationId xmlns:a16="http://schemas.microsoft.com/office/drawing/2014/main" id="{2C60E8B5-B10A-4A61-954C-F42DB1295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6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7460" name="Picture@5C\QPendientes@" descr="@5C\QPendientes@">
          <a:extLst>
            <a:ext uri="{FF2B5EF4-FFF2-40B4-BE49-F238E27FC236}">
              <a16:creationId xmlns:a16="http://schemas.microsoft.com/office/drawing/2014/main" id="{64B7F821-76F3-47C3-9B56-90460934F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7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7461" name="Picture@5C\QPendientes@" descr="@5C\QPendientes@">
          <a:extLst>
            <a:ext uri="{FF2B5EF4-FFF2-40B4-BE49-F238E27FC236}">
              <a16:creationId xmlns:a16="http://schemas.microsoft.com/office/drawing/2014/main" id="{EA347FAA-116D-45EC-BF5A-C5D1EADB8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9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7462" name="Picture@5C\QPendientes@" descr="@5C\QPendientes@">
          <a:extLst>
            <a:ext uri="{FF2B5EF4-FFF2-40B4-BE49-F238E27FC236}">
              <a16:creationId xmlns:a16="http://schemas.microsoft.com/office/drawing/2014/main" id="{E67AEA3D-1394-45AA-8330-DF9258776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1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7463" name="Picture@5C\QPendientes@" descr="@5C\QPendientes@">
          <a:extLst>
            <a:ext uri="{FF2B5EF4-FFF2-40B4-BE49-F238E27FC236}">
              <a16:creationId xmlns:a16="http://schemas.microsoft.com/office/drawing/2014/main" id="{33ADB4FB-685C-48A2-818F-FA156BE44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7464" name="Picture@5C\QPendientes@" descr="@5C\QPendientes@">
          <a:extLst>
            <a:ext uri="{FF2B5EF4-FFF2-40B4-BE49-F238E27FC236}">
              <a16:creationId xmlns:a16="http://schemas.microsoft.com/office/drawing/2014/main" id="{E15F9CD7-A5A6-4770-850D-D94367D60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5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7465" name="Picture@5C\QPendientes@" descr="@5C\QPendientes@">
          <a:extLst>
            <a:ext uri="{FF2B5EF4-FFF2-40B4-BE49-F238E27FC236}">
              <a16:creationId xmlns:a16="http://schemas.microsoft.com/office/drawing/2014/main" id="{D32CBAAF-0E9B-43E8-8057-9F7994B77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7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7466" name="Picture@5C\QPendientes@" descr="@5C\QPendientes@">
          <a:extLst>
            <a:ext uri="{FF2B5EF4-FFF2-40B4-BE49-F238E27FC236}">
              <a16:creationId xmlns:a16="http://schemas.microsoft.com/office/drawing/2014/main" id="{67B1C071-4339-4AAC-BC02-6A4748D250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8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7467" name="Picture@5C\QPendientes@" descr="@5C\QPendientes@">
          <a:extLst>
            <a:ext uri="{FF2B5EF4-FFF2-40B4-BE49-F238E27FC236}">
              <a16:creationId xmlns:a16="http://schemas.microsoft.com/office/drawing/2014/main" id="{E40517C0-430F-4EE1-9EEE-6D9AD2F19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0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7468" name="Picture@5C\QPendientes@" descr="@5C\QPendientes@">
          <a:extLst>
            <a:ext uri="{FF2B5EF4-FFF2-40B4-BE49-F238E27FC236}">
              <a16:creationId xmlns:a16="http://schemas.microsoft.com/office/drawing/2014/main" id="{678FBAAA-5118-47CE-8CA0-D4CC1EFB2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2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7469" name="Picture@5C\QPendientes@" descr="@5C\QPendientes@">
          <a:extLst>
            <a:ext uri="{FF2B5EF4-FFF2-40B4-BE49-F238E27FC236}">
              <a16:creationId xmlns:a16="http://schemas.microsoft.com/office/drawing/2014/main" id="{3713E236-9D5C-4275-898A-D9A417B53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4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7470" name="Picture@5C\QPendientes@" descr="@5C\QPendientes@">
          <a:extLst>
            <a:ext uri="{FF2B5EF4-FFF2-40B4-BE49-F238E27FC236}">
              <a16:creationId xmlns:a16="http://schemas.microsoft.com/office/drawing/2014/main" id="{7F7241B2-25A1-495F-B904-3CFF833E0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6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7471" name="Picture@5C\QPendientes@" descr="@5C\QPendientes@">
          <a:extLst>
            <a:ext uri="{FF2B5EF4-FFF2-40B4-BE49-F238E27FC236}">
              <a16:creationId xmlns:a16="http://schemas.microsoft.com/office/drawing/2014/main" id="{83938587-9289-436E-B077-134897832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7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7472" name="Picture@5C\QPendientes@" descr="@5C\QPendientes@">
          <a:extLst>
            <a:ext uri="{FF2B5EF4-FFF2-40B4-BE49-F238E27FC236}">
              <a16:creationId xmlns:a16="http://schemas.microsoft.com/office/drawing/2014/main" id="{85741E05-01D4-4D94-8B8E-5A875C87F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9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7473" name="Picture@5C\QPendientes@" descr="@5C\QPendientes@">
          <a:extLst>
            <a:ext uri="{FF2B5EF4-FFF2-40B4-BE49-F238E27FC236}">
              <a16:creationId xmlns:a16="http://schemas.microsoft.com/office/drawing/2014/main" id="{8109D0C2-C585-495A-893D-5F181EC26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7474" name="Picture@5C\QPendientes@" descr="@5C\QPendientes@">
          <a:extLst>
            <a:ext uri="{FF2B5EF4-FFF2-40B4-BE49-F238E27FC236}">
              <a16:creationId xmlns:a16="http://schemas.microsoft.com/office/drawing/2014/main" id="{9C094D37-C1F5-44E4-8548-0666CC05F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3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7475" name="Picture@5C\QPendientes@" descr="@5C\QPendientes@">
          <a:extLst>
            <a:ext uri="{FF2B5EF4-FFF2-40B4-BE49-F238E27FC236}">
              <a16:creationId xmlns:a16="http://schemas.microsoft.com/office/drawing/2014/main" id="{00518947-932D-4B85-8D13-8F9D2B940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5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7476" name="Picture@5C\QPendientes@" descr="@5C\QPendientes@">
          <a:extLst>
            <a:ext uri="{FF2B5EF4-FFF2-40B4-BE49-F238E27FC236}">
              <a16:creationId xmlns:a16="http://schemas.microsoft.com/office/drawing/2014/main" id="{2C82C0D3-E5C2-4CA9-ADF9-939513915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7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7477" name="Picture@5C\QPendientes@" descr="@5C\QPendientes@">
          <a:extLst>
            <a:ext uri="{FF2B5EF4-FFF2-40B4-BE49-F238E27FC236}">
              <a16:creationId xmlns:a16="http://schemas.microsoft.com/office/drawing/2014/main" id="{26B1B051-45DF-44BB-9A61-5C3C08736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8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7478" name="Picture@5C\QPendientes@" descr="@5C\QPendientes@">
          <a:extLst>
            <a:ext uri="{FF2B5EF4-FFF2-40B4-BE49-F238E27FC236}">
              <a16:creationId xmlns:a16="http://schemas.microsoft.com/office/drawing/2014/main" id="{C678462A-C52A-4C15-82B0-775B4B962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0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7479" name="Picture@5C\QPendientes@" descr="@5C\QPendientes@">
          <a:extLst>
            <a:ext uri="{FF2B5EF4-FFF2-40B4-BE49-F238E27FC236}">
              <a16:creationId xmlns:a16="http://schemas.microsoft.com/office/drawing/2014/main" id="{EF24704C-3827-4C5F-A6A1-C1A135067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2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7480" name="Picture@5C\QPendientes@" descr="@5C\QPendientes@">
          <a:extLst>
            <a:ext uri="{FF2B5EF4-FFF2-40B4-BE49-F238E27FC236}">
              <a16:creationId xmlns:a16="http://schemas.microsoft.com/office/drawing/2014/main" id="{4AF9870C-2319-41B2-A436-F825A4E06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4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7481" name="Picture@5C\QPendientes@" descr="@5C\QPendientes@">
          <a:extLst>
            <a:ext uri="{FF2B5EF4-FFF2-40B4-BE49-F238E27FC236}">
              <a16:creationId xmlns:a16="http://schemas.microsoft.com/office/drawing/2014/main" id="{98101BC6-42DF-4F3B-BC4D-5D1CF1720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6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7482" name="Picture@5C\QPendientes@" descr="@5C\QPendientes@">
          <a:extLst>
            <a:ext uri="{FF2B5EF4-FFF2-40B4-BE49-F238E27FC236}">
              <a16:creationId xmlns:a16="http://schemas.microsoft.com/office/drawing/2014/main" id="{344CF561-2D21-462F-8C35-FE18EDD30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8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7483" name="Picture@5C\QPendientes@" descr="@5C\QPendientes@">
          <a:extLst>
            <a:ext uri="{FF2B5EF4-FFF2-40B4-BE49-F238E27FC236}">
              <a16:creationId xmlns:a16="http://schemas.microsoft.com/office/drawing/2014/main" id="{5B64DCD8-77E5-44EB-A01F-1BA834E9D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7484" name="Picture@5C\QPendientes@" descr="@5C\QPendientes@">
          <a:extLst>
            <a:ext uri="{FF2B5EF4-FFF2-40B4-BE49-F238E27FC236}">
              <a16:creationId xmlns:a16="http://schemas.microsoft.com/office/drawing/2014/main" id="{C4D57A55-4D54-4215-9EB2-F7EB7748A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1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7485" name="Picture@5C\QPendientes@" descr="@5C\QPendientes@">
          <a:extLst>
            <a:ext uri="{FF2B5EF4-FFF2-40B4-BE49-F238E27FC236}">
              <a16:creationId xmlns:a16="http://schemas.microsoft.com/office/drawing/2014/main" id="{B764D901-70DF-4DF9-9904-72D2131FE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3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7486" name="Picture@5C\QPendientes@" descr="@5C\QPendientes@">
          <a:extLst>
            <a:ext uri="{FF2B5EF4-FFF2-40B4-BE49-F238E27FC236}">
              <a16:creationId xmlns:a16="http://schemas.microsoft.com/office/drawing/2014/main" id="{58415BD0-CFA9-420A-9580-DA1AC2D9C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5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7487" name="Picture@5C\QPendientes@" descr="@5C\QPendientes@">
          <a:extLst>
            <a:ext uri="{FF2B5EF4-FFF2-40B4-BE49-F238E27FC236}">
              <a16:creationId xmlns:a16="http://schemas.microsoft.com/office/drawing/2014/main" id="{5BB69987-03F9-4AE6-8C7C-E9CE4104F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7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7488" name="Picture@5C\QPendientes@" descr="@5C\QPendientes@">
          <a:extLst>
            <a:ext uri="{FF2B5EF4-FFF2-40B4-BE49-F238E27FC236}">
              <a16:creationId xmlns:a16="http://schemas.microsoft.com/office/drawing/2014/main" id="{13E008CC-2EE6-4033-947F-242FFDADB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9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7489" name="Picture@5C\QPendientes@" descr="@5C\QPendientes@">
          <a:extLst>
            <a:ext uri="{FF2B5EF4-FFF2-40B4-BE49-F238E27FC236}">
              <a16:creationId xmlns:a16="http://schemas.microsoft.com/office/drawing/2014/main" id="{EBAE19C7-454E-4B2F-8326-2B724BE28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0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7490" name="Picture@5C\QPendientes@" descr="@5C\QPendientes@">
          <a:extLst>
            <a:ext uri="{FF2B5EF4-FFF2-40B4-BE49-F238E27FC236}">
              <a16:creationId xmlns:a16="http://schemas.microsoft.com/office/drawing/2014/main" id="{4CDF98DE-0425-4313-A657-230136E187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2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7491" name="Picture@5C\QPendientes@" descr="@5C\QPendientes@">
          <a:extLst>
            <a:ext uri="{FF2B5EF4-FFF2-40B4-BE49-F238E27FC236}">
              <a16:creationId xmlns:a16="http://schemas.microsoft.com/office/drawing/2014/main" id="{13220225-A4BE-43A4-8313-935FE037A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4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7492" name="Picture@5C\QPendientes@" descr="@5C\QPendientes@">
          <a:extLst>
            <a:ext uri="{FF2B5EF4-FFF2-40B4-BE49-F238E27FC236}">
              <a16:creationId xmlns:a16="http://schemas.microsoft.com/office/drawing/2014/main" id="{9A72D607-8C69-4658-B390-2E5E3C7F9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6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7493" name="Picture@5C\QPendientes@" descr="@5C\QPendientes@">
          <a:extLst>
            <a:ext uri="{FF2B5EF4-FFF2-40B4-BE49-F238E27FC236}">
              <a16:creationId xmlns:a16="http://schemas.microsoft.com/office/drawing/2014/main" id="{68257C01-4A98-479C-AB45-97CBC0AABA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7494" name="Picture@5C\QPendientes@" descr="@5C\QPendientes@">
          <a:extLst>
            <a:ext uri="{FF2B5EF4-FFF2-40B4-BE49-F238E27FC236}">
              <a16:creationId xmlns:a16="http://schemas.microsoft.com/office/drawing/2014/main" id="{C3719666-9093-498F-82AF-2C9E83D85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0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7495" name="Picture@5C\QPendientes@" descr="@5C\QPendientes@">
          <a:extLst>
            <a:ext uri="{FF2B5EF4-FFF2-40B4-BE49-F238E27FC236}">
              <a16:creationId xmlns:a16="http://schemas.microsoft.com/office/drawing/2014/main" id="{FEF00735-0967-4A48-9408-3F01E6AB3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1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7496" name="Picture@5C\QPendientes@" descr="@5C\QPendientes@">
          <a:extLst>
            <a:ext uri="{FF2B5EF4-FFF2-40B4-BE49-F238E27FC236}">
              <a16:creationId xmlns:a16="http://schemas.microsoft.com/office/drawing/2014/main" id="{EFFE53E1-FC6E-4C77-A14F-C09F1850F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3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7497" name="Picture@5C\QPendientes@" descr="@5C\QPendientes@">
          <a:extLst>
            <a:ext uri="{FF2B5EF4-FFF2-40B4-BE49-F238E27FC236}">
              <a16:creationId xmlns:a16="http://schemas.microsoft.com/office/drawing/2014/main" id="{D3FF60C0-5277-47CE-BFE8-EF8184BFD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5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7498" name="Picture@5C\QPendientes@" descr="@5C\QPendientes@">
          <a:extLst>
            <a:ext uri="{FF2B5EF4-FFF2-40B4-BE49-F238E27FC236}">
              <a16:creationId xmlns:a16="http://schemas.microsoft.com/office/drawing/2014/main" id="{E1367B13-33B1-4D89-9FF7-400857026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7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7499" name="Picture@5C\QPendientes@" descr="@5C\QPendientes@">
          <a:extLst>
            <a:ext uri="{FF2B5EF4-FFF2-40B4-BE49-F238E27FC236}">
              <a16:creationId xmlns:a16="http://schemas.microsoft.com/office/drawing/2014/main" id="{1708654A-3A45-4DB9-893F-BAE57DA97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9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7500" name="Picture@5C\QPendientes@" descr="@5C\QPendientes@">
          <a:extLst>
            <a:ext uri="{FF2B5EF4-FFF2-40B4-BE49-F238E27FC236}">
              <a16:creationId xmlns:a16="http://schemas.microsoft.com/office/drawing/2014/main" id="{A05C6461-D5BC-4503-87D7-9AAFE2895E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1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7501" name="Picture@5C\QPendientes@" descr="@5C\QPendientes@">
          <a:extLst>
            <a:ext uri="{FF2B5EF4-FFF2-40B4-BE49-F238E27FC236}">
              <a16:creationId xmlns:a16="http://schemas.microsoft.com/office/drawing/2014/main" id="{66ED6021-C475-4922-BF74-BDC1C2F39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2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7502" name="Picture@5C\QPendientes@" descr="@5C\QPendientes@">
          <a:extLst>
            <a:ext uri="{FF2B5EF4-FFF2-40B4-BE49-F238E27FC236}">
              <a16:creationId xmlns:a16="http://schemas.microsoft.com/office/drawing/2014/main" id="{438701A1-2E3C-4F2F-8FF3-6BB5F9DC6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4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7503" name="Picture@5C\QPendientes@" descr="@5C\QPendientes@">
          <a:extLst>
            <a:ext uri="{FF2B5EF4-FFF2-40B4-BE49-F238E27FC236}">
              <a16:creationId xmlns:a16="http://schemas.microsoft.com/office/drawing/2014/main" id="{27E4256B-23E4-40C4-A097-87C1B5085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7504" name="Picture@5C\QPendientes@" descr="@5C\QPendientes@">
          <a:extLst>
            <a:ext uri="{FF2B5EF4-FFF2-40B4-BE49-F238E27FC236}">
              <a16:creationId xmlns:a16="http://schemas.microsoft.com/office/drawing/2014/main" id="{AD9695E8-0E85-43EC-8288-CC2EE2C03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8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7505" name="Picture@5C\QPendientes@" descr="@5C\QPendientes@">
          <a:extLst>
            <a:ext uri="{FF2B5EF4-FFF2-40B4-BE49-F238E27FC236}">
              <a16:creationId xmlns:a16="http://schemas.microsoft.com/office/drawing/2014/main" id="{5AB134C8-BF23-47E3-9A14-48BD6CCD6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0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7506" name="Picture@5C\QPendientes@" descr="@5C\QPendientes@">
          <a:extLst>
            <a:ext uri="{FF2B5EF4-FFF2-40B4-BE49-F238E27FC236}">
              <a16:creationId xmlns:a16="http://schemas.microsoft.com/office/drawing/2014/main" id="{BCAEF335-B959-4AF7-8777-D09DBB794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1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7507" name="Picture@5C\QPendientes@" descr="@5C\QPendientes@">
          <a:extLst>
            <a:ext uri="{FF2B5EF4-FFF2-40B4-BE49-F238E27FC236}">
              <a16:creationId xmlns:a16="http://schemas.microsoft.com/office/drawing/2014/main" id="{FAA7AC33-F18C-46BD-9E8B-170180F18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3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7508" name="Picture@5C\QPendientes@" descr="@5C\QPendientes@">
          <a:extLst>
            <a:ext uri="{FF2B5EF4-FFF2-40B4-BE49-F238E27FC236}">
              <a16:creationId xmlns:a16="http://schemas.microsoft.com/office/drawing/2014/main" id="{AF9639D0-34BF-4297-A9E3-83FA1EB43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5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7509" name="Picture@5C\QPendientes@" descr="@5C\QPendientes@">
          <a:extLst>
            <a:ext uri="{FF2B5EF4-FFF2-40B4-BE49-F238E27FC236}">
              <a16:creationId xmlns:a16="http://schemas.microsoft.com/office/drawing/2014/main" id="{80797DE3-97F0-45FD-AE9F-1978F2A56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7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7510" name="Picture@5C\QPendientes@" descr="@5C\QPendientes@">
          <a:extLst>
            <a:ext uri="{FF2B5EF4-FFF2-40B4-BE49-F238E27FC236}">
              <a16:creationId xmlns:a16="http://schemas.microsoft.com/office/drawing/2014/main" id="{C9E359CC-FB03-4ADE-8E0A-380937303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9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7511" name="Picture@5C\QPendientes@" descr="@5C\QPendientes@">
          <a:extLst>
            <a:ext uri="{FF2B5EF4-FFF2-40B4-BE49-F238E27FC236}">
              <a16:creationId xmlns:a16="http://schemas.microsoft.com/office/drawing/2014/main" id="{B8FC7ACA-E541-40C4-8AAD-A1F561277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1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7512" name="Picture@5C\QPendientes@" descr="@5C\QPendientes@">
          <a:extLst>
            <a:ext uri="{FF2B5EF4-FFF2-40B4-BE49-F238E27FC236}">
              <a16:creationId xmlns:a16="http://schemas.microsoft.com/office/drawing/2014/main" id="{4ACA611E-364A-4595-BFE6-4928B57478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2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7513" name="Picture@5C\QPendientes@" descr="@5C\QPendientes@">
          <a:extLst>
            <a:ext uri="{FF2B5EF4-FFF2-40B4-BE49-F238E27FC236}">
              <a16:creationId xmlns:a16="http://schemas.microsoft.com/office/drawing/2014/main" id="{7EBCCF24-9854-4FA7-87C9-09EA5EE46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7514" name="Picture@5C\QPendientes@" descr="@5C\QPendientes@">
          <a:extLst>
            <a:ext uri="{FF2B5EF4-FFF2-40B4-BE49-F238E27FC236}">
              <a16:creationId xmlns:a16="http://schemas.microsoft.com/office/drawing/2014/main" id="{4EDDFEE7-C84C-441F-B2ED-5EAEC8A29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6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7515" name="Picture@5C\QPendientes@" descr="@5C\QPendientes@">
          <a:extLst>
            <a:ext uri="{FF2B5EF4-FFF2-40B4-BE49-F238E27FC236}">
              <a16:creationId xmlns:a16="http://schemas.microsoft.com/office/drawing/2014/main" id="{B4AA098E-1FA7-4D23-A4A2-E59580FE4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8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7516" name="Picture@5C\QPendientes@" descr="@5C\QPendientes@">
          <a:extLst>
            <a:ext uri="{FF2B5EF4-FFF2-40B4-BE49-F238E27FC236}">
              <a16:creationId xmlns:a16="http://schemas.microsoft.com/office/drawing/2014/main" id="{FF65D2F3-77F7-4BCD-A1E3-E2484CAA2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0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7517" name="Picture@5C\QPendientes@" descr="@5C\QPendientes@">
          <a:extLst>
            <a:ext uri="{FF2B5EF4-FFF2-40B4-BE49-F238E27FC236}">
              <a16:creationId xmlns:a16="http://schemas.microsoft.com/office/drawing/2014/main" id="{7ED4EFE5-7867-437F-9E9B-0941E17F9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2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7518" name="Picture@5C\QPendientes@" descr="@5C\QPendientes@">
          <a:extLst>
            <a:ext uri="{FF2B5EF4-FFF2-40B4-BE49-F238E27FC236}">
              <a16:creationId xmlns:a16="http://schemas.microsoft.com/office/drawing/2014/main" id="{F91B90D3-1615-49BF-A36A-EC3066B17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3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7519" name="Picture@5C\QPendientes@" descr="@5C\QPendientes@">
          <a:extLst>
            <a:ext uri="{FF2B5EF4-FFF2-40B4-BE49-F238E27FC236}">
              <a16:creationId xmlns:a16="http://schemas.microsoft.com/office/drawing/2014/main" id="{C0050AAB-2E5B-43F0-850C-63442F267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5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7520" name="Picture@5C\QPendientes@" descr="@5C\QPendientes@">
          <a:extLst>
            <a:ext uri="{FF2B5EF4-FFF2-40B4-BE49-F238E27FC236}">
              <a16:creationId xmlns:a16="http://schemas.microsoft.com/office/drawing/2014/main" id="{140CCE49-A39F-45B7-8C8A-FCFBFB85B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7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7521" name="Picture@5C\QPendientes@" descr="@5C\QPendientes@">
          <a:extLst>
            <a:ext uri="{FF2B5EF4-FFF2-40B4-BE49-F238E27FC236}">
              <a16:creationId xmlns:a16="http://schemas.microsoft.com/office/drawing/2014/main" id="{4966EC4B-DC62-4C18-B32D-907690A31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9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7522" name="Picture@5C\QPendientes@" descr="@5C\QPendientes@">
          <a:extLst>
            <a:ext uri="{FF2B5EF4-FFF2-40B4-BE49-F238E27FC236}">
              <a16:creationId xmlns:a16="http://schemas.microsoft.com/office/drawing/2014/main" id="{D6507322-A2AD-489F-8CF5-42CAC2B00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1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7523" name="Picture@5C\QPendientes@" descr="@5C\QPendientes@">
          <a:extLst>
            <a:ext uri="{FF2B5EF4-FFF2-40B4-BE49-F238E27FC236}">
              <a16:creationId xmlns:a16="http://schemas.microsoft.com/office/drawing/2014/main" id="{70FA5D67-5A62-47B0-A1A9-9A85DF08B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7524" name="Picture@5C\QPendientes@" descr="@5C\QPendientes@">
          <a:extLst>
            <a:ext uri="{FF2B5EF4-FFF2-40B4-BE49-F238E27FC236}">
              <a16:creationId xmlns:a16="http://schemas.microsoft.com/office/drawing/2014/main" id="{D16F6467-0100-4F04-B248-691F552CC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4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7525" name="Picture@5C\QPendientes@" descr="@5C\QPendientes@">
          <a:extLst>
            <a:ext uri="{FF2B5EF4-FFF2-40B4-BE49-F238E27FC236}">
              <a16:creationId xmlns:a16="http://schemas.microsoft.com/office/drawing/2014/main" id="{985ACEF9-0F42-4B4A-A1D7-8C0C68DCF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6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7526" name="Picture@5C\QPendientes@" descr="@5C\QPendientes@">
          <a:extLst>
            <a:ext uri="{FF2B5EF4-FFF2-40B4-BE49-F238E27FC236}">
              <a16:creationId xmlns:a16="http://schemas.microsoft.com/office/drawing/2014/main" id="{4D6F317D-D3D1-4C7B-9F3A-223FE78CE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8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7527" name="Picture@5C\QPendientes@" descr="@5C\QPendientes@">
          <a:extLst>
            <a:ext uri="{FF2B5EF4-FFF2-40B4-BE49-F238E27FC236}">
              <a16:creationId xmlns:a16="http://schemas.microsoft.com/office/drawing/2014/main" id="{F9E76819-B799-4A09-ADCB-8415B9B33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0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7528" name="Picture@5C\QPendientes@" descr="@5C\QPendientes@">
          <a:extLst>
            <a:ext uri="{FF2B5EF4-FFF2-40B4-BE49-F238E27FC236}">
              <a16:creationId xmlns:a16="http://schemas.microsoft.com/office/drawing/2014/main" id="{D75BA12A-0C61-486A-95B3-8B4C84EF7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2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7529" name="Picture@5C\QPendientes@" descr="@5C\QPendientes@">
          <a:extLst>
            <a:ext uri="{FF2B5EF4-FFF2-40B4-BE49-F238E27FC236}">
              <a16:creationId xmlns:a16="http://schemas.microsoft.com/office/drawing/2014/main" id="{D7FCF649-8D88-4818-9259-0DB484509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4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7530" name="Picture@5C\QPendientes@" descr="@5C\QPendientes@">
          <a:extLst>
            <a:ext uri="{FF2B5EF4-FFF2-40B4-BE49-F238E27FC236}">
              <a16:creationId xmlns:a16="http://schemas.microsoft.com/office/drawing/2014/main" id="{C8658F2A-08ED-45B5-B956-C48B39260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5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7531" name="Picture@5C\QPendientes@" descr="@5C\QPendientes@">
          <a:extLst>
            <a:ext uri="{FF2B5EF4-FFF2-40B4-BE49-F238E27FC236}">
              <a16:creationId xmlns:a16="http://schemas.microsoft.com/office/drawing/2014/main" id="{DBBF73E2-27FA-47C3-842C-1396A96B2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7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7532" name="Picture@5C\QPendientes@" descr="@5C\QPendientes@">
          <a:extLst>
            <a:ext uri="{FF2B5EF4-FFF2-40B4-BE49-F238E27FC236}">
              <a16:creationId xmlns:a16="http://schemas.microsoft.com/office/drawing/2014/main" id="{B9E8A56B-41EB-43FF-8811-271130805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9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7533" name="Picture@5C\QPendientes@" descr="@5C\QPendientes@">
          <a:extLst>
            <a:ext uri="{FF2B5EF4-FFF2-40B4-BE49-F238E27FC236}">
              <a16:creationId xmlns:a16="http://schemas.microsoft.com/office/drawing/2014/main" id="{98C7DBB2-59B9-42E2-AA2A-182C131FC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7534" name="Picture@5C\QPendientes@" descr="@5C\QPendientes@">
          <a:extLst>
            <a:ext uri="{FF2B5EF4-FFF2-40B4-BE49-F238E27FC236}">
              <a16:creationId xmlns:a16="http://schemas.microsoft.com/office/drawing/2014/main" id="{810360EF-D1FD-49A9-A84C-42B38C8E1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3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7535" name="Picture@5C\QPendientes@" descr="@5C\QPendientes@">
          <a:extLst>
            <a:ext uri="{FF2B5EF4-FFF2-40B4-BE49-F238E27FC236}">
              <a16:creationId xmlns:a16="http://schemas.microsoft.com/office/drawing/2014/main" id="{66FD04FC-8025-415B-9390-DA23C4B9C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5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7536" name="Picture@5C\QPendientes@" descr="@5C\QPendientes@">
          <a:extLst>
            <a:ext uri="{FF2B5EF4-FFF2-40B4-BE49-F238E27FC236}">
              <a16:creationId xmlns:a16="http://schemas.microsoft.com/office/drawing/2014/main" id="{A5022B20-91E6-482E-8EB3-4FDD8AF9D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6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7537" name="Picture@5C\QPendientes@" descr="@5C\QPendientes@">
          <a:extLst>
            <a:ext uri="{FF2B5EF4-FFF2-40B4-BE49-F238E27FC236}">
              <a16:creationId xmlns:a16="http://schemas.microsoft.com/office/drawing/2014/main" id="{9A5BBB54-CD61-46B5-8BBB-5CB8E675D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8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7538" name="Picture@5C\QPendientes@" descr="@5C\QPendientes@">
          <a:extLst>
            <a:ext uri="{FF2B5EF4-FFF2-40B4-BE49-F238E27FC236}">
              <a16:creationId xmlns:a16="http://schemas.microsoft.com/office/drawing/2014/main" id="{648455F0-F06B-4871-B91D-34106D3BD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0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7539" name="Picture@5C\QPendientes@" descr="@5C\QPendientes@">
          <a:extLst>
            <a:ext uri="{FF2B5EF4-FFF2-40B4-BE49-F238E27FC236}">
              <a16:creationId xmlns:a16="http://schemas.microsoft.com/office/drawing/2014/main" id="{F9FD30D6-4EA1-47C1-AABE-E2AA0AC0C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2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7540" name="Picture@5C\QPendientes@" descr="@5C\QPendientes@">
          <a:extLst>
            <a:ext uri="{FF2B5EF4-FFF2-40B4-BE49-F238E27FC236}">
              <a16:creationId xmlns:a16="http://schemas.microsoft.com/office/drawing/2014/main" id="{5876F93F-C259-4B5B-8F5A-1CEBAF7D2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4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7541" name="Picture@5C\QPendientes@" descr="@5C\QPendientes@">
          <a:extLst>
            <a:ext uri="{FF2B5EF4-FFF2-40B4-BE49-F238E27FC236}">
              <a16:creationId xmlns:a16="http://schemas.microsoft.com/office/drawing/2014/main" id="{52C6B7D9-3EBD-4842-A057-F30CCFBFB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6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7542" name="Picture@5C\QPendientes@" descr="@5C\QPendientes@">
          <a:extLst>
            <a:ext uri="{FF2B5EF4-FFF2-40B4-BE49-F238E27FC236}">
              <a16:creationId xmlns:a16="http://schemas.microsoft.com/office/drawing/2014/main" id="{538FC6ED-9522-448F-A6F3-1E6B360DB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7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7543" name="Picture@5C\QPendientes@" descr="@5C\QPendientes@">
          <a:extLst>
            <a:ext uri="{FF2B5EF4-FFF2-40B4-BE49-F238E27FC236}">
              <a16:creationId xmlns:a16="http://schemas.microsoft.com/office/drawing/2014/main" id="{F0A45A60-B235-455F-90D0-3981596B3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7544" name="Picture@5C\QPendientes@" descr="@5C\QPendientes@">
          <a:extLst>
            <a:ext uri="{FF2B5EF4-FFF2-40B4-BE49-F238E27FC236}">
              <a16:creationId xmlns:a16="http://schemas.microsoft.com/office/drawing/2014/main" id="{A8DB06B8-4AF5-4939-AA46-2E98C6797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1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7545" name="Picture@5C\QPendientes@" descr="@5C\QPendientes@">
          <a:extLst>
            <a:ext uri="{FF2B5EF4-FFF2-40B4-BE49-F238E27FC236}">
              <a16:creationId xmlns:a16="http://schemas.microsoft.com/office/drawing/2014/main" id="{6BC661FB-8D9C-41CC-92C9-2FA9C3E28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3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7546" name="Picture@5C\QPendientes@" descr="@5C\QPendientes@">
          <a:extLst>
            <a:ext uri="{FF2B5EF4-FFF2-40B4-BE49-F238E27FC236}">
              <a16:creationId xmlns:a16="http://schemas.microsoft.com/office/drawing/2014/main" id="{B64BE61B-22B2-416D-AE7E-200866CAB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5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7547" name="Picture@5C\QPendientes@" descr="@5C\QPendientes@">
          <a:extLst>
            <a:ext uri="{FF2B5EF4-FFF2-40B4-BE49-F238E27FC236}">
              <a16:creationId xmlns:a16="http://schemas.microsoft.com/office/drawing/2014/main" id="{7FEC5CFC-9009-4893-A3A4-D07411952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6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7548" name="Picture@5C\QPendientes@" descr="@5C\QPendientes@">
          <a:extLst>
            <a:ext uri="{FF2B5EF4-FFF2-40B4-BE49-F238E27FC236}">
              <a16:creationId xmlns:a16="http://schemas.microsoft.com/office/drawing/2014/main" id="{12651AE5-769C-4584-B5D5-82E85A806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8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7549" name="Picture@5C\QPendientes@" descr="@5C\QPendientes@">
          <a:extLst>
            <a:ext uri="{FF2B5EF4-FFF2-40B4-BE49-F238E27FC236}">
              <a16:creationId xmlns:a16="http://schemas.microsoft.com/office/drawing/2014/main" id="{51E0C3F7-3EEE-470F-8DAC-5B85EEB9B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0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7550" name="Picture@5C\QPendientes@" descr="@5C\QPendientes@">
          <a:extLst>
            <a:ext uri="{FF2B5EF4-FFF2-40B4-BE49-F238E27FC236}">
              <a16:creationId xmlns:a16="http://schemas.microsoft.com/office/drawing/2014/main" id="{44DA667F-5FAB-4DFD-BC7C-7A11D76F6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2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7551" name="Picture@5C\QPendientes@" descr="@5C\QPendientes@">
          <a:extLst>
            <a:ext uri="{FF2B5EF4-FFF2-40B4-BE49-F238E27FC236}">
              <a16:creationId xmlns:a16="http://schemas.microsoft.com/office/drawing/2014/main" id="{04D427E8-B931-4C22-B125-7A5838736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4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7552" name="Picture@5C\QPendientes@" descr="@5C\QPendientes@">
          <a:extLst>
            <a:ext uri="{FF2B5EF4-FFF2-40B4-BE49-F238E27FC236}">
              <a16:creationId xmlns:a16="http://schemas.microsoft.com/office/drawing/2014/main" id="{A775B755-2849-4E09-A0C6-1443A6FA1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6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7553" name="Picture@5C\QPendientes@" descr="@5C\QPendientes@">
          <a:extLst>
            <a:ext uri="{FF2B5EF4-FFF2-40B4-BE49-F238E27FC236}">
              <a16:creationId xmlns:a16="http://schemas.microsoft.com/office/drawing/2014/main" id="{FFB92CA4-D3C2-4C1E-8C21-5AE8CDE79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7554" name="Picture@5C\QPendientes@" descr="@5C\QPendientes@">
          <a:extLst>
            <a:ext uri="{FF2B5EF4-FFF2-40B4-BE49-F238E27FC236}">
              <a16:creationId xmlns:a16="http://schemas.microsoft.com/office/drawing/2014/main" id="{19311F30-C904-4348-8E45-2A840439B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9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7555" name="Picture@5C\QPendientes@" descr="@5C\QPendientes@">
          <a:extLst>
            <a:ext uri="{FF2B5EF4-FFF2-40B4-BE49-F238E27FC236}">
              <a16:creationId xmlns:a16="http://schemas.microsoft.com/office/drawing/2014/main" id="{4820F3CE-94CD-4D29-A0A7-21130706C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1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7556" name="Picture@5C\QPendientes@" descr="@5C\QPendientes@">
          <a:extLst>
            <a:ext uri="{FF2B5EF4-FFF2-40B4-BE49-F238E27FC236}">
              <a16:creationId xmlns:a16="http://schemas.microsoft.com/office/drawing/2014/main" id="{FF5DB266-B769-4749-8019-5ABABDC7E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3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7557" name="Picture@5C\QPendientes@" descr="@5C\QPendientes@">
          <a:extLst>
            <a:ext uri="{FF2B5EF4-FFF2-40B4-BE49-F238E27FC236}">
              <a16:creationId xmlns:a16="http://schemas.microsoft.com/office/drawing/2014/main" id="{798161D6-B2A3-4134-8BF3-8C0FAE852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5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7558" name="Picture@5C\QPendientes@" descr="@5C\QPendientes@">
          <a:extLst>
            <a:ext uri="{FF2B5EF4-FFF2-40B4-BE49-F238E27FC236}">
              <a16:creationId xmlns:a16="http://schemas.microsoft.com/office/drawing/2014/main" id="{42AC469C-DA17-4FF3-9270-44E63EC77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7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7559" name="Picture@5C\QPendientes@" descr="@5C\QPendientes@">
          <a:extLst>
            <a:ext uri="{FF2B5EF4-FFF2-40B4-BE49-F238E27FC236}">
              <a16:creationId xmlns:a16="http://schemas.microsoft.com/office/drawing/2014/main" id="{8FA8C98A-0BE4-410F-B1BC-D3B4F74BE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8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7560" name="Picture@5C\QPendientes@" descr="@5C\QPendientes@">
          <a:extLst>
            <a:ext uri="{FF2B5EF4-FFF2-40B4-BE49-F238E27FC236}">
              <a16:creationId xmlns:a16="http://schemas.microsoft.com/office/drawing/2014/main" id="{93F2A9B4-6B9A-44F8-9487-8A59F4C5C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0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7561" name="Picture@5C\QPendientes@" descr="@5C\QPendientes@">
          <a:extLst>
            <a:ext uri="{FF2B5EF4-FFF2-40B4-BE49-F238E27FC236}">
              <a16:creationId xmlns:a16="http://schemas.microsoft.com/office/drawing/2014/main" id="{02B9FD69-3259-4247-B445-C620E467E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2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7562" name="Picture@5C\QPendientes@" descr="@5C\QPendientes@">
          <a:extLst>
            <a:ext uri="{FF2B5EF4-FFF2-40B4-BE49-F238E27FC236}">
              <a16:creationId xmlns:a16="http://schemas.microsoft.com/office/drawing/2014/main" id="{54448B09-B19A-43CB-8675-F8231A07A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4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7563" name="Picture@5C\QPendientes@" descr="@5C\QPendientes@">
          <a:extLst>
            <a:ext uri="{FF2B5EF4-FFF2-40B4-BE49-F238E27FC236}">
              <a16:creationId xmlns:a16="http://schemas.microsoft.com/office/drawing/2014/main" id="{BCE42212-6A1E-4E71-99B0-BB79581C9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7564" name="Picture@5C\QPendientes@" descr="@5C\QPendientes@">
          <a:extLst>
            <a:ext uri="{FF2B5EF4-FFF2-40B4-BE49-F238E27FC236}">
              <a16:creationId xmlns:a16="http://schemas.microsoft.com/office/drawing/2014/main" id="{46807066-C087-4A7D-AC1C-634F5AC2F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8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7565" name="Picture@5C\QPendientes@" descr="@5C\QPendientes@">
          <a:extLst>
            <a:ext uri="{FF2B5EF4-FFF2-40B4-BE49-F238E27FC236}">
              <a16:creationId xmlns:a16="http://schemas.microsoft.com/office/drawing/2014/main" id="{CFFD176A-43E4-4F2F-A0E8-857206E68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9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7566" name="Picture@5C\QPendientes@" descr="@5C\QPendientes@">
          <a:extLst>
            <a:ext uri="{FF2B5EF4-FFF2-40B4-BE49-F238E27FC236}">
              <a16:creationId xmlns:a16="http://schemas.microsoft.com/office/drawing/2014/main" id="{A0741A9D-6997-4CEA-BF77-1BFC05E4B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1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7567" name="Picture@5C\QPendientes@" descr="@5C\QPendientes@">
          <a:extLst>
            <a:ext uri="{FF2B5EF4-FFF2-40B4-BE49-F238E27FC236}">
              <a16:creationId xmlns:a16="http://schemas.microsoft.com/office/drawing/2014/main" id="{69C265D6-4B70-44BF-9B2E-A87DA87DA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3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7568" name="Picture@5C\QPendientes@" descr="@5C\QPendientes@">
          <a:extLst>
            <a:ext uri="{FF2B5EF4-FFF2-40B4-BE49-F238E27FC236}">
              <a16:creationId xmlns:a16="http://schemas.microsoft.com/office/drawing/2014/main" id="{37DA7C68-06CF-43A9-B494-F8F633655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5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7569" name="Picture@5C\QPendientes@" descr="@5C\QPendientes@">
          <a:extLst>
            <a:ext uri="{FF2B5EF4-FFF2-40B4-BE49-F238E27FC236}">
              <a16:creationId xmlns:a16="http://schemas.microsoft.com/office/drawing/2014/main" id="{80D4400C-58F7-439B-B739-365856088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7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7570" name="Picture@5C\QPendientes@" descr="@5C\QPendientes@">
          <a:extLst>
            <a:ext uri="{FF2B5EF4-FFF2-40B4-BE49-F238E27FC236}">
              <a16:creationId xmlns:a16="http://schemas.microsoft.com/office/drawing/2014/main" id="{77676DEA-B701-43B8-8163-FF06C931E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9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7571" name="Picture@5C\QPendientes@" descr="@5C\QPendientes@">
          <a:extLst>
            <a:ext uri="{FF2B5EF4-FFF2-40B4-BE49-F238E27FC236}">
              <a16:creationId xmlns:a16="http://schemas.microsoft.com/office/drawing/2014/main" id="{ED5ECDD1-6AEB-4DD0-BC7E-C6EB373A87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0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7572" name="Picture@5C\QPendientes@" descr="@5C\QPendientes@">
          <a:extLst>
            <a:ext uri="{FF2B5EF4-FFF2-40B4-BE49-F238E27FC236}">
              <a16:creationId xmlns:a16="http://schemas.microsoft.com/office/drawing/2014/main" id="{D3B5DD51-64FB-4683-BE26-4059C74F7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2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7573" name="Picture@5C\QPendientes@" descr="@5C\QPendientes@">
          <a:extLst>
            <a:ext uri="{FF2B5EF4-FFF2-40B4-BE49-F238E27FC236}">
              <a16:creationId xmlns:a16="http://schemas.microsoft.com/office/drawing/2014/main" id="{402A9E74-FA42-490D-AF59-43E001016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7574" name="Picture@5C\QPendientes@" descr="@5C\QPendientes@">
          <a:extLst>
            <a:ext uri="{FF2B5EF4-FFF2-40B4-BE49-F238E27FC236}">
              <a16:creationId xmlns:a16="http://schemas.microsoft.com/office/drawing/2014/main" id="{FE5A766A-AC57-4348-9964-00344F817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6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7575" name="Picture@5C\QPendientes@" descr="@5C\QPendientes@">
          <a:extLst>
            <a:ext uri="{FF2B5EF4-FFF2-40B4-BE49-F238E27FC236}">
              <a16:creationId xmlns:a16="http://schemas.microsoft.com/office/drawing/2014/main" id="{9DFD1C25-2C03-4F3A-8416-DFFEDD8DCE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8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7576" name="Picture@5C\QPendientes@" descr="@5C\QPendientes@">
          <a:extLst>
            <a:ext uri="{FF2B5EF4-FFF2-40B4-BE49-F238E27FC236}">
              <a16:creationId xmlns:a16="http://schemas.microsoft.com/office/drawing/2014/main" id="{66D39894-FDD3-4DBD-9135-C3028B329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0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7577" name="Picture@5C\QPendientes@" descr="@5C\QPendientes@">
          <a:extLst>
            <a:ext uri="{FF2B5EF4-FFF2-40B4-BE49-F238E27FC236}">
              <a16:creationId xmlns:a16="http://schemas.microsoft.com/office/drawing/2014/main" id="{0AC18328-6FB9-4E73-8687-FA7ED567D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1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7578" name="Picture@5C\QPendientes@" descr="@5C\QPendientes@">
          <a:extLst>
            <a:ext uri="{FF2B5EF4-FFF2-40B4-BE49-F238E27FC236}">
              <a16:creationId xmlns:a16="http://schemas.microsoft.com/office/drawing/2014/main" id="{9FB5B2BA-BB0A-4D9E-B7ED-FAEFAA5BE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3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7579" name="Picture@5C\QPendientes@" descr="@5C\QPendientes@">
          <a:extLst>
            <a:ext uri="{FF2B5EF4-FFF2-40B4-BE49-F238E27FC236}">
              <a16:creationId xmlns:a16="http://schemas.microsoft.com/office/drawing/2014/main" id="{FF88DD4E-221D-4181-89C2-6E1F4175E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5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7580" name="Picture@5C\QPendientes@" descr="@5C\QPendientes@">
          <a:extLst>
            <a:ext uri="{FF2B5EF4-FFF2-40B4-BE49-F238E27FC236}">
              <a16:creationId xmlns:a16="http://schemas.microsoft.com/office/drawing/2014/main" id="{3F8585FC-F9B5-4F33-B4A9-5D67CB0FA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7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7581" name="Picture@5C\QPendientes@" descr="@5C\QPendientes@">
          <a:extLst>
            <a:ext uri="{FF2B5EF4-FFF2-40B4-BE49-F238E27FC236}">
              <a16:creationId xmlns:a16="http://schemas.microsoft.com/office/drawing/2014/main" id="{E927C08C-CAE6-456B-BAA2-5B5D8CB6B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9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7582" name="Picture@5C\QPendientes@" descr="@5C\QPendientes@">
          <a:extLst>
            <a:ext uri="{FF2B5EF4-FFF2-40B4-BE49-F238E27FC236}">
              <a16:creationId xmlns:a16="http://schemas.microsoft.com/office/drawing/2014/main" id="{9A36974F-8AEB-4DB2-B741-CD471EBE4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0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7583" name="Picture@5C\QPendientes@" descr="@5C\QPendientes@">
          <a:extLst>
            <a:ext uri="{FF2B5EF4-FFF2-40B4-BE49-F238E27FC236}">
              <a16:creationId xmlns:a16="http://schemas.microsoft.com/office/drawing/2014/main" id="{35D4C469-E33A-4237-81E4-1747BAEA0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7584" name="Picture@5C\QPendientes@" descr="@5C\QPendientes@">
          <a:extLst>
            <a:ext uri="{FF2B5EF4-FFF2-40B4-BE49-F238E27FC236}">
              <a16:creationId xmlns:a16="http://schemas.microsoft.com/office/drawing/2014/main" id="{88F6D553-4181-4F0B-B071-9166AF6E5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4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7585" name="Picture@5C\QPendientes@" descr="@5C\QPendientes@">
          <a:extLst>
            <a:ext uri="{FF2B5EF4-FFF2-40B4-BE49-F238E27FC236}">
              <a16:creationId xmlns:a16="http://schemas.microsoft.com/office/drawing/2014/main" id="{36399B39-6B4D-4F70-9881-E1F86340D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6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7586" name="Picture@5C\QPendientes@" descr="@5C\QPendientes@">
          <a:extLst>
            <a:ext uri="{FF2B5EF4-FFF2-40B4-BE49-F238E27FC236}">
              <a16:creationId xmlns:a16="http://schemas.microsoft.com/office/drawing/2014/main" id="{65E3CAA7-EFAB-4B53-91FA-C5268C2BE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8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7587" name="Picture@5C\QPendientes@" descr="@5C\QPendientes@">
          <a:extLst>
            <a:ext uri="{FF2B5EF4-FFF2-40B4-BE49-F238E27FC236}">
              <a16:creationId xmlns:a16="http://schemas.microsoft.com/office/drawing/2014/main" id="{D6C29A22-2074-4873-A57A-A86E57E2F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0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7588" name="Picture@5C\QPendientes@" descr="@5C\QPendientes@">
          <a:extLst>
            <a:ext uri="{FF2B5EF4-FFF2-40B4-BE49-F238E27FC236}">
              <a16:creationId xmlns:a16="http://schemas.microsoft.com/office/drawing/2014/main" id="{3E2D2F5C-76FD-407E-89AC-E075334D2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1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7589" name="Picture@5C\QPendientes@" descr="@5C\QPendientes@">
          <a:extLst>
            <a:ext uri="{FF2B5EF4-FFF2-40B4-BE49-F238E27FC236}">
              <a16:creationId xmlns:a16="http://schemas.microsoft.com/office/drawing/2014/main" id="{73E8B3FD-B448-489E-B1DC-32F719FB3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3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7590" name="Picture@5C\QPendientes@" descr="@5C\QPendientes@">
          <a:extLst>
            <a:ext uri="{FF2B5EF4-FFF2-40B4-BE49-F238E27FC236}">
              <a16:creationId xmlns:a16="http://schemas.microsoft.com/office/drawing/2014/main" id="{1BAE7FDB-136E-45A2-BF96-4BEB08327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5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7591" name="Picture@5C\QPendientes@" descr="@5C\QPendientes@">
          <a:extLst>
            <a:ext uri="{FF2B5EF4-FFF2-40B4-BE49-F238E27FC236}">
              <a16:creationId xmlns:a16="http://schemas.microsoft.com/office/drawing/2014/main" id="{F5D16B47-4E62-4A53-9773-8398C26E3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7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7592" name="Picture@5C\QPendientes@" descr="@5C\QPendientes@">
          <a:extLst>
            <a:ext uri="{FF2B5EF4-FFF2-40B4-BE49-F238E27FC236}">
              <a16:creationId xmlns:a16="http://schemas.microsoft.com/office/drawing/2014/main" id="{DC6E5CB0-5EE7-49A0-A124-F4E70EBDA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9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7593" name="Picture@5C\QPendientes@" descr="@5C\QPendientes@">
          <a:extLst>
            <a:ext uri="{FF2B5EF4-FFF2-40B4-BE49-F238E27FC236}">
              <a16:creationId xmlns:a16="http://schemas.microsoft.com/office/drawing/2014/main" id="{984E2929-4448-4C63-A17B-839D48838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7594" name="Picture@5C\QPendientes@" descr="@5C\QPendientes@">
          <a:extLst>
            <a:ext uri="{FF2B5EF4-FFF2-40B4-BE49-F238E27FC236}">
              <a16:creationId xmlns:a16="http://schemas.microsoft.com/office/drawing/2014/main" id="{8D2465F4-C169-463F-BE2B-11A59A162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2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7595" name="Picture@5C\QPendientes@" descr="@5C\QPendientes@">
          <a:extLst>
            <a:ext uri="{FF2B5EF4-FFF2-40B4-BE49-F238E27FC236}">
              <a16:creationId xmlns:a16="http://schemas.microsoft.com/office/drawing/2014/main" id="{8BA7618E-3543-4A83-8F52-8E83BDCE4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4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7596" name="Picture@5C\QPendientes@" descr="@5C\QPendientes@">
          <a:extLst>
            <a:ext uri="{FF2B5EF4-FFF2-40B4-BE49-F238E27FC236}">
              <a16:creationId xmlns:a16="http://schemas.microsoft.com/office/drawing/2014/main" id="{E02C68DE-5235-4185-B2F3-D4A4E2ACF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6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7597" name="Picture@5C\QPendientes@" descr="@5C\QPendientes@">
          <a:extLst>
            <a:ext uri="{FF2B5EF4-FFF2-40B4-BE49-F238E27FC236}">
              <a16:creationId xmlns:a16="http://schemas.microsoft.com/office/drawing/2014/main" id="{968F7E48-805A-49C6-B07A-803042977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8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7598" name="Picture@5C\QPendientes@" descr="@5C\QPendientes@">
          <a:extLst>
            <a:ext uri="{FF2B5EF4-FFF2-40B4-BE49-F238E27FC236}">
              <a16:creationId xmlns:a16="http://schemas.microsoft.com/office/drawing/2014/main" id="{04F72A12-13E0-43E3-9750-94EF5AD8C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0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7599" name="Picture@5C\QPendientes@" descr="@5C\QPendientes@">
          <a:extLst>
            <a:ext uri="{FF2B5EF4-FFF2-40B4-BE49-F238E27FC236}">
              <a16:creationId xmlns:a16="http://schemas.microsoft.com/office/drawing/2014/main" id="{48154F40-EF68-43AC-AD95-AB6842CE3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2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7600" name="Picture@5C\QPendientes@" descr="@5C\QPendientes@">
          <a:extLst>
            <a:ext uri="{FF2B5EF4-FFF2-40B4-BE49-F238E27FC236}">
              <a16:creationId xmlns:a16="http://schemas.microsoft.com/office/drawing/2014/main" id="{BA181AE4-10F7-465F-BE46-331C1BC41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3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7601" name="Picture@5C\QPendientes@" descr="@5C\QPendientes@">
          <a:extLst>
            <a:ext uri="{FF2B5EF4-FFF2-40B4-BE49-F238E27FC236}">
              <a16:creationId xmlns:a16="http://schemas.microsoft.com/office/drawing/2014/main" id="{09DDC86A-335C-4032-9D3E-1D9CFE9E9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5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7602" name="Picture@5C\QPendientes@" descr="@5C\QPendientes@">
          <a:extLst>
            <a:ext uri="{FF2B5EF4-FFF2-40B4-BE49-F238E27FC236}">
              <a16:creationId xmlns:a16="http://schemas.microsoft.com/office/drawing/2014/main" id="{5B178753-A05F-45A6-BB19-12934AC21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7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7603" name="Picture@5C\QPendientes@" descr="@5C\QPendientes@">
          <a:extLst>
            <a:ext uri="{FF2B5EF4-FFF2-40B4-BE49-F238E27FC236}">
              <a16:creationId xmlns:a16="http://schemas.microsoft.com/office/drawing/2014/main" id="{35425BBA-6281-4ABA-958D-D92870C45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7604" name="Picture@5C\QPendientes@" descr="@5C\QPendientes@">
          <a:extLst>
            <a:ext uri="{FF2B5EF4-FFF2-40B4-BE49-F238E27FC236}">
              <a16:creationId xmlns:a16="http://schemas.microsoft.com/office/drawing/2014/main" id="{F4220BB0-9AB2-47A0-AEF7-B6FB94D15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1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7605" name="Picture@5C\QPendientes@" descr="@5C\QPendientes@">
          <a:extLst>
            <a:ext uri="{FF2B5EF4-FFF2-40B4-BE49-F238E27FC236}">
              <a16:creationId xmlns:a16="http://schemas.microsoft.com/office/drawing/2014/main" id="{3BADDCAE-0840-4296-81DC-C846CD5AD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3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7606" name="Picture@5C\QPendientes@" descr="@5C\QPendientes@">
          <a:extLst>
            <a:ext uri="{FF2B5EF4-FFF2-40B4-BE49-F238E27FC236}">
              <a16:creationId xmlns:a16="http://schemas.microsoft.com/office/drawing/2014/main" id="{258E4E50-A779-46FD-A8B2-D500E2397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4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7607" name="Picture@5C\QPendientes@" descr="@5C\QPendientes@">
          <a:extLst>
            <a:ext uri="{FF2B5EF4-FFF2-40B4-BE49-F238E27FC236}">
              <a16:creationId xmlns:a16="http://schemas.microsoft.com/office/drawing/2014/main" id="{5B57C9A0-E185-4499-B4F5-35A602D7F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6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7608" name="Picture@5C\QPendientes@" descr="@5C\QPendientes@">
          <a:extLst>
            <a:ext uri="{FF2B5EF4-FFF2-40B4-BE49-F238E27FC236}">
              <a16:creationId xmlns:a16="http://schemas.microsoft.com/office/drawing/2014/main" id="{498C0FA9-BDA7-4D83-AD72-3C738D43AA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8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7609" name="Picture@5C\QPendientes@" descr="@5C\QPendientes@">
          <a:extLst>
            <a:ext uri="{FF2B5EF4-FFF2-40B4-BE49-F238E27FC236}">
              <a16:creationId xmlns:a16="http://schemas.microsoft.com/office/drawing/2014/main" id="{66849D3C-7D2C-4897-BCE4-44725ACF6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0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7610" name="Picture@5C\QPendientes@" descr="@5C\QPendientes@">
          <a:extLst>
            <a:ext uri="{FF2B5EF4-FFF2-40B4-BE49-F238E27FC236}">
              <a16:creationId xmlns:a16="http://schemas.microsoft.com/office/drawing/2014/main" id="{52C70D48-452A-4C16-A3B2-87EB0E7BF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2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7611" name="Picture@5C\QPendientes@" descr="@5C\QPendientes@">
          <a:extLst>
            <a:ext uri="{FF2B5EF4-FFF2-40B4-BE49-F238E27FC236}">
              <a16:creationId xmlns:a16="http://schemas.microsoft.com/office/drawing/2014/main" id="{0A24C47C-1C57-4F99-8CF8-0F5F9FB51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4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7612" name="Picture@5C\QPendientes@" descr="@5C\QPendientes@">
          <a:extLst>
            <a:ext uri="{FF2B5EF4-FFF2-40B4-BE49-F238E27FC236}">
              <a16:creationId xmlns:a16="http://schemas.microsoft.com/office/drawing/2014/main" id="{8247A1A2-E150-4229-993C-759353A9F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5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7613" name="Picture@5C\QPendientes@" descr="@5C\QPendientes@">
          <a:extLst>
            <a:ext uri="{FF2B5EF4-FFF2-40B4-BE49-F238E27FC236}">
              <a16:creationId xmlns:a16="http://schemas.microsoft.com/office/drawing/2014/main" id="{83C9FE7D-601A-49A1-A9F7-8F764C6C9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7614" name="Picture@5C\QPendientes@" descr="@5C\QPendientes@">
          <a:extLst>
            <a:ext uri="{FF2B5EF4-FFF2-40B4-BE49-F238E27FC236}">
              <a16:creationId xmlns:a16="http://schemas.microsoft.com/office/drawing/2014/main" id="{3314AC28-FFEB-478C-AA89-1D457560E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9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7615" name="Picture@5C\QPendientes@" descr="@5C\QPendientes@">
          <a:extLst>
            <a:ext uri="{FF2B5EF4-FFF2-40B4-BE49-F238E27FC236}">
              <a16:creationId xmlns:a16="http://schemas.microsoft.com/office/drawing/2014/main" id="{B3D373A5-FCC6-4FDB-BFE3-90D6869F8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1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7616" name="Picture@5C\QPendientes@" descr="@5C\QPendientes@">
          <a:extLst>
            <a:ext uri="{FF2B5EF4-FFF2-40B4-BE49-F238E27FC236}">
              <a16:creationId xmlns:a16="http://schemas.microsoft.com/office/drawing/2014/main" id="{CA2CD570-740A-44AE-A23D-18EF53F64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3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7617" name="Picture@5C\QPendientes@" descr="@5C\QPendientes@">
          <a:extLst>
            <a:ext uri="{FF2B5EF4-FFF2-40B4-BE49-F238E27FC236}">
              <a16:creationId xmlns:a16="http://schemas.microsoft.com/office/drawing/2014/main" id="{00EB8527-F2AA-4921-981E-183DA33DA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4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7618" name="Picture@5C\QPendientes@" descr="@5C\QPendientes@">
          <a:extLst>
            <a:ext uri="{FF2B5EF4-FFF2-40B4-BE49-F238E27FC236}">
              <a16:creationId xmlns:a16="http://schemas.microsoft.com/office/drawing/2014/main" id="{1E72AD11-A2D4-4713-B292-5312AC36C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6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7619" name="Picture@5C\QPendientes@" descr="@5C\QPendientes@">
          <a:extLst>
            <a:ext uri="{FF2B5EF4-FFF2-40B4-BE49-F238E27FC236}">
              <a16:creationId xmlns:a16="http://schemas.microsoft.com/office/drawing/2014/main" id="{20B7E001-1F0E-48DC-A400-405C65AF3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8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7620" name="Picture@5C\QPendientes@" descr="@5C\QPendientes@">
          <a:extLst>
            <a:ext uri="{FF2B5EF4-FFF2-40B4-BE49-F238E27FC236}">
              <a16:creationId xmlns:a16="http://schemas.microsoft.com/office/drawing/2014/main" id="{40FE14E6-6DD5-461C-A9D1-8643CFCF2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0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7621" name="Picture@5C\QPendientes@" descr="@5C\QPendientes@">
          <a:extLst>
            <a:ext uri="{FF2B5EF4-FFF2-40B4-BE49-F238E27FC236}">
              <a16:creationId xmlns:a16="http://schemas.microsoft.com/office/drawing/2014/main" id="{BF794E90-7B86-4D2F-8DBF-E77F32561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2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7622" name="Picture@5C\QPendientes@" descr="@5C\QPendientes@">
          <a:extLst>
            <a:ext uri="{FF2B5EF4-FFF2-40B4-BE49-F238E27FC236}">
              <a16:creationId xmlns:a16="http://schemas.microsoft.com/office/drawing/2014/main" id="{422E5B7E-03A9-4CEA-B89F-558F8716E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4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7623" name="Picture@5C\QPendientes@" descr="@5C\QPendientes@">
          <a:extLst>
            <a:ext uri="{FF2B5EF4-FFF2-40B4-BE49-F238E27FC236}">
              <a16:creationId xmlns:a16="http://schemas.microsoft.com/office/drawing/2014/main" id="{2B012194-E52A-4672-9F3F-778B0AEB0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7624" name="Picture@5C\QPendientes@" descr="@5C\QPendientes@">
          <a:extLst>
            <a:ext uri="{FF2B5EF4-FFF2-40B4-BE49-F238E27FC236}">
              <a16:creationId xmlns:a16="http://schemas.microsoft.com/office/drawing/2014/main" id="{0FE9EA07-33EA-4176-9ED9-ECEF82D88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7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7625" name="Picture@5C\QPendientes@" descr="@5C\QPendientes@">
          <a:extLst>
            <a:ext uri="{FF2B5EF4-FFF2-40B4-BE49-F238E27FC236}">
              <a16:creationId xmlns:a16="http://schemas.microsoft.com/office/drawing/2014/main" id="{434A1FA5-41BE-4CB3-83BE-D666522F4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9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7626" name="Picture@5C\QPendientes@" descr="@5C\QPendientes@">
          <a:extLst>
            <a:ext uri="{FF2B5EF4-FFF2-40B4-BE49-F238E27FC236}">
              <a16:creationId xmlns:a16="http://schemas.microsoft.com/office/drawing/2014/main" id="{507BEA71-4606-45ED-821F-CAE47356F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1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7627" name="Picture@5C\QPendientes@" descr="@5C\QPendientes@">
          <a:extLst>
            <a:ext uri="{FF2B5EF4-FFF2-40B4-BE49-F238E27FC236}">
              <a16:creationId xmlns:a16="http://schemas.microsoft.com/office/drawing/2014/main" id="{C67E82F6-4C64-49A5-A671-27B6E984C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3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7628" name="Picture@5C\QPendientes@" descr="@5C\QPendientes@">
          <a:extLst>
            <a:ext uri="{FF2B5EF4-FFF2-40B4-BE49-F238E27FC236}">
              <a16:creationId xmlns:a16="http://schemas.microsoft.com/office/drawing/2014/main" id="{406962E8-FF93-4D9B-B4B9-C9F6111DC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5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7629" name="Picture@5C\QPendientes@" descr="@5C\QPendientes@">
          <a:extLst>
            <a:ext uri="{FF2B5EF4-FFF2-40B4-BE49-F238E27FC236}">
              <a16:creationId xmlns:a16="http://schemas.microsoft.com/office/drawing/2014/main" id="{C5DEE231-5567-4622-9E9F-FBC2D2E66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6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7630" name="Picture@5C\QPendientes@" descr="@5C\QPendientes@">
          <a:extLst>
            <a:ext uri="{FF2B5EF4-FFF2-40B4-BE49-F238E27FC236}">
              <a16:creationId xmlns:a16="http://schemas.microsoft.com/office/drawing/2014/main" id="{3F4C3563-A87C-44EF-9C13-3884D94DD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8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7631" name="Picture@5C\QPendientes@" descr="@5C\QPendientes@">
          <a:extLst>
            <a:ext uri="{FF2B5EF4-FFF2-40B4-BE49-F238E27FC236}">
              <a16:creationId xmlns:a16="http://schemas.microsoft.com/office/drawing/2014/main" id="{16363A18-6DFE-4E62-8184-2B2DFEAAE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0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7632" name="Picture@5C\QPendientes@" descr="@5C\QPendientes@">
          <a:extLst>
            <a:ext uri="{FF2B5EF4-FFF2-40B4-BE49-F238E27FC236}">
              <a16:creationId xmlns:a16="http://schemas.microsoft.com/office/drawing/2014/main" id="{4919EC55-F160-4590-8FF9-AAC29A703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2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7633" name="Picture@5C\QPendientes@" descr="@5C\QPendientes@">
          <a:extLst>
            <a:ext uri="{FF2B5EF4-FFF2-40B4-BE49-F238E27FC236}">
              <a16:creationId xmlns:a16="http://schemas.microsoft.com/office/drawing/2014/main" id="{ECE40C14-740B-4C91-9A16-5BDEAE4FD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7634" name="Picture@5C\QPendientes@" descr="@5C\QPendientes@">
          <a:extLst>
            <a:ext uri="{FF2B5EF4-FFF2-40B4-BE49-F238E27FC236}">
              <a16:creationId xmlns:a16="http://schemas.microsoft.com/office/drawing/2014/main" id="{7DFF5216-6F77-4027-B11A-6EA53A8D8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6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7635" name="Picture@5C\QPendientes@" descr="@5C\QPendientes@">
          <a:extLst>
            <a:ext uri="{FF2B5EF4-FFF2-40B4-BE49-F238E27FC236}">
              <a16:creationId xmlns:a16="http://schemas.microsoft.com/office/drawing/2014/main" id="{224F0C30-249B-428F-A995-DF996F20A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7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7636" name="Picture@5C\QPendientes@" descr="@5C\QPendientes@">
          <a:extLst>
            <a:ext uri="{FF2B5EF4-FFF2-40B4-BE49-F238E27FC236}">
              <a16:creationId xmlns:a16="http://schemas.microsoft.com/office/drawing/2014/main" id="{ED8B6121-C355-4338-AD23-807E41BA6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9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7637" name="Picture@5C\QPendientes@" descr="@5C\QPendientes@">
          <a:extLst>
            <a:ext uri="{FF2B5EF4-FFF2-40B4-BE49-F238E27FC236}">
              <a16:creationId xmlns:a16="http://schemas.microsoft.com/office/drawing/2014/main" id="{E20934E2-B77F-48CE-BFC2-23B07BF27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1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7638" name="Picture@5C\QPendientes@" descr="@5C\QPendientes@">
          <a:extLst>
            <a:ext uri="{FF2B5EF4-FFF2-40B4-BE49-F238E27FC236}">
              <a16:creationId xmlns:a16="http://schemas.microsoft.com/office/drawing/2014/main" id="{75144885-23B0-4B88-A2DF-C614B7438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3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7639" name="Picture@5C\QPendientes@" descr="@5C\QPendientes@">
          <a:extLst>
            <a:ext uri="{FF2B5EF4-FFF2-40B4-BE49-F238E27FC236}">
              <a16:creationId xmlns:a16="http://schemas.microsoft.com/office/drawing/2014/main" id="{67756CD8-E7D8-453D-BEC6-37DBE7457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5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7640" name="Picture@5C\QPendientes@" descr="@5C\QPendientes@">
          <a:extLst>
            <a:ext uri="{FF2B5EF4-FFF2-40B4-BE49-F238E27FC236}">
              <a16:creationId xmlns:a16="http://schemas.microsoft.com/office/drawing/2014/main" id="{A7DACEE3-C84D-4CF9-857B-3D2E3AF54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7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7641" name="Picture@5C\QPendientes@" descr="@5C\QPendientes@">
          <a:extLst>
            <a:ext uri="{FF2B5EF4-FFF2-40B4-BE49-F238E27FC236}">
              <a16:creationId xmlns:a16="http://schemas.microsoft.com/office/drawing/2014/main" id="{3C1AD7FA-B231-4864-BAE1-1AE071E76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8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7642" name="Picture@5C\QPendientes@" descr="@5C\QPendientes@">
          <a:extLst>
            <a:ext uri="{FF2B5EF4-FFF2-40B4-BE49-F238E27FC236}">
              <a16:creationId xmlns:a16="http://schemas.microsoft.com/office/drawing/2014/main" id="{E19E1DAC-6667-4332-807B-0B794AA04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0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7643" name="Picture@5C\QPendientes@" descr="@5C\QPendientes@">
          <a:extLst>
            <a:ext uri="{FF2B5EF4-FFF2-40B4-BE49-F238E27FC236}">
              <a16:creationId xmlns:a16="http://schemas.microsoft.com/office/drawing/2014/main" id="{9FAA980F-82BD-42BC-9361-87DC0E8EC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7644" name="Picture@5C\QPendientes@" descr="@5C\QPendientes@">
          <a:extLst>
            <a:ext uri="{FF2B5EF4-FFF2-40B4-BE49-F238E27FC236}">
              <a16:creationId xmlns:a16="http://schemas.microsoft.com/office/drawing/2014/main" id="{FE0434BC-2F10-4FF6-8FD4-BD5D12C92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4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7645" name="Picture@5C\QPendientes@" descr="@5C\QPendientes@">
          <a:extLst>
            <a:ext uri="{FF2B5EF4-FFF2-40B4-BE49-F238E27FC236}">
              <a16:creationId xmlns:a16="http://schemas.microsoft.com/office/drawing/2014/main" id="{40E68556-CE04-41E4-BEC0-4D88AF41D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6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7646" name="Picture@5C\QPendientes@" descr="@5C\QPendientes@">
          <a:extLst>
            <a:ext uri="{FF2B5EF4-FFF2-40B4-BE49-F238E27FC236}">
              <a16:creationId xmlns:a16="http://schemas.microsoft.com/office/drawing/2014/main" id="{6A742CBA-5A77-4110-A132-7145BCDAD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8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7647" name="Picture@5C\QPendientes@" descr="@5C\QPendientes@">
          <a:extLst>
            <a:ext uri="{FF2B5EF4-FFF2-40B4-BE49-F238E27FC236}">
              <a16:creationId xmlns:a16="http://schemas.microsoft.com/office/drawing/2014/main" id="{B83C318F-5AFB-4FC9-B720-82A29B8FF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9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7648" name="Picture@5C\QPendientes@" descr="@5C\QPendientes@">
          <a:extLst>
            <a:ext uri="{FF2B5EF4-FFF2-40B4-BE49-F238E27FC236}">
              <a16:creationId xmlns:a16="http://schemas.microsoft.com/office/drawing/2014/main" id="{A2634002-ADDC-4BC0-9247-1F029B737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1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7649" name="Picture@5C\QPendientes@" descr="@5C\QPendientes@">
          <a:extLst>
            <a:ext uri="{FF2B5EF4-FFF2-40B4-BE49-F238E27FC236}">
              <a16:creationId xmlns:a16="http://schemas.microsoft.com/office/drawing/2014/main" id="{EB075D17-4690-4823-94A3-C83DB06BF0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3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7650" name="Picture@5C\QPendientes@" descr="@5C\QPendientes@">
          <a:extLst>
            <a:ext uri="{FF2B5EF4-FFF2-40B4-BE49-F238E27FC236}">
              <a16:creationId xmlns:a16="http://schemas.microsoft.com/office/drawing/2014/main" id="{2434EFDD-3F0B-4D25-B0E0-D2DBB512C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5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7651" name="Picture@5C\QPendientes@" descr="@5C\QPendientes@">
          <a:extLst>
            <a:ext uri="{FF2B5EF4-FFF2-40B4-BE49-F238E27FC236}">
              <a16:creationId xmlns:a16="http://schemas.microsoft.com/office/drawing/2014/main" id="{87EE1435-832D-46DC-9A75-029A2EC18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7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7652" name="Picture@5C\QPendientes@" descr="@5C\QPendientes@">
          <a:extLst>
            <a:ext uri="{FF2B5EF4-FFF2-40B4-BE49-F238E27FC236}">
              <a16:creationId xmlns:a16="http://schemas.microsoft.com/office/drawing/2014/main" id="{F5A374D8-E08F-4AFA-B1B0-6756DB3EA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9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7653" name="Picture@5C\QPendientes@" descr="@5C\QPendientes@">
          <a:extLst>
            <a:ext uri="{FF2B5EF4-FFF2-40B4-BE49-F238E27FC236}">
              <a16:creationId xmlns:a16="http://schemas.microsoft.com/office/drawing/2014/main" id="{95F93DE3-2159-4389-B756-F3F87FCC2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7654" name="Picture@5C\QPendientes@" descr="@5C\QPendientes@">
          <a:extLst>
            <a:ext uri="{FF2B5EF4-FFF2-40B4-BE49-F238E27FC236}">
              <a16:creationId xmlns:a16="http://schemas.microsoft.com/office/drawing/2014/main" id="{A7E8FB8F-EBBC-44FA-8C97-125AEE229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2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7655" name="Picture@5C\QPendientes@" descr="@5C\QPendientes@">
          <a:extLst>
            <a:ext uri="{FF2B5EF4-FFF2-40B4-BE49-F238E27FC236}">
              <a16:creationId xmlns:a16="http://schemas.microsoft.com/office/drawing/2014/main" id="{407EE6D1-9C8B-47F4-B082-AD1E52CB7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4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7656" name="Picture@5C\QPendientes@" descr="@5C\QPendientes@">
          <a:extLst>
            <a:ext uri="{FF2B5EF4-FFF2-40B4-BE49-F238E27FC236}">
              <a16:creationId xmlns:a16="http://schemas.microsoft.com/office/drawing/2014/main" id="{AAE94A1C-7642-4EDA-90E8-61CFCBB4F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6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7657" name="Picture@5C\QPendientes@" descr="@5C\QPendientes@">
          <a:extLst>
            <a:ext uri="{FF2B5EF4-FFF2-40B4-BE49-F238E27FC236}">
              <a16:creationId xmlns:a16="http://schemas.microsoft.com/office/drawing/2014/main" id="{52B48A87-627E-419F-BF14-C8F2D35CA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8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7658" name="Picture@5C\QPendientes@" descr="@5C\QPendientes@">
          <a:extLst>
            <a:ext uri="{FF2B5EF4-FFF2-40B4-BE49-F238E27FC236}">
              <a16:creationId xmlns:a16="http://schemas.microsoft.com/office/drawing/2014/main" id="{6CFDCB2F-D516-463C-AF00-D512DDFE1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9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7659" name="Picture@5C\QPendientes@" descr="@5C\QPendientes@">
          <a:extLst>
            <a:ext uri="{FF2B5EF4-FFF2-40B4-BE49-F238E27FC236}">
              <a16:creationId xmlns:a16="http://schemas.microsoft.com/office/drawing/2014/main" id="{1174B39F-FED0-4B13-B985-835D7614B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1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7660" name="Picture@5C\QPendientes@" descr="@5C\QPendientes@">
          <a:extLst>
            <a:ext uri="{FF2B5EF4-FFF2-40B4-BE49-F238E27FC236}">
              <a16:creationId xmlns:a16="http://schemas.microsoft.com/office/drawing/2014/main" id="{38424586-C903-4375-AFEE-A39B04DD1F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3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7661" name="Picture@5C\QPendientes@" descr="@5C\QPendientes@">
          <a:extLst>
            <a:ext uri="{FF2B5EF4-FFF2-40B4-BE49-F238E27FC236}">
              <a16:creationId xmlns:a16="http://schemas.microsoft.com/office/drawing/2014/main" id="{1643EAE4-CD6F-487E-A3EA-B6800F06C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5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7662" name="Picture@5C\QPendientes@" descr="@5C\QPendientes@">
          <a:extLst>
            <a:ext uri="{FF2B5EF4-FFF2-40B4-BE49-F238E27FC236}">
              <a16:creationId xmlns:a16="http://schemas.microsoft.com/office/drawing/2014/main" id="{803AE5A7-E69A-45BE-90FE-3CF60C407F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7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7663" name="Picture@5C\QPendientes@" descr="@5C\QPendientes@">
          <a:extLst>
            <a:ext uri="{FF2B5EF4-FFF2-40B4-BE49-F238E27FC236}">
              <a16:creationId xmlns:a16="http://schemas.microsoft.com/office/drawing/2014/main" id="{21A86FF0-ED93-4508-BE14-24752273E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7664" name="Picture@5C\QPendientes@" descr="@5C\QPendientes@">
          <a:extLst>
            <a:ext uri="{FF2B5EF4-FFF2-40B4-BE49-F238E27FC236}">
              <a16:creationId xmlns:a16="http://schemas.microsoft.com/office/drawing/2014/main" id="{9896E0FF-6F37-4E31-ACD5-CDE6B0051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0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7665" name="Picture@5C\QPendientes@" descr="@5C\QPendientes@">
          <a:extLst>
            <a:ext uri="{FF2B5EF4-FFF2-40B4-BE49-F238E27FC236}">
              <a16:creationId xmlns:a16="http://schemas.microsoft.com/office/drawing/2014/main" id="{32D9B107-B2B3-4659-8CBD-2B3509204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2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7666" name="Picture@5C\QPendientes@" descr="@5C\QPendientes@">
          <a:extLst>
            <a:ext uri="{FF2B5EF4-FFF2-40B4-BE49-F238E27FC236}">
              <a16:creationId xmlns:a16="http://schemas.microsoft.com/office/drawing/2014/main" id="{A0A9B6FD-4A49-4BC4-B533-3735FAA9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4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7667" name="Picture@5C\QPendientes@" descr="@5C\QPendientes@">
          <a:extLst>
            <a:ext uri="{FF2B5EF4-FFF2-40B4-BE49-F238E27FC236}">
              <a16:creationId xmlns:a16="http://schemas.microsoft.com/office/drawing/2014/main" id="{EFC358B5-FEFC-4605-961A-854E13F6A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6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7668" name="Picture@5C\QPendientes@" descr="@5C\QPendientes@">
          <a:extLst>
            <a:ext uri="{FF2B5EF4-FFF2-40B4-BE49-F238E27FC236}">
              <a16:creationId xmlns:a16="http://schemas.microsoft.com/office/drawing/2014/main" id="{0F0E0CF5-4669-4E02-B65B-AE0BDD100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8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7669" name="Picture@5C\QPendientes@" descr="@5C\QPendientes@">
          <a:extLst>
            <a:ext uri="{FF2B5EF4-FFF2-40B4-BE49-F238E27FC236}">
              <a16:creationId xmlns:a16="http://schemas.microsoft.com/office/drawing/2014/main" id="{5B95D652-353A-4719-AEB0-191EF221D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0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7670" name="Picture@5C\QPendientes@" descr="@5C\QPendientes@">
          <a:extLst>
            <a:ext uri="{FF2B5EF4-FFF2-40B4-BE49-F238E27FC236}">
              <a16:creationId xmlns:a16="http://schemas.microsoft.com/office/drawing/2014/main" id="{3187C39A-0E0C-404E-BEA8-6E4A6D21E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1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7671" name="Picture@5C\QPendientes@" descr="@5C\QPendientes@">
          <a:extLst>
            <a:ext uri="{FF2B5EF4-FFF2-40B4-BE49-F238E27FC236}">
              <a16:creationId xmlns:a16="http://schemas.microsoft.com/office/drawing/2014/main" id="{5DB05660-1C35-4F2F-8BA8-E0388FB3A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3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7672" name="Picture@5C\QPendientes@" descr="@5C\QPendientes@">
          <a:extLst>
            <a:ext uri="{FF2B5EF4-FFF2-40B4-BE49-F238E27FC236}">
              <a16:creationId xmlns:a16="http://schemas.microsoft.com/office/drawing/2014/main" id="{29296E66-09BA-4B6D-B931-32C759F99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5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7673" name="Picture@5C\QPendientes@" descr="@5C\QPendientes@">
          <a:extLst>
            <a:ext uri="{FF2B5EF4-FFF2-40B4-BE49-F238E27FC236}">
              <a16:creationId xmlns:a16="http://schemas.microsoft.com/office/drawing/2014/main" id="{3569F1CA-28E6-498C-AA20-9D10B2C5C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7674" name="Picture@5C\QPendientes@" descr="@5C\QPendientes@">
          <a:extLst>
            <a:ext uri="{FF2B5EF4-FFF2-40B4-BE49-F238E27FC236}">
              <a16:creationId xmlns:a16="http://schemas.microsoft.com/office/drawing/2014/main" id="{80338388-4214-4B02-A7BC-BBF238306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9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7675" name="Picture@5C\QPendientes@" descr="@5C\QPendientes@">
          <a:extLst>
            <a:ext uri="{FF2B5EF4-FFF2-40B4-BE49-F238E27FC236}">
              <a16:creationId xmlns:a16="http://schemas.microsoft.com/office/drawing/2014/main" id="{4EC6B64F-C2BB-429C-87FA-DCEFA76108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1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7676" name="Picture@5C\QPendientes@" descr="@5C\QPendientes@">
          <a:extLst>
            <a:ext uri="{FF2B5EF4-FFF2-40B4-BE49-F238E27FC236}">
              <a16:creationId xmlns:a16="http://schemas.microsoft.com/office/drawing/2014/main" id="{1ADD6F34-74E4-41EF-93D2-4BF98A0CC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2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7677" name="Picture@5C\QPendientes@" descr="@5C\QPendientes@">
          <a:extLst>
            <a:ext uri="{FF2B5EF4-FFF2-40B4-BE49-F238E27FC236}">
              <a16:creationId xmlns:a16="http://schemas.microsoft.com/office/drawing/2014/main" id="{44515386-D474-473E-B93F-B7FB2734F1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4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7678" name="Picture@5C\QPendientes@" descr="@5C\QPendientes@">
          <a:extLst>
            <a:ext uri="{FF2B5EF4-FFF2-40B4-BE49-F238E27FC236}">
              <a16:creationId xmlns:a16="http://schemas.microsoft.com/office/drawing/2014/main" id="{3ABC3320-F4A6-4975-9908-78382BAF9F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6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7679" name="Picture@5C\QPendientes@" descr="@5C\QPendientes@">
          <a:extLst>
            <a:ext uri="{FF2B5EF4-FFF2-40B4-BE49-F238E27FC236}">
              <a16:creationId xmlns:a16="http://schemas.microsoft.com/office/drawing/2014/main" id="{DD08A467-444E-403F-A398-05B602BA9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8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7680" name="Picture@5C\QPendientes@" descr="@5C\QPendientes@">
          <a:extLst>
            <a:ext uri="{FF2B5EF4-FFF2-40B4-BE49-F238E27FC236}">
              <a16:creationId xmlns:a16="http://schemas.microsoft.com/office/drawing/2014/main" id="{7F06611A-D1D4-4CB6-89A3-99F419CB3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0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7681" name="Picture@5C\QPendientes@" descr="@5C\QPendientes@">
          <a:extLst>
            <a:ext uri="{FF2B5EF4-FFF2-40B4-BE49-F238E27FC236}">
              <a16:creationId xmlns:a16="http://schemas.microsoft.com/office/drawing/2014/main" id="{1ED5C511-1B7F-435F-84B0-72F9347D0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2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7682" name="Picture@5C\QPendientes@" descr="@5C\QPendientes@">
          <a:extLst>
            <a:ext uri="{FF2B5EF4-FFF2-40B4-BE49-F238E27FC236}">
              <a16:creationId xmlns:a16="http://schemas.microsoft.com/office/drawing/2014/main" id="{F47EBC2D-A673-4174-AD96-719381788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3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7683" name="Picture@5C\QPendientes@" descr="@5C\QPendientes@">
          <a:extLst>
            <a:ext uri="{FF2B5EF4-FFF2-40B4-BE49-F238E27FC236}">
              <a16:creationId xmlns:a16="http://schemas.microsoft.com/office/drawing/2014/main" id="{7BC09DCC-4E45-478F-AA45-734C9CA89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7684" name="Picture@5C\QPendientes@" descr="@5C\QPendientes@">
          <a:extLst>
            <a:ext uri="{FF2B5EF4-FFF2-40B4-BE49-F238E27FC236}">
              <a16:creationId xmlns:a16="http://schemas.microsoft.com/office/drawing/2014/main" id="{CAB84C7A-B225-4914-B403-E674A1115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7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7685" name="Picture@5C\QPendientes@" descr="@5C\QPendientes@">
          <a:extLst>
            <a:ext uri="{FF2B5EF4-FFF2-40B4-BE49-F238E27FC236}">
              <a16:creationId xmlns:a16="http://schemas.microsoft.com/office/drawing/2014/main" id="{0947073D-C5E5-404A-A346-AF88BEDCD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9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7686" name="Picture@5C\QPendientes@" descr="@5C\QPendientes@">
          <a:extLst>
            <a:ext uri="{FF2B5EF4-FFF2-40B4-BE49-F238E27FC236}">
              <a16:creationId xmlns:a16="http://schemas.microsoft.com/office/drawing/2014/main" id="{76B4F1BB-B45D-44B4-938F-D8F7F473B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1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7687" name="Picture@5C\QPendientes@" descr="@5C\QPendientes@">
          <a:extLst>
            <a:ext uri="{FF2B5EF4-FFF2-40B4-BE49-F238E27FC236}">
              <a16:creationId xmlns:a16="http://schemas.microsoft.com/office/drawing/2014/main" id="{C8431A3B-5135-48F2-9ABF-B535D2B2E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3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7688" name="Picture@5C\QPendientes@" descr="@5C\QPendientes@">
          <a:extLst>
            <a:ext uri="{FF2B5EF4-FFF2-40B4-BE49-F238E27FC236}">
              <a16:creationId xmlns:a16="http://schemas.microsoft.com/office/drawing/2014/main" id="{F2A99317-8E89-4295-B7DC-E9F019590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4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7689" name="Picture@5C\QPendientes@" descr="@5C\QPendientes@">
          <a:extLst>
            <a:ext uri="{FF2B5EF4-FFF2-40B4-BE49-F238E27FC236}">
              <a16:creationId xmlns:a16="http://schemas.microsoft.com/office/drawing/2014/main" id="{3C54B3A0-1321-4E97-8B11-0C13DFD3E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6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7690" name="Picture@5C\QPendientes@" descr="@5C\QPendientes@">
          <a:extLst>
            <a:ext uri="{FF2B5EF4-FFF2-40B4-BE49-F238E27FC236}">
              <a16:creationId xmlns:a16="http://schemas.microsoft.com/office/drawing/2014/main" id="{47AE7BE3-7ADC-43B2-A697-0F282CC46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8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7691" name="Picture@5C\QPendientes@" descr="@5C\QPendientes@">
          <a:extLst>
            <a:ext uri="{FF2B5EF4-FFF2-40B4-BE49-F238E27FC236}">
              <a16:creationId xmlns:a16="http://schemas.microsoft.com/office/drawing/2014/main" id="{A35856E9-D4CB-466A-B515-F5700772B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0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7692" name="Picture@5C\QPendientes@" descr="@5C\QPendientes@">
          <a:extLst>
            <a:ext uri="{FF2B5EF4-FFF2-40B4-BE49-F238E27FC236}">
              <a16:creationId xmlns:a16="http://schemas.microsoft.com/office/drawing/2014/main" id="{D5020836-22B1-442F-A54D-0BB544CE4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2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7693" name="Picture@5C\QPendientes@" descr="@5C\QPendientes@">
          <a:extLst>
            <a:ext uri="{FF2B5EF4-FFF2-40B4-BE49-F238E27FC236}">
              <a16:creationId xmlns:a16="http://schemas.microsoft.com/office/drawing/2014/main" id="{7FF3E7A5-8E05-4208-A3ED-42DCF14F5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7694" name="Picture@5C\QPendientes@" descr="@5C\QPendientes@">
          <a:extLst>
            <a:ext uri="{FF2B5EF4-FFF2-40B4-BE49-F238E27FC236}">
              <a16:creationId xmlns:a16="http://schemas.microsoft.com/office/drawing/2014/main" id="{7DB3839D-7656-4344-813F-43268CE37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5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7695" name="Picture@5C\QPendientes@" descr="@5C\QPendientes@">
          <a:extLst>
            <a:ext uri="{FF2B5EF4-FFF2-40B4-BE49-F238E27FC236}">
              <a16:creationId xmlns:a16="http://schemas.microsoft.com/office/drawing/2014/main" id="{0FC6E3B4-7851-42F3-BC8A-9B47A7E63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7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7696" name="Picture@5C\QPendientes@" descr="@5C\QPendientes@">
          <a:extLst>
            <a:ext uri="{FF2B5EF4-FFF2-40B4-BE49-F238E27FC236}">
              <a16:creationId xmlns:a16="http://schemas.microsoft.com/office/drawing/2014/main" id="{CE174C38-92D0-436B-8F9C-5ED723295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9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7697" name="Picture@5C\QPendientes@" descr="@5C\QPendientes@">
          <a:extLst>
            <a:ext uri="{FF2B5EF4-FFF2-40B4-BE49-F238E27FC236}">
              <a16:creationId xmlns:a16="http://schemas.microsoft.com/office/drawing/2014/main" id="{9FB6C5A3-4454-4CEF-A009-720E59843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1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7698" name="Picture@5C\QPendientes@" descr="@5C\QPendientes@">
          <a:extLst>
            <a:ext uri="{FF2B5EF4-FFF2-40B4-BE49-F238E27FC236}">
              <a16:creationId xmlns:a16="http://schemas.microsoft.com/office/drawing/2014/main" id="{9329733B-04AC-4131-BCA7-901AF422D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3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7699" name="Picture@5C\QPendientes@" descr="@5C\QPendientes@">
          <a:extLst>
            <a:ext uri="{FF2B5EF4-FFF2-40B4-BE49-F238E27FC236}">
              <a16:creationId xmlns:a16="http://schemas.microsoft.com/office/drawing/2014/main" id="{F59EA4EA-ED71-409F-AE52-0394D17ED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4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7700" name="Picture@5C\QPendientes@" descr="@5C\QPendientes@">
          <a:extLst>
            <a:ext uri="{FF2B5EF4-FFF2-40B4-BE49-F238E27FC236}">
              <a16:creationId xmlns:a16="http://schemas.microsoft.com/office/drawing/2014/main" id="{9894D827-E7A9-4B4C-9533-0AEB7E6F2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6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7701" name="Picture@5C\QPendientes@" descr="@5C\QPendientes@">
          <a:extLst>
            <a:ext uri="{FF2B5EF4-FFF2-40B4-BE49-F238E27FC236}">
              <a16:creationId xmlns:a16="http://schemas.microsoft.com/office/drawing/2014/main" id="{265DF7C5-319C-4CA5-9644-64B25D2C7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8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7702" name="Picture@5C\QPendientes@" descr="@5C\QPendientes@">
          <a:extLst>
            <a:ext uri="{FF2B5EF4-FFF2-40B4-BE49-F238E27FC236}">
              <a16:creationId xmlns:a16="http://schemas.microsoft.com/office/drawing/2014/main" id="{22113F0A-E190-48B4-B015-8E79479AC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0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7703" name="Picture@5C\QPendientes@" descr="@5C\QPendientes@">
          <a:extLst>
            <a:ext uri="{FF2B5EF4-FFF2-40B4-BE49-F238E27FC236}">
              <a16:creationId xmlns:a16="http://schemas.microsoft.com/office/drawing/2014/main" id="{8700882B-2C5D-4311-99DB-2BD785231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7704" name="Picture@5C\QPendientes@" descr="@5C\QPendientes@">
          <a:extLst>
            <a:ext uri="{FF2B5EF4-FFF2-40B4-BE49-F238E27FC236}">
              <a16:creationId xmlns:a16="http://schemas.microsoft.com/office/drawing/2014/main" id="{877C8D6C-D567-4F86-B250-55DBFD0F9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4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7705" name="Picture@5C\QPendientes@" descr="@5C\QPendientes@">
          <a:extLst>
            <a:ext uri="{FF2B5EF4-FFF2-40B4-BE49-F238E27FC236}">
              <a16:creationId xmlns:a16="http://schemas.microsoft.com/office/drawing/2014/main" id="{8FFCEC46-A3B2-4A1A-B261-8D873AFC3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5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7706" name="Picture@5C\QPendientes@" descr="@5C\QPendientes@">
          <a:extLst>
            <a:ext uri="{FF2B5EF4-FFF2-40B4-BE49-F238E27FC236}">
              <a16:creationId xmlns:a16="http://schemas.microsoft.com/office/drawing/2014/main" id="{F248C0F8-D489-4E50-8283-A74AAB1F7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7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7707" name="Picture@5C\QPendientes@" descr="@5C\QPendientes@">
          <a:extLst>
            <a:ext uri="{FF2B5EF4-FFF2-40B4-BE49-F238E27FC236}">
              <a16:creationId xmlns:a16="http://schemas.microsoft.com/office/drawing/2014/main" id="{7CD16000-F38B-4F53-94EB-66CFF188B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9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7708" name="Picture@5C\QPendientes@" descr="@5C\QPendientes@">
          <a:extLst>
            <a:ext uri="{FF2B5EF4-FFF2-40B4-BE49-F238E27FC236}">
              <a16:creationId xmlns:a16="http://schemas.microsoft.com/office/drawing/2014/main" id="{E9CA542F-6856-4F70-9CF1-9A530F4B7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1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7709" name="Picture@5C\QPendientes@" descr="@5C\QPendientes@">
          <a:extLst>
            <a:ext uri="{FF2B5EF4-FFF2-40B4-BE49-F238E27FC236}">
              <a16:creationId xmlns:a16="http://schemas.microsoft.com/office/drawing/2014/main" id="{076F9352-E7B2-4428-884C-5A82CC937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3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7710" name="Picture@5C\QPendientes@" descr="@5C\QPendientes@">
          <a:extLst>
            <a:ext uri="{FF2B5EF4-FFF2-40B4-BE49-F238E27FC236}">
              <a16:creationId xmlns:a16="http://schemas.microsoft.com/office/drawing/2014/main" id="{FBFEAF5B-45BB-4068-A84D-83C11D688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5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7711" name="Picture@5C\QPendientes@" descr="@5C\QPendientes@">
          <a:extLst>
            <a:ext uri="{FF2B5EF4-FFF2-40B4-BE49-F238E27FC236}">
              <a16:creationId xmlns:a16="http://schemas.microsoft.com/office/drawing/2014/main" id="{E813AF39-19EA-4CAC-9018-5CC79985B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6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7712" name="Picture@5C\QPendientes@" descr="@5C\QPendientes@">
          <a:extLst>
            <a:ext uri="{FF2B5EF4-FFF2-40B4-BE49-F238E27FC236}">
              <a16:creationId xmlns:a16="http://schemas.microsoft.com/office/drawing/2014/main" id="{E3D2912F-4072-4C3E-A3CB-138A3945B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8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7713" name="Picture@5C\QPendientes@" descr="@5C\QPendientes@">
          <a:extLst>
            <a:ext uri="{FF2B5EF4-FFF2-40B4-BE49-F238E27FC236}">
              <a16:creationId xmlns:a16="http://schemas.microsoft.com/office/drawing/2014/main" id="{32C98751-BBFB-44A8-A568-827364A3A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7714" name="Picture@5C\QPendientes@" descr="@5C\QPendientes@">
          <a:extLst>
            <a:ext uri="{FF2B5EF4-FFF2-40B4-BE49-F238E27FC236}">
              <a16:creationId xmlns:a16="http://schemas.microsoft.com/office/drawing/2014/main" id="{61346220-4E32-4FE4-B24D-8D34B380B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2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7715" name="Picture@5C\QPendientes@" descr="@5C\QPendientes@">
          <a:extLst>
            <a:ext uri="{FF2B5EF4-FFF2-40B4-BE49-F238E27FC236}">
              <a16:creationId xmlns:a16="http://schemas.microsoft.com/office/drawing/2014/main" id="{0460AE70-8806-4090-9029-72591A288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4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7716" name="Picture@5C\QPendientes@" descr="@5C\QPendientes@">
          <a:extLst>
            <a:ext uri="{FF2B5EF4-FFF2-40B4-BE49-F238E27FC236}">
              <a16:creationId xmlns:a16="http://schemas.microsoft.com/office/drawing/2014/main" id="{CB77A7E8-17C6-4553-A28A-FC7CAA3DA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6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7717" name="Picture@5C\QPendientes@" descr="@5C\QPendientes@">
          <a:extLst>
            <a:ext uri="{FF2B5EF4-FFF2-40B4-BE49-F238E27FC236}">
              <a16:creationId xmlns:a16="http://schemas.microsoft.com/office/drawing/2014/main" id="{4DE56289-2821-40BF-A9EA-80420FCB8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7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7718" name="Picture@5C\QPendientes@" descr="@5C\QPendientes@">
          <a:extLst>
            <a:ext uri="{FF2B5EF4-FFF2-40B4-BE49-F238E27FC236}">
              <a16:creationId xmlns:a16="http://schemas.microsoft.com/office/drawing/2014/main" id="{CECC4AB6-06BB-4CFF-9EA8-0A64E9F430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9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7719" name="Picture@5C\QPendientes@" descr="@5C\QPendientes@">
          <a:extLst>
            <a:ext uri="{FF2B5EF4-FFF2-40B4-BE49-F238E27FC236}">
              <a16:creationId xmlns:a16="http://schemas.microsoft.com/office/drawing/2014/main" id="{A5CDCEE6-9ECC-4401-8B07-E5F008CBE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1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7720" name="Picture@5C\QPendientes@" descr="@5C\QPendientes@">
          <a:extLst>
            <a:ext uri="{FF2B5EF4-FFF2-40B4-BE49-F238E27FC236}">
              <a16:creationId xmlns:a16="http://schemas.microsoft.com/office/drawing/2014/main" id="{F11D0979-E5A3-4691-8989-B15AD10AB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3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7721" name="Picture@5C\QPendientes@" descr="@5C\QPendientes@">
          <a:extLst>
            <a:ext uri="{FF2B5EF4-FFF2-40B4-BE49-F238E27FC236}">
              <a16:creationId xmlns:a16="http://schemas.microsoft.com/office/drawing/2014/main" id="{BB6636EB-4CA4-476A-8072-BBBF4F5F6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5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7722" name="Picture@5C\QPendientes@" descr="@5C\QPendientes@">
          <a:extLst>
            <a:ext uri="{FF2B5EF4-FFF2-40B4-BE49-F238E27FC236}">
              <a16:creationId xmlns:a16="http://schemas.microsoft.com/office/drawing/2014/main" id="{9474D9FB-A34C-4845-B45F-645E43E92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7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7723" name="Picture@5C\QPendientes@" descr="@5C\QPendientes@">
          <a:extLst>
            <a:ext uri="{FF2B5EF4-FFF2-40B4-BE49-F238E27FC236}">
              <a16:creationId xmlns:a16="http://schemas.microsoft.com/office/drawing/2014/main" id="{A0DE2F26-4093-470B-B745-4C55FFA7D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7724" name="Picture@5C\QPendientes@" descr="@5C\QPendientes@">
          <a:extLst>
            <a:ext uri="{FF2B5EF4-FFF2-40B4-BE49-F238E27FC236}">
              <a16:creationId xmlns:a16="http://schemas.microsoft.com/office/drawing/2014/main" id="{DF14CA3E-67BE-4913-87C3-8BD5B3A9F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0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7725" name="Picture@5C\QPendientes@" descr="@5C\QPendientes@">
          <a:extLst>
            <a:ext uri="{FF2B5EF4-FFF2-40B4-BE49-F238E27FC236}">
              <a16:creationId xmlns:a16="http://schemas.microsoft.com/office/drawing/2014/main" id="{062ADC98-BF29-425B-9C52-26721D7DF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2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7726" name="Picture@5C\QPendientes@" descr="@5C\QPendientes@">
          <a:extLst>
            <a:ext uri="{FF2B5EF4-FFF2-40B4-BE49-F238E27FC236}">
              <a16:creationId xmlns:a16="http://schemas.microsoft.com/office/drawing/2014/main" id="{D043134B-AF85-45D0-9C19-D97F8BB1D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4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7727" name="Picture@5C\QPendientes@" descr="@5C\QPendientes@">
          <a:extLst>
            <a:ext uri="{FF2B5EF4-FFF2-40B4-BE49-F238E27FC236}">
              <a16:creationId xmlns:a16="http://schemas.microsoft.com/office/drawing/2014/main" id="{6959FE07-A430-4BE3-A88E-62335316B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6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7728" name="Picture@5C\QPendientes@" descr="@5C\QPendientes@">
          <a:extLst>
            <a:ext uri="{FF2B5EF4-FFF2-40B4-BE49-F238E27FC236}">
              <a16:creationId xmlns:a16="http://schemas.microsoft.com/office/drawing/2014/main" id="{5BEA0C01-662B-44B6-817D-80BFB6E3F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7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7729" name="Picture@5C\QPendientes@" descr="@5C\QPendientes@">
          <a:extLst>
            <a:ext uri="{FF2B5EF4-FFF2-40B4-BE49-F238E27FC236}">
              <a16:creationId xmlns:a16="http://schemas.microsoft.com/office/drawing/2014/main" id="{621865A0-9854-4941-AE4E-BDCC64D3E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9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7730" name="Picture@5C\QPendientes@" descr="@5C\QPendientes@">
          <a:extLst>
            <a:ext uri="{FF2B5EF4-FFF2-40B4-BE49-F238E27FC236}">
              <a16:creationId xmlns:a16="http://schemas.microsoft.com/office/drawing/2014/main" id="{B905C097-93C6-454E-80FD-9E52CA7F8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1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7731" name="Picture@5C\QPendientes@" descr="@5C\QPendientes@">
          <a:extLst>
            <a:ext uri="{FF2B5EF4-FFF2-40B4-BE49-F238E27FC236}">
              <a16:creationId xmlns:a16="http://schemas.microsoft.com/office/drawing/2014/main" id="{53E9772F-BF65-4CAC-A221-C0C6D68F9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3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7732" name="Picture@5C\QPendientes@" descr="@5C\QPendientes@">
          <a:extLst>
            <a:ext uri="{FF2B5EF4-FFF2-40B4-BE49-F238E27FC236}">
              <a16:creationId xmlns:a16="http://schemas.microsoft.com/office/drawing/2014/main" id="{EE00ED09-7690-4DB9-B89E-1E70C047E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5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7733" name="Picture@5C\QPendientes@" descr="@5C\QPendientes@">
          <a:extLst>
            <a:ext uri="{FF2B5EF4-FFF2-40B4-BE49-F238E27FC236}">
              <a16:creationId xmlns:a16="http://schemas.microsoft.com/office/drawing/2014/main" id="{BB3F70B8-9C00-42DE-A7B5-7F857E54F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7734" name="Picture@5C\QPendientes@" descr="@5C\QPendientes@">
          <a:extLst>
            <a:ext uri="{FF2B5EF4-FFF2-40B4-BE49-F238E27FC236}">
              <a16:creationId xmlns:a16="http://schemas.microsoft.com/office/drawing/2014/main" id="{9A849497-2F07-44E4-AB23-316019FF2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8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7735" name="Picture@5C\QPendientes@" descr="@5C\QPendientes@">
          <a:extLst>
            <a:ext uri="{FF2B5EF4-FFF2-40B4-BE49-F238E27FC236}">
              <a16:creationId xmlns:a16="http://schemas.microsoft.com/office/drawing/2014/main" id="{71D8DEB7-6223-47C3-84C1-9BE183734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0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7736" name="Picture@5C\QPendientes@" descr="@5C\QPendientes@">
          <a:extLst>
            <a:ext uri="{FF2B5EF4-FFF2-40B4-BE49-F238E27FC236}">
              <a16:creationId xmlns:a16="http://schemas.microsoft.com/office/drawing/2014/main" id="{0A3166A6-F809-408D-8D65-30D21F4BF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2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7737" name="Picture@5C\QPendientes@" descr="@5C\QPendientes@">
          <a:extLst>
            <a:ext uri="{FF2B5EF4-FFF2-40B4-BE49-F238E27FC236}">
              <a16:creationId xmlns:a16="http://schemas.microsoft.com/office/drawing/2014/main" id="{A210430D-7B14-4A53-AB9A-5D8FF69EB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4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7738" name="Picture@5C\QPendientes@" descr="@5C\QPendientes@">
          <a:extLst>
            <a:ext uri="{FF2B5EF4-FFF2-40B4-BE49-F238E27FC236}">
              <a16:creationId xmlns:a16="http://schemas.microsoft.com/office/drawing/2014/main" id="{62800D1E-FFAC-4468-A796-C9F04A07A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6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7739" name="Picture@5C\QPendientes@" descr="@5C\QPendientes@">
          <a:extLst>
            <a:ext uri="{FF2B5EF4-FFF2-40B4-BE49-F238E27FC236}">
              <a16:creationId xmlns:a16="http://schemas.microsoft.com/office/drawing/2014/main" id="{AA9C1892-12AC-419E-A91A-18D7D7579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8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7740" name="Picture@5C\QPendientes@" descr="@5C\QPendientes@">
          <a:extLst>
            <a:ext uri="{FF2B5EF4-FFF2-40B4-BE49-F238E27FC236}">
              <a16:creationId xmlns:a16="http://schemas.microsoft.com/office/drawing/2014/main" id="{A4D7806C-5499-4484-BCFE-1D123D212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9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7741" name="Picture@5C\QPendientes@" descr="@5C\QPendientes@">
          <a:extLst>
            <a:ext uri="{FF2B5EF4-FFF2-40B4-BE49-F238E27FC236}">
              <a16:creationId xmlns:a16="http://schemas.microsoft.com/office/drawing/2014/main" id="{6F7A7FAE-A624-4C6F-8E51-DE0C21498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1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7742" name="Picture@5C\QPendientes@" descr="@5C\QPendientes@">
          <a:extLst>
            <a:ext uri="{FF2B5EF4-FFF2-40B4-BE49-F238E27FC236}">
              <a16:creationId xmlns:a16="http://schemas.microsoft.com/office/drawing/2014/main" id="{D79897C1-992A-4B3A-AE7E-66D5358CB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3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7743" name="Picture@5C\QPendientes@" descr="@5C\QPendientes@">
          <a:extLst>
            <a:ext uri="{FF2B5EF4-FFF2-40B4-BE49-F238E27FC236}">
              <a16:creationId xmlns:a16="http://schemas.microsoft.com/office/drawing/2014/main" id="{8D90C8E8-522E-434D-BC5E-6B0BDAF77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7744" name="Picture@5C\QPendientes@" descr="@5C\QPendientes@">
          <a:extLst>
            <a:ext uri="{FF2B5EF4-FFF2-40B4-BE49-F238E27FC236}">
              <a16:creationId xmlns:a16="http://schemas.microsoft.com/office/drawing/2014/main" id="{FF09DD53-05EB-400D-A414-6EC19EC77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7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7745" name="Picture@5C\QPendientes@" descr="@5C\QPendientes@">
          <a:extLst>
            <a:ext uri="{FF2B5EF4-FFF2-40B4-BE49-F238E27FC236}">
              <a16:creationId xmlns:a16="http://schemas.microsoft.com/office/drawing/2014/main" id="{881E0EB4-A478-4623-A86F-AFDA194A0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9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7746" name="Picture@5C\QPendientes@" descr="@5C\QPendientes@">
          <a:extLst>
            <a:ext uri="{FF2B5EF4-FFF2-40B4-BE49-F238E27FC236}">
              <a16:creationId xmlns:a16="http://schemas.microsoft.com/office/drawing/2014/main" id="{315032D4-3A02-42F8-A580-1A09C0931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0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7747" name="Picture@5C\QPendientes@" descr="@5C\QPendientes@">
          <a:extLst>
            <a:ext uri="{FF2B5EF4-FFF2-40B4-BE49-F238E27FC236}">
              <a16:creationId xmlns:a16="http://schemas.microsoft.com/office/drawing/2014/main" id="{3459EF78-A4E4-4096-8786-6CE6AB1F7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2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7748" name="Picture@5C\QPendientes@" descr="@5C\QPendientes@">
          <a:extLst>
            <a:ext uri="{FF2B5EF4-FFF2-40B4-BE49-F238E27FC236}">
              <a16:creationId xmlns:a16="http://schemas.microsoft.com/office/drawing/2014/main" id="{C6ED1D11-7864-48F2-A8B3-913F673DC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4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7749" name="Picture@5C\QPendientes@" descr="@5C\QPendientes@">
          <a:extLst>
            <a:ext uri="{FF2B5EF4-FFF2-40B4-BE49-F238E27FC236}">
              <a16:creationId xmlns:a16="http://schemas.microsoft.com/office/drawing/2014/main" id="{1F17C116-0164-4337-A231-493C4AEE3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6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7750" name="Picture@5C\QPendientes@" descr="@5C\QPendientes@">
          <a:extLst>
            <a:ext uri="{FF2B5EF4-FFF2-40B4-BE49-F238E27FC236}">
              <a16:creationId xmlns:a16="http://schemas.microsoft.com/office/drawing/2014/main" id="{CC7475DE-3797-4592-995B-BC149962D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8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7751" name="Picture@5C\QPendientes@" descr="@5C\QPendientes@">
          <a:extLst>
            <a:ext uri="{FF2B5EF4-FFF2-40B4-BE49-F238E27FC236}">
              <a16:creationId xmlns:a16="http://schemas.microsoft.com/office/drawing/2014/main" id="{1EE6D342-E725-4CE7-80E6-8A0C25446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0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7752" name="Picture@5C\QPendientes@" descr="@5C\QPendientes@">
          <a:extLst>
            <a:ext uri="{FF2B5EF4-FFF2-40B4-BE49-F238E27FC236}">
              <a16:creationId xmlns:a16="http://schemas.microsoft.com/office/drawing/2014/main" id="{5C57C3B4-1BF7-4099-9156-E906CB9F6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1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7753" name="Picture@5C\QPendientes@" descr="@5C\QPendientes@">
          <a:extLst>
            <a:ext uri="{FF2B5EF4-FFF2-40B4-BE49-F238E27FC236}">
              <a16:creationId xmlns:a16="http://schemas.microsoft.com/office/drawing/2014/main" id="{18B9937C-0C9A-4F36-BCC0-C3554F78A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7754" name="Picture@5C\QPendientes@" descr="@5C\QPendientes@">
          <a:extLst>
            <a:ext uri="{FF2B5EF4-FFF2-40B4-BE49-F238E27FC236}">
              <a16:creationId xmlns:a16="http://schemas.microsoft.com/office/drawing/2014/main" id="{4897B7C7-9FE0-4D0C-972B-6AC56FC58B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5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7755" name="Picture@5C\QPendientes@" descr="@5C\QPendientes@">
          <a:extLst>
            <a:ext uri="{FF2B5EF4-FFF2-40B4-BE49-F238E27FC236}">
              <a16:creationId xmlns:a16="http://schemas.microsoft.com/office/drawing/2014/main" id="{EFBA179A-ED14-46A8-8EA8-AB2DEBED8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7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7756" name="Picture@5C\QPendientes@" descr="@5C\QPendientes@">
          <a:extLst>
            <a:ext uri="{FF2B5EF4-FFF2-40B4-BE49-F238E27FC236}">
              <a16:creationId xmlns:a16="http://schemas.microsoft.com/office/drawing/2014/main" id="{B4A9A9A4-1EB6-46CD-8CD5-983B0A599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9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7757" name="Picture@5C\QPendientes@" descr="@5C\QPendientes@">
          <a:extLst>
            <a:ext uri="{FF2B5EF4-FFF2-40B4-BE49-F238E27FC236}">
              <a16:creationId xmlns:a16="http://schemas.microsoft.com/office/drawing/2014/main" id="{D47AA3CE-BE9E-44DB-B9CB-E4153E037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1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7758" name="Picture@5C\QPendientes@" descr="@5C\QPendientes@">
          <a:extLst>
            <a:ext uri="{FF2B5EF4-FFF2-40B4-BE49-F238E27FC236}">
              <a16:creationId xmlns:a16="http://schemas.microsoft.com/office/drawing/2014/main" id="{32752770-177C-4697-A3AD-C7C49BA83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2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7759" name="Picture@5C\QPendientes@" descr="@5C\QPendientes@">
          <a:extLst>
            <a:ext uri="{FF2B5EF4-FFF2-40B4-BE49-F238E27FC236}">
              <a16:creationId xmlns:a16="http://schemas.microsoft.com/office/drawing/2014/main" id="{12E10E6D-1F85-4170-A876-4DBB097FC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4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7760" name="Picture@5C\QPendientes@" descr="@5C\QPendientes@">
          <a:extLst>
            <a:ext uri="{FF2B5EF4-FFF2-40B4-BE49-F238E27FC236}">
              <a16:creationId xmlns:a16="http://schemas.microsoft.com/office/drawing/2014/main" id="{84BD62BB-4684-4913-A04F-AB52FAEF0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6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7761" name="Picture@5C\QPendientes@" descr="@5C\QPendientes@">
          <a:extLst>
            <a:ext uri="{FF2B5EF4-FFF2-40B4-BE49-F238E27FC236}">
              <a16:creationId xmlns:a16="http://schemas.microsoft.com/office/drawing/2014/main" id="{49ECD43E-772B-437A-BDBA-6E407EEF3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8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7762" name="Picture@5C\QPendientes@" descr="@5C\QPendientes@">
          <a:extLst>
            <a:ext uri="{FF2B5EF4-FFF2-40B4-BE49-F238E27FC236}">
              <a16:creationId xmlns:a16="http://schemas.microsoft.com/office/drawing/2014/main" id="{535FD568-4CE5-4F83-BDDA-1ED60C28C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0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7763" name="Picture@5C\QPendientes@" descr="@5C\QPendientes@">
          <a:extLst>
            <a:ext uri="{FF2B5EF4-FFF2-40B4-BE49-F238E27FC236}">
              <a16:creationId xmlns:a16="http://schemas.microsoft.com/office/drawing/2014/main" id="{F975FB22-3329-4B16-AEEF-BD8B60B091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7764" name="Picture@5C\QPendientes@" descr="@5C\QPendientes@">
          <a:extLst>
            <a:ext uri="{FF2B5EF4-FFF2-40B4-BE49-F238E27FC236}">
              <a16:creationId xmlns:a16="http://schemas.microsoft.com/office/drawing/2014/main" id="{2743C4A4-F741-4CB1-B007-987820060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3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7765" name="Picture@5C\QPendientes@" descr="@5C\QPendientes@">
          <a:extLst>
            <a:ext uri="{FF2B5EF4-FFF2-40B4-BE49-F238E27FC236}">
              <a16:creationId xmlns:a16="http://schemas.microsoft.com/office/drawing/2014/main" id="{86AA50B3-D0E8-4662-9430-C5924C8ED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5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7766" name="Picture@5C\QPendientes@" descr="@5C\QPendientes@">
          <a:extLst>
            <a:ext uri="{FF2B5EF4-FFF2-40B4-BE49-F238E27FC236}">
              <a16:creationId xmlns:a16="http://schemas.microsoft.com/office/drawing/2014/main" id="{C1F4463F-3751-45D6-BA3D-CA1CE4A41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7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7767" name="Picture@5C\QPendientes@" descr="@5C\QPendientes@">
          <a:extLst>
            <a:ext uri="{FF2B5EF4-FFF2-40B4-BE49-F238E27FC236}">
              <a16:creationId xmlns:a16="http://schemas.microsoft.com/office/drawing/2014/main" id="{691AA509-DD54-47AC-A070-AB6366B3A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9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7768" name="Picture@5C\QPendientes@" descr="@5C\QPendientes@">
          <a:extLst>
            <a:ext uri="{FF2B5EF4-FFF2-40B4-BE49-F238E27FC236}">
              <a16:creationId xmlns:a16="http://schemas.microsoft.com/office/drawing/2014/main" id="{EA421B05-0074-4D2C-B169-DF2283BB4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1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7769" name="Picture@5C\QPendientes@" descr="@5C\QPendientes@">
          <a:extLst>
            <a:ext uri="{FF2B5EF4-FFF2-40B4-BE49-F238E27FC236}">
              <a16:creationId xmlns:a16="http://schemas.microsoft.com/office/drawing/2014/main" id="{4B519FDE-3975-4135-A0F3-90D976647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2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7770" name="Picture@5C\QPendientes@" descr="@5C\QPendientes@">
          <a:extLst>
            <a:ext uri="{FF2B5EF4-FFF2-40B4-BE49-F238E27FC236}">
              <a16:creationId xmlns:a16="http://schemas.microsoft.com/office/drawing/2014/main" id="{BD332E5F-609B-456A-8586-9FDF697883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4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7771" name="Picture@5C\QPendientes@" descr="@5C\QPendientes@">
          <a:extLst>
            <a:ext uri="{FF2B5EF4-FFF2-40B4-BE49-F238E27FC236}">
              <a16:creationId xmlns:a16="http://schemas.microsoft.com/office/drawing/2014/main" id="{A61BC39F-FB29-43E4-B5A9-2C3D04A047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6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7772" name="Picture@5C\QPendientes@" descr="@5C\QPendientes@">
          <a:extLst>
            <a:ext uri="{FF2B5EF4-FFF2-40B4-BE49-F238E27FC236}">
              <a16:creationId xmlns:a16="http://schemas.microsoft.com/office/drawing/2014/main" id="{78F3918C-9CB2-4BCD-B069-0B1BBCCBC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8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7773" name="Picture@5C\QPendientes@" descr="@5C\QPendientes@">
          <a:extLst>
            <a:ext uri="{FF2B5EF4-FFF2-40B4-BE49-F238E27FC236}">
              <a16:creationId xmlns:a16="http://schemas.microsoft.com/office/drawing/2014/main" id="{4EBE6065-9D99-473E-9C7E-F25DBEC38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7774" name="Picture@5C\QPendientes@" descr="@5C\QPendientes@">
          <a:extLst>
            <a:ext uri="{FF2B5EF4-FFF2-40B4-BE49-F238E27FC236}">
              <a16:creationId xmlns:a16="http://schemas.microsoft.com/office/drawing/2014/main" id="{3FAA8A09-2E81-4B55-A65F-0694FB581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2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7775" name="Picture@5C\QPendientes@" descr="@5C\QPendientes@">
          <a:extLst>
            <a:ext uri="{FF2B5EF4-FFF2-40B4-BE49-F238E27FC236}">
              <a16:creationId xmlns:a16="http://schemas.microsoft.com/office/drawing/2014/main" id="{88278B07-D05F-4DE3-A5B7-259D19337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3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7776" name="Picture@5C\QPendientes@" descr="@5C\QPendientes@">
          <a:extLst>
            <a:ext uri="{FF2B5EF4-FFF2-40B4-BE49-F238E27FC236}">
              <a16:creationId xmlns:a16="http://schemas.microsoft.com/office/drawing/2014/main" id="{8F6DF936-5F3D-4E3F-B040-F40AE35CA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5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7777" name="Picture@5C\QPendientes@" descr="@5C\QPendientes@">
          <a:extLst>
            <a:ext uri="{FF2B5EF4-FFF2-40B4-BE49-F238E27FC236}">
              <a16:creationId xmlns:a16="http://schemas.microsoft.com/office/drawing/2014/main" id="{9587566C-C8F3-4DC4-8B2E-0E1724519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7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7778" name="Picture@5C\QPendientes@" descr="@5C\QPendientes@">
          <a:extLst>
            <a:ext uri="{FF2B5EF4-FFF2-40B4-BE49-F238E27FC236}">
              <a16:creationId xmlns:a16="http://schemas.microsoft.com/office/drawing/2014/main" id="{AFC92BD5-A2CF-4101-BD90-6C8E26694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9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7779" name="Picture@5C\QPendientes@" descr="@5C\QPendientes@">
          <a:extLst>
            <a:ext uri="{FF2B5EF4-FFF2-40B4-BE49-F238E27FC236}">
              <a16:creationId xmlns:a16="http://schemas.microsoft.com/office/drawing/2014/main" id="{07747242-607F-424A-AEED-4ABDEDE57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1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7780" name="Picture@5C\QPendientes@" descr="@5C\QPendientes@">
          <a:extLst>
            <a:ext uri="{FF2B5EF4-FFF2-40B4-BE49-F238E27FC236}">
              <a16:creationId xmlns:a16="http://schemas.microsoft.com/office/drawing/2014/main" id="{D37C6DED-A290-49EB-90BA-11256EB3FE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3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7781" name="Picture@5C\QPendientes@" descr="@5C\QPendientes@">
          <a:extLst>
            <a:ext uri="{FF2B5EF4-FFF2-40B4-BE49-F238E27FC236}">
              <a16:creationId xmlns:a16="http://schemas.microsoft.com/office/drawing/2014/main" id="{02EB22C6-B237-4462-903C-3B544E1F8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4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7782" name="Picture@5C\QPendientes@" descr="@5C\QPendientes@">
          <a:extLst>
            <a:ext uri="{FF2B5EF4-FFF2-40B4-BE49-F238E27FC236}">
              <a16:creationId xmlns:a16="http://schemas.microsoft.com/office/drawing/2014/main" id="{93B9B211-BD51-4A76-8C02-2E4D25021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6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7783" name="Picture@5C\QPendientes@" descr="@5C\QPendientes@">
          <a:extLst>
            <a:ext uri="{FF2B5EF4-FFF2-40B4-BE49-F238E27FC236}">
              <a16:creationId xmlns:a16="http://schemas.microsoft.com/office/drawing/2014/main" id="{87A2B8C2-5FB5-43AA-AFDF-061B52BE8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7784" name="Picture@5C\QPendientes@" descr="@5C\QPendientes@">
          <a:extLst>
            <a:ext uri="{FF2B5EF4-FFF2-40B4-BE49-F238E27FC236}">
              <a16:creationId xmlns:a16="http://schemas.microsoft.com/office/drawing/2014/main" id="{8F1D0F79-047E-4E5B-BF06-E81143E84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0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7785" name="Picture@5C\QPendientes@" descr="@5C\QPendientes@">
          <a:extLst>
            <a:ext uri="{FF2B5EF4-FFF2-40B4-BE49-F238E27FC236}">
              <a16:creationId xmlns:a16="http://schemas.microsoft.com/office/drawing/2014/main" id="{59892442-AB8B-4955-ACFE-6A6AD776E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2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7786" name="Picture@5C\QPendientes@" descr="@5C\QPendientes@">
          <a:extLst>
            <a:ext uri="{FF2B5EF4-FFF2-40B4-BE49-F238E27FC236}">
              <a16:creationId xmlns:a16="http://schemas.microsoft.com/office/drawing/2014/main" id="{ED910B7F-630B-4CDD-AA76-BA831043C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4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7787" name="Picture@5C\QPendientes@" descr="@5C\QPendientes@">
          <a:extLst>
            <a:ext uri="{FF2B5EF4-FFF2-40B4-BE49-F238E27FC236}">
              <a16:creationId xmlns:a16="http://schemas.microsoft.com/office/drawing/2014/main" id="{9CF309DE-2C2C-4C9D-8790-7FF80F169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5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882" name="Picture@5C\QPendientes@" descr="@5C\QPendientes@">
          <a:extLst>
            <a:ext uri="{FF2B5EF4-FFF2-40B4-BE49-F238E27FC236}">
              <a16:creationId xmlns:a16="http://schemas.microsoft.com/office/drawing/2014/main" id="{DB539580-DA7E-4DB7-AC83-CAA54A00B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883" name="Picture@5C\QPendientes@" descr="@5C\QPendientes@">
          <a:extLst>
            <a:ext uri="{FF2B5EF4-FFF2-40B4-BE49-F238E27FC236}">
              <a16:creationId xmlns:a16="http://schemas.microsoft.com/office/drawing/2014/main" id="{58CB3FF9-9BB1-4C99-A21F-D11E45E9F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2884" name="Picture@5C\QPendientes@" descr="@5C\QPendientes@">
          <a:extLst>
            <a:ext uri="{FF2B5EF4-FFF2-40B4-BE49-F238E27FC236}">
              <a16:creationId xmlns:a16="http://schemas.microsoft.com/office/drawing/2014/main" id="{57D86B11-6700-4865-8C98-BA790584D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2885" name="Picture@5C\QPendientes@" descr="@5C\QPendientes@">
          <a:extLst>
            <a:ext uri="{FF2B5EF4-FFF2-40B4-BE49-F238E27FC236}">
              <a16:creationId xmlns:a16="http://schemas.microsoft.com/office/drawing/2014/main" id="{2A31EBE5-6442-48CF-8AE0-B3F61B667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2886" name="Picture@5C\QPendientes@" descr="@5C\QPendientes@">
          <a:extLst>
            <a:ext uri="{FF2B5EF4-FFF2-40B4-BE49-F238E27FC236}">
              <a16:creationId xmlns:a16="http://schemas.microsoft.com/office/drawing/2014/main" id="{0C037F41-A6D9-4EA3-B9BF-A06EF3EB3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2887" name="Picture@5C\QPendientes@" descr="@5C\QPendientes@">
          <a:extLst>
            <a:ext uri="{FF2B5EF4-FFF2-40B4-BE49-F238E27FC236}">
              <a16:creationId xmlns:a16="http://schemas.microsoft.com/office/drawing/2014/main" id="{D0116070-D623-49BB-92C5-9FA957C58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2888" name="Picture@5C\QPendientes@" descr="@5C\QPendientes@">
          <a:extLst>
            <a:ext uri="{FF2B5EF4-FFF2-40B4-BE49-F238E27FC236}">
              <a16:creationId xmlns:a16="http://schemas.microsoft.com/office/drawing/2014/main" id="{95465231-EFCD-46BF-81D4-46350B567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2889" name="Picture@5C\QPendientes@" descr="@5C\QPendientes@">
          <a:extLst>
            <a:ext uri="{FF2B5EF4-FFF2-40B4-BE49-F238E27FC236}">
              <a16:creationId xmlns:a16="http://schemas.microsoft.com/office/drawing/2014/main" id="{C621BA54-8F39-4DE4-A020-09E04CFA0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2890" name="Picture@5C\QPendientes@" descr="@5C\QPendientes@">
          <a:extLst>
            <a:ext uri="{FF2B5EF4-FFF2-40B4-BE49-F238E27FC236}">
              <a16:creationId xmlns:a16="http://schemas.microsoft.com/office/drawing/2014/main" id="{53911D42-5837-4DB0-B7EA-96A42AD96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2891" name="Picture@5C\QPendientes@" descr="@5C\QPendientes@">
          <a:extLst>
            <a:ext uri="{FF2B5EF4-FFF2-40B4-BE49-F238E27FC236}">
              <a16:creationId xmlns:a16="http://schemas.microsoft.com/office/drawing/2014/main" id="{1261E4B6-4D46-44A9-8C2F-797F4BD3B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2892" name="Picture@5C\QPendientes@" descr="@5C\QPendientes@">
          <a:extLst>
            <a:ext uri="{FF2B5EF4-FFF2-40B4-BE49-F238E27FC236}">
              <a16:creationId xmlns:a16="http://schemas.microsoft.com/office/drawing/2014/main" id="{D1813F6A-6AB6-49AA-84AF-C471A544E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2893" name="Picture@5C\QPendientes@" descr="@5C\QPendientes@">
          <a:extLst>
            <a:ext uri="{FF2B5EF4-FFF2-40B4-BE49-F238E27FC236}">
              <a16:creationId xmlns:a16="http://schemas.microsoft.com/office/drawing/2014/main" id="{89C7C6EE-E973-4A96-BC99-473E143E1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2894" name="Picture@5C\QPendientes@" descr="@5C\QPendientes@">
          <a:extLst>
            <a:ext uri="{FF2B5EF4-FFF2-40B4-BE49-F238E27FC236}">
              <a16:creationId xmlns:a16="http://schemas.microsoft.com/office/drawing/2014/main" id="{5854D2A0-ECC6-47DB-9FD2-5358C802C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2895" name="Picture@5C\QPendientes@" descr="@5C\QPendientes@">
          <a:extLst>
            <a:ext uri="{FF2B5EF4-FFF2-40B4-BE49-F238E27FC236}">
              <a16:creationId xmlns:a16="http://schemas.microsoft.com/office/drawing/2014/main" id="{E485BA6B-62D6-4A4A-886C-646F9FE13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2896" name="Picture@5C\QPendientes@" descr="@5C\QPendientes@">
          <a:extLst>
            <a:ext uri="{FF2B5EF4-FFF2-40B4-BE49-F238E27FC236}">
              <a16:creationId xmlns:a16="http://schemas.microsoft.com/office/drawing/2014/main" id="{700A2340-27CF-486F-B37B-0CE02E492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2897" name="Picture@5C\QPendientes@" descr="@5C\QPendientes@">
          <a:extLst>
            <a:ext uri="{FF2B5EF4-FFF2-40B4-BE49-F238E27FC236}">
              <a16:creationId xmlns:a16="http://schemas.microsoft.com/office/drawing/2014/main" id="{3E9800D7-8D3C-44FB-A4E8-DFD628665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2898" name="Picture@5C\QPendientes@" descr="@5C\QPendientes@">
          <a:extLst>
            <a:ext uri="{FF2B5EF4-FFF2-40B4-BE49-F238E27FC236}">
              <a16:creationId xmlns:a16="http://schemas.microsoft.com/office/drawing/2014/main" id="{5884A5E4-0F3B-4646-99EE-E4EE91821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2899" name="Picture@5C\QPendientes@" descr="@5C\QPendientes@">
          <a:extLst>
            <a:ext uri="{FF2B5EF4-FFF2-40B4-BE49-F238E27FC236}">
              <a16:creationId xmlns:a16="http://schemas.microsoft.com/office/drawing/2014/main" id="{50F5D1CF-56CF-48A4-A94A-9D6357240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900" name="Picture@5C\QPendientes@" descr="@5C\QPendientes@">
          <a:extLst>
            <a:ext uri="{FF2B5EF4-FFF2-40B4-BE49-F238E27FC236}">
              <a16:creationId xmlns:a16="http://schemas.microsoft.com/office/drawing/2014/main" id="{8F482DE2-6B33-436B-9B95-BCE4673B2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901" name="Picture@5C\QPendientes@" descr="@5C\QPendientes@">
          <a:extLst>
            <a:ext uri="{FF2B5EF4-FFF2-40B4-BE49-F238E27FC236}">
              <a16:creationId xmlns:a16="http://schemas.microsoft.com/office/drawing/2014/main" id="{0BC9C86E-284D-4B1D-A555-9A09709DD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902" name="Picture@5C\QPendientes@" descr="@5C\QPendientes@">
          <a:extLst>
            <a:ext uri="{FF2B5EF4-FFF2-40B4-BE49-F238E27FC236}">
              <a16:creationId xmlns:a16="http://schemas.microsoft.com/office/drawing/2014/main" id="{A75A2FA2-6BA7-4E7B-9EDB-DE961FF02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903" name="Picture@5C\QPendientes@" descr="@5C\QPendientes@">
          <a:extLst>
            <a:ext uri="{FF2B5EF4-FFF2-40B4-BE49-F238E27FC236}">
              <a16:creationId xmlns:a16="http://schemas.microsoft.com/office/drawing/2014/main" id="{EA34DFFE-6EA0-483D-9EC0-BB7A4F140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904" name="Picture@5C\QPendientes@" descr="@5C\QPendientes@">
          <a:extLst>
            <a:ext uri="{FF2B5EF4-FFF2-40B4-BE49-F238E27FC236}">
              <a16:creationId xmlns:a16="http://schemas.microsoft.com/office/drawing/2014/main" id="{9F59C0B2-5077-4DD8-ADFF-24E44A2E1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905" name="Picture@5C\QPendientes@" descr="@5C\QPendientes@">
          <a:extLst>
            <a:ext uri="{FF2B5EF4-FFF2-40B4-BE49-F238E27FC236}">
              <a16:creationId xmlns:a16="http://schemas.microsoft.com/office/drawing/2014/main" id="{78F875D7-9DCC-4652-8269-A261A01B5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906" name="Picture@5C\QPendientes@" descr="@5C\QPendientes@">
          <a:extLst>
            <a:ext uri="{FF2B5EF4-FFF2-40B4-BE49-F238E27FC236}">
              <a16:creationId xmlns:a16="http://schemas.microsoft.com/office/drawing/2014/main" id="{A1F270F2-2147-4872-8930-BD6336098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907" name="Picture@5C\QPendientes@" descr="@5C\QPendientes@">
          <a:extLst>
            <a:ext uri="{FF2B5EF4-FFF2-40B4-BE49-F238E27FC236}">
              <a16:creationId xmlns:a16="http://schemas.microsoft.com/office/drawing/2014/main" id="{F3AFB97B-511F-4D9A-80A8-2E4D54F37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908" name="Picture@5C\QPendientes@" descr="@5C\QPendientes@">
          <a:extLst>
            <a:ext uri="{FF2B5EF4-FFF2-40B4-BE49-F238E27FC236}">
              <a16:creationId xmlns:a16="http://schemas.microsoft.com/office/drawing/2014/main" id="{8B1366DC-A10C-447D-B1ED-66259ED05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09" name="Picture@5C\QPendientes@" descr="@5C\QPendientes@">
          <a:extLst>
            <a:ext uri="{FF2B5EF4-FFF2-40B4-BE49-F238E27FC236}">
              <a16:creationId xmlns:a16="http://schemas.microsoft.com/office/drawing/2014/main" id="{BF948C5D-CB01-4039-A593-7C42CDCB3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10" name="Picture@5C\QPendientes@" descr="@5C\QPendientes@">
          <a:extLst>
            <a:ext uri="{FF2B5EF4-FFF2-40B4-BE49-F238E27FC236}">
              <a16:creationId xmlns:a16="http://schemas.microsoft.com/office/drawing/2014/main" id="{0973947E-93C1-4015-AA7D-C493A0F5D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2911" name="Picture@5C\QPendientes@" descr="@5C\QPendientes@">
          <a:extLst>
            <a:ext uri="{FF2B5EF4-FFF2-40B4-BE49-F238E27FC236}">
              <a16:creationId xmlns:a16="http://schemas.microsoft.com/office/drawing/2014/main" id="{99A7A140-B25B-4B3B-A5CB-45DE94F1D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2912" name="Picture@5C\QPendientes@" descr="@5C\QPendientes@">
          <a:extLst>
            <a:ext uri="{FF2B5EF4-FFF2-40B4-BE49-F238E27FC236}">
              <a16:creationId xmlns:a16="http://schemas.microsoft.com/office/drawing/2014/main" id="{4ED82341-832B-4F24-ADEB-45FCC8682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2913" name="Picture@5C\QPendientes@" descr="@5C\QPendientes@">
          <a:extLst>
            <a:ext uri="{FF2B5EF4-FFF2-40B4-BE49-F238E27FC236}">
              <a16:creationId xmlns:a16="http://schemas.microsoft.com/office/drawing/2014/main" id="{FE777AF9-0EC3-479E-8EC8-7FC10FC27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2914" name="Picture@5C\QPendientes@" descr="@5C\QPendientes@">
          <a:extLst>
            <a:ext uri="{FF2B5EF4-FFF2-40B4-BE49-F238E27FC236}">
              <a16:creationId xmlns:a16="http://schemas.microsoft.com/office/drawing/2014/main" id="{6ED016A5-7AEE-42C8-B90A-31158978B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2915" name="Picture@5C\QPendientes@" descr="@5C\QPendientes@">
          <a:extLst>
            <a:ext uri="{FF2B5EF4-FFF2-40B4-BE49-F238E27FC236}">
              <a16:creationId xmlns:a16="http://schemas.microsoft.com/office/drawing/2014/main" id="{10C4364D-DC43-4073-9A6A-7A7DC860E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2916" name="Picture@5C\QPendientes@" descr="@5C\QPendientes@">
          <a:extLst>
            <a:ext uri="{FF2B5EF4-FFF2-40B4-BE49-F238E27FC236}">
              <a16:creationId xmlns:a16="http://schemas.microsoft.com/office/drawing/2014/main" id="{08A553A8-09D8-4134-8778-DBD6722FF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2917" name="Picture@5C\QPendientes@" descr="@5C\QPendientes@">
          <a:extLst>
            <a:ext uri="{FF2B5EF4-FFF2-40B4-BE49-F238E27FC236}">
              <a16:creationId xmlns:a16="http://schemas.microsoft.com/office/drawing/2014/main" id="{07E36711-B04F-436A-B6E0-CEFFE0153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2918" name="Picture@5C\QPendientes@" descr="@5C\QPendientes@">
          <a:extLst>
            <a:ext uri="{FF2B5EF4-FFF2-40B4-BE49-F238E27FC236}">
              <a16:creationId xmlns:a16="http://schemas.microsoft.com/office/drawing/2014/main" id="{9781BC6A-6EAE-42A0-B386-148DE5E9B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2919" name="Picture@5C\QPendientes@" descr="@5C\QPendientes@">
          <a:extLst>
            <a:ext uri="{FF2B5EF4-FFF2-40B4-BE49-F238E27FC236}">
              <a16:creationId xmlns:a16="http://schemas.microsoft.com/office/drawing/2014/main" id="{548D9CC5-E44C-4D5F-BD34-B6C053B81C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2920" name="Picture@5C\QPendientes@" descr="@5C\QPendientes@">
          <a:extLst>
            <a:ext uri="{FF2B5EF4-FFF2-40B4-BE49-F238E27FC236}">
              <a16:creationId xmlns:a16="http://schemas.microsoft.com/office/drawing/2014/main" id="{05FAAF46-EB0E-4AE1-80A4-B81425710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2921" name="Picture@5C\QPendientes@" descr="@5C\QPendientes@">
          <a:extLst>
            <a:ext uri="{FF2B5EF4-FFF2-40B4-BE49-F238E27FC236}">
              <a16:creationId xmlns:a16="http://schemas.microsoft.com/office/drawing/2014/main" id="{2E5EC76D-C233-4B7E-BBF8-45F50B88F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2922" name="Picture@5C\QPendientes@" descr="@5C\QPendientes@">
          <a:extLst>
            <a:ext uri="{FF2B5EF4-FFF2-40B4-BE49-F238E27FC236}">
              <a16:creationId xmlns:a16="http://schemas.microsoft.com/office/drawing/2014/main" id="{3772B3C9-D5C6-4A9B-B693-825200151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2923" name="Picture@5C\QPendientes@" descr="@5C\QPendientes@">
          <a:extLst>
            <a:ext uri="{FF2B5EF4-FFF2-40B4-BE49-F238E27FC236}">
              <a16:creationId xmlns:a16="http://schemas.microsoft.com/office/drawing/2014/main" id="{ED5583C8-CC78-4A61-9F11-5D4A708B0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2924" name="Picture@5C\QPendientes@" descr="@5C\QPendientes@">
          <a:extLst>
            <a:ext uri="{FF2B5EF4-FFF2-40B4-BE49-F238E27FC236}">
              <a16:creationId xmlns:a16="http://schemas.microsoft.com/office/drawing/2014/main" id="{8E39C5D0-D720-46BC-B49F-C4B801A4A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2925" name="Picture@5C\QPendientes@" descr="@5C\QPendientes@">
          <a:extLst>
            <a:ext uri="{FF2B5EF4-FFF2-40B4-BE49-F238E27FC236}">
              <a16:creationId xmlns:a16="http://schemas.microsoft.com/office/drawing/2014/main" id="{0A3F6EF6-B30F-4D56-A877-C56D43DA0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2926" name="Picture@5C\QPendientes@" descr="@5C\QPendientes@">
          <a:extLst>
            <a:ext uri="{FF2B5EF4-FFF2-40B4-BE49-F238E27FC236}">
              <a16:creationId xmlns:a16="http://schemas.microsoft.com/office/drawing/2014/main" id="{DFF828FA-7B70-44F3-B878-8E89A82F0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2927" name="Picture@5C\QPendientes@" descr="@5C\QPendientes@">
          <a:extLst>
            <a:ext uri="{FF2B5EF4-FFF2-40B4-BE49-F238E27FC236}">
              <a16:creationId xmlns:a16="http://schemas.microsoft.com/office/drawing/2014/main" id="{C3F80239-CFDA-4CDC-B9E0-CD26A7949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2928" name="Picture@5C\QPendientes@" descr="@5C\QPendientes@">
          <a:extLst>
            <a:ext uri="{FF2B5EF4-FFF2-40B4-BE49-F238E27FC236}">
              <a16:creationId xmlns:a16="http://schemas.microsoft.com/office/drawing/2014/main" id="{3C4BD33C-5E96-4A87-83B3-367569B0B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2929" name="Picture@5C\QPendientes@" descr="@5C\QPendientes@">
          <a:extLst>
            <a:ext uri="{FF2B5EF4-FFF2-40B4-BE49-F238E27FC236}">
              <a16:creationId xmlns:a16="http://schemas.microsoft.com/office/drawing/2014/main" id="{A67891D5-141B-4419-8270-77FDAA4E2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2930" name="Picture@5C\QPendientes@" descr="@5C\QPendientes@">
          <a:extLst>
            <a:ext uri="{FF2B5EF4-FFF2-40B4-BE49-F238E27FC236}">
              <a16:creationId xmlns:a16="http://schemas.microsoft.com/office/drawing/2014/main" id="{7476AEB3-8C1C-4531-86A7-1FAD4780D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2931" name="Picture@5C\QPendientes@" descr="@5C\QPendientes@">
          <a:extLst>
            <a:ext uri="{FF2B5EF4-FFF2-40B4-BE49-F238E27FC236}">
              <a16:creationId xmlns:a16="http://schemas.microsoft.com/office/drawing/2014/main" id="{176EC3F8-9635-43D6-95BF-24688F6EF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2932" name="Picture@5C\QPendientes@" descr="@5C\QPendientes@">
          <a:extLst>
            <a:ext uri="{FF2B5EF4-FFF2-40B4-BE49-F238E27FC236}">
              <a16:creationId xmlns:a16="http://schemas.microsoft.com/office/drawing/2014/main" id="{F14D8829-8C20-4B0A-BF8C-79A75A0BC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2933" name="Picture@5C\QPendientes@" descr="@5C\QPendientes@">
          <a:extLst>
            <a:ext uri="{FF2B5EF4-FFF2-40B4-BE49-F238E27FC236}">
              <a16:creationId xmlns:a16="http://schemas.microsoft.com/office/drawing/2014/main" id="{619C3803-324C-4137-8F38-9C9EF7CA3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2934" name="Picture@5C\QPendientes@" descr="@5C\QPendientes@">
          <a:extLst>
            <a:ext uri="{FF2B5EF4-FFF2-40B4-BE49-F238E27FC236}">
              <a16:creationId xmlns:a16="http://schemas.microsoft.com/office/drawing/2014/main" id="{EFCA4944-0EB1-44B7-A3AF-B97B263B7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2935" name="Picture@5C\QPendientes@" descr="@5C\QPendientes@">
          <a:extLst>
            <a:ext uri="{FF2B5EF4-FFF2-40B4-BE49-F238E27FC236}">
              <a16:creationId xmlns:a16="http://schemas.microsoft.com/office/drawing/2014/main" id="{79E28960-DD2E-49CB-B937-20BF770BE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2936" name="Picture@5C\QPendientes@" descr="@5C\QPendientes@">
          <a:extLst>
            <a:ext uri="{FF2B5EF4-FFF2-40B4-BE49-F238E27FC236}">
              <a16:creationId xmlns:a16="http://schemas.microsoft.com/office/drawing/2014/main" id="{25C776E8-1379-4C1F-8EF1-0ECC78B057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2937" name="Picture@5C\QPendientes@" descr="@5C\QPendientes@">
          <a:extLst>
            <a:ext uri="{FF2B5EF4-FFF2-40B4-BE49-F238E27FC236}">
              <a16:creationId xmlns:a16="http://schemas.microsoft.com/office/drawing/2014/main" id="{75E96D4E-A29C-4E2E-9679-2266AD366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2938" name="Picture@5C\QPendientes@" descr="@5C\QPendientes@">
          <a:extLst>
            <a:ext uri="{FF2B5EF4-FFF2-40B4-BE49-F238E27FC236}">
              <a16:creationId xmlns:a16="http://schemas.microsoft.com/office/drawing/2014/main" id="{C8EE2BDE-CD05-4511-951E-D10F3AD9D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2939" name="Picture@5C\QPendientes@" descr="@5C\QPendientes@">
          <a:extLst>
            <a:ext uri="{FF2B5EF4-FFF2-40B4-BE49-F238E27FC236}">
              <a16:creationId xmlns:a16="http://schemas.microsoft.com/office/drawing/2014/main" id="{B108ED57-D178-46AA-9559-D611D4F79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2940" name="Picture@5C\QPendientes@" descr="@5C\QPendientes@">
          <a:extLst>
            <a:ext uri="{FF2B5EF4-FFF2-40B4-BE49-F238E27FC236}">
              <a16:creationId xmlns:a16="http://schemas.microsoft.com/office/drawing/2014/main" id="{BE34C1ED-241A-4515-9F88-6450B0E65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2941" name="Picture@5C\QPendientes@" descr="@5C\QPendientes@">
          <a:extLst>
            <a:ext uri="{FF2B5EF4-FFF2-40B4-BE49-F238E27FC236}">
              <a16:creationId xmlns:a16="http://schemas.microsoft.com/office/drawing/2014/main" id="{F0A6AA20-63C7-490D-974B-18D4B001A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2942" name="Picture@5C\QPendientes@" descr="@5C\QPendientes@">
          <a:extLst>
            <a:ext uri="{FF2B5EF4-FFF2-40B4-BE49-F238E27FC236}">
              <a16:creationId xmlns:a16="http://schemas.microsoft.com/office/drawing/2014/main" id="{24606DEA-DF1D-4E12-B13B-F2F89E8AF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2943" name="Picture@5C\QPendientes@" descr="@5C\QPendientes@">
          <a:extLst>
            <a:ext uri="{FF2B5EF4-FFF2-40B4-BE49-F238E27FC236}">
              <a16:creationId xmlns:a16="http://schemas.microsoft.com/office/drawing/2014/main" id="{02025AFB-5351-44AD-9E27-E3E31F518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7788" name="Picture@5C\QPendientes@" descr="@5C\QPendientes@">
          <a:extLst>
            <a:ext uri="{FF2B5EF4-FFF2-40B4-BE49-F238E27FC236}">
              <a16:creationId xmlns:a16="http://schemas.microsoft.com/office/drawing/2014/main" id="{D3A26345-1162-4CEB-A788-BAA69A8ED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7789" name="Picture@5C\QPendientes@" descr="@5C\QPendientes@">
          <a:extLst>
            <a:ext uri="{FF2B5EF4-FFF2-40B4-BE49-F238E27FC236}">
              <a16:creationId xmlns:a16="http://schemas.microsoft.com/office/drawing/2014/main" id="{CE11CB89-AF64-4363-905E-6F6BF6B51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7790" name="Picture@5C\QPendientes@" descr="@5C\QPendientes@">
          <a:extLst>
            <a:ext uri="{FF2B5EF4-FFF2-40B4-BE49-F238E27FC236}">
              <a16:creationId xmlns:a16="http://schemas.microsoft.com/office/drawing/2014/main" id="{CEDC2240-7637-41C9-9579-8FB713C59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7791" name="Picture@5C\QPendientes@" descr="@5C\QPendientes@">
          <a:extLst>
            <a:ext uri="{FF2B5EF4-FFF2-40B4-BE49-F238E27FC236}">
              <a16:creationId xmlns:a16="http://schemas.microsoft.com/office/drawing/2014/main" id="{8BFF1D2D-A617-40A1-BB40-AA024398D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7792" name="Picture@5C\QPendientes@" descr="@5C\QPendientes@">
          <a:extLst>
            <a:ext uri="{FF2B5EF4-FFF2-40B4-BE49-F238E27FC236}">
              <a16:creationId xmlns:a16="http://schemas.microsoft.com/office/drawing/2014/main" id="{A361C755-32C9-4972-8E0B-2BCBFA2FA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7793" name="Picture@5C\QPendientes@" descr="@5C\QPendientes@">
          <a:extLst>
            <a:ext uri="{FF2B5EF4-FFF2-40B4-BE49-F238E27FC236}">
              <a16:creationId xmlns:a16="http://schemas.microsoft.com/office/drawing/2014/main" id="{240078EF-6671-4E26-882D-B5982C076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794" name="Picture@5C\QPendientes@" descr="@5C\QPendientes@">
          <a:extLst>
            <a:ext uri="{FF2B5EF4-FFF2-40B4-BE49-F238E27FC236}">
              <a16:creationId xmlns:a16="http://schemas.microsoft.com/office/drawing/2014/main" id="{CCC935C3-179E-4B15-826F-CC3673BEF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795" name="Picture@5C\QPendientes@" descr="@5C\QPendientes@">
          <a:extLst>
            <a:ext uri="{FF2B5EF4-FFF2-40B4-BE49-F238E27FC236}">
              <a16:creationId xmlns:a16="http://schemas.microsoft.com/office/drawing/2014/main" id="{A4E4C0B2-F299-4C97-BA22-4B58450EE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796" name="Picture@5C\QPendientes@" descr="@5C\QPendientes@">
          <a:extLst>
            <a:ext uri="{FF2B5EF4-FFF2-40B4-BE49-F238E27FC236}">
              <a16:creationId xmlns:a16="http://schemas.microsoft.com/office/drawing/2014/main" id="{F8152099-0DB7-40E2-B204-C7C8B6DAF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797" name="Picture@5C\QPendientes@" descr="@5C\QPendientes@">
          <a:extLst>
            <a:ext uri="{FF2B5EF4-FFF2-40B4-BE49-F238E27FC236}">
              <a16:creationId xmlns:a16="http://schemas.microsoft.com/office/drawing/2014/main" id="{14F4A079-6A8C-4C46-AC7E-96BEFDC9B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798" name="Picture@5C\QPendientes@" descr="@5C\QPendientes@">
          <a:extLst>
            <a:ext uri="{FF2B5EF4-FFF2-40B4-BE49-F238E27FC236}">
              <a16:creationId xmlns:a16="http://schemas.microsoft.com/office/drawing/2014/main" id="{70BD69C4-6BB8-4AF6-8AC8-E945191D2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799" name="Picture@5C\QPendientes@" descr="@5C\QPendientes@">
          <a:extLst>
            <a:ext uri="{FF2B5EF4-FFF2-40B4-BE49-F238E27FC236}">
              <a16:creationId xmlns:a16="http://schemas.microsoft.com/office/drawing/2014/main" id="{764D8E75-50D3-415D-A268-C6D82670B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800" name="Picture@5C\QPendientes@" descr="@5C\QPendientes@">
          <a:extLst>
            <a:ext uri="{FF2B5EF4-FFF2-40B4-BE49-F238E27FC236}">
              <a16:creationId xmlns:a16="http://schemas.microsoft.com/office/drawing/2014/main" id="{B7D2E7EF-F394-477F-BA55-B66C9B90D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801" name="Picture@5C\QPendientes@" descr="@5C\QPendientes@">
          <a:extLst>
            <a:ext uri="{FF2B5EF4-FFF2-40B4-BE49-F238E27FC236}">
              <a16:creationId xmlns:a16="http://schemas.microsoft.com/office/drawing/2014/main" id="{82E0B145-21B4-45AD-8336-DEBAB4EBE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802" name="Picture@5C\QPendientes@" descr="@5C\QPendientes@">
          <a:extLst>
            <a:ext uri="{FF2B5EF4-FFF2-40B4-BE49-F238E27FC236}">
              <a16:creationId xmlns:a16="http://schemas.microsoft.com/office/drawing/2014/main" id="{C17D3054-08E8-4800-9A47-6E8351AA6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03" name="Picture@5C\QPendientes@" descr="@5C\QPendientes@">
          <a:extLst>
            <a:ext uri="{FF2B5EF4-FFF2-40B4-BE49-F238E27FC236}">
              <a16:creationId xmlns:a16="http://schemas.microsoft.com/office/drawing/2014/main" id="{ED713180-3E91-4C6E-80A6-AC5433D7E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804" name="Picture@5C\QPendientes@" descr="@5C\QPendientes@">
          <a:extLst>
            <a:ext uri="{FF2B5EF4-FFF2-40B4-BE49-F238E27FC236}">
              <a16:creationId xmlns:a16="http://schemas.microsoft.com/office/drawing/2014/main" id="{C4986A99-87E9-40DB-A788-29AA8D4A0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7805" name="Picture@5C\QPendientes@" descr="@5C\QPendientes@">
          <a:extLst>
            <a:ext uri="{FF2B5EF4-FFF2-40B4-BE49-F238E27FC236}">
              <a16:creationId xmlns:a16="http://schemas.microsoft.com/office/drawing/2014/main" id="{99CF0D19-BAF6-4872-A8FF-4639B2FAE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7806" name="Picture@5C\QPendientes@" descr="@5C\QPendientes@">
          <a:extLst>
            <a:ext uri="{FF2B5EF4-FFF2-40B4-BE49-F238E27FC236}">
              <a16:creationId xmlns:a16="http://schemas.microsoft.com/office/drawing/2014/main" id="{4433E921-D5B1-41AE-A8A1-CBAFAA91C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7807" name="Picture@5C\QPendientes@" descr="@5C\QPendientes@">
          <a:extLst>
            <a:ext uri="{FF2B5EF4-FFF2-40B4-BE49-F238E27FC236}">
              <a16:creationId xmlns:a16="http://schemas.microsoft.com/office/drawing/2014/main" id="{2AAFE854-AF07-4FCE-99B1-78CE187C4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5312" name="Picture@5C\QPendientes@" descr="@5C\QPendientes@">
          <a:extLst>
            <a:ext uri="{FF2B5EF4-FFF2-40B4-BE49-F238E27FC236}">
              <a16:creationId xmlns:a16="http://schemas.microsoft.com/office/drawing/2014/main" id="{00D96612-AD6E-4890-936B-6582EFFFAA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5313" name="Picture@5C\QPendientes@" descr="@5C\QPendientes@">
          <a:extLst>
            <a:ext uri="{FF2B5EF4-FFF2-40B4-BE49-F238E27FC236}">
              <a16:creationId xmlns:a16="http://schemas.microsoft.com/office/drawing/2014/main" id="{D51C995D-F116-4ED9-BED0-4626665EA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5314" name="Picture@5C\QPendientes@" descr="@5C\QPendientes@">
          <a:extLst>
            <a:ext uri="{FF2B5EF4-FFF2-40B4-BE49-F238E27FC236}">
              <a16:creationId xmlns:a16="http://schemas.microsoft.com/office/drawing/2014/main" id="{0DDAD0B0-FF3E-444D-BD53-86E487B01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5315" name="Picture@5C\QPendientes@" descr="@5C\QPendientes@">
          <a:extLst>
            <a:ext uri="{FF2B5EF4-FFF2-40B4-BE49-F238E27FC236}">
              <a16:creationId xmlns:a16="http://schemas.microsoft.com/office/drawing/2014/main" id="{778A01F4-A234-4AA0-A0E7-F2B3C1BB8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5316" name="Picture@5C\QPendientes@" descr="@5C\QPendientes@">
          <a:extLst>
            <a:ext uri="{FF2B5EF4-FFF2-40B4-BE49-F238E27FC236}">
              <a16:creationId xmlns:a16="http://schemas.microsoft.com/office/drawing/2014/main" id="{3946A5D1-FF93-403C-A5AD-4EA1D3D9E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5317" name="Picture@5C\QPendientes@" descr="@5C\QPendientes@">
          <a:extLst>
            <a:ext uri="{FF2B5EF4-FFF2-40B4-BE49-F238E27FC236}">
              <a16:creationId xmlns:a16="http://schemas.microsoft.com/office/drawing/2014/main" id="{DD2F4500-0248-49E6-B504-501D8AA1A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5318" name="Picture@5C\QPendientes@" descr="@5C\QPendientes@">
          <a:extLst>
            <a:ext uri="{FF2B5EF4-FFF2-40B4-BE49-F238E27FC236}">
              <a16:creationId xmlns:a16="http://schemas.microsoft.com/office/drawing/2014/main" id="{11D72255-F7EF-42F9-B48B-BF8D7A302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5319" name="Picture@5C\QPendientes@" descr="@5C\QPendientes@">
          <a:extLst>
            <a:ext uri="{FF2B5EF4-FFF2-40B4-BE49-F238E27FC236}">
              <a16:creationId xmlns:a16="http://schemas.microsoft.com/office/drawing/2014/main" id="{6BD82490-66C9-4A4D-8D45-1F2F83EFFF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5320" name="Picture@5C\QPendientes@" descr="@5C\QPendientes@">
          <a:extLst>
            <a:ext uri="{FF2B5EF4-FFF2-40B4-BE49-F238E27FC236}">
              <a16:creationId xmlns:a16="http://schemas.microsoft.com/office/drawing/2014/main" id="{06252439-007F-4323-BC04-5C6E62FCB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5321" name="Picture@5C\QPendientes@" descr="@5C\QPendientes@">
          <a:extLst>
            <a:ext uri="{FF2B5EF4-FFF2-40B4-BE49-F238E27FC236}">
              <a16:creationId xmlns:a16="http://schemas.microsoft.com/office/drawing/2014/main" id="{4C9AA924-A445-4A84-9844-37000FE1B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5322" name="Picture@5C\QPendientes@" descr="@5C\QPendientes@">
          <a:extLst>
            <a:ext uri="{FF2B5EF4-FFF2-40B4-BE49-F238E27FC236}">
              <a16:creationId xmlns:a16="http://schemas.microsoft.com/office/drawing/2014/main" id="{F7DF5149-A249-4B44-B143-B1A5CFFCB6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5323" name="Picture@5C\QPendientes@" descr="@5C\QPendientes@">
          <a:extLst>
            <a:ext uri="{FF2B5EF4-FFF2-40B4-BE49-F238E27FC236}">
              <a16:creationId xmlns:a16="http://schemas.microsoft.com/office/drawing/2014/main" id="{173AAC34-55C7-4C19-BF14-183B57C06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5324" name="Picture@5C\QPendientes@" descr="@5C\QPendientes@">
          <a:extLst>
            <a:ext uri="{FF2B5EF4-FFF2-40B4-BE49-F238E27FC236}">
              <a16:creationId xmlns:a16="http://schemas.microsoft.com/office/drawing/2014/main" id="{EEED68A2-E6E7-49B3-A040-EC9AB0E49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5325" name="Picture@5C\QPendientes@" descr="@5C\QPendientes@">
          <a:extLst>
            <a:ext uri="{FF2B5EF4-FFF2-40B4-BE49-F238E27FC236}">
              <a16:creationId xmlns:a16="http://schemas.microsoft.com/office/drawing/2014/main" id="{E6988B7D-ABBA-49FD-A152-EEB54936E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5326" name="Picture@5C\QPendientes@" descr="@5C\QPendientes@">
          <a:extLst>
            <a:ext uri="{FF2B5EF4-FFF2-40B4-BE49-F238E27FC236}">
              <a16:creationId xmlns:a16="http://schemas.microsoft.com/office/drawing/2014/main" id="{42D53196-9F2B-450D-97B3-2827B42B8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5327" name="Picture@5C\QPendientes@" descr="@5C\QPendientes@">
          <a:extLst>
            <a:ext uri="{FF2B5EF4-FFF2-40B4-BE49-F238E27FC236}">
              <a16:creationId xmlns:a16="http://schemas.microsoft.com/office/drawing/2014/main" id="{0F08EF0E-1814-4136-A816-5AE7E182B0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7808" name="Picture@5C\QPendientes@" descr="@5C\QPendientes@">
          <a:extLst>
            <a:ext uri="{FF2B5EF4-FFF2-40B4-BE49-F238E27FC236}">
              <a16:creationId xmlns:a16="http://schemas.microsoft.com/office/drawing/2014/main" id="{F45D0FC8-7022-4307-BBAC-814718705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7809" name="Picture@5C\QPendientes@" descr="@5C\QPendientes@">
          <a:extLst>
            <a:ext uri="{FF2B5EF4-FFF2-40B4-BE49-F238E27FC236}">
              <a16:creationId xmlns:a16="http://schemas.microsoft.com/office/drawing/2014/main" id="{B2AE83A8-5E70-4052-BDA4-610411675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7810" name="Picture@5C\QPendientes@" descr="@5C\QPendientes@">
          <a:extLst>
            <a:ext uri="{FF2B5EF4-FFF2-40B4-BE49-F238E27FC236}">
              <a16:creationId xmlns:a16="http://schemas.microsoft.com/office/drawing/2014/main" id="{D8B021A0-BD45-48DC-96FA-D86EA4AE6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7811" name="Picture@5C\QPendientes@" descr="@5C\QPendientes@">
          <a:extLst>
            <a:ext uri="{FF2B5EF4-FFF2-40B4-BE49-F238E27FC236}">
              <a16:creationId xmlns:a16="http://schemas.microsoft.com/office/drawing/2014/main" id="{5DE46224-509F-4C5E-9E61-BD3EB634D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7812" name="Picture@5C\QPendientes@" descr="@5C\QPendientes@">
          <a:extLst>
            <a:ext uri="{FF2B5EF4-FFF2-40B4-BE49-F238E27FC236}">
              <a16:creationId xmlns:a16="http://schemas.microsoft.com/office/drawing/2014/main" id="{8EB65D62-D2EB-48FC-9EE8-4B34CE203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7813" name="Picture@5C\QPendientes@" descr="@5C\QPendientes@">
          <a:extLst>
            <a:ext uri="{FF2B5EF4-FFF2-40B4-BE49-F238E27FC236}">
              <a16:creationId xmlns:a16="http://schemas.microsoft.com/office/drawing/2014/main" id="{86B71E48-D17F-4102-A2F0-1D74AB93A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7814" name="Picture@5C\QPendientes@" descr="@5C\QPendientes@">
          <a:extLst>
            <a:ext uri="{FF2B5EF4-FFF2-40B4-BE49-F238E27FC236}">
              <a16:creationId xmlns:a16="http://schemas.microsoft.com/office/drawing/2014/main" id="{8B8672CE-F3A4-4CA1-890A-D56792118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7815" name="Picture@5C\QPendientes@" descr="@5C\QPendientes@">
          <a:extLst>
            <a:ext uri="{FF2B5EF4-FFF2-40B4-BE49-F238E27FC236}">
              <a16:creationId xmlns:a16="http://schemas.microsoft.com/office/drawing/2014/main" id="{361E5045-E965-4F49-9BDF-3F7EEF624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7816" name="Picture@5C\QPendientes@" descr="@5C\QPendientes@">
          <a:extLst>
            <a:ext uri="{FF2B5EF4-FFF2-40B4-BE49-F238E27FC236}">
              <a16:creationId xmlns:a16="http://schemas.microsoft.com/office/drawing/2014/main" id="{60C90018-85BC-4F46-BE44-29B83EA97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7817" name="Picture@5C\QPendientes@" descr="@5C\QPendientes@">
          <a:extLst>
            <a:ext uri="{FF2B5EF4-FFF2-40B4-BE49-F238E27FC236}">
              <a16:creationId xmlns:a16="http://schemas.microsoft.com/office/drawing/2014/main" id="{1612B2EE-FCF2-4C33-8B4E-409C5B994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7818" name="Picture@5C\QPendientes@" descr="@5C\QPendientes@">
          <a:extLst>
            <a:ext uri="{FF2B5EF4-FFF2-40B4-BE49-F238E27FC236}">
              <a16:creationId xmlns:a16="http://schemas.microsoft.com/office/drawing/2014/main" id="{99289297-FCE9-49F3-8BEF-736D39A72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7819" name="Picture@5C\QPendientes@" descr="@5C\QPendientes@">
          <a:extLst>
            <a:ext uri="{FF2B5EF4-FFF2-40B4-BE49-F238E27FC236}">
              <a16:creationId xmlns:a16="http://schemas.microsoft.com/office/drawing/2014/main" id="{8D0D5473-FBE3-4989-8139-2317CC43F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7820" name="Picture@5C\QPendientes@" descr="@5C\QPendientes@">
          <a:extLst>
            <a:ext uri="{FF2B5EF4-FFF2-40B4-BE49-F238E27FC236}">
              <a16:creationId xmlns:a16="http://schemas.microsoft.com/office/drawing/2014/main" id="{EEBA35D3-23C2-4B90-B37B-F5AFAB788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7821" name="Picture@5C\QPendientes@" descr="@5C\QPendientes@">
          <a:extLst>
            <a:ext uri="{FF2B5EF4-FFF2-40B4-BE49-F238E27FC236}">
              <a16:creationId xmlns:a16="http://schemas.microsoft.com/office/drawing/2014/main" id="{1934675D-9DD5-4684-95F0-5CE1E1B15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7822" name="Picture@5C\QPendientes@" descr="@5C\QPendientes@">
          <a:extLst>
            <a:ext uri="{FF2B5EF4-FFF2-40B4-BE49-F238E27FC236}">
              <a16:creationId xmlns:a16="http://schemas.microsoft.com/office/drawing/2014/main" id="{73FE642D-6D33-4712-A76E-B8A25F0F4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7823" name="Picture@5C\QPendientes@" descr="@5C\QPendientes@">
          <a:extLst>
            <a:ext uri="{FF2B5EF4-FFF2-40B4-BE49-F238E27FC236}">
              <a16:creationId xmlns:a16="http://schemas.microsoft.com/office/drawing/2014/main" id="{1F5B88E6-1314-42A8-9494-04839D7D3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7824" name="Picture@5C\QPendientes@" descr="@5C\QPendientes@">
          <a:extLst>
            <a:ext uri="{FF2B5EF4-FFF2-40B4-BE49-F238E27FC236}">
              <a16:creationId xmlns:a16="http://schemas.microsoft.com/office/drawing/2014/main" id="{5551A937-E732-4A5A-BBDE-FA90EC3A7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7825" name="Picture@5C\QPendientes@" descr="@5C\QPendientes@">
          <a:extLst>
            <a:ext uri="{FF2B5EF4-FFF2-40B4-BE49-F238E27FC236}">
              <a16:creationId xmlns:a16="http://schemas.microsoft.com/office/drawing/2014/main" id="{C4143440-A44D-487C-AC37-8D01A97E4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7826" name="Picture@5C\QPendientes@" descr="@5C\QPendientes@">
          <a:extLst>
            <a:ext uri="{FF2B5EF4-FFF2-40B4-BE49-F238E27FC236}">
              <a16:creationId xmlns:a16="http://schemas.microsoft.com/office/drawing/2014/main" id="{191A50A7-60C9-4B08-87F5-46CD1DF60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7827" name="Picture@5C\QPendientes@" descr="@5C\QPendientes@">
          <a:extLst>
            <a:ext uri="{FF2B5EF4-FFF2-40B4-BE49-F238E27FC236}">
              <a16:creationId xmlns:a16="http://schemas.microsoft.com/office/drawing/2014/main" id="{70B3C52A-50E8-45EE-BA5B-A50CD89C8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7828" name="Picture@5C\QPendientes@" descr="@5C\QPendientes@">
          <a:extLst>
            <a:ext uri="{FF2B5EF4-FFF2-40B4-BE49-F238E27FC236}">
              <a16:creationId xmlns:a16="http://schemas.microsoft.com/office/drawing/2014/main" id="{B8D9FA40-A6F7-4ED9-A2B5-8B9B2DCD1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7829" name="Picture@5C\QPendientes@" descr="@5C\QPendientes@">
          <a:extLst>
            <a:ext uri="{FF2B5EF4-FFF2-40B4-BE49-F238E27FC236}">
              <a16:creationId xmlns:a16="http://schemas.microsoft.com/office/drawing/2014/main" id="{F6F8C6C1-DA4D-41B5-B767-1C645C175C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7830" name="Picture@5C\QPendientes@" descr="@5C\QPendientes@">
          <a:extLst>
            <a:ext uri="{FF2B5EF4-FFF2-40B4-BE49-F238E27FC236}">
              <a16:creationId xmlns:a16="http://schemas.microsoft.com/office/drawing/2014/main" id="{4F0A5B19-5339-450B-BD46-EB7AECB03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7831" name="Picture@5C\QPendientes@" descr="@5C\QPendientes@">
          <a:extLst>
            <a:ext uri="{FF2B5EF4-FFF2-40B4-BE49-F238E27FC236}">
              <a16:creationId xmlns:a16="http://schemas.microsoft.com/office/drawing/2014/main" id="{3CA3C5D2-C310-47B8-9035-296BBDD0C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7832" name="Picture@5C\QPendientes@" descr="@5C\QPendientes@">
          <a:extLst>
            <a:ext uri="{FF2B5EF4-FFF2-40B4-BE49-F238E27FC236}">
              <a16:creationId xmlns:a16="http://schemas.microsoft.com/office/drawing/2014/main" id="{94E7B8F5-DB89-4FA7-95FB-5218575DA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7833" name="Picture@5C\QPendientes@" descr="@5C\QPendientes@">
          <a:extLst>
            <a:ext uri="{FF2B5EF4-FFF2-40B4-BE49-F238E27FC236}">
              <a16:creationId xmlns:a16="http://schemas.microsoft.com/office/drawing/2014/main" id="{529BC7A7-010E-4442-B0A3-53A5760E9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7834" name="Picture@5C\QPendientes@" descr="@5C\QPendientes@">
          <a:extLst>
            <a:ext uri="{FF2B5EF4-FFF2-40B4-BE49-F238E27FC236}">
              <a16:creationId xmlns:a16="http://schemas.microsoft.com/office/drawing/2014/main" id="{D583E8AC-C134-492A-9EED-ABB3B982D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7835" name="Picture@5C\QPendientes@" descr="@5C\QPendientes@">
          <a:extLst>
            <a:ext uri="{FF2B5EF4-FFF2-40B4-BE49-F238E27FC236}">
              <a16:creationId xmlns:a16="http://schemas.microsoft.com/office/drawing/2014/main" id="{6FB384B7-8858-4054-B0B9-AE9A05FC3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7836" name="Picture@5C\QPendientes@" descr="@5C\QPendientes@">
          <a:extLst>
            <a:ext uri="{FF2B5EF4-FFF2-40B4-BE49-F238E27FC236}">
              <a16:creationId xmlns:a16="http://schemas.microsoft.com/office/drawing/2014/main" id="{C8669BD0-C0FF-45EA-8372-D0A6A14E6A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7837" name="Picture@5C\QPendientes@" descr="@5C\QPendientes@">
          <a:extLst>
            <a:ext uri="{FF2B5EF4-FFF2-40B4-BE49-F238E27FC236}">
              <a16:creationId xmlns:a16="http://schemas.microsoft.com/office/drawing/2014/main" id="{1E62E944-7769-4378-A928-E5FDD920C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7838" name="Picture@5C\QPendientes@" descr="@5C\QPendientes@">
          <a:extLst>
            <a:ext uri="{FF2B5EF4-FFF2-40B4-BE49-F238E27FC236}">
              <a16:creationId xmlns:a16="http://schemas.microsoft.com/office/drawing/2014/main" id="{283E51F1-91FD-449D-80A6-D61B511EF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7839" name="Picture@5C\QPendientes@" descr="@5C\QPendientes@">
          <a:extLst>
            <a:ext uri="{FF2B5EF4-FFF2-40B4-BE49-F238E27FC236}">
              <a16:creationId xmlns:a16="http://schemas.microsoft.com/office/drawing/2014/main" id="{97D7262A-96CB-485B-B668-837D12B66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7840" name="Picture@5C\QPendientes@" descr="@5C\QPendientes@">
          <a:extLst>
            <a:ext uri="{FF2B5EF4-FFF2-40B4-BE49-F238E27FC236}">
              <a16:creationId xmlns:a16="http://schemas.microsoft.com/office/drawing/2014/main" id="{D6E631C7-B07E-4B33-917A-4EC27F5E6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7841" name="Picture@5C\QPendientes@" descr="@5C\QPendientes@">
          <a:extLst>
            <a:ext uri="{FF2B5EF4-FFF2-40B4-BE49-F238E27FC236}">
              <a16:creationId xmlns:a16="http://schemas.microsoft.com/office/drawing/2014/main" id="{BEFB0370-5924-469C-97F8-EAC635D07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7842" name="Picture@5C\QPendientes@" descr="@5C\QPendientes@">
          <a:extLst>
            <a:ext uri="{FF2B5EF4-FFF2-40B4-BE49-F238E27FC236}">
              <a16:creationId xmlns:a16="http://schemas.microsoft.com/office/drawing/2014/main" id="{6C3ED6C5-F911-4BF1-BEF4-743ACD010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7843" name="Picture@5C\QPendientes@" descr="@5C\QPendientes@">
          <a:extLst>
            <a:ext uri="{FF2B5EF4-FFF2-40B4-BE49-F238E27FC236}">
              <a16:creationId xmlns:a16="http://schemas.microsoft.com/office/drawing/2014/main" id="{EB8C4FCF-C6E0-455A-B47C-426F73462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7844" name="Picture@5C\QPendientes@" descr="@5C\QPendientes@">
          <a:extLst>
            <a:ext uri="{FF2B5EF4-FFF2-40B4-BE49-F238E27FC236}">
              <a16:creationId xmlns:a16="http://schemas.microsoft.com/office/drawing/2014/main" id="{B93C709B-51A5-4C5E-B4F0-ECB7FED1B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7845" name="Picture@5C\QPendientes@" descr="@5C\QPendientes@">
          <a:extLst>
            <a:ext uri="{FF2B5EF4-FFF2-40B4-BE49-F238E27FC236}">
              <a16:creationId xmlns:a16="http://schemas.microsoft.com/office/drawing/2014/main" id="{A45CD789-5D71-4461-BD41-9AB40B18C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7846" name="Picture@5C\QPendientes@" descr="@5C\QPendientes@">
          <a:extLst>
            <a:ext uri="{FF2B5EF4-FFF2-40B4-BE49-F238E27FC236}">
              <a16:creationId xmlns:a16="http://schemas.microsoft.com/office/drawing/2014/main" id="{313FDCE5-1183-4855-8725-D8ADF37A4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7847" name="Picture@5C\QPendientes@" descr="@5C\QPendientes@">
          <a:extLst>
            <a:ext uri="{FF2B5EF4-FFF2-40B4-BE49-F238E27FC236}">
              <a16:creationId xmlns:a16="http://schemas.microsoft.com/office/drawing/2014/main" id="{5A21DD5F-E955-46A6-88E0-518852EB8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7848" name="Picture@5C\QPendientes@" descr="@5C\QPendientes@">
          <a:extLst>
            <a:ext uri="{FF2B5EF4-FFF2-40B4-BE49-F238E27FC236}">
              <a16:creationId xmlns:a16="http://schemas.microsoft.com/office/drawing/2014/main" id="{C54DCF83-DB6F-4816-96AB-52DE9AFD1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7849" name="Picture@5C\QPendientes@" descr="@5C\QPendientes@">
          <a:extLst>
            <a:ext uri="{FF2B5EF4-FFF2-40B4-BE49-F238E27FC236}">
              <a16:creationId xmlns:a16="http://schemas.microsoft.com/office/drawing/2014/main" id="{5C426177-3663-4487-A076-04EE0E672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7850" name="Picture@5C\QPendientes@" descr="@5C\QPendientes@">
          <a:extLst>
            <a:ext uri="{FF2B5EF4-FFF2-40B4-BE49-F238E27FC236}">
              <a16:creationId xmlns:a16="http://schemas.microsoft.com/office/drawing/2014/main" id="{5CAE6242-46F4-4A80-8833-653779DB9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7851" name="Picture@5C\QPendientes@" descr="@5C\QPendientes@">
          <a:extLst>
            <a:ext uri="{FF2B5EF4-FFF2-40B4-BE49-F238E27FC236}">
              <a16:creationId xmlns:a16="http://schemas.microsoft.com/office/drawing/2014/main" id="{3AB47A7F-3894-4B1C-9713-736DA398C7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7852" name="Picture@5C\QPendientes@" descr="@5C\QPendientes@">
          <a:extLst>
            <a:ext uri="{FF2B5EF4-FFF2-40B4-BE49-F238E27FC236}">
              <a16:creationId xmlns:a16="http://schemas.microsoft.com/office/drawing/2014/main" id="{F604D184-2DD7-45DA-B0ED-DDFA5005C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7853" name="Picture@5C\QPendientes@" descr="@5C\QPendientes@">
          <a:extLst>
            <a:ext uri="{FF2B5EF4-FFF2-40B4-BE49-F238E27FC236}">
              <a16:creationId xmlns:a16="http://schemas.microsoft.com/office/drawing/2014/main" id="{F94E3AB4-A565-4E7A-8DF0-E5F8A641A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7854" name="Picture@5C\QPendientes@" descr="@5C\QPendientes@">
          <a:extLst>
            <a:ext uri="{FF2B5EF4-FFF2-40B4-BE49-F238E27FC236}">
              <a16:creationId xmlns:a16="http://schemas.microsoft.com/office/drawing/2014/main" id="{E8B9765B-45E0-43C4-91AE-F6F813622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7855" name="Picture@5C\QPendientes@" descr="@5C\QPendientes@">
          <a:extLst>
            <a:ext uri="{FF2B5EF4-FFF2-40B4-BE49-F238E27FC236}">
              <a16:creationId xmlns:a16="http://schemas.microsoft.com/office/drawing/2014/main" id="{D9AF5401-EBB5-4406-BC92-A0DF72195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7856" name="Picture@5C\QPendientes@" descr="@5C\QPendientes@">
          <a:extLst>
            <a:ext uri="{FF2B5EF4-FFF2-40B4-BE49-F238E27FC236}">
              <a16:creationId xmlns:a16="http://schemas.microsoft.com/office/drawing/2014/main" id="{024E7039-D3A4-45DB-A9B3-90B0EEB25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7857" name="Picture@5C\QPendientes@" descr="@5C\QPendientes@">
          <a:extLst>
            <a:ext uri="{FF2B5EF4-FFF2-40B4-BE49-F238E27FC236}">
              <a16:creationId xmlns:a16="http://schemas.microsoft.com/office/drawing/2014/main" id="{59C6BD76-85DA-4A2C-BD10-D478DF98F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7858" name="Picture@5C\QPendientes@" descr="@5C\QPendientes@">
          <a:extLst>
            <a:ext uri="{FF2B5EF4-FFF2-40B4-BE49-F238E27FC236}">
              <a16:creationId xmlns:a16="http://schemas.microsoft.com/office/drawing/2014/main" id="{3B55B652-CA90-4569-AE79-9A09278BE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7859" name="Picture@5C\QPendientes@" descr="@5C\QPendientes@">
          <a:extLst>
            <a:ext uri="{FF2B5EF4-FFF2-40B4-BE49-F238E27FC236}">
              <a16:creationId xmlns:a16="http://schemas.microsoft.com/office/drawing/2014/main" id="{FAE9952B-7637-4B7D-8C3C-C9D6CA21C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7860" name="Picture@5C\QPendientes@" descr="@5C\QPendientes@">
          <a:extLst>
            <a:ext uri="{FF2B5EF4-FFF2-40B4-BE49-F238E27FC236}">
              <a16:creationId xmlns:a16="http://schemas.microsoft.com/office/drawing/2014/main" id="{E0A94EFE-06C5-4C1F-8838-17BC013FA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7861" name="Picture@5C\QPendientes@" descr="@5C\QPendientes@">
          <a:extLst>
            <a:ext uri="{FF2B5EF4-FFF2-40B4-BE49-F238E27FC236}">
              <a16:creationId xmlns:a16="http://schemas.microsoft.com/office/drawing/2014/main" id="{56D9035F-8CC2-4FEA-98B7-CD1859DFC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7862" name="Picture@5C\QPendientes@" descr="@5C\QPendientes@">
          <a:extLst>
            <a:ext uri="{FF2B5EF4-FFF2-40B4-BE49-F238E27FC236}">
              <a16:creationId xmlns:a16="http://schemas.microsoft.com/office/drawing/2014/main" id="{336389D2-FE07-4FC2-8797-E7F0E24A0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7863" name="Picture@5C\QPendientes@" descr="@5C\QPendientes@">
          <a:extLst>
            <a:ext uri="{FF2B5EF4-FFF2-40B4-BE49-F238E27FC236}">
              <a16:creationId xmlns:a16="http://schemas.microsoft.com/office/drawing/2014/main" id="{3577D5A8-3A92-4D9F-B49A-A37092AF9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7864" name="Picture@5C\QPendientes@" descr="@5C\QPendientes@">
          <a:extLst>
            <a:ext uri="{FF2B5EF4-FFF2-40B4-BE49-F238E27FC236}">
              <a16:creationId xmlns:a16="http://schemas.microsoft.com/office/drawing/2014/main" id="{7EFF1B15-6A9D-47AA-8A29-A2684FE28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7865" name="Picture@5C\QPendientes@" descr="@5C\QPendientes@">
          <a:extLst>
            <a:ext uri="{FF2B5EF4-FFF2-40B4-BE49-F238E27FC236}">
              <a16:creationId xmlns:a16="http://schemas.microsoft.com/office/drawing/2014/main" id="{8D83349F-3FF0-4364-92CC-6DC82358C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7866" name="Picture@5C\QPendientes@" descr="@5C\QPendientes@">
          <a:extLst>
            <a:ext uri="{FF2B5EF4-FFF2-40B4-BE49-F238E27FC236}">
              <a16:creationId xmlns:a16="http://schemas.microsoft.com/office/drawing/2014/main" id="{25F88140-7197-4FAE-B4B8-B70E6E4CE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7867" name="Picture@5C\QPendientes@" descr="@5C\QPendientes@">
          <a:extLst>
            <a:ext uri="{FF2B5EF4-FFF2-40B4-BE49-F238E27FC236}">
              <a16:creationId xmlns:a16="http://schemas.microsoft.com/office/drawing/2014/main" id="{B6AB33EC-CF3E-4D66-BB65-BDDDC224C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7868" name="Picture@5C\QPendientes@" descr="@5C\QPendientes@">
          <a:extLst>
            <a:ext uri="{FF2B5EF4-FFF2-40B4-BE49-F238E27FC236}">
              <a16:creationId xmlns:a16="http://schemas.microsoft.com/office/drawing/2014/main" id="{05662249-C28C-4BE5-9246-19D0BCF52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7869" name="Picture@5C\QPendientes@" descr="@5C\QPendientes@">
          <a:extLst>
            <a:ext uri="{FF2B5EF4-FFF2-40B4-BE49-F238E27FC236}">
              <a16:creationId xmlns:a16="http://schemas.microsoft.com/office/drawing/2014/main" id="{DB81CF5A-2B37-472A-96AA-9C0D274FA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7870" name="Picture@5C\QPendientes@" descr="@5C\QPendientes@">
          <a:extLst>
            <a:ext uri="{FF2B5EF4-FFF2-40B4-BE49-F238E27FC236}">
              <a16:creationId xmlns:a16="http://schemas.microsoft.com/office/drawing/2014/main" id="{24FC3C81-4AD4-4868-AF15-D756C9389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7871" name="Picture@5C\QPendientes@" descr="@5C\QPendientes@">
          <a:extLst>
            <a:ext uri="{FF2B5EF4-FFF2-40B4-BE49-F238E27FC236}">
              <a16:creationId xmlns:a16="http://schemas.microsoft.com/office/drawing/2014/main" id="{5684EC2F-32CA-4DF5-9001-460800EA8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7872" name="Picture@5C\QPendientes@" descr="@5C\QPendientes@">
          <a:extLst>
            <a:ext uri="{FF2B5EF4-FFF2-40B4-BE49-F238E27FC236}">
              <a16:creationId xmlns:a16="http://schemas.microsoft.com/office/drawing/2014/main" id="{F4C4939E-02A0-479E-BE98-2164977578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7873" name="Picture@5C\QPendientes@" descr="@5C\QPendientes@">
          <a:extLst>
            <a:ext uri="{FF2B5EF4-FFF2-40B4-BE49-F238E27FC236}">
              <a16:creationId xmlns:a16="http://schemas.microsoft.com/office/drawing/2014/main" id="{4507F2B7-3090-44D7-878A-AE8990853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7874" name="Picture@5C\QPendientes@" descr="@5C\QPendientes@">
          <a:extLst>
            <a:ext uri="{FF2B5EF4-FFF2-40B4-BE49-F238E27FC236}">
              <a16:creationId xmlns:a16="http://schemas.microsoft.com/office/drawing/2014/main" id="{FC668EEB-1F1D-444F-B508-10CF9CA3E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7875" name="Picture@5C\QPendientes@" descr="@5C\QPendientes@">
          <a:extLst>
            <a:ext uri="{FF2B5EF4-FFF2-40B4-BE49-F238E27FC236}">
              <a16:creationId xmlns:a16="http://schemas.microsoft.com/office/drawing/2014/main" id="{1CC18E80-A4AD-474C-B98E-57621F3C0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7876" name="Picture@5C\QPendientes@" descr="@5C\QPendientes@">
          <a:extLst>
            <a:ext uri="{FF2B5EF4-FFF2-40B4-BE49-F238E27FC236}">
              <a16:creationId xmlns:a16="http://schemas.microsoft.com/office/drawing/2014/main" id="{6BB1425D-65EB-4FFC-86BB-A1B272EC8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7877" name="Picture@5C\QPendientes@" descr="@5C\QPendientes@">
          <a:extLst>
            <a:ext uri="{FF2B5EF4-FFF2-40B4-BE49-F238E27FC236}">
              <a16:creationId xmlns:a16="http://schemas.microsoft.com/office/drawing/2014/main" id="{26E42B70-389A-4A97-8813-A6DD745F0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7878" name="Picture@5C\QPendientes@" descr="@5C\QPendientes@">
          <a:extLst>
            <a:ext uri="{FF2B5EF4-FFF2-40B4-BE49-F238E27FC236}">
              <a16:creationId xmlns:a16="http://schemas.microsoft.com/office/drawing/2014/main" id="{F5952E21-4EEF-4880-A36E-4D8455F08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7879" name="Picture@5C\QPendientes@" descr="@5C\QPendientes@">
          <a:extLst>
            <a:ext uri="{FF2B5EF4-FFF2-40B4-BE49-F238E27FC236}">
              <a16:creationId xmlns:a16="http://schemas.microsoft.com/office/drawing/2014/main" id="{9182F3FB-F475-4305-92E0-204EFF593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7880" name="Picture@5C\QPendientes@" descr="@5C\QPendientes@">
          <a:extLst>
            <a:ext uri="{FF2B5EF4-FFF2-40B4-BE49-F238E27FC236}">
              <a16:creationId xmlns:a16="http://schemas.microsoft.com/office/drawing/2014/main" id="{00A874D8-9EB9-4F2E-9984-CE73D2C16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7881" name="Picture@5C\QPendientes@" descr="@5C\QPendientes@">
          <a:extLst>
            <a:ext uri="{FF2B5EF4-FFF2-40B4-BE49-F238E27FC236}">
              <a16:creationId xmlns:a16="http://schemas.microsoft.com/office/drawing/2014/main" id="{E25B7813-26DE-4BA3-837F-6894AEEDF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7882" name="Picture@5C\QPendientes@" descr="@5C\QPendientes@">
          <a:extLst>
            <a:ext uri="{FF2B5EF4-FFF2-40B4-BE49-F238E27FC236}">
              <a16:creationId xmlns:a16="http://schemas.microsoft.com/office/drawing/2014/main" id="{031956A0-D709-43AE-96BE-1F895AFE5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7883" name="Picture@5C\QPendientes@" descr="@5C\QPendientes@">
          <a:extLst>
            <a:ext uri="{FF2B5EF4-FFF2-40B4-BE49-F238E27FC236}">
              <a16:creationId xmlns:a16="http://schemas.microsoft.com/office/drawing/2014/main" id="{7E7B85D5-7B47-46AD-964F-BDD195164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7884" name="Picture@5C\QPendientes@" descr="@5C\QPendientes@">
          <a:extLst>
            <a:ext uri="{FF2B5EF4-FFF2-40B4-BE49-F238E27FC236}">
              <a16:creationId xmlns:a16="http://schemas.microsoft.com/office/drawing/2014/main" id="{2C4AE647-2071-4762-8A50-A2D07E3A2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7885" name="Picture@5C\QPendientes@" descr="@5C\QPendientes@">
          <a:extLst>
            <a:ext uri="{FF2B5EF4-FFF2-40B4-BE49-F238E27FC236}">
              <a16:creationId xmlns:a16="http://schemas.microsoft.com/office/drawing/2014/main" id="{3EBB2EE3-7CED-427E-B39A-1253078E9E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7886" name="Picture@5C\QPendientes@" descr="@5C\QPendientes@">
          <a:extLst>
            <a:ext uri="{FF2B5EF4-FFF2-40B4-BE49-F238E27FC236}">
              <a16:creationId xmlns:a16="http://schemas.microsoft.com/office/drawing/2014/main" id="{C05D7BAB-0534-4EF7-A5FB-C3CD135FA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7887" name="Picture@5C\QPendientes@" descr="@5C\QPendientes@">
          <a:extLst>
            <a:ext uri="{FF2B5EF4-FFF2-40B4-BE49-F238E27FC236}">
              <a16:creationId xmlns:a16="http://schemas.microsoft.com/office/drawing/2014/main" id="{9EB47A44-2F45-4931-9D37-22C5C0CBA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7888" name="Picture@5C\QPendientes@" descr="@5C\QPendientes@">
          <a:extLst>
            <a:ext uri="{FF2B5EF4-FFF2-40B4-BE49-F238E27FC236}">
              <a16:creationId xmlns:a16="http://schemas.microsoft.com/office/drawing/2014/main" id="{9256E168-66E5-4CE4-8238-F1AF2E01B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7889" name="Picture@5C\QPendientes@" descr="@5C\QPendientes@">
          <a:extLst>
            <a:ext uri="{FF2B5EF4-FFF2-40B4-BE49-F238E27FC236}">
              <a16:creationId xmlns:a16="http://schemas.microsoft.com/office/drawing/2014/main" id="{8240BCD2-B9B0-40F5-8522-C65E5F04D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7890" name="Picture@5C\QPendientes@" descr="@5C\QPendientes@">
          <a:extLst>
            <a:ext uri="{FF2B5EF4-FFF2-40B4-BE49-F238E27FC236}">
              <a16:creationId xmlns:a16="http://schemas.microsoft.com/office/drawing/2014/main" id="{11EB7B1D-995D-4512-812F-195EC3860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7891" name="Picture@5C\QPendientes@" descr="@5C\QPendientes@">
          <a:extLst>
            <a:ext uri="{FF2B5EF4-FFF2-40B4-BE49-F238E27FC236}">
              <a16:creationId xmlns:a16="http://schemas.microsoft.com/office/drawing/2014/main" id="{E520B86E-F73B-4D7B-983C-6E9F8C8A3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7892" name="Picture@5C\QPendientes@" descr="@5C\QPendientes@">
          <a:extLst>
            <a:ext uri="{FF2B5EF4-FFF2-40B4-BE49-F238E27FC236}">
              <a16:creationId xmlns:a16="http://schemas.microsoft.com/office/drawing/2014/main" id="{78A8AA65-6666-4200-88DD-107D1761A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7893" name="Picture@5C\QPendientes@" descr="@5C\QPendientes@">
          <a:extLst>
            <a:ext uri="{FF2B5EF4-FFF2-40B4-BE49-F238E27FC236}">
              <a16:creationId xmlns:a16="http://schemas.microsoft.com/office/drawing/2014/main" id="{3284ACA9-BDCB-42C6-9647-BA201BE9C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7894" name="Picture@5C\QPendientes@" descr="@5C\QPendientes@">
          <a:extLst>
            <a:ext uri="{FF2B5EF4-FFF2-40B4-BE49-F238E27FC236}">
              <a16:creationId xmlns:a16="http://schemas.microsoft.com/office/drawing/2014/main" id="{1994E631-071A-49E8-A18C-08C38369E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7895" name="Picture@5C\QPendientes@" descr="@5C\QPendientes@">
          <a:extLst>
            <a:ext uri="{FF2B5EF4-FFF2-40B4-BE49-F238E27FC236}">
              <a16:creationId xmlns:a16="http://schemas.microsoft.com/office/drawing/2014/main" id="{6B848362-1AE5-4D4B-8514-52AFA3AFC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7896" name="Picture@5C\QPendientes@" descr="@5C\QPendientes@">
          <a:extLst>
            <a:ext uri="{FF2B5EF4-FFF2-40B4-BE49-F238E27FC236}">
              <a16:creationId xmlns:a16="http://schemas.microsoft.com/office/drawing/2014/main" id="{1E352312-87D2-4487-A877-679EBF95F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7897" name="Picture@5C\QPendientes@" descr="@5C\QPendientes@">
          <a:extLst>
            <a:ext uri="{FF2B5EF4-FFF2-40B4-BE49-F238E27FC236}">
              <a16:creationId xmlns:a16="http://schemas.microsoft.com/office/drawing/2014/main" id="{5F05F3D0-C7F5-492D-9E56-50A8E51B1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7898" name="Picture@5C\QPendientes@" descr="@5C\QPendientes@">
          <a:extLst>
            <a:ext uri="{FF2B5EF4-FFF2-40B4-BE49-F238E27FC236}">
              <a16:creationId xmlns:a16="http://schemas.microsoft.com/office/drawing/2014/main" id="{1CE316AA-E140-46CD-97DA-4688CA524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7899" name="Picture@5C\QPendientes@" descr="@5C\QPendientes@">
          <a:extLst>
            <a:ext uri="{FF2B5EF4-FFF2-40B4-BE49-F238E27FC236}">
              <a16:creationId xmlns:a16="http://schemas.microsoft.com/office/drawing/2014/main" id="{C97FBAB2-1685-4980-B04D-094BBD624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7900" name="Picture@5C\QPendientes@" descr="@5C\QPendientes@">
          <a:extLst>
            <a:ext uri="{FF2B5EF4-FFF2-40B4-BE49-F238E27FC236}">
              <a16:creationId xmlns:a16="http://schemas.microsoft.com/office/drawing/2014/main" id="{D32417E7-B4D7-4A20-91CC-060BEE0B4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7901" name="Picture@5C\QPendientes@" descr="@5C\QPendientes@">
          <a:extLst>
            <a:ext uri="{FF2B5EF4-FFF2-40B4-BE49-F238E27FC236}">
              <a16:creationId xmlns:a16="http://schemas.microsoft.com/office/drawing/2014/main" id="{B54D3AE2-9F5F-46B4-AFBE-A877204EC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7902" name="Picture@5C\QPendientes@" descr="@5C\QPendientes@">
          <a:extLst>
            <a:ext uri="{FF2B5EF4-FFF2-40B4-BE49-F238E27FC236}">
              <a16:creationId xmlns:a16="http://schemas.microsoft.com/office/drawing/2014/main" id="{640A76C5-7BC0-43F6-A346-BA22C1652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7903" name="Picture@5C\QPendientes@" descr="@5C\QPendientes@">
          <a:extLst>
            <a:ext uri="{FF2B5EF4-FFF2-40B4-BE49-F238E27FC236}">
              <a16:creationId xmlns:a16="http://schemas.microsoft.com/office/drawing/2014/main" id="{BBB30662-C113-4F97-A267-EA0B187E3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7904" name="Picture@5C\QPendientes@" descr="@5C\QPendientes@">
          <a:extLst>
            <a:ext uri="{FF2B5EF4-FFF2-40B4-BE49-F238E27FC236}">
              <a16:creationId xmlns:a16="http://schemas.microsoft.com/office/drawing/2014/main" id="{F411AB82-6FF9-43FF-98A8-A84BD73AB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7905" name="Picture@5C\QPendientes@" descr="@5C\QPendientes@">
          <a:extLst>
            <a:ext uri="{FF2B5EF4-FFF2-40B4-BE49-F238E27FC236}">
              <a16:creationId xmlns:a16="http://schemas.microsoft.com/office/drawing/2014/main" id="{DC686733-DB9F-4A7B-9759-0CEB914C6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7906" name="Picture@5C\QPendientes@" descr="@5C\QPendientes@">
          <a:extLst>
            <a:ext uri="{FF2B5EF4-FFF2-40B4-BE49-F238E27FC236}">
              <a16:creationId xmlns:a16="http://schemas.microsoft.com/office/drawing/2014/main" id="{04D24903-3563-4400-B82C-5496E9F2F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7907" name="Picture@5C\QPendientes@" descr="@5C\QPendientes@">
          <a:extLst>
            <a:ext uri="{FF2B5EF4-FFF2-40B4-BE49-F238E27FC236}">
              <a16:creationId xmlns:a16="http://schemas.microsoft.com/office/drawing/2014/main" id="{48779ECE-FD14-4EE3-809E-893117C65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7908" name="Picture@5C\QPendientes@" descr="@5C\QPendientes@">
          <a:extLst>
            <a:ext uri="{FF2B5EF4-FFF2-40B4-BE49-F238E27FC236}">
              <a16:creationId xmlns:a16="http://schemas.microsoft.com/office/drawing/2014/main" id="{6BC3029E-2C7A-43E1-A25E-1B90B0BF3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7909" name="Picture@5C\QPendientes@" descr="@5C\QPendientes@">
          <a:extLst>
            <a:ext uri="{FF2B5EF4-FFF2-40B4-BE49-F238E27FC236}">
              <a16:creationId xmlns:a16="http://schemas.microsoft.com/office/drawing/2014/main" id="{79822B48-6A0E-4D23-8B40-FA5E6D509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7910" name="Picture@5C\QPendientes@" descr="@5C\QPendientes@">
          <a:extLst>
            <a:ext uri="{FF2B5EF4-FFF2-40B4-BE49-F238E27FC236}">
              <a16:creationId xmlns:a16="http://schemas.microsoft.com/office/drawing/2014/main" id="{85CD5072-C11E-4BB8-8994-0E0A5F31D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7911" name="Picture@5C\QPendientes@" descr="@5C\QPendientes@">
          <a:extLst>
            <a:ext uri="{FF2B5EF4-FFF2-40B4-BE49-F238E27FC236}">
              <a16:creationId xmlns:a16="http://schemas.microsoft.com/office/drawing/2014/main" id="{59679012-F31F-4E59-A047-DFC7E87E5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7912" name="Picture@5C\QPendientes@" descr="@5C\QPendientes@">
          <a:extLst>
            <a:ext uri="{FF2B5EF4-FFF2-40B4-BE49-F238E27FC236}">
              <a16:creationId xmlns:a16="http://schemas.microsoft.com/office/drawing/2014/main" id="{3741113B-ACE1-4A66-80EF-F4C09B32C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7913" name="Picture@5C\QPendientes@" descr="@5C\QPendientes@">
          <a:extLst>
            <a:ext uri="{FF2B5EF4-FFF2-40B4-BE49-F238E27FC236}">
              <a16:creationId xmlns:a16="http://schemas.microsoft.com/office/drawing/2014/main" id="{4845DB09-668E-4E91-A602-6225CDE043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7914" name="Picture@5C\QPendientes@" descr="@5C\QPendientes@">
          <a:extLst>
            <a:ext uri="{FF2B5EF4-FFF2-40B4-BE49-F238E27FC236}">
              <a16:creationId xmlns:a16="http://schemas.microsoft.com/office/drawing/2014/main" id="{F2DE45F0-044F-4C74-8946-9D6DDAEB0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7915" name="Picture@5C\QPendientes@" descr="@5C\QPendientes@">
          <a:extLst>
            <a:ext uri="{FF2B5EF4-FFF2-40B4-BE49-F238E27FC236}">
              <a16:creationId xmlns:a16="http://schemas.microsoft.com/office/drawing/2014/main" id="{255D2B32-82E9-4A8A-B31D-722CF10E9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7916" name="Picture@5C\QPendientes@" descr="@5C\QPendientes@">
          <a:extLst>
            <a:ext uri="{FF2B5EF4-FFF2-40B4-BE49-F238E27FC236}">
              <a16:creationId xmlns:a16="http://schemas.microsoft.com/office/drawing/2014/main" id="{261D76BA-23E6-4195-AB41-FC783B010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7917" name="Picture@5C\QPendientes@" descr="@5C\QPendientes@">
          <a:extLst>
            <a:ext uri="{FF2B5EF4-FFF2-40B4-BE49-F238E27FC236}">
              <a16:creationId xmlns:a16="http://schemas.microsoft.com/office/drawing/2014/main" id="{92241BC9-8A37-4CBF-A939-5205980FD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7918" name="Picture@5C\QPendientes@" descr="@5C\QPendientes@">
          <a:extLst>
            <a:ext uri="{FF2B5EF4-FFF2-40B4-BE49-F238E27FC236}">
              <a16:creationId xmlns:a16="http://schemas.microsoft.com/office/drawing/2014/main" id="{8E5559F5-2CCE-4281-8B92-92B954D3A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7919" name="Picture@5C\QPendientes@" descr="@5C\QPendientes@">
          <a:extLst>
            <a:ext uri="{FF2B5EF4-FFF2-40B4-BE49-F238E27FC236}">
              <a16:creationId xmlns:a16="http://schemas.microsoft.com/office/drawing/2014/main" id="{19C76C7B-CBC4-41A0-B74D-FCA11948B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7920" name="Picture@5C\QPendientes@" descr="@5C\QPendientes@">
          <a:extLst>
            <a:ext uri="{FF2B5EF4-FFF2-40B4-BE49-F238E27FC236}">
              <a16:creationId xmlns:a16="http://schemas.microsoft.com/office/drawing/2014/main" id="{7052BD27-CE6F-44A6-8085-FF5769871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7921" name="Picture@5C\QPendientes@" descr="@5C\QPendientes@">
          <a:extLst>
            <a:ext uri="{FF2B5EF4-FFF2-40B4-BE49-F238E27FC236}">
              <a16:creationId xmlns:a16="http://schemas.microsoft.com/office/drawing/2014/main" id="{35BBDB58-1E3D-432A-93E1-52DB1F508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7922" name="Picture@5C\QPendientes@" descr="@5C\QPendientes@">
          <a:extLst>
            <a:ext uri="{FF2B5EF4-FFF2-40B4-BE49-F238E27FC236}">
              <a16:creationId xmlns:a16="http://schemas.microsoft.com/office/drawing/2014/main" id="{76DC1200-960C-49FB-B0B1-0CB8EF3BE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7923" name="Picture@5C\QPendientes@" descr="@5C\QPendientes@">
          <a:extLst>
            <a:ext uri="{FF2B5EF4-FFF2-40B4-BE49-F238E27FC236}">
              <a16:creationId xmlns:a16="http://schemas.microsoft.com/office/drawing/2014/main" id="{E96E959B-D84F-449E-9174-B3AABE010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7924" name="Picture@5C\QPendientes@" descr="@5C\QPendientes@">
          <a:extLst>
            <a:ext uri="{FF2B5EF4-FFF2-40B4-BE49-F238E27FC236}">
              <a16:creationId xmlns:a16="http://schemas.microsoft.com/office/drawing/2014/main" id="{8F99079E-0112-4E18-B9BC-E561D08CF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7925" name="Picture@5C\QPendientes@" descr="@5C\QPendientes@">
          <a:extLst>
            <a:ext uri="{FF2B5EF4-FFF2-40B4-BE49-F238E27FC236}">
              <a16:creationId xmlns:a16="http://schemas.microsoft.com/office/drawing/2014/main" id="{09BBD7F8-B5A0-4A88-A2F1-18784C81E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7926" name="Picture@5C\QPendientes@" descr="@5C\QPendientes@">
          <a:extLst>
            <a:ext uri="{FF2B5EF4-FFF2-40B4-BE49-F238E27FC236}">
              <a16:creationId xmlns:a16="http://schemas.microsoft.com/office/drawing/2014/main" id="{AD4CCD67-CC78-4C51-BE69-D596C0C2A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7927" name="Picture@5C\QPendientes@" descr="@5C\QPendientes@">
          <a:extLst>
            <a:ext uri="{FF2B5EF4-FFF2-40B4-BE49-F238E27FC236}">
              <a16:creationId xmlns:a16="http://schemas.microsoft.com/office/drawing/2014/main" id="{EE29BA88-C83F-4ED4-8D24-3C04D6A3E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7928" name="Picture@5C\QPendientes@" descr="@5C\QPendientes@">
          <a:extLst>
            <a:ext uri="{FF2B5EF4-FFF2-40B4-BE49-F238E27FC236}">
              <a16:creationId xmlns:a16="http://schemas.microsoft.com/office/drawing/2014/main" id="{EB8CCEBA-6FF4-4124-A956-CB504B5B7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7929" name="Picture@5C\QPendientes@" descr="@5C\QPendientes@">
          <a:extLst>
            <a:ext uri="{FF2B5EF4-FFF2-40B4-BE49-F238E27FC236}">
              <a16:creationId xmlns:a16="http://schemas.microsoft.com/office/drawing/2014/main" id="{4814FBB1-10F8-4E70-BDD3-FCBFC2D40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7930" name="Picture@5C\QPendientes@" descr="@5C\QPendientes@">
          <a:extLst>
            <a:ext uri="{FF2B5EF4-FFF2-40B4-BE49-F238E27FC236}">
              <a16:creationId xmlns:a16="http://schemas.microsoft.com/office/drawing/2014/main" id="{22FEFA4D-B436-4251-9F31-20E238253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7931" name="Picture@5C\QPendientes@" descr="@5C\QPendientes@">
          <a:extLst>
            <a:ext uri="{FF2B5EF4-FFF2-40B4-BE49-F238E27FC236}">
              <a16:creationId xmlns:a16="http://schemas.microsoft.com/office/drawing/2014/main" id="{9414A978-C8F4-4EB8-A326-3D86D41F8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7932" name="Picture@5C\QPendientes@" descr="@5C\QPendientes@">
          <a:extLst>
            <a:ext uri="{FF2B5EF4-FFF2-40B4-BE49-F238E27FC236}">
              <a16:creationId xmlns:a16="http://schemas.microsoft.com/office/drawing/2014/main" id="{F57C8D57-BDB9-4DA3-8F3C-6813EBA5F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7933" name="Picture@5C\QPendientes@" descr="@5C\QPendientes@">
          <a:extLst>
            <a:ext uri="{FF2B5EF4-FFF2-40B4-BE49-F238E27FC236}">
              <a16:creationId xmlns:a16="http://schemas.microsoft.com/office/drawing/2014/main" id="{A2FC1D77-85D6-470A-8F2D-63CEA3E55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7934" name="Picture@5C\QPendientes@" descr="@5C\QPendientes@">
          <a:extLst>
            <a:ext uri="{FF2B5EF4-FFF2-40B4-BE49-F238E27FC236}">
              <a16:creationId xmlns:a16="http://schemas.microsoft.com/office/drawing/2014/main" id="{B21D3D36-4787-444B-9C2D-6199D3371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7935" name="Picture@5C\QPendientes@" descr="@5C\QPendientes@">
          <a:extLst>
            <a:ext uri="{FF2B5EF4-FFF2-40B4-BE49-F238E27FC236}">
              <a16:creationId xmlns:a16="http://schemas.microsoft.com/office/drawing/2014/main" id="{6BEF3C34-CBAE-4C46-9B7A-184AF8210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7936" name="Picture@5C\QPendientes@" descr="@5C\QPendientes@">
          <a:extLst>
            <a:ext uri="{FF2B5EF4-FFF2-40B4-BE49-F238E27FC236}">
              <a16:creationId xmlns:a16="http://schemas.microsoft.com/office/drawing/2014/main" id="{A706F9B6-3D1E-4EDB-B7EE-A0E08E6FC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7937" name="Picture@5C\QPendientes@" descr="@5C\QPendientes@">
          <a:extLst>
            <a:ext uri="{FF2B5EF4-FFF2-40B4-BE49-F238E27FC236}">
              <a16:creationId xmlns:a16="http://schemas.microsoft.com/office/drawing/2014/main" id="{10B207C1-9B8F-4DDE-B708-6EB0C05F3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7938" name="Picture@5C\QPendientes@" descr="@5C\QPendientes@">
          <a:extLst>
            <a:ext uri="{FF2B5EF4-FFF2-40B4-BE49-F238E27FC236}">
              <a16:creationId xmlns:a16="http://schemas.microsoft.com/office/drawing/2014/main" id="{9A19C49C-5834-4A4D-A669-25AB18B27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7939" name="Picture@5C\QPendientes@" descr="@5C\QPendientes@">
          <a:extLst>
            <a:ext uri="{FF2B5EF4-FFF2-40B4-BE49-F238E27FC236}">
              <a16:creationId xmlns:a16="http://schemas.microsoft.com/office/drawing/2014/main" id="{9A01A556-262A-4867-B5C5-D3E874508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7940" name="Picture@5C\QPendientes@" descr="@5C\QPendientes@">
          <a:extLst>
            <a:ext uri="{FF2B5EF4-FFF2-40B4-BE49-F238E27FC236}">
              <a16:creationId xmlns:a16="http://schemas.microsoft.com/office/drawing/2014/main" id="{59EEF8EC-822C-4651-A43B-D1D6C3A48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7941" name="Picture@5C\QPendientes@" descr="@5C\QPendientes@">
          <a:extLst>
            <a:ext uri="{FF2B5EF4-FFF2-40B4-BE49-F238E27FC236}">
              <a16:creationId xmlns:a16="http://schemas.microsoft.com/office/drawing/2014/main" id="{61EE89DE-A34F-4CA7-B2C4-47E03C05E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7942" name="Picture@5C\QPendientes@" descr="@5C\QPendientes@">
          <a:extLst>
            <a:ext uri="{FF2B5EF4-FFF2-40B4-BE49-F238E27FC236}">
              <a16:creationId xmlns:a16="http://schemas.microsoft.com/office/drawing/2014/main" id="{76A6E7DB-5F4F-424E-A16F-999801AF3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7943" name="Picture@5C\QPendientes@" descr="@5C\QPendientes@">
          <a:extLst>
            <a:ext uri="{FF2B5EF4-FFF2-40B4-BE49-F238E27FC236}">
              <a16:creationId xmlns:a16="http://schemas.microsoft.com/office/drawing/2014/main" id="{9F53DA77-14C6-4A6F-A754-4DB13B521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7944" name="Picture@5C\QPendientes@" descr="@5C\QPendientes@">
          <a:extLst>
            <a:ext uri="{FF2B5EF4-FFF2-40B4-BE49-F238E27FC236}">
              <a16:creationId xmlns:a16="http://schemas.microsoft.com/office/drawing/2014/main" id="{1405348C-B89F-40D7-AA9D-00235BD78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7945" name="Picture@5C\QPendientes@" descr="@5C\QPendientes@">
          <a:extLst>
            <a:ext uri="{FF2B5EF4-FFF2-40B4-BE49-F238E27FC236}">
              <a16:creationId xmlns:a16="http://schemas.microsoft.com/office/drawing/2014/main" id="{44F60230-50B2-45FA-A26C-BFC621327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7946" name="Picture@5C\QPendientes@" descr="@5C\QPendientes@">
          <a:extLst>
            <a:ext uri="{FF2B5EF4-FFF2-40B4-BE49-F238E27FC236}">
              <a16:creationId xmlns:a16="http://schemas.microsoft.com/office/drawing/2014/main" id="{D840179E-3429-477C-A04A-2C0882D38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7947" name="Picture@5C\QPendientes@" descr="@5C\QPendientes@">
          <a:extLst>
            <a:ext uri="{FF2B5EF4-FFF2-40B4-BE49-F238E27FC236}">
              <a16:creationId xmlns:a16="http://schemas.microsoft.com/office/drawing/2014/main" id="{1659BBEF-4EF5-4487-A5C6-4AA3C3DD0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7948" name="Picture@5C\QPendientes@" descr="@5C\QPendientes@">
          <a:extLst>
            <a:ext uri="{FF2B5EF4-FFF2-40B4-BE49-F238E27FC236}">
              <a16:creationId xmlns:a16="http://schemas.microsoft.com/office/drawing/2014/main" id="{A13C6258-6BB5-4962-B646-98291A0AE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7949" name="Picture@5C\QPendientes@" descr="@5C\QPendientes@">
          <a:extLst>
            <a:ext uri="{FF2B5EF4-FFF2-40B4-BE49-F238E27FC236}">
              <a16:creationId xmlns:a16="http://schemas.microsoft.com/office/drawing/2014/main" id="{E19D93E2-0087-4549-BED1-3A6B2A251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7950" name="Picture@5C\QPendientes@" descr="@5C\QPendientes@">
          <a:extLst>
            <a:ext uri="{FF2B5EF4-FFF2-40B4-BE49-F238E27FC236}">
              <a16:creationId xmlns:a16="http://schemas.microsoft.com/office/drawing/2014/main" id="{1F025774-9903-43FF-8ECA-B60C8FB6C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7951" name="Picture@5C\QPendientes@" descr="@5C\QPendientes@">
          <a:extLst>
            <a:ext uri="{FF2B5EF4-FFF2-40B4-BE49-F238E27FC236}">
              <a16:creationId xmlns:a16="http://schemas.microsoft.com/office/drawing/2014/main" id="{8DE1D2BA-3370-4F39-8B88-EC569B775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7952" name="Picture@5C\QPendientes@" descr="@5C\QPendientes@">
          <a:extLst>
            <a:ext uri="{FF2B5EF4-FFF2-40B4-BE49-F238E27FC236}">
              <a16:creationId xmlns:a16="http://schemas.microsoft.com/office/drawing/2014/main" id="{A484BF9E-594F-4EAD-8513-6FFDB9F0B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7953" name="Picture@5C\QPendientes@" descr="@5C\QPendientes@">
          <a:extLst>
            <a:ext uri="{FF2B5EF4-FFF2-40B4-BE49-F238E27FC236}">
              <a16:creationId xmlns:a16="http://schemas.microsoft.com/office/drawing/2014/main" id="{E4CD6475-5744-4A50-B04B-FB94D1A87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7954" name="Picture@5C\QPendientes@" descr="@5C\QPendientes@">
          <a:extLst>
            <a:ext uri="{FF2B5EF4-FFF2-40B4-BE49-F238E27FC236}">
              <a16:creationId xmlns:a16="http://schemas.microsoft.com/office/drawing/2014/main" id="{C709D429-BA53-487E-B59A-B49FA68BB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7955" name="Picture@5C\QPendientes@" descr="@5C\QPendientes@">
          <a:extLst>
            <a:ext uri="{FF2B5EF4-FFF2-40B4-BE49-F238E27FC236}">
              <a16:creationId xmlns:a16="http://schemas.microsoft.com/office/drawing/2014/main" id="{32441AE5-92AF-4823-B048-CD641E22B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7956" name="Picture@5C\QPendientes@" descr="@5C\QPendientes@">
          <a:extLst>
            <a:ext uri="{FF2B5EF4-FFF2-40B4-BE49-F238E27FC236}">
              <a16:creationId xmlns:a16="http://schemas.microsoft.com/office/drawing/2014/main" id="{EE123DB8-2185-463C-84DF-F3FB92349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7957" name="Picture@5C\QPendientes@" descr="@5C\QPendientes@">
          <a:extLst>
            <a:ext uri="{FF2B5EF4-FFF2-40B4-BE49-F238E27FC236}">
              <a16:creationId xmlns:a16="http://schemas.microsoft.com/office/drawing/2014/main" id="{2F1C0452-3D78-4DD4-9BA5-CD465952C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7958" name="Picture@5C\QPendientes@" descr="@5C\QPendientes@">
          <a:extLst>
            <a:ext uri="{FF2B5EF4-FFF2-40B4-BE49-F238E27FC236}">
              <a16:creationId xmlns:a16="http://schemas.microsoft.com/office/drawing/2014/main" id="{E69126FE-117C-45FD-A789-4A7E01BD9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7959" name="Picture@5C\QPendientes@" descr="@5C\QPendientes@">
          <a:extLst>
            <a:ext uri="{FF2B5EF4-FFF2-40B4-BE49-F238E27FC236}">
              <a16:creationId xmlns:a16="http://schemas.microsoft.com/office/drawing/2014/main" id="{D5B3BB50-01AB-4CE2-A944-9E56923F1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7960" name="Picture@5C\QPendientes@" descr="@5C\QPendientes@">
          <a:extLst>
            <a:ext uri="{FF2B5EF4-FFF2-40B4-BE49-F238E27FC236}">
              <a16:creationId xmlns:a16="http://schemas.microsoft.com/office/drawing/2014/main" id="{D87B57A1-DD89-4CB8-A72C-246B9DCD0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7961" name="Picture@5C\QPendientes@" descr="@5C\QPendientes@">
          <a:extLst>
            <a:ext uri="{FF2B5EF4-FFF2-40B4-BE49-F238E27FC236}">
              <a16:creationId xmlns:a16="http://schemas.microsoft.com/office/drawing/2014/main" id="{C68EB92C-F4BE-44EA-B8E0-E509E65C8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7962" name="Picture@5C\QPendientes@" descr="@5C\QPendientes@">
          <a:extLst>
            <a:ext uri="{FF2B5EF4-FFF2-40B4-BE49-F238E27FC236}">
              <a16:creationId xmlns:a16="http://schemas.microsoft.com/office/drawing/2014/main" id="{5A52704A-8E29-4838-A3BA-C6A2B0277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7963" name="Picture@5C\QPendientes@" descr="@5C\QPendientes@">
          <a:extLst>
            <a:ext uri="{FF2B5EF4-FFF2-40B4-BE49-F238E27FC236}">
              <a16:creationId xmlns:a16="http://schemas.microsoft.com/office/drawing/2014/main" id="{61A0453F-C207-4317-A728-79F6A8CE5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7964" name="Picture@5C\QPendientes@" descr="@5C\QPendientes@">
          <a:extLst>
            <a:ext uri="{FF2B5EF4-FFF2-40B4-BE49-F238E27FC236}">
              <a16:creationId xmlns:a16="http://schemas.microsoft.com/office/drawing/2014/main" id="{CF2C62DD-5D59-4A79-B67C-EE41B2065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7965" name="Picture@5C\QPendientes@" descr="@5C\QPendientes@">
          <a:extLst>
            <a:ext uri="{FF2B5EF4-FFF2-40B4-BE49-F238E27FC236}">
              <a16:creationId xmlns:a16="http://schemas.microsoft.com/office/drawing/2014/main" id="{D43A6CED-69CF-4010-A9A9-654F5F890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7966" name="Picture@5C\QPendientes@" descr="@5C\QPendientes@">
          <a:extLst>
            <a:ext uri="{FF2B5EF4-FFF2-40B4-BE49-F238E27FC236}">
              <a16:creationId xmlns:a16="http://schemas.microsoft.com/office/drawing/2014/main" id="{85B48163-6EC8-42B5-A0E9-3F5ABC4BA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7967" name="Picture@5C\QPendientes@" descr="@5C\QPendientes@">
          <a:extLst>
            <a:ext uri="{FF2B5EF4-FFF2-40B4-BE49-F238E27FC236}">
              <a16:creationId xmlns:a16="http://schemas.microsoft.com/office/drawing/2014/main" id="{73C7E597-3EFB-4687-B0FE-E7F53281C3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7968" name="Picture@5C\QPendientes@" descr="@5C\QPendientes@">
          <a:extLst>
            <a:ext uri="{FF2B5EF4-FFF2-40B4-BE49-F238E27FC236}">
              <a16:creationId xmlns:a16="http://schemas.microsoft.com/office/drawing/2014/main" id="{B5DCE764-3AEE-4EDC-9DD0-14FB8F1DE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7969" name="Picture@5C\QPendientes@" descr="@5C\QPendientes@">
          <a:extLst>
            <a:ext uri="{FF2B5EF4-FFF2-40B4-BE49-F238E27FC236}">
              <a16:creationId xmlns:a16="http://schemas.microsoft.com/office/drawing/2014/main" id="{AB0EA207-8F8A-4160-BDE6-DD54D0B3D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7970" name="Picture@5C\QPendientes@" descr="@5C\QPendientes@">
          <a:extLst>
            <a:ext uri="{FF2B5EF4-FFF2-40B4-BE49-F238E27FC236}">
              <a16:creationId xmlns:a16="http://schemas.microsoft.com/office/drawing/2014/main" id="{4756B1D8-A6BD-4EF4-878B-085A1B562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7971" name="Picture@5C\QPendientes@" descr="@5C\QPendientes@">
          <a:extLst>
            <a:ext uri="{FF2B5EF4-FFF2-40B4-BE49-F238E27FC236}">
              <a16:creationId xmlns:a16="http://schemas.microsoft.com/office/drawing/2014/main" id="{B0CE5075-8002-471F-989A-1BAFC3CBE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7972" name="Picture@5C\QPendientes@" descr="@5C\QPendientes@">
          <a:extLst>
            <a:ext uri="{FF2B5EF4-FFF2-40B4-BE49-F238E27FC236}">
              <a16:creationId xmlns:a16="http://schemas.microsoft.com/office/drawing/2014/main" id="{FB857557-9F01-480A-A6FA-71F19DCDF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7973" name="Picture@5C\QPendientes@" descr="@5C\QPendientes@">
          <a:extLst>
            <a:ext uri="{FF2B5EF4-FFF2-40B4-BE49-F238E27FC236}">
              <a16:creationId xmlns:a16="http://schemas.microsoft.com/office/drawing/2014/main" id="{9D63E0B2-3D4A-4BB9-9A9A-A0084CD79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7974" name="Picture@5C\QPendientes@" descr="@5C\QPendientes@">
          <a:extLst>
            <a:ext uri="{FF2B5EF4-FFF2-40B4-BE49-F238E27FC236}">
              <a16:creationId xmlns:a16="http://schemas.microsoft.com/office/drawing/2014/main" id="{A8DAE31C-B4A3-4719-8EF2-944FEF91E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7975" name="Picture@5C\QPendientes@" descr="@5C\QPendientes@">
          <a:extLst>
            <a:ext uri="{FF2B5EF4-FFF2-40B4-BE49-F238E27FC236}">
              <a16:creationId xmlns:a16="http://schemas.microsoft.com/office/drawing/2014/main" id="{08BF4556-C277-4FD0-9755-FC21ACD5B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7976" name="Picture@5C\QPendientes@" descr="@5C\QPendientes@">
          <a:extLst>
            <a:ext uri="{FF2B5EF4-FFF2-40B4-BE49-F238E27FC236}">
              <a16:creationId xmlns:a16="http://schemas.microsoft.com/office/drawing/2014/main" id="{D4E8903D-D0C5-45B2-B615-85D1288AB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7977" name="Picture@5C\QPendientes@" descr="@5C\QPendientes@">
          <a:extLst>
            <a:ext uri="{FF2B5EF4-FFF2-40B4-BE49-F238E27FC236}">
              <a16:creationId xmlns:a16="http://schemas.microsoft.com/office/drawing/2014/main" id="{915E52BB-ED4E-4301-83A7-68DB72B3C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7978" name="Picture@5C\QPendientes@" descr="@5C\QPendientes@">
          <a:extLst>
            <a:ext uri="{FF2B5EF4-FFF2-40B4-BE49-F238E27FC236}">
              <a16:creationId xmlns:a16="http://schemas.microsoft.com/office/drawing/2014/main" id="{1964BBAE-B5A4-46BC-91B4-113B106B0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7979" name="Picture@5C\QPendientes@" descr="@5C\QPendientes@">
          <a:extLst>
            <a:ext uri="{FF2B5EF4-FFF2-40B4-BE49-F238E27FC236}">
              <a16:creationId xmlns:a16="http://schemas.microsoft.com/office/drawing/2014/main" id="{EC2185C4-AAE3-4493-8D2C-6C9CFCA13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7980" name="Picture@5C\QPendientes@" descr="@5C\QPendientes@">
          <a:extLst>
            <a:ext uri="{FF2B5EF4-FFF2-40B4-BE49-F238E27FC236}">
              <a16:creationId xmlns:a16="http://schemas.microsoft.com/office/drawing/2014/main" id="{A043BFC1-92B9-4BC0-909E-B7618BD9E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7981" name="Picture@5C\QPendientes@" descr="@5C\QPendientes@">
          <a:extLst>
            <a:ext uri="{FF2B5EF4-FFF2-40B4-BE49-F238E27FC236}">
              <a16:creationId xmlns:a16="http://schemas.microsoft.com/office/drawing/2014/main" id="{17B14C20-E697-4F3F-81D0-4A385E2E0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7982" name="Picture@5C\QPendientes@" descr="@5C\QPendientes@">
          <a:extLst>
            <a:ext uri="{FF2B5EF4-FFF2-40B4-BE49-F238E27FC236}">
              <a16:creationId xmlns:a16="http://schemas.microsoft.com/office/drawing/2014/main" id="{4A899E20-C36B-4FCA-9DE7-C4654FC29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7983" name="Picture@5C\QPendientes@" descr="@5C\QPendientes@">
          <a:extLst>
            <a:ext uri="{FF2B5EF4-FFF2-40B4-BE49-F238E27FC236}">
              <a16:creationId xmlns:a16="http://schemas.microsoft.com/office/drawing/2014/main" id="{7E201265-6250-466A-B270-86003FE1D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7984" name="Picture@5C\QPendientes@" descr="@5C\QPendientes@">
          <a:extLst>
            <a:ext uri="{FF2B5EF4-FFF2-40B4-BE49-F238E27FC236}">
              <a16:creationId xmlns:a16="http://schemas.microsoft.com/office/drawing/2014/main" id="{0E8B323C-A75B-4CDB-B8B6-D89463DEB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7985" name="Picture@5C\QPendientes@" descr="@5C\QPendientes@">
          <a:extLst>
            <a:ext uri="{FF2B5EF4-FFF2-40B4-BE49-F238E27FC236}">
              <a16:creationId xmlns:a16="http://schemas.microsoft.com/office/drawing/2014/main" id="{AB70BD3C-957D-4A8C-8F6F-316CD373D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7986" name="Picture@5C\QPendientes@" descr="@5C\QPendientes@">
          <a:extLst>
            <a:ext uri="{FF2B5EF4-FFF2-40B4-BE49-F238E27FC236}">
              <a16:creationId xmlns:a16="http://schemas.microsoft.com/office/drawing/2014/main" id="{6BB0BFEE-D495-4C93-BA85-9F5422659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7987" name="Picture@5C\QPendientes@" descr="@5C\QPendientes@">
          <a:extLst>
            <a:ext uri="{FF2B5EF4-FFF2-40B4-BE49-F238E27FC236}">
              <a16:creationId xmlns:a16="http://schemas.microsoft.com/office/drawing/2014/main" id="{6464BC4B-6214-4122-A3BE-6C6E4AAA2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7988" name="Picture@5C\QPendientes@" descr="@5C\QPendientes@">
          <a:extLst>
            <a:ext uri="{FF2B5EF4-FFF2-40B4-BE49-F238E27FC236}">
              <a16:creationId xmlns:a16="http://schemas.microsoft.com/office/drawing/2014/main" id="{ABEC8499-9A63-4DB0-9427-C23F98472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7989" name="Picture@5C\QPendientes@" descr="@5C\QPendientes@">
          <a:extLst>
            <a:ext uri="{FF2B5EF4-FFF2-40B4-BE49-F238E27FC236}">
              <a16:creationId xmlns:a16="http://schemas.microsoft.com/office/drawing/2014/main" id="{D726FD35-9150-4BEF-87DC-826CEBA44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7990" name="Picture@5C\QPendientes@" descr="@5C\QPendientes@">
          <a:extLst>
            <a:ext uri="{FF2B5EF4-FFF2-40B4-BE49-F238E27FC236}">
              <a16:creationId xmlns:a16="http://schemas.microsoft.com/office/drawing/2014/main" id="{75E900C7-F18B-412C-B203-08C48D199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7991" name="Picture@5C\QPendientes@" descr="@5C\QPendientes@">
          <a:extLst>
            <a:ext uri="{FF2B5EF4-FFF2-40B4-BE49-F238E27FC236}">
              <a16:creationId xmlns:a16="http://schemas.microsoft.com/office/drawing/2014/main" id="{2AB2CA72-DA93-4B65-B346-9C8EDE6D1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7992" name="Picture@5C\QPendientes@" descr="@5C\QPendientes@">
          <a:extLst>
            <a:ext uri="{FF2B5EF4-FFF2-40B4-BE49-F238E27FC236}">
              <a16:creationId xmlns:a16="http://schemas.microsoft.com/office/drawing/2014/main" id="{26001C17-22E6-460C-AF63-7FF79C96F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7993" name="Picture@5C\QPendientes@" descr="@5C\QPendientes@">
          <a:extLst>
            <a:ext uri="{FF2B5EF4-FFF2-40B4-BE49-F238E27FC236}">
              <a16:creationId xmlns:a16="http://schemas.microsoft.com/office/drawing/2014/main" id="{CC5ECE7E-D6DC-4292-A6A4-277E7DBFA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7994" name="Picture@5C\QPendientes@" descr="@5C\QPendientes@">
          <a:extLst>
            <a:ext uri="{FF2B5EF4-FFF2-40B4-BE49-F238E27FC236}">
              <a16:creationId xmlns:a16="http://schemas.microsoft.com/office/drawing/2014/main" id="{B5EB2901-DBC0-4C79-B1F6-476BE095E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7995" name="Picture@5C\QPendientes@" descr="@5C\QPendientes@">
          <a:extLst>
            <a:ext uri="{FF2B5EF4-FFF2-40B4-BE49-F238E27FC236}">
              <a16:creationId xmlns:a16="http://schemas.microsoft.com/office/drawing/2014/main" id="{4B5A7E82-1187-4B7A-8CD7-5FA5C0837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7996" name="Picture@5C\QPendientes@" descr="@5C\QPendientes@">
          <a:extLst>
            <a:ext uri="{FF2B5EF4-FFF2-40B4-BE49-F238E27FC236}">
              <a16:creationId xmlns:a16="http://schemas.microsoft.com/office/drawing/2014/main" id="{72ACD280-BEF1-43C8-BCC0-0E000FEBB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7997" name="Picture@5C\QPendientes@" descr="@5C\QPendientes@">
          <a:extLst>
            <a:ext uri="{FF2B5EF4-FFF2-40B4-BE49-F238E27FC236}">
              <a16:creationId xmlns:a16="http://schemas.microsoft.com/office/drawing/2014/main" id="{BFB86CD3-2563-4A09-9121-7CFF2A97D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7998" name="Picture@5C\QPendientes@" descr="@5C\QPendientes@">
          <a:extLst>
            <a:ext uri="{FF2B5EF4-FFF2-40B4-BE49-F238E27FC236}">
              <a16:creationId xmlns:a16="http://schemas.microsoft.com/office/drawing/2014/main" id="{11DC32A8-0224-42B6-AA77-4DAE80712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7999" name="Picture@5C\QPendientes@" descr="@5C\QPendientes@">
          <a:extLst>
            <a:ext uri="{FF2B5EF4-FFF2-40B4-BE49-F238E27FC236}">
              <a16:creationId xmlns:a16="http://schemas.microsoft.com/office/drawing/2014/main" id="{1FCF7E41-3EB9-4AFF-9FB2-CCB837EF3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8000" name="Picture@5C\QPendientes@" descr="@5C\QPendientes@">
          <a:extLst>
            <a:ext uri="{FF2B5EF4-FFF2-40B4-BE49-F238E27FC236}">
              <a16:creationId xmlns:a16="http://schemas.microsoft.com/office/drawing/2014/main" id="{DEA6AC97-B264-488C-AFF3-14D9E2943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8001" name="Picture@5C\QPendientes@" descr="@5C\QPendientes@">
          <a:extLst>
            <a:ext uri="{FF2B5EF4-FFF2-40B4-BE49-F238E27FC236}">
              <a16:creationId xmlns:a16="http://schemas.microsoft.com/office/drawing/2014/main" id="{15509F59-8792-484B-865B-7770EAE802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8002" name="Picture@5C\QPendientes@" descr="@5C\QPendientes@">
          <a:extLst>
            <a:ext uri="{FF2B5EF4-FFF2-40B4-BE49-F238E27FC236}">
              <a16:creationId xmlns:a16="http://schemas.microsoft.com/office/drawing/2014/main" id="{23B00364-E44B-42AE-AFE2-D806BED35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8003" name="Picture@5C\QPendientes@" descr="@5C\QPendientes@">
          <a:extLst>
            <a:ext uri="{FF2B5EF4-FFF2-40B4-BE49-F238E27FC236}">
              <a16:creationId xmlns:a16="http://schemas.microsoft.com/office/drawing/2014/main" id="{11313D8E-3061-4C49-A735-3B4F5E7D3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8004" name="Picture@5C\QPendientes@" descr="@5C\QPendientes@">
          <a:extLst>
            <a:ext uri="{FF2B5EF4-FFF2-40B4-BE49-F238E27FC236}">
              <a16:creationId xmlns:a16="http://schemas.microsoft.com/office/drawing/2014/main" id="{8689DDD6-348A-4A70-B2A4-8664FA06C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8005" name="Picture@5C\QPendientes@" descr="@5C\QPendientes@">
          <a:extLst>
            <a:ext uri="{FF2B5EF4-FFF2-40B4-BE49-F238E27FC236}">
              <a16:creationId xmlns:a16="http://schemas.microsoft.com/office/drawing/2014/main" id="{2350E87C-A5F1-4D7C-8C2D-6C6DF1ADC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8006" name="Picture@5C\QPendientes@" descr="@5C\QPendientes@">
          <a:extLst>
            <a:ext uri="{FF2B5EF4-FFF2-40B4-BE49-F238E27FC236}">
              <a16:creationId xmlns:a16="http://schemas.microsoft.com/office/drawing/2014/main" id="{04F85360-A530-4F8D-B2CA-D0BA23C73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8007" name="Picture@5C\QPendientes@" descr="@5C\QPendientes@">
          <a:extLst>
            <a:ext uri="{FF2B5EF4-FFF2-40B4-BE49-F238E27FC236}">
              <a16:creationId xmlns:a16="http://schemas.microsoft.com/office/drawing/2014/main" id="{C568D4A6-2A94-4202-AC1A-A163DB07C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8008" name="Picture@5C\QPendientes@" descr="@5C\QPendientes@">
          <a:extLst>
            <a:ext uri="{FF2B5EF4-FFF2-40B4-BE49-F238E27FC236}">
              <a16:creationId xmlns:a16="http://schemas.microsoft.com/office/drawing/2014/main" id="{65B54241-024A-46B8-8950-B78CEE211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8009" name="Picture@5C\QPendientes@" descr="@5C\QPendientes@">
          <a:extLst>
            <a:ext uri="{FF2B5EF4-FFF2-40B4-BE49-F238E27FC236}">
              <a16:creationId xmlns:a16="http://schemas.microsoft.com/office/drawing/2014/main" id="{BA72E7A2-F98F-4F13-A352-75FCC26DD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8010" name="Picture@5C\QPendientes@" descr="@5C\QPendientes@">
          <a:extLst>
            <a:ext uri="{FF2B5EF4-FFF2-40B4-BE49-F238E27FC236}">
              <a16:creationId xmlns:a16="http://schemas.microsoft.com/office/drawing/2014/main" id="{4622993D-D5E7-41F1-95E3-00027D522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8011" name="Picture@5C\QPendientes@" descr="@5C\QPendientes@">
          <a:extLst>
            <a:ext uri="{FF2B5EF4-FFF2-40B4-BE49-F238E27FC236}">
              <a16:creationId xmlns:a16="http://schemas.microsoft.com/office/drawing/2014/main" id="{85A1FE01-FC40-4A9A-9C74-E2B2DAD85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8012" name="Picture@5C\QPendientes@" descr="@5C\QPendientes@">
          <a:extLst>
            <a:ext uri="{FF2B5EF4-FFF2-40B4-BE49-F238E27FC236}">
              <a16:creationId xmlns:a16="http://schemas.microsoft.com/office/drawing/2014/main" id="{8BDAA008-02F7-4C8A-87D8-2D937A5C4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8013" name="Picture@5C\QPendientes@" descr="@5C\QPendientes@">
          <a:extLst>
            <a:ext uri="{FF2B5EF4-FFF2-40B4-BE49-F238E27FC236}">
              <a16:creationId xmlns:a16="http://schemas.microsoft.com/office/drawing/2014/main" id="{B73EA611-173A-444D-8531-C3CE8D887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8014" name="Picture@5C\QPendientes@" descr="@5C\QPendientes@">
          <a:extLst>
            <a:ext uri="{FF2B5EF4-FFF2-40B4-BE49-F238E27FC236}">
              <a16:creationId xmlns:a16="http://schemas.microsoft.com/office/drawing/2014/main" id="{30B36C0F-FECD-4E32-9403-A38631975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8015" name="Picture@5C\QPendientes@" descr="@5C\QPendientes@">
          <a:extLst>
            <a:ext uri="{FF2B5EF4-FFF2-40B4-BE49-F238E27FC236}">
              <a16:creationId xmlns:a16="http://schemas.microsoft.com/office/drawing/2014/main" id="{4218424B-4A0B-459E-8C56-8C63F83AF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8016" name="Picture@5C\QPendientes@" descr="@5C\QPendientes@">
          <a:extLst>
            <a:ext uri="{FF2B5EF4-FFF2-40B4-BE49-F238E27FC236}">
              <a16:creationId xmlns:a16="http://schemas.microsoft.com/office/drawing/2014/main" id="{7FFC339A-478D-4202-8C6E-D2FC7F316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8017" name="Picture@5C\QPendientes@" descr="@5C\QPendientes@">
          <a:extLst>
            <a:ext uri="{FF2B5EF4-FFF2-40B4-BE49-F238E27FC236}">
              <a16:creationId xmlns:a16="http://schemas.microsoft.com/office/drawing/2014/main" id="{308127C7-2AF0-4BCB-A9D3-FFA8E5963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8018" name="Picture@5C\QPendientes@" descr="@5C\QPendientes@">
          <a:extLst>
            <a:ext uri="{FF2B5EF4-FFF2-40B4-BE49-F238E27FC236}">
              <a16:creationId xmlns:a16="http://schemas.microsoft.com/office/drawing/2014/main" id="{FA98FE66-C88D-48E9-AF4D-D86D62BAF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8019" name="Picture@5C\QPendientes@" descr="@5C\QPendientes@">
          <a:extLst>
            <a:ext uri="{FF2B5EF4-FFF2-40B4-BE49-F238E27FC236}">
              <a16:creationId xmlns:a16="http://schemas.microsoft.com/office/drawing/2014/main" id="{FCEF64A9-2292-4EC7-8AAD-2B904C7BE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8020" name="Picture@5C\QPendientes@" descr="@5C\QPendientes@">
          <a:extLst>
            <a:ext uri="{FF2B5EF4-FFF2-40B4-BE49-F238E27FC236}">
              <a16:creationId xmlns:a16="http://schemas.microsoft.com/office/drawing/2014/main" id="{3DC8C4F3-995E-49EF-9A5E-0ACF7244F2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8021" name="Picture@5C\QPendientes@" descr="@5C\QPendientes@">
          <a:extLst>
            <a:ext uri="{FF2B5EF4-FFF2-40B4-BE49-F238E27FC236}">
              <a16:creationId xmlns:a16="http://schemas.microsoft.com/office/drawing/2014/main" id="{3802859A-3899-41F5-A5F0-08F342155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8022" name="Picture@5C\QPendientes@" descr="@5C\QPendientes@">
          <a:extLst>
            <a:ext uri="{FF2B5EF4-FFF2-40B4-BE49-F238E27FC236}">
              <a16:creationId xmlns:a16="http://schemas.microsoft.com/office/drawing/2014/main" id="{4EAC61FC-E038-4B21-9977-04C49B738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8023" name="Picture@5C\QPendientes@" descr="@5C\QPendientes@">
          <a:extLst>
            <a:ext uri="{FF2B5EF4-FFF2-40B4-BE49-F238E27FC236}">
              <a16:creationId xmlns:a16="http://schemas.microsoft.com/office/drawing/2014/main" id="{CBF48120-E5A9-4FDD-AB5D-010D2471F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8024" name="Picture@5C\QPendientes@" descr="@5C\QPendientes@">
          <a:extLst>
            <a:ext uri="{FF2B5EF4-FFF2-40B4-BE49-F238E27FC236}">
              <a16:creationId xmlns:a16="http://schemas.microsoft.com/office/drawing/2014/main" id="{1DF58799-D464-4405-8CA4-72AADFE45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8025" name="Picture@5C\QPendientes@" descr="@5C\QPendientes@">
          <a:extLst>
            <a:ext uri="{FF2B5EF4-FFF2-40B4-BE49-F238E27FC236}">
              <a16:creationId xmlns:a16="http://schemas.microsoft.com/office/drawing/2014/main" id="{0EA9B1A9-76C5-4FDC-86A9-214D94882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8026" name="Picture@5C\QPendientes@" descr="@5C\QPendientes@">
          <a:extLst>
            <a:ext uri="{FF2B5EF4-FFF2-40B4-BE49-F238E27FC236}">
              <a16:creationId xmlns:a16="http://schemas.microsoft.com/office/drawing/2014/main" id="{EB7850A9-A376-49FF-A9A9-CDF40246E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8027" name="Picture@5C\QPendientes@" descr="@5C\QPendientes@">
          <a:extLst>
            <a:ext uri="{FF2B5EF4-FFF2-40B4-BE49-F238E27FC236}">
              <a16:creationId xmlns:a16="http://schemas.microsoft.com/office/drawing/2014/main" id="{2A2AE68F-F20B-4B55-BAA0-59ED0598F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8028" name="Picture@5C\QPendientes@" descr="@5C\QPendientes@">
          <a:extLst>
            <a:ext uri="{FF2B5EF4-FFF2-40B4-BE49-F238E27FC236}">
              <a16:creationId xmlns:a16="http://schemas.microsoft.com/office/drawing/2014/main" id="{866CEBE8-11E5-4B3D-B047-BB721B066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8029" name="Picture@5C\QPendientes@" descr="@5C\QPendientes@">
          <a:extLst>
            <a:ext uri="{FF2B5EF4-FFF2-40B4-BE49-F238E27FC236}">
              <a16:creationId xmlns:a16="http://schemas.microsoft.com/office/drawing/2014/main" id="{306D7254-70BD-495E-92D2-4EFC52CC0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8030" name="Picture@5C\QPendientes@" descr="@5C\QPendientes@">
          <a:extLst>
            <a:ext uri="{FF2B5EF4-FFF2-40B4-BE49-F238E27FC236}">
              <a16:creationId xmlns:a16="http://schemas.microsoft.com/office/drawing/2014/main" id="{48D52E9A-8370-48CF-8C4F-44501E2F1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8031" name="Picture@5C\QPendientes@" descr="@5C\QPendientes@">
          <a:extLst>
            <a:ext uri="{FF2B5EF4-FFF2-40B4-BE49-F238E27FC236}">
              <a16:creationId xmlns:a16="http://schemas.microsoft.com/office/drawing/2014/main" id="{BAB5278E-EEAE-4641-BF7B-566B29114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8032" name="Picture@5C\QPendientes@" descr="@5C\QPendientes@">
          <a:extLst>
            <a:ext uri="{FF2B5EF4-FFF2-40B4-BE49-F238E27FC236}">
              <a16:creationId xmlns:a16="http://schemas.microsoft.com/office/drawing/2014/main" id="{B1EC2E38-8BDC-4B23-86C1-9C4956625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8033" name="Picture@5C\QPendientes@" descr="@5C\QPendientes@">
          <a:extLst>
            <a:ext uri="{FF2B5EF4-FFF2-40B4-BE49-F238E27FC236}">
              <a16:creationId xmlns:a16="http://schemas.microsoft.com/office/drawing/2014/main" id="{BA75072E-DA54-403B-9E0F-7A35840D9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8034" name="Picture@5C\QPendientes@" descr="@5C\QPendientes@">
          <a:extLst>
            <a:ext uri="{FF2B5EF4-FFF2-40B4-BE49-F238E27FC236}">
              <a16:creationId xmlns:a16="http://schemas.microsoft.com/office/drawing/2014/main" id="{AC85BBEE-96F4-45C1-AFB5-AB589E848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8035" name="Picture@5C\QPendientes@" descr="@5C\QPendientes@">
          <a:extLst>
            <a:ext uri="{FF2B5EF4-FFF2-40B4-BE49-F238E27FC236}">
              <a16:creationId xmlns:a16="http://schemas.microsoft.com/office/drawing/2014/main" id="{0FDADD15-F08A-4C4F-BC03-FD2436010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8036" name="Picture@5C\QPendientes@" descr="@5C\QPendientes@">
          <a:extLst>
            <a:ext uri="{FF2B5EF4-FFF2-40B4-BE49-F238E27FC236}">
              <a16:creationId xmlns:a16="http://schemas.microsoft.com/office/drawing/2014/main" id="{F9B049BB-3918-4A8B-8043-889372C4A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8037" name="Picture@5C\QPendientes@" descr="@5C\QPendientes@">
          <a:extLst>
            <a:ext uri="{FF2B5EF4-FFF2-40B4-BE49-F238E27FC236}">
              <a16:creationId xmlns:a16="http://schemas.microsoft.com/office/drawing/2014/main" id="{FD57FFD8-847D-4300-99B0-80E1C7D2C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8038" name="Picture@5C\QPendientes@" descr="@5C\QPendientes@">
          <a:extLst>
            <a:ext uri="{FF2B5EF4-FFF2-40B4-BE49-F238E27FC236}">
              <a16:creationId xmlns:a16="http://schemas.microsoft.com/office/drawing/2014/main" id="{A1C3B898-E62E-403F-8D2F-5E73C3DD7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8039" name="Picture@5C\QPendientes@" descr="@5C\QPendientes@">
          <a:extLst>
            <a:ext uri="{FF2B5EF4-FFF2-40B4-BE49-F238E27FC236}">
              <a16:creationId xmlns:a16="http://schemas.microsoft.com/office/drawing/2014/main" id="{AB0768BB-095F-43FA-8948-BA043073D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8040" name="Picture@5C\QPendientes@" descr="@5C\QPendientes@">
          <a:extLst>
            <a:ext uri="{FF2B5EF4-FFF2-40B4-BE49-F238E27FC236}">
              <a16:creationId xmlns:a16="http://schemas.microsoft.com/office/drawing/2014/main" id="{EEDB5B71-A40B-4038-8ACB-12CF0B438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8041" name="Picture@5C\QPendientes@" descr="@5C\QPendientes@">
          <a:extLst>
            <a:ext uri="{FF2B5EF4-FFF2-40B4-BE49-F238E27FC236}">
              <a16:creationId xmlns:a16="http://schemas.microsoft.com/office/drawing/2014/main" id="{FFA62F17-73E3-4940-910A-B8B9313F8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8042" name="Picture@5C\QPendientes@" descr="@5C\QPendientes@">
          <a:extLst>
            <a:ext uri="{FF2B5EF4-FFF2-40B4-BE49-F238E27FC236}">
              <a16:creationId xmlns:a16="http://schemas.microsoft.com/office/drawing/2014/main" id="{F6530616-A028-4B28-8419-337F8FFC5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8043" name="Picture@5C\QPendientes@" descr="@5C\QPendientes@">
          <a:extLst>
            <a:ext uri="{FF2B5EF4-FFF2-40B4-BE49-F238E27FC236}">
              <a16:creationId xmlns:a16="http://schemas.microsoft.com/office/drawing/2014/main" id="{4C36F308-7C5B-4857-804E-1191EE824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8044" name="Picture@5C\QPendientes@" descr="@5C\QPendientes@">
          <a:extLst>
            <a:ext uri="{FF2B5EF4-FFF2-40B4-BE49-F238E27FC236}">
              <a16:creationId xmlns:a16="http://schemas.microsoft.com/office/drawing/2014/main" id="{08E04CC0-88FD-4ACE-9F79-D1A8C303AC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8045" name="Picture@5C\QPendientes@" descr="@5C\QPendientes@">
          <a:extLst>
            <a:ext uri="{FF2B5EF4-FFF2-40B4-BE49-F238E27FC236}">
              <a16:creationId xmlns:a16="http://schemas.microsoft.com/office/drawing/2014/main" id="{72946736-D7C7-479A-94C5-7AA2A8B40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8046" name="Picture@5C\QPendientes@" descr="@5C\QPendientes@">
          <a:extLst>
            <a:ext uri="{FF2B5EF4-FFF2-40B4-BE49-F238E27FC236}">
              <a16:creationId xmlns:a16="http://schemas.microsoft.com/office/drawing/2014/main" id="{1546A5A8-095C-41C8-B38C-134D311B3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8047" name="Picture@5C\QPendientes@" descr="@5C\QPendientes@">
          <a:extLst>
            <a:ext uri="{FF2B5EF4-FFF2-40B4-BE49-F238E27FC236}">
              <a16:creationId xmlns:a16="http://schemas.microsoft.com/office/drawing/2014/main" id="{5AE8CEE8-D134-4C8C-AF74-5CE661BE0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8048" name="Picture@5C\QPendientes@" descr="@5C\QPendientes@">
          <a:extLst>
            <a:ext uri="{FF2B5EF4-FFF2-40B4-BE49-F238E27FC236}">
              <a16:creationId xmlns:a16="http://schemas.microsoft.com/office/drawing/2014/main" id="{0D34671D-182A-4B85-BB8A-1F6985416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8049" name="Picture@5C\QPendientes@" descr="@5C\QPendientes@">
          <a:extLst>
            <a:ext uri="{FF2B5EF4-FFF2-40B4-BE49-F238E27FC236}">
              <a16:creationId xmlns:a16="http://schemas.microsoft.com/office/drawing/2014/main" id="{D1AEE88A-8223-4181-AD5D-98B870279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8050" name="Picture@5C\QPendientes@" descr="@5C\QPendientes@">
          <a:extLst>
            <a:ext uri="{FF2B5EF4-FFF2-40B4-BE49-F238E27FC236}">
              <a16:creationId xmlns:a16="http://schemas.microsoft.com/office/drawing/2014/main" id="{FC1C1FFD-304E-43D9-A0E7-2FE4361CD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8051" name="Picture@5C\QPendientes@" descr="@5C\QPendientes@">
          <a:extLst>
            <a:ext uri="{FF2B5EF4-FFF2-40B4-BE49-F238E27FC236}">
              <a16:creationId xmlns:a16="http://schemas.microsoft.com/office/drawing/2014/main" id="{138D8724-94A4-4CEF-9E60-B84DCD4FC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8052" name="Picture@5C\QPendientes@" descr="@5C\QPendientes@">
          <a:extLst>
            <a:ext uri="{FF2B5EF4-FFF2-40B4-BE49-F238E27FC236}">
              <a16:creationId xmlns:a16="http://schemas.microsoft.com/office/drawing/2014/main" id="{93621755-AEEC-4A95-87E9-E2E16D6A0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8053" name="Picture@5C\QPendientes@" descr="@5C\QPendientes@">
          <a:extLst>
            <a:ext uri="{FF2B5EF4-FFF2-40B4-BE49-F238E27FC236}">
              <a16:creationId xmlns:a16="http://schemas.microsoft.com/office/drawing/2014/main" id="{82777880-5B33-4EDE-8659-B625F3179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8054" name="Picture@5C\QPendientes@" descr="@5C\QPendientes@">
          <a:extLst>
            <a:ext uri="{FF2B5EF4-FFF2-40B4-BE49-F238E27FC236}">
              <a16:creationId xmlns:a16="http://schemas.microsoft.com/office/drawing/2014/main" id="{EBD516F1-3670-4FDE-93E4-6A0D09F84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8055" name="Picture@5C\QPendientes@" descr="@5C\QPendientes@">
          <a:extLst>
            <a:ext uri="{FF2B5EF4-FFF2-40B4-BE49-F238E27FC236}">
              <a16:creationId xmlns:a16="http://schemas.microsoft.com/office/drawing/2014/main" id="{3D110FB9-DD93-4903-A189-67A5B2528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8056" name="Picture@5C\QPendientes@" descr="@5C\QPendientes@">
          <a:extLst>
            <a:ext uri="{FF2B5EF4-FFF2-40B4-BE49-F238E27FC236}">
              <a16:creationId xmlns:a16="http://schemas.microsoft.com/office/drawing/2014/main" id="{8238FA26-925B-4E08-AB20-F97457A0B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8057" name="Picture@5C\QPendientes@" descr="@5C\QPendientes@">
          <a:extLst>
            <a:ext uri="{FF2B5EF4-FFF2-40B4-BE49-F238E27FC236}">
              <a16:creationId xmlns:a16="http://schemas.microsoft.com/office/drawing/2014/main" id="{26A5187D-6741-46B2-9A12-5B33C776B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8058" name="Picture@5C\QPendientes@" descr="@5C\QPendientes@">
          <a:extLst>
            <a:ext uri="{FF2B5EF4-FFF2-40B4-BE49-F238E27FC236}">
              <a16:creationId xmlns:a16="http://schemas.microsoft.com/office/drawing/2014/main" id="{D4B1E166-5324-4CE5-B845-B2E99B2CE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8059" name="Picture@5C\QPendientes@" descr="@5C\QPendientes@">
          <a:extLst>
            <a:ext uri="{FF2B5EF4-FFF2-40B4-BE49-F238E27FC236}">
              <a16:creationId xmlns:a16="http://schemas.microsoft.com/office/drawing/2014/main" id="{0DBA56CD-572B-4E4C-A355-6D7281BDFA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8060" name="Picture@5C\QPendientes@" descr="@5C\QPendientes@">
          <a:extLst>
            <a:ext uri="{FF2B5EF4-FFF2-40B4-BE49-F238E27FC236}">
              <a16:creationId xmlns:a16="http://schemas.microsoft.com/office/drawing/2014/main" id="{9D375743-E91E-49F0-8F06-25AAA211E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8061" name="Picture@5C\QPendientes@" descr="@5C\QPendientes@">
          <a:extLst>
            <a:ext uri="{FF2B5EF4-FFF2-40B4-BE49-F238E27FC236}">
              <a16:creationId xmlns:a16="http://schemas.microsoft.com/office/drawing/2014/main" id="{6FDC5D7F-3C44-4A35-80E9-E0185E683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8062" name="Picture@5C\QPendientes@" descr="@5C\QPendientes@">
          <a:extLst>
            <a:ext uri="{FF2B5EF4-FFF2-40B4-BE49-F238E27FC236}">
              <a16:creationId xmlns:a16="http://schemas.microsoft.com/office/drawing/2014/main" id="{E23544BA-A7D2-401A-973C-88B47E1F3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8063" name="Picture@5C\QPendientes@" descr="@5C\QPendientes@">
          <a:extLst>
            <a:ext uri="{FF2B5EF4-FFF2-40B4-BE49-F238E27FC236}">
              <a16:creationId xmlns:a16="http://schemas.microsoft.com/office/drawing/2014/main" id="{0C7F7FA0-E441-42C6-95E8-50FA6985A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8064" name="Picture@5C\QPendientes@" descr="@5C\QPendientes@">
          <a:extLst>
            <a:ext uri="{FF2B5EF4-FFF2-40B4-BE49-F238E27FC236}">
              <a16:creationId xmlns:a16="http://schemas.microsoft.com/office/drawing/2014/main" id="{54CFEE9C-6EF7-49F5-B0E5-A3CF0C019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8065" name="Picture@5C\QPendientes@" descr="@5C\QPendientes@">
          <a:extLst>
            <a:ext uri="{FF2B5EF4-FFF2-40B4-BE49-F238E27FC236}">
              <a16:creationId xmlns:a16="http://schemas.microsoft.com/office/drawing/2014/main" id="{5D08CEE3-54B6-4650-BA37-BAA2E5213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8066" name="Picture@5C\QPendientes@" descr="@5C\QPendientes@">
          <a:extLst>
            <a:ext uri="{FF2B5EF4-FFF2-40B4-BE49-F238E27FC236}">
              <a16:creationId xmlns:a16="http://schemas.microsoft.com/office/drawing/2014/main" id="{25FE9FA7-FFAD-434D-8D1E-472E27D66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8067" name="Picture@5C\QPendientes@" descr="@5C\QPendientes@">
          <a:extLst>
            <a:ext uri="{FF2B5EF4-FFF2-40B4-BE49-F238E27FC236}">
              <a16:creationId xmlns:a16="http://schemas.microsoft.com/office/drawing/2014/main" id="{17361D99-11D8-4362-A2AC-9D24417E2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8068" name="Picture@5C\QPendientes@" descr="@5C\QPendientes@">
          <a:extLst>
            <a:ext uri="{FF2B5EF4-FFF2-40B4-BE49-F238E27FC236}">
              <a16:creationId xmlns:a16="http://schemas.microsoft.com/office/drawing/2014/main" id="{C9C3DF6C-2D35-4B4F-8AAA-8F6B8D54F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8069" name="Picture@5C\QPendientes@" descr="@5C\QPendientes@">
          <a:extLst>
            <a:ext uri="{FF2B5EF4-FFF2-40B4-BE49-F238E27FC236}">
              <a16:creationId xmlns:a16="http://schemas.microsoft.com/office/drawing/2014/main" id="{F912F981-9391-4D10-A4A8-5D81FF645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8070" name="Picture@5C\QPendientes@" descr="@5C\QPendientes@">
          <a:extLst>
            <a:ext uri="{FF2B5EF4-FFF2-40B4-BE49-F238E27FC236}">
              <a16:creationId xmlns:a16="http://schemas.microsoft.com/office/drawing/2014/main" id="{A110BCC2-6EBE-4D4E-8F2D-555A611A2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8071" name="Picture@5C\QPendientes@" descr="@5C\QPendientes@">
          <a:extLst>
            <a:ext uri="{FF2B5EF4-FFF2-40B4-BE49-F238E27FC236}">
              <a16:creationId xmlns:a16="http://schemas.microsoft.com/office/drawing/2014/main" id="{85B00467-8A39-45EC-B438-641B10851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8072" name="Picture@5C\QPendientes@" descr="@5C\QPendientes@">
          <a:extLst>
            <a:ext uri="{FF2B5EF4-FFF2-40B4-BE49-F238E27FC236}">
              <a16:creationId xmlns:a16="http://schemas.microsoft.com/office/drawing/2014/main" id="{EAA13861-49F8-4E93-9A83-1411516C9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8073" name="Picture@5C\QPendientes@" descr="@5C\QPendientes@">
          <a:extLst>
            <a:ext uri="{FF2B5EF4-FFF2-40B4-BE49-F238E27FC236}">
              <a16:creationId xmlns:a16="http://schemas.microsoft.com/office/drawing/2014/main" id="{630F56B9-883D-4850-9873-81125F62A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8074" name="Picture@5C\QPendientes@" descr="@5C\QPendientes@">
          <a:extLst>
            <a:ext uri="{FF2B5EF4-FFF2-40B4-BE49-F238E27FC236}">
              <a16:creationId xmlns:a16="http://schemas.microsoft.com/office/drawing/2014/main" id="{12D6898F-A90B-4265-8E7B-7EB2AC209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8075" name="Picture@5C\QPendientes@" descr="@5C\QPendientes@">
          <a:extLst>
            <a:ext uri="{FF2B5EF4-FFF2-40B4-BE49-F238E27FC236}">
              <a16:creationId xmlns:a16="http://schemas.microsoft.com/office/drawing/2014/main" id="{DC5A2767-4630-4436-80FE-63F5128CF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8076" name="Picture@5C\QPendientes@" descr="@5C\QPendientes@">
          <a:extLst>
            <a:ext uri="{FF2B5EF4-FFF2-40B4-BE49-F238E27FC236}">
              <a16:creationId xmlns:a16="http://schemas.microsoft.com/office/drawing/2014/main" id="{4B6ED4B4-D2F9-40C2-BAEB-941A303609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8077" name="Picture@5C\QPendientes@" descr="@5C\QPendientes@">
          <a:extLst>
            <a:ext uri="{FF2B5EF4-FFF2-40B4-BE49-F238E27FC236}">
              <a16:creationId xmlns:a16="http://schemas.microsoft.com/office/drawing/2014/main" id="{C4BE25E0-56F0-4047-8B71-F1A937654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8078" name="Picture@5C\QPendientes@" descr="@5C\QPendientes@">
          <a:extLst>
            <a:ext uri="{FF2B5EF4-FFF2-40B4-BE49-F238E27FC236}">
              <a16:creationId xmlns:a16="http://schemas.microsoft.com/office/drawing/2014/main" id="{93475ED6-DFF1-4E24-849D-F72C69DA8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8079" name="Picture@5C\QPendientes@" descr="@5C\QPendientes@">
          <a:extLst>
            <a:ext uri="{FF2B5EF4-FFF2-40B4-BE49-F238E27FC236}">
              <a16:creationId xmlns:a16="http://schemas.microsoft.com/office/drawing/2014/main" id="{144DDF9F-8751-4156-BD15-C5F2D54B0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8080" name="Picture@5C\QPendientes@" descr="@5C\QPendientes@">
          <a:extLst>
            <a:ext uri="{FF2B5EF4-FFF2-40B4-BE49-F238E27FC236}">
              <a16:creationId xmlns:a16="http://schemas.microsoft.com/office/drawing/2014/main" id="{F726B2C6-0F5B-4D96-8DAE-EB451F1B0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8081" name="Picture@5C\QPendientes@" descr="@5C\QPendientes@">
          <a:extLst>
            <a:ext uri="{FF2B5EF4-FFF2-40B4-BE49-F238E27FC236}">
              <a16:creationId xmlns:a16="http://schemas.microsoft.com/office/drawing/2014/main" id="{D7D197BD-C5D2-4ED1-BB29-05B9C6CFE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8082" name="Picture@5C\QPendientes@" descr="@5C\QPendientes@">
          <a:extLst>
            <a:ext uri="{FF2B5EF4-FFF2-40B4-BE49-F238E27FC236}">
              <a16:creationId xmlns:a16="http://schemas.microsoft.com/office/drawing/2014/main" id="{B0DFB3B2-0977-4025-8601-9F191D700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8083" name="Picture@5C\QPendientes@" descr="@5C\QPendientes@">
          <a:extLst>
            <a:ext uri="{FF2B5EF4-FFF2-40B4-BE49-F238E27FC236}">
              <a16:creationId xmlns:a16="http://schemas.microsoft.com/office/drawing/2014/main" id="{F3AF7039-95E3-4D4A-982D-6857E26A0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8084" name="Picture@5C\QPendientes@" descr="@5C\QPendientes@">
          <a:extLst>
            <a:ext uri="{FF2B5EF4-FFF2-40B4-BE49-F238E27FC236}">
              <a16:creationId xmlns:a16="http://schemas.microsoft.com/office/drawing/2014/main" id="{0160104E-E333-4382-88B3-888A69A02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8085" name="Picture@5C\QPendientes@" descr="@5C\QPendientes@">
          <a:extLst>
            <a:ext uri="{FF2B5EF4-FFF2-40B4-BE49-F238E27FC236}">
              <a16:creationId xmlns:a16="http://schemas.microsoft.com/office/drawing/2014/main" id="{5FB83540-AB8E-48F8-989E-EEF97A0B8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8086" name="Picture@5C\QPendientes@" descr="@5C\QPendientes@">
          <a:extLst>
            <a:ext uri="{FF2B5EF4-FFF2-40B4-BE49-F238E27FC236}">
              <a16:creationId xmlns:a16="http://schemas.microsoft.com/office/drawing/2014/main" id="{A2F77E33-571D-4012-93AF-F97710A53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8087" name="Picture@5C\QPendientes@" descr="@5C\QPendientes@">
          <a:extLst>
            <a:ext uri="{FF2B5EF4-FFF2-40B4-BE49-F238E27FC236}">
              <a16:creationId xmlns:a16="http://schemas.microsoft.com/office/drawing/2014/main" id="{F247C675-7003-4371-BC66-8B0CB7D9C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8088" name="Picture@5C\QPendientes@" descr="@5C\QPendientes@">
          <a:extLst>
            <a:ext uri="{FF2B5EF4-FFF2-40B4-BE49-F238E27FC236}">
              <a16:creationId xmlns:a16="http://schemas.microsoft.com/office/drawing/2014/main" id="{04CA865E-AEB3-4669-B0E9-52BD9281D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8089" name="Picture@5C\QPendientes@" descr="@5C\QPendientes@">
          <a:extLst>
            <a:ext uri="{FF2B5EF4-FFF2-40B4-BE49-F238E27FC236}">
              <a16:creationId xmlns:a16="http://schemas.microsoft.com/office/drawing/2014/main" id="{2779D1FB-A5A0-4A04-B4CD-90E9E6175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8090" name="Picture@5C\QPendientes@" descr="@5C\QPendientes@">
          <a:extLst>
            <a:ext uri="{FF2B5EF4-FFF2-40B4-BE49-F238E27FC236}">
              <a16:creationId xmlns:a16="http://schemas.microsoft.com/office/drawing/2014/main" id="{12FCD45F-E14D-4847-B708-64DDA6405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8091" name="Picture@5C\QPendientes@" descr="@5C\QPendientes@">
          <a:extLst>
            <a:ext uri="{FF2B5EF4-FFF2-40B4-BE49-F238E27FC236}">
              <a16:creationId xmlns:a16="http://schemas.microsoft.com/office/drawing/2014/main" id="{C1EC8EE0-4D76-4547-BD1A-CC64B4A87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8092" name="Picture@5C\QPendientes@" descr="@5C\QPendientes@">
          <a:extLst>
            <a:ext uri="{FF2B5EF4-FFF2-40B4-BE49-F238E27FC236}">
              <a16:creationId xmlns:a16="http://schemas.microsoft.com/office/drawing/2014/main" id="{E434ED24-8426-47EA-B2D9-2DEAA0DC4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8093" name="Picture@5C\QPendientes@" descr="@5C\QPendientes@">
          <a:extLst>
            <a:ext uri="{FF2B5EF4-FFF2-40B4-BE49-F238E27FC236}">
              <a16:creationId xmlns:a16="http://schemas.microsoft.com/office/drawing/2014/main" id="{3D23655E-680E-4BDC-9E08-9FB8ED828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8094" name="Picture@5C\QPendientes@" descr="@5C\QPendientes@">
          <a:extLst>
            <a:ext uri="{FF2B5EF4-FFF2-40B4-BE49-F238E27FC236}">
              <a16:creationId xmlns:a16="http://schemas.microsoft.com/office/drawing/2014/main" id="{986F83C0-42E8-46A0-B8FF-8A2F25822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8095" name="Picture@5C\QPendientes@" descr="@5C\QPendientes@">
          <a:extLst>
            <a:ext uri="{FF2B5EF4-FFF2-40B4-BE49-F238E27FC236}">
              <a16:creationId xmlns:a16="http://schemas.microsoft.com/office/drawing/2014/main" id="{75532243-7876-4295-937E-25C25E08D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8096" name="Picture@5C\QPendientes@" descr="@5C\QPendientes@">
          <a:extLst>
            <a:ext uri="{FF2B5EF4-FFF2-40B4-BE49-F238E27FC236}">
              <a16:creationId xmlns:a16="http://schemas.microsoft.com/office/drawing/2014/main" id="{244E12AC-AF95-464B-BFAE-4A1F437B5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8097" name="Picture@5C\QPendientes@" descr="@5C\QPendientes@">
          <a:extLst>
            <a:ext uri="{FF2B5EF4-FFF2-40B4-BE49-F238E27FC236}">
              <a16:creationId xmlns:a16="http://schemas.microsoft.com/office/drawing/2014/main" id="{D07371A6-E7DC-48B2-8E71-6BAE6E288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8098" name="Picture@5C\QPendientes@" descr="@5C\QPendientes@">
          <a:extLst>
            <a:ext uri="{FF2B5EF4-FFF2-40B4-BE49-F238E27FC236}">
              <a16:creationId xmlns:a16="http://schemas.microsoft.com/office/drawing/2014/main" id="{F0349070-808D-45AC-BB89-8BD4566B65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8099" name="Picture@5C\QPendientes@" descr="@5C\QPendientes@">
          <a:extLst>
            <a:ext uri="{FF2B5EF4-FFF2-40B4-BE49-F238E27FC236}">
              <a16:creationId xmlns:a16="http://schemas.microsoft.com/office/drawing/2014/main" id="{F3477711-2A5C-45B5-A048-A81F89981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8100" name="Picture@5C\QPendientes@" descr="@5C\QPendientes@">
          <a:extLst>
            <a:ext uri="{FF2B5EF4-FFF2-40B4-BE49-F238E27FC236}">
              <a16:creationId xmlns:a16="http://schemas.microsoft.com/office/drawing/2014/main" id="{31020F81-041B-4919-8ACC-7BDA7F1C3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8101" name="Picture@5C\QPendientes@" descr="@5C\QPendientes@">
          <a:extLst>
            <a:ext uri="{FF2B5EF4-FFF2-40B4-BE49-F238E27FC236}">
              <a16:creationId xmlns:a16="http://schemas.microsoft.com/office/drawing/2014/main" id="{B271FF3D-50DD-4821-975D-7CADD0984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8102" name="Picture@5C\QPendientes@" descr="@5C\QPendientes@">
          <a:extLst>
            <a:ext uri="{FF2B5EF4-FFF2-40B4-BE49-F238E27FC236}">
              <a16:creationId xmlns:a16="http://schemas.microsoft.com/office/drawing/2014/main" id="{5CB17D8F-F4DE-4DE0-8E96-0227DCEC02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8103" name="Picture@5C\QPendientes@" descr="@5C\QPendientes@">
          <a:extLst>
            <a:ext uri="{FF2B5EF4-FFF2-40B4-BE49-F238E27FC236}">
              <a16:creationId xmlns:a16="http://schemas.microsoft.com/office/drawing/2014/main" id="{36344588-FDB4-47DA-826D-53281188CD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8104" name="Picture@5C\QPendientes@" descr="@5C\QPendientes@">
          <a:extLst>
            <a:ext uri="{FF2B5EF4-FFF2-40B4-BE49-F238E27FC236}">
              <a16:creationId xmlns:a16="http://schemas.microsoft.com/office/drawing/2014/main" id="{137DFDF9-D489-4A48-BE0A-FFFA95773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8105" name="Picture@5C\QPendientes@" descr="@5C\QPendientes@">
          <a:extLst>
            <a:ext uri="{FF2B5EF4-FFF2-40B4-BE49-F238E27FC236}">
              <a16:creationId xmlns:a16="http://schemas.microsoft.com/office/drawing/2014/main" id="{DE9FA552-5923-428D-B0FC-54689207E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8106" name="Picture@5C\QPendientes@" descr="@5C\QPendientes@">
          <a:extLst>
            <a:ext uri="{FF2B5EF4-FFF2-40B4-BE49-F238E27FC236}">
              <a16:creationId xmlns:a16="http://schemas.microsoft.com/office/drawing/2014/main" id="{117DF59B-0745-49CE-9CF8-DACB159AF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8107" name="Picture@5C\QPendientes@" descr="@5C\QPendientes@">
          <a:extLst>
            <a:ext uri="{FF2B5EF4-FFF2-40B4-BE49-F238E27FC236}">
              <a16:creationId xmlns:a16="http://schemas.microsoft.com/office/drawing/2014/main" id="{F9FF5246-5A72-4D6E-AAE2-507F5E30F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8108" name="Picture@5C\QPendientes@" descr="@5C\QPendientes@">
          <a:extLst>
            <a:ext uri="{FF2B5EF4-FFF2-40B4-BE49-F238E27FC236}">
              <a16:creationId xmlns:a16="http://schemas.microsoft.com/office/drawing/2014/main" id="{C2D10798-EEDE-49A3-8509-97B3554D4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8109" name="Picture@5C\QPendientes@" descr="@5C\QPendientes@">
          <a:extLst>
            <a:ext uri="{FF2B5EF4-FFF2-40B4-BE49-F238E27FC236}">
              <a16:creationId xmlns:a16="http://schemas.microsoft.com/office/drawing/2014/main" id="{FBD1EDEB-96C5-4281-A7E1-B910A0DA9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8110" name="Picture@5C\QPendientes@" descr="@5C\QPendientes@">
          <a:extLst>
            <a:ext uri="{FF2B5EF4-FFF2-40B4-BE49-F238E27FC236}">
              <a16:creationId xmlns:a16="http://schemas.microsoft.com/office/drawing/2014/main" id="{4DB70CF6-57CB-4EC9-B7F4-5DDA802CE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8111" name="Picture@5C\QPendientes@" descr="@5C\QPendientes@">
          <a:extLst>
            <a:ext uri="{FF2B5EF4-FFF2-40B4-BE49-F238E27FC236}">
              <a16:creationId xmlns:a16="http://schemas.microsoft.com/office/drawing/2014/main" id="{7E4214F0-A71D-4D03-817D-A5680B513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8112" name="Picture@5C\QPendientes@" descr="@5C\QPendientes@">
          <a:extLst>
            <a:ext uri="{FF2B5EF4-FFF2-40B4-BE49-F238E27FC236}">
              <a16:creationId xmlns:a16="http://schemas.microsoft.com/office/drawing/2014/main" id="{EF4F07F2-95A2-4FB8-BBA5-A9728DCFE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8113" name="Picture@5C\QPendientes@" descr="@5C\QPendientes@">
          <a:extLst>
            <a:ext uri="{FF2B5EF4-FFF2-40B4-BE49-F238E27FC236}">
              <a16:creationId xmlns:a16="http://schemas.microsoft.com/office/drawing/2014/main" id="{D5359CAC-57C8-4DBE-957A-D4833A19A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8114" name="Picture@5C\QPendientes@" descr="@5C\QPendientes@">
          <a:extLst>
            <a:ext uri="{FF2B5EF4-FFF2-40B4-BE49-F238E27FC236}">
              <a16:creationId xmlns:a16="http://schemas.microsoft.com/office/drawing/2014/main" id="{DF219406-BA07-46D1-8A76-C8E3286D1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8115" name="Picture@5C\QPendientes@" descr="@5C\QPendientes@">
          <a:extLst>
            <a:ext uri="{FF2B5EF4-FFF2-40B4-BE49-F238E27FC236}">
              <a16:creationId xmlns:a16="http://schemas.microsoft.com/office/drawing/2014/main" id="{A1C8411F-8D0D-4F6D-A9A4-90233389D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8116" name="Picture@5C\QPendientes@" descr="@5C\QPendientes@">
          <a:extLst>
            <a:ext uri="{FF2B5EF4-FFF2-40B4-BE49-F238E27FC236}">
              <a16:creationId xmlns:a16="http://schemas.microsoft.com/office/drawing/2014/main" id="{58CE14E4-D1FD-4B17-A0CD-B65DE189D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8117" name="Picture@5C\QPendientes@" descr="@5C\QPendientes@">
          <a:extLst>
            <a:ext uri="{FF2B5EF4-FFF2-40B4-BE49-F238E27FC236}">
              <a16:creationId xmlns:a16="http://schemas.microsoft.com/office/drawing/2014/main" id="{1FFC2388-43AA-4AAC-9D5F-D918912F2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8118" name="Picture@5C\QPendientes@" descr="@5C\QPendientes@">
          <a:extLst>
            <a:ext uri="{FF2B5EF4-FFF2-40B4-BE49-F238E27FC236}">
              <a16:creationId xmlns:a16="http://schemas.microsoft.com/office/drawing/2014/main" id="{8DC983D8-B8D4-4A57-A1D1-AA2186C78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8119" name="Picture@5C\QPendientes@" descr="@5C\QPendientes@">
          <a:extLst>
            <a:ext uri="{FF2B5EF4-FFF2-40B4-BE49-F238E27FC236}">
              <a16:creationId xmlns:a16="http://schemas.microsoft.com/office/drawing/2014/main" id="{5073BBDF-BFD8-413A-B862-E15BAAB6E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8120" name="Picture@5C\QPendientes@" descr="@5C\QPendientes@">
          <a:extLst>
            <a:ext uri="{FF2B5EF4-FFF2-40B4-BE49-F238E27FC236}">
              <a16:creationId xmlns:a16="http://schemas.microsoft.com/office/drawing/2014/main" id="{C07F3BAB-4431-4799-8386-3BC19D7BD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8121" name="Picture@5C\QPendientes@" descr="@5C\QPendientes@">
          <a:extLst>
            <a:ext uri="{FF2B5EF4-FFF2-40B4-BE49-F238E27FC236}">
              <a16:creationId xmlns:a16="http://schemas.microsoft.com/office/drawing/2014/main" id="{FA07F7DE-59D1-42A1-B364-CFBE524B1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8122" name="Picture@5C\QPendientes@" descr="@5C\QPendientes@">
          <a:extLst>
            <a:ext uri="{FF2B5EF4-FFF2-40B4-BE49-F238E27FC236}">
              <a16:creationId xmlns:a16="http://schemas.microsoft.com/office/drawing/2014/main" id="{1F325BDC-A43A-47B0-93F0-A4B6933FB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8123" name="Picture@5C\QPendientes@" descr="@5C\QPendientes@">
          <a:extLst>
            <a:ext uri="{FF2B5EF4-FFF2-40B4-BE49-F238E27FC236}">
              <a16:creationId xmlns:a16="http://schemas.microsoft.com/office/drawing/2014/main" id="{C1374F8C-2457-40A0-8AC4-6C6357DFE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8124" name="Picture@5C\QPendientes@" descr="@5C\QPendientes@">
          <a:extLst>
            <a:ext uri="{FF2B5EF4-FFF2-40B4-BE49-F238E27FC236}">
              <a16:creationId xmlns:a16="http://schemas.microsoft.com/office/drawing/2014/main" id="{ABC8D2F1-B8DF-4E51-B1F2-C75E53A12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8125" name="Picture@5C\QPendientes@" descr="@5C\QPendientes@">
          <a:extLst>
            <a:ext uri="{FF2B5EF4-FFF2-40B4-BE49-F238E27FC236}">
              <a16:creationId xmlns:a16="http://schemas.microsoft.com/office/drawing/2014/main" id="{F822BC67-D9ED-40AC-BD42-6017766CD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8126" name="Picture@5C\QPendientes@" descr="@5C\QPendientes@">
          <a:extLst>
            <a:ext uri="{FF2B5EF4-FFF2-40B4-BE49-F238E27FC236}">
              <a16:creationId xmlns:a16="http://schemas.microsoft.com/office/drawing/2014/main" id="{1A291FAB-89B5-4502-9B98-87AE09CDC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8127" name="Picture@5C\QPendientes@" descr="@5C\QPendientes@">
          <a:extLst>
            <a:ext uri="{FF2B5EF4-FFF2-40B4-BE49-F238E27FC236}">
              <a16:creationId xmlns:a16="http://schemas.microsoft.com/office/drawing/2014/main" id="{B4542430-AE37-45E7-98AB-895F66627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8128" name="Picture@5C\QPendientes@" descr="@5C\QPendientes@">
          <a:extLst>
            <a:ext uri="{FF2B5EF4-FFF2-40B4-BE49-F238E27FC236}">
              <a16:creationId xmlns:a16="http://schemas.microsoft.com/office/drawing/2014/main" id="{EC7A4877-74E9-491D-894E-485735D42E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8129" name="Picture@5C\QPendientes@" descr="@5C\QPendientes@">
          <a:extLst>
            <a:ext uri="{FF2B5EF4-FFF2-40B4-BE49-F238E27FC236}">
              <a16:creationId xmlns:a16="http://schemas.microsoft.com/office/drawing/2014/main" id="{383B860D-CC02-476A-B4B4-D582FD2AC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8130" name="Picture@5C\QPendientes@" descr="@5C\QPendientes@">
          <a:extLst>
            <a:ext uri="{FF2B5EF4-FFF2-40B4-BE49-F238E27FC236}">
              <a16:creationId xmlns:a16="http://schemas.microsoft.com/office/drawing/2014/main" id="{FAE7422E-E417-49AB-B3AC-92427E743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8131" name="Picture@5C\QPendientes@" descr="@5C\QPendientes@">
          <a:extLst>
            <a:ext uri="{FF2B5EF4-FFF2-40B4-BE49-F238E27FC236}">
              <a16:creationId xmlns:a16="http://schemas.microsoft.com/office/drawing/2014/main" id="{397ABCD9-018B-407E-911D-09ECF9376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8132" name="Picture@5C\QPendientes@" descr="@5C\QPendientes@">
          <a:extLst>
            <a:ext uri="{FF2B5EF4-FFF2-40B4-BE49-F238E27FC236}">
              <a16:creationId xmlns:a16="http://schemas.microsoft.com/office/drawing/2014/main" id="{3E14020B-E26E-49CA-B38F-1441923C1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8133" name="Picture@5C\QPendientes@" descr="@5C\QPendientes@">
          <a:extLst>
            <a:ext uri="{FF2B5EF4-FFF2-40B4-BE49-F238E27FC236}">
              <a16:creationId xmlns:a16="http://schemas.microsoft.com/office/drawing/2014/main" id="{4EDD441F-EB9D-4EE4-8168-1CBF33F73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8134" name="Picture@5C\QPendientes@" descr="@5C\QPendientes@">
          <a:extLst>
            <a:ext uri="{FF2B5EF4-FFF2-40B4-BE49-F238E27FC236}">
              <a16:creationId xmlns:a16="http://schemas.microsoft.com/office/drawing/2014/main" id="{7F6FDFFC-E948-4DC1-A876-5F40F14BE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8135" name="Picture@5C\QPendientes@" descr="@5C\QPendientes@">
          <a:extLst>
            <a:ext uri="{FF2B5EF4-FFF2-40B4-BE49-F238E27FC236}">
              <a16:creationId xmlns:a16="http://schemas.microsoft.com/office/drawing/2014/main" id="{E38ABC70-196A-4023-A84A-23F5128027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8136" name="Picture@5C\QPendientes@" descr="@5C\QPendientes@">
          <a:extLst>
            <a:ext uri="{FF2B5EF4-FFF2-40B4-BE49-F238E27FC236}">
              <a16:creationId xmlns:a16="http://schemas.microsoft.com/office/drawing/2014/main" id="{4C6F7FD4-87CB-413B-A7C0-27F90D120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8137" name="Picture@5C\QPendientes@" descr="@5C\QPendientes@">
          <a:extLst>
            <a:ext uri="{FF2B5EF4-FFF2-40B4-BE49-F238E27FC236}">
              <a16:creationId xmlns:a16="http://schemas.microsoft.com/office/drawing/2014/main" id="{324797F1-9CA5-49B6-824F-21CEE346A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8138" name="Picture@5C\QPendientes@" descr="@5C\QPendientes@">
          <a:extLst>
            <a:ext uri="{FF2B5EF4-FFF2-40B4-BE49-F238E27FC236}">
              <a16:creationId xmlns:a16="http://schemas.microsoft.com/office/drawing/2014/main" id="{584CFEBD-8937-4B94-9E66-95E704EEC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8139" name="Picture@5C\QPendientes@" descr="@5C\QPendientes@">
          <a:extLst>
            <a:ext uri="{FF2B5EF4-FFF2-40B4-BE49-F238E27FC236}">
              <a16:creationId xmlns:a16="http://schemas.microsoft.com/office/drawing/2014/main" id="{AA051153-DA6C-4E7C-B70D-CF4561676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8140" name="Picture@5C\QPendientes@" descr="@5C\QPendientes@">
          <a:extLst>
            <a:ext uri="{FF2B5EF4-FFF2-40B4-BE49-F238E27FC236}">
              <a16:creationId xmlns:a16="http://schemas.microsoft.com/office/drawing/2014/main" id="{55BCD45A-17E6-4310-B39C-8DD5927DA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8141" name="Picture@5C\QPendientes@" descr="@5C\QPendientes@">
          <a:extLst>
            <a:ext uri="{FF2B5EF4-FFF2-40B4-BE49-F238E27FC236}">
              <a16:creationId xmlns:a16="http://schemas.microsoft.com/office/drawing/2014/main" id="{358F8D70-042A-4E42-A3FC-962188186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8142" name="Picture@5C\QPendientes@" descr="@5C\QPendientes@">
          <a:extLst>
            <a:ext uri="{FF2B5EF4-FFF2-40B4-BE49-F238E27FC236}">
              <a16:creationId xmlns:a16="http://schemas.microsoft.com/office/drawing/2014/main" id="{293042E9-6046-476F-9F32-1D34BCF50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8143" name="Picture@5C\QPendientes@" descr="@5C\QPendientes@">
          <a:extLst>
            <a:ext uri="{FF2B5EF4-FFF2-40B4-BE49-F238E27FC236}">
              <a16:creationId xmlns:a16="http://schemas.microsoft.com/office/drawing/2014/main" id="{58C748BF-3E8B-430D-AC7D-9C90F60EE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8144" name="Picture@5C\QPendientes@" descr="@5C\QPendientes@">
          <a:extLst>
            <a:ext uri="{FF2B5EF4-FFF2-40B4-BE49-F238E27FC236}">
              <a16:creationId xmlns:a16="http://schemas.microsoft.com/office/drawing/2014/main" id="{272C7CC1-B182-4ED0-AFB8-34D794730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8145" name="Picture@5C\QPendientes@" descr="@5C\QPendientes@">
          <a:extLst>
            <a:ext uri="{FF2B5EF4-FFF2-40B4-BE49-F238E27FC236}">
              <a16:creationId xmlns:a16="http://schemas.microsoft.com/office/drawing/2014/main" id="{DC2FAEFC-9B29-4F0B-B2CE-061102C06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8146" name="Picture@5C\QPendientes@" descr="@5C\QPendientes@">
          <a:extLst>
            <a:ext uri="{FF2B5EF4-FFF2-40B4-BE49-F238E27FC236}">
              <a16:creationId xmlns:a16="http://schemas.microsoft.com/office/drawing/2014/main" id="{E98314D0-960A-46A6-8837-469BAFEBE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8147" name="Picture@5C\QPendientes@" descr="@5C\QPendientes@">
          <a:extLst>
            <a:ext uri="{FF2B5EF4-FFF2-40B4-BE49-F238E27FC236}">
              <a16:creationId xmlns:a16="http://schemas.microsoft.com/office/drawing/2014/main" id="{F21DB319-2C8B-480A-872E-FAED3EEC8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8148" name="Picture@5C\QPendientes@" descr="@5C\QPendientes@">
          <a:extLst>
            <a:ext uri="{FF2B5EF4-FFF2-40B4-BE49-F238E27FC236}">
              <a16:creationId xmlns:a16="http://schemas.microsoft.com/office/drawing/2014/main" id="{FA015396-3561-4127-B08F-8B0F8D9DA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8149" name="Picture@5C\QPendientes@" descr="@5C\QPendientes@">
          <a:extLst>
            <a:ext uri="{FF2B5EF4-FFF2-40B4-BE49-F238E27FC236}">
              <a16:creationId xmlns:a16="http://schemas.microsoft.com/office/drawing/2014/main" id="{FA908223-2F9D-4237-B127-BDFB58928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8150" name="Picture@5C\QPendientes@" descr="@5C\QPendientes@">
          <a:extLst>
            <a:ext uri="{FF2B5EF4-FFF2-40B4-BE49-F238E27FC236}">
              <a16:creationId xmlns:a16="http://schemas.microsoft.com/office/drawing/2014/main" id="{D128D517-0535-4113-A03F-47037FC10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8151" name="Picture@5C\QPendientes@" descr="@5C\QPendientes@">
          <a:extLst>
            <a:ext uri="{FF2B5EF4-FFF2-40B4-BE49-F238E27FC236}">
              <a16:creationId xmlns:a16="http://schemas.microsoft.com/office/drawing/2014/main" id="{5E8BDFDF-F3BA-4E14-9496-6F5EF886F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8152" name="Picture@5C\QPendientes@" descr="@5C\QPendientes@">
          <a:extLst>
            <a:ext uri="{FF2B5EF4-FFF2-40B4-BE49-F238E27FC236}">
              <a16:creationId xmlns:a16="http://schemas.microsoft.com/office/drawing/2014/main" id="{12DA42EA-ED75-4F5A-BBE1-E2B612725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8153" name="Picture@5C\QPendientes@" descr="@5C\QPendientes@">
          <a:extLst>
            <a:ext uri="{FF2B5EF4-FFF2-40B4-BE49-F238E27FC236}">
              <a16:creationId xmlns:a16="http://schemas.microsoft.com/office/drawing/2014/main" id="{77E862C4-CD3D-42C1-8346-FF0C8CEA6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8154" name="Picture@5C\QPendientes@" descr="@5C\QPendientes@">
          <a:extLst>
            <a:ext uri="{FF2B5EF4-FFF2-40B4-BE49-F238E27FC236}">
              <a16:creationId xmlns:a16="http://schemas.microsoft.com/office/drawing/2014/main" id="{AFA6C13A-19EA-485A-BBFA-AE41443B0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8155" name="Picture@5C\QPendientes@" descr="@5C\QPendientes@">
          <a:extLst>
            <a:ext uri="{FF2B5EF4-FFF2-40B4-BE49-F238E27FC236}">
              <a16:creationId xmlns:a16="http://schemas.microsoft.com/office/drawing/2014/main" id="{006D1D65-2157-4611-9594-2E4BAACFB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8156" name="Picture@5C\QPendientes@" descr="@5C\QPendientes@">
          <a:extLst>
            <a:ext uri="{FF2B5EF4-FFF2-40B4-BE49-F238E27FC236}">
              <a16:creationId xmlns:a16="http://schemas.microsoft.com/office/drawing/2014/main" id="{76E2EF09-82FA-4C1C-A044-732AFFA83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8157" name="Picture@5C\QPendientes@" descr="@5C\QPendientes@">
          <a:extLst>
            <a:ext uri="{FF2B5EF4-FFF2-40B4-BE49-F238E27FC236}">
              <a16:creationId xmlns:a16="http://schemas.microsoft.com/office/drawing/2014/main" id="{F155EC1C-DC31-4502-8D70-054E79CC1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8158" name="Picture@5C\QPendientes@" descr="@5C\QPendientes@">
          <a:extLst>
            <a:ext uri="{FF2B5EF4-FFF2-40B4-BE49-F238E27FC236}">
              <a16:creationId xmlns:a16="http://schemas.microsoft.com/office/drawing/2014/main" id="{2052BDBB-3614-4381-B802-B3499EB44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8159" name="Picture@5C\QPendientes@" descr="@5C\QPendientes@">
          <a:extLst>
            <a:ext uri="{FF2B5EF4-FFF2-40B4-BE49-F238E27FC236}">
              <a16:creationId xmlns:a16="http://schemas.microsoft.com/office/drawing/2014/main" id="{84319380-896C-4D35-82BB-57DE0ED78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8160" name="Picture@5C\QPendientes@" descr="@5C\QPendientes@">
          <a:extLst>
            <a:ext uri="{FF2B5EF4-FFF2-40B4-BE49-F238E27FC236}">
              <a16:creationId xmlns:a16="http://schemas.microsoft.com/office/drawing/2014/main" id="{6D4C012C-2DB8-480F-993D-99FAF1AF5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8161" name="Picture@5C\QPendientes@" descr="@5C\QPendientes@">
          <a:extLst>
            <a:ext uri="{FF2B5EF4-FFF2-40B4-BE49-F238E27FC236}">
              <a16:creationId xmlns:a16="http://schemas.microsoft.com/office/drawing/2014/main" id="{EE3FB107-D49B-4248-B3C7-AE3A1595F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8162" name="Picture@5C\QPendientes@" descr="@5C\QPendientes@">
          <a:extLst>
            <a:ext uri="{FF2B5EF4-FFF2-40B4-BE49-F238E27FC236}">
              <a16:creationId xmlns:a16="http://schemas.microsoft.com/office/drawing/2014/main" id="{9A7D3E4F-4BBA-48CF-8CE3-9F25EE072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8163" name="Picture@5C\QPendientes@" descr="@5C\QPendientes@">
          <a:extLst>
            <a:ext uri="{FF2B5EF4-FFF2-40B4-BE49-F238E27FC236}">
              <a16:creationId xmlns:a16="http://schemas.microsoft.com/office/drawing/2014/main" id="{4FA30811-A4BA-40AD-926F-3E8C72981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8164" name="Picture@5C\QPendientes@" descr="@5C\QPendientes@">
          <a:extLst>
            <a:ext uri="{FF2B5EF4-FFF2-40B4-BE49-F238E27FC236}">
              <a16:creationId xmlns:a16="http://schemas.microsoft.com/office/drawing/2014/main" id="{CFA7B6EE-4CD1-4C15-955F-DC86A633AB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8165" name="Picture@5C\QPendientes@" descr="@5C\QPendientes@">
          <a:extLst>
            <a:ext uri="{FF2B5EF4-FFF2-40B4-BE49-F238E27FC236}">
              <a16:creationId xmlns:a16="http://schemas.microsoft.com/office/drawing/2014/main" id="{95FD34B2-46B1-4AC8-B6A0-6527DEC23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8166" name="Picture@5C\QPendientes@" descr="@5C\QPendientes@">
          <a:extLst>
            <a:ext uri="{FF2B5EF4-FFF2-40B4-BE49-F238E27FC236}">
              <a16:creationId xmlns:a16="http://schemas.microsoft.com/office/drawing/2014/main" id="{525755C6-983C-4103-9C10-B9AAA00F4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8167" name="Picture@5C\QPendientes@" descr="@5C\QPendientes@">
          <a:extLst>
            <a:ext uri="{FF2B5EF4-FFF2-40B4-BE49-F238E27FC236}">
              <a16:creationId xmlns:a16="http://schemas.microsoft.com/office/drawing/2014/main" id="{B92D2F7A-7CE6-4989-95ED-D175F6788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8168" name="Picture@5C\QPendientes@" descr="@5C\QPendientes@">
          <a:extLst>
            <a:ext uri="{FF2B5EF4-FFF2-40B4-BE49-F238E27FC236}">
              <a16:creationId xmlns:a16="http://schemas.microsoft.com/office/drawing/2014/main" id="{5E903C76-499C-42DF-AD7C-8CA21169D0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8169" name="Picture@5C\QPendientes@" descr="@5C\QPendientes@">
          <a:extLst>
            <a:ext uri="{FF2B5EF4-FFF2-40B4-BE49-F238E27FC236}">
              <a16:creationId xmlns:a16="http://schemas.microsoft.com/office/drawing/2014/main" id="{9A7546C8-C09A-41E0-AC95-4D4F10DE0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8170" name="Picture@5C\QPendientes@" descr="@5C\QPendientes@">
          <a:extLst>
            <a:ext uri="{FF2B5EF4-FFF2-40B4-BE49-F238E27FC236}">
              <a16:creationId xmlns:a16="http://schemas.microsoft.com/office/drawing/2014/main" id="{0C48B257-A849-4123-98E3-D8973AF49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8171" name="Picture@5C\QPendientes@" descr="@5C\QPendientes@">
          <a:extLst>
            <a:ext uri="{FF2B5EF4-FFF2-40B4-BE49-F238E27FC236}">
              <a16:creationId xmlns:a16="http://schemas.microsoft.com/office/drawing/2014/main" id="{40832EE8-A037-49F7-B303-8DFA2CBD1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8172" name="Picture@5C\QPendientes@" descr="@5C\QPendientes@">
          <a:extLst>
            <a:ext uri="{FF2B5EF4-FFF2-40B4-BE49-F238E27FC236}">
              <a16:creationId xmlns:a16="http://schemas.microsoft.com/office/drawing/2014/main" id="{AF923702-4208-449A-8BF6-A8F4D89D9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8173" name="Picture@5C\QPendientes@" descr="@5C\QPendientes@">
          <a:extLst>
            <a:ext uri="{FF2B5EF4-FFF2-40B4-BE49-F238E27FC236}">
              <a16:creationId xmlns:a16="http://schemas.microsoft.com/office/drawing/2014/main" id="{0CC03076-C1ED-4611-9D1B-F2D54F6C4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8174" name="Picture@5C\QPendientes@" descr="@5C\QPendientes@">
          <a:extLst>
            <a:ext uri="{FF2B5EF4-FFF2-40B4-BE49-F238E27FC236}">
              <a16:creationId xmlns:a16="http://schemas.microsoft.com/office/drawing/2014/main" id="{5A38A333-9E48-4B48-A6F0-42C851611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8175" name="Picture@5C\QPendientes@" descr="@5C\QPendientes@">
          <a:extLst>
            <a:ext uri="{FF2B5EF4-FFF2-40B4-BE49-F238E27FC236}">
              <a16:creationId xmlns:a16="http://schemas.microsoft.com/office/drawing/2014/main" id="{5594798B-C67B-4977-9CE4-C99485178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8176" name="Picture@5C\QPendientes@" descr="@5C\QPendientes@">
          <a:extLst>
            <a:ext uri="{FF2B5EF4-FFF2-40B4-BE49-F238E27FC236}">
              <a16:creationId xmlns:a16="http://schemas.microsoft.com/office/drawing/2014/main" id="{53532754-A428-4A92-B083-5F2A848BA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8177" name="Picture@5C\QPendientes@" descr="@5C\QPendientes@">
          <a:extLst>
            <a:ext uri="{FF2B5EF4-FFF2-40B4-BE49-F238E27FC236}">
              <a16:creationId xmlns:a16="http://schemas.microsoft.com/office/drawing/2014/main" id="{BF5FC0CB-10DD-4FB8-B849-85095606C5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8178" name="Picture@5C\QPendientes@" descr="@5C\QPendientes@">
          <a:extLst>
            <a:ext uri="{FF2B5EF4-FFF2-40B4-BE49-F238E27FC236}">
              <a16:creationId xmlns:a16="http://schemas.microsoft.com/office/drawing/2014/main" id="{FF615715-D6F3-42FE-A6D7-FA4B8292C7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8179" name="Picture@5C\QPendientes@" descr="@5C\QPendientes@">
          <a:extLst>
            <a:ext uri="{FF2B5EF4-FFF2-40B4-BE49-F238E27FC236}">
              <a16:creationId xmlns:a16="http://schemas.microsoft.com/office/drawing/2014/main" id="{8AC64EF8-BA6A-49C3-B043-176E47668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8180" name="Picture@5C\QPendientes@" descr="@5C\QPendientes@">
          <a:extLst>
            <a:ext uri="{FF2B5EF4-FFF2-40B4-BE49-F238E27FC236}">
              <a16:creationId xmlns:a16="http://schemas.microsoft.com/office/drawing/2014/main" id="{253A22D7-9F87-418F-BB5A-087CB3F8F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8181" name="Picture@5C\QPendientes@" descr="@5C\QPendientes@">
          <a:extLst>
            <a:ext uri="{FF2B5EF4-FFF2-40B4-BE49-F238E27FC236}">
              <a16:creationId xmlns:a16="http://schemas.microsoft.com/office/drawing/2014/main" id="{39003735-DE15-4DEE-A3DE-095784780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8182" name="Picture@5C\QPendientes@" descr="@5C\QPendientes@">
          <a:extLst>
            <a:ext uri="{FF2B5EF4-FFF2-40B4-BE49-F238E27FC236}">
              <a16:creationId xmlns:a16="http://schemas.microsoft.com/office/drawing/2014/main" id="{607E941A-987A-439F-8F59-BEB980C73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8183" name="Picture@5C\QPendientes@" descr="@5C\QPendientes@">
          <a:extLst>
            <a:ext uri="{FF2B5EF4-FFF2-40B4-BE49-F238E27FC236}">
              <a16:creationId xmlns:a16="http://schemas.microsoft.com/office/drawing/2014/main" id="{979445E8-0B33-4036-BEE6-70F3569F8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8184" name="Picture@5C\QPendientes@" descr="@5C\QPendientes@">
          <a:extLst>
            <a:ext uri="{FF2B5EF4-FFF2-40B4-BE49-F238E27FC236}">
              <a16:creationId xmlns:a16="http://schemas.microsoft.com/office/drawing/2014/main" id="{1466B435-1051-4001-88B3-BE2416C5E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8185" name="Picture@5C\QPendientes@" descr="@5C\QPendientes@">
          <a:extLst>
            <a:ext uri="{FF2B5EF4-FFF2-40B4-BE49-F238E27FC236}">
              <a16:creationId xmlns:a16="http://schemas.microsoft.com/office/drawing/2014/main" id="{41F5B47E-616D-43D7-9C5E-A58D11A27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8186" name="Picture@5C\QPendientes@" descr="@5C\QPendientes@">
          <a:extLst>
            <a:ext uri="{FF2B5EF4-FFF2-40B4-BE49-F238E27FC236}">
              <a16:creationId xmlns:a16="http://schemas.microsoft.com/office/drawing/2014/main" id="{0BA57193-ECB7-4F43-B209-4755CA8DC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8187" name="Picture@5C\QPendientes@" descr="@5C\QPendientes@">
          <a:extLst>
            <a:ext uri="{FF2B5EF4-FFF2-40B4-BE49-F238E27FC236}">
              <a16:creationId xmlns:a16="http://schemas.microsoft.com/office/drawing/2014/main" id="{C141DB66-86E2-4336-B7C8-DE947B989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8188" name="Picture@5C\QPendientes@" descr="@5C\QPendientes@">
          <a:extLst>
            <a:ext uri="{FF2B5EF4-FFF2-40B4-BE49-F238E27FC236}">
              <a16:creationId xmlns:a16="http://schemas.microsoft.com/office/drawing/2014/main" id="{59FE9B1D-0604-45F5-9B07-46BE94E6E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8189" name="Picture@5C\QPendientes@" descr="@5C\QPendientes@">
          <a:extLst>
            <a:ext uri="{FF2B5EF4-FFF2-40B4-BE49-F238E27FC236}">
              <a16:creationId xmlns:a16="http://schemas.microsoft.com/office/drawing/2014/main" id="{38ADEF98-0A04-4CF8-B2BB-299578994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8190" name="Picture@5C\QPendientes@" descr="@5C\QPendientes@">
          <a:extLst>
            <a:ext uri="{FF2B5EF4-FFF2-40B4-BE49-F238E27FC236}">
              <a16:creationId xmlns:a16="http://schemas.microsoft.com/office/drawing/2014/main" id="{6F9BA014-63F0-4655-8E6F-159DBC50B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8191" name="Picture@5C\QPendientes@" descr="@5C\QPendientes@">
          <a:extLst>
            <a:ext uri="{FF2B5EF4-FFF2-40B4-BE49-F238E27FC236}">
              <a16:creationId xmlns:a16="http://schemas.microsoft.com/office/drawing/2014/main" id="{9701817F-BB7E-4E0C-A75F-E5FE7D197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8192" name="Picture@5C\QPendientes@" descr="@5C\QPendientes@">
          <a:extLst>
            <a:ext uri="{FF2B5EF4-FFF2-40B4-BE49-F238E27FC236}">
              <a16:creationId xmlns:a16="http://schemas.microsoft.com/office/drawing/2014/main" id="{7B39C5AE-DD5D-4EFD-A121-9277B17C8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8193" name="Picture@5C\QPendientes@" descr="@5C\QPendientes@">
          <a:extLst>
            <a:ext uri="{FF2B5EF4-FFF2-40B4-BE49-F238E27FC236}">
              <a16:creationId xmlns:a16="http://schemas.microsoft.com/office/drawing/2014/main" id="{15B3C539-EE32-491F-BAF1-91A587171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8194" name="Picture@5C\QPendientes@" descr="@5C\QPendientes@">
          <a:extLst>
            <a:ext uri="{FF2B5EF4-FFF2-40B4-BE49-F238E27FC236}">
              <a16:creationId xmlns:a16="http://schemas.microsoft.com/office/drawing/2014/main" id="{BD48900D-9EA5-4611-A6F3-FA28310A4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8195" name="Picture@5C\QPendientes@" descr="@5C\QPendientes@">
          <a:extLst>
            <a:ext uri="{FF2B5EF4-FFF2-40B4-BE49-F238E27FC236}">
              <a16:creationId xmlns:a16="http://schemas.microsoft.com/office/drawing/2014/main" id="{8DFB9902-AB64-47E1-8522-750D9B5F7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8196" name="Picture@5C\QPendientes@" descr="@5C\QPendientes@">
          <a:extLst>
            <a:ext uri="{FF2B5EF4-FFF2-40B4-BE49-F238E27FC236}">
              <a16:creationId xmlns:a16="http://schemas.microsoft.com/office/drawing/2014/main" id="{C05950D0-2617-4B9B-8DB1-437725ABA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8197" name="Picture@5C\QPendientes@" descr="@5C\QPendientes@">
          <a:extLst>
            <a:ext uri="{FF2B5EF4-FFF2-40B4-BE49-F238E27FC236}">
              <a16:creationId xmlns:a16="http://schemas.microsoft.com/office/drawing/2014/main" id="{3CBA2883-C0CC-4723-AB4E-32257220D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8198" name="Picture@5C\QPendientes@" descr="@5C\QPendientes@">
          <a:extLst>
            <a:ext uri="{FF2B5EF4-FFF2-40B4-BE49-F238E27FC236}">
              <a16:creationId xmlns:a16="http://schemas.microsoft.com/office/drawing/2014/main" id="{F75338D4-A39C-4E9B-AEC5-F62973739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8199" name="Picture@5C\QPendientes@" descr="@5C\QPendientes@">
          <a:extLst>
            <a:ext uri="{FF2B5EF4-FFF2-40B4-BE49-F238E27FC236}">
              <a16:creationId xmlns:a16="http://schemas.microsoft.com/office/drawing/2014/main" id="{571241F1-D89A-451A-9212-5E120B955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8200" name="Picture@5C\QPendientes@" descr="@5C\QPendientes@">
          <a:extLst>
            <a:ext uri="{FF2B5EF4-FFF2-40B4-BE49-F238E27FC236}">
              <a16:creationId xmlns:a16="http://schemas.microsoft.com/office/drawing/2014/main" id="{B24B9D9D-CB70-44AF-8878-F62193E90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8201" name="Picture@5C\QPendientes@" descr="@5C\QPendientes@">
          <a:extLst>
            <a:ext uri="{FF2B5EF4-FFF2-40B4-BE49-F238E27FC236}">
              <a16:creationId xmlns:a16="http://schemas.microsoft.com/office/drawing/2014/main" id="{4222286D-BA10-4F5A-BBCF-82B7AB2E7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8202" name="Picture@5C\QPendientes@" descr="@5C\QPendientes@">
          <a:extLst>
            <a:ext uri="{FF2B5EF4-FFF2-40B4-BE49-F238E27FC236}">
              <a16:creationId xmlns:a16="http://schemas.microsoft.com/office/drawing/2014/main" id="{C766819A-727A-447F-9C17-32B389C079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8203" name="Picture@5C\QPendientes@" descr="@5C\QPendientes@">
          <a:extLst>
            <a:ext uri="{FF2B5EF4-FFF2-40B4-BE49-F238E27FC236}">
              <a16:creationId xmlns:a16="http://schemas.microsoft.com/office/drawing/2014/main" id="{399E412D-7B40-4982-8112-A72C7F899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8204" name="Picture@5C\QPendientes@" descr="@5C\QPendientes@">
          <a:extLst>
            <a:ext uri="{FF2B5EF4-FFF2-40B4-BE49-F238E27FC236}">
              <a16:creationId xmlns:a16="http://schemas.microsoft.com/office/drawing/2014/main" id="{C2B4F2BE-43D2-4B62-BFC1-38CB42440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8205" name="Picture@5C\QPendientes@" descr="@5C\QPendientes@">
          <a:extLst>
            <a:ext uri="{FF2B5EF4-FFF2-40B4-BE49-F238E27FC236}">
              <a16:creationId xmlns:a16="http://schemas.microsoft.com/office/drawing/2014/main" id="{2B31AAE6-3AD1-43C2-9AA4-04EF778A9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8206" name="Picture@5C\QPendientes@" descr="@5C\QPendientes@">
          <a:extLst>
            <a:ext uri="{FF2B5EF4-FFF2-40B4-BE49-F238E27FC236}">
              <a16:creationId xmlns:a16="http://schemas.microsoft.com/office/drawing/2014/main" id="{53FE4783-2FCF-4643-98C2-A6D132986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8207" name="Picture@5C\QPendientes@" descr="@5C\QPendientes@">
          <a:extLst>
            <a:ext uri="{FF2B5EF4-FFF2-40B4-BE49-F238E27FC236}">
              <a16:creationId xmlns:a16="http://schemas.microsoft.com/office/drawing/2014/main" id="{F2533EE7-48E0-4BA3-B142-ACF3B7EFD4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8208" name="Picture@5C\QPendientes@" descr="@5C\QPendientes@">
          <a:extLst>
            <a:ext uri="{FF2B5EF4-FFF2-40B4-BE49-F238E27FC236}">
              <a16:creationId xmlns:a16="http://schemas.microsoft.com/office/drawing/2014/main" id="{8BDB58D6-A0C6-47CF-B871-055FF7E15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8209" name="Picture@5C\QPendientes@" descr="@5C\QPendientes@">
          <a:extLst>
            <a:ext uri="{FF2B5EF4-FFF2-40B4-BE49-F238E27FC236}">
              <a16:creationId xmlns:a16="http://schemas.microsoft.com/office/drawing/2014/main" id="{D8BBB6AA-B858-4EBB-94AC-B92F8623A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8210" name="Picture@5C\QPendientes@" descr="@5C\QPendientes@">
          <a:extLst>
            <a:ext uri="{FF2B5EF4-FFF2-40B4-BE49-F238E27FC236}">
              <a16:creationId xmlns:a16="http://schemas.microsoft.com/office/drawing/2014/main" id="{4FB85880-80C8-4C81-AF45-27B7494D6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8211" name="Picture@5C\QPendientes@" descr="@5C\QPendientes@">
          <a:extLst>
            <a:ext uri="{FF2B5EF4-FFF2-40B4-BE49-F238E27FC236}">
              <a16:creationId xmlns:a16="http://schemas.microsoft.com/office/drawing/2014/main" id="{C761584E-6551-409A-A0C5-B74A5EEA9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8212" name="Picture@5C\QPendientes@" descr="@5C\QPendientes@">
          <a:extLst>
            <a:ext uri="{FF2B5EF4-FFF2-40B4-BE49-F238E27FC236}">
              <a16:creationId xmlns:a16="http://schemas.microsoft.com/office/drawing/2014/main" id="{D791A0D0-112C-4B85-884C-81B9082C8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8213" name="Picture@5C\QPendientes@" descr="@5C\QPendientes@">
          <a:extLst>
            <a:ext uri="{FF2B5EF4-FFF2-40B4-BE49-F238E27FC236}">
              <a16:creationId xmlns:a16="http://schemas.microsoft.com/office/drawing/2014/main" id="{0445C86C-A85E-4D5F-BA3F-08ADA37F0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8214" name="Picture@5C\QPendientes@" descr="@5C\QPendientes@">
          <a:extLst>
            <a:ext uri="{FF2B5EF4-FFF2-40B4-BE49-F238E27FC236}">
              <a16:creationId xmlns:a16="http://schemas.microsoft.com/office/drawing/2014/main" id="{8FEAD69B-BB14-4401-B07B-378E34244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8215" name="Picture@5C\QPendientes@" descr="@5C\QPendientes@">
          <a:extLst>
            <a:ext uri="{FF2B5EF4-FFF2-40B4-BE49-F238E27FC236}">
              <a16:creationId xmlns:a16="http://schemas.microsoft.com/office/drawing/2014/main" id="{776EFE07-58EC-4859-91AB-94787BE65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8216" name="Picture@5C\QPendientes@" descr="@5C\QPendientes@">
          <a:extLst>
            <a:ext uri="{FF2B5EF4-FFF2-40B4-BE49-F238E27FC236}">
              <a16:creationId xmlns:a16="http://schemas.microsoft.com/office/drawing/2014/main" id="{234DCE93-0303-440C-A262-8840F32FD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8217" name="Picture@5C\QPendientes@" descr="@5C\QPendientes@">
          <a:extLst>
            <a:ext uri="{FF2B5EF4-FFF2-40B4-BE49-F238E27FC236}">
              <a16:creationId xmlns:a16="http://schemas.microsoft.com/office/drawing/2014/main" id="{7EEDA9A6-7002-4DFF-9F20-EFA47D2DC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8218" name="Picture@5C\QPendientes@" descr="@5C\QPendientes@">
          <a:extLst>
            <a:ext uri="{FF2B5EF4-FFF2-40B4-BE49-F238E27FC236}">
              <a16:creationId xmlns:a16="http://schemas.microsoft.com/office/drawing/2014/main" id="{A88182B6-F3E4-492F-AA83-C15C7FD58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8219" name="Picture@5C\QPendientes@" descr="@5C\QPendientes@">
          <a:extLst>
            <a:ext uri="{FF2B5EF4-FFF2-40B4-BE49-F238E27FC236}">
              <a16:creationId xmlns:a16="http://schemas.microsoft.com/office/drawing/2014/main" id="{E63799C0-698D-4794-B47D-5AF89F0C8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8220" name="Picture@5C\QPendientes@" descr="@5C\QPendientes@">
          <a:extLst>
            <a:ext uri="{FF2B5EF4-FFF2-40B4-BE49-F238E27FC236}">
              <a16:creationId xmlns:a16="http://schemas.microsoft.com/office/drawing/2014/main" id="{981F92D7-AA48-4BCA-8A52-FEE56CA1A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8221" name="Picture@5C\QPendientes@" descr="@5C\QPendientes@">
          <a:extLst>
            <a:ext uri="{FF2B5EF4-FFF2-40B4-BE49-F238E27FC236}">
              <a16:creationId xmlns:a16="http://schemas.microsoft.com/office/drawing/2014/main" id="{8E3C4DA9-69E0-4A5F-9DE7-1B4CDB002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8222" name="Picture@5C\QPendientes@" descr="@5C\QPendientes@">
          <a:extLst>
            <a:ext uri="{FF2B5EF4-FFF2-40B4-BE49-F238E27FC236}">
              <a16:creationId xmlns:a16="http://schemas.microsoft.com/office/drawing/2014/main" id="{19C02086-76FE-44BF-B4F4-33CA93496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8223" name="Picture@5C\QPendientes@" descr="@5C\QPendientes@">
          <a:extLst>
            <a:ext uri="{FF2B5EF4-FFF2-40B4-BE49-F238E27FC236}">
              <a16:creationId xmlns:a16="http://schemas.microsoft.com/office/drawing/2014/main" id="{5064B3C0-1E5D-4169-A6D4-A04962039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8224" name="Picture@5C\QPendientes@" descr="@5C\QPendientes@">
          <a:extLst>
            <a:ext uri="{FF2B5EF4-FFF2-40B4-BE49-F238E27FC236}">
              <a16:creationId xmlns:a16="http://schemas.microsoft.com/office/drawing/2014/main" id="{060AF8FD-91D6-453D-908A-17691A39B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8225" name="Picture@5C\QPendientes@" descr="@5C\QPendientes@">
          <a:extLst>
            <a:ext uri="{FF2B5EF4-FFF2-40B4-BE49-F238E27FC236}">
              <a16:creationId xmlns:a16="http://schemas.microsoft.com/office/drawing/2014/main" id="{7DB7359D-8702-48F8-B62E-60A9922C3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8226" name="Picture@5C\QPendientes@" descr="@5C\QPendientes@">
          <a:extLst>
            <a:ext uri="{FF2B5EF4-FFF2-40B4-BE49-F238E27FC236}">
              <a16:creationId xmlns:a16="http://schemas.microsoft.com/office/drawing/2014/main" id="{9169C6A6-04C3-4880-A96C-74023FEE8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8227" name="Picture@5C\QPendientes@" descr="@5C\QPendientes@">
          <a:extLst>
            <a:ext uri="{FF2B5EF4-FFF2-40B4-BE49-F238E27FC236}">
              <a16:creationId xmlns:a16="http://schemas.microsoft.com/office/drawing/2014/main" id="{7923D450-B9A5-45E1-829F-710B058BB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8228" name="Picture@5C\QPendientes@" descr="@5C\QPendientes@">
          <a:extLst>
            <a:ext uri="{FF2B5EF4-FFF2-40B4-BE49-F238E27FC236}">
              <a16:creationId xmlns:a16="http://schemas.microsoft.com/office/drawing/2014/main" id="{2B977F7E-D485-49AD-9D1B-1B4CE44A9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8229" name="Picture@5C\QPendientes@" descr="@5C\QPendientes@">
          <a:extLst>
            <a:ext uri="{FF2B5EF4-FFF2-40B4-BE49-F238E27FC236}">
              <a16:creationId xmlns:a16="http://schemas.microsoft.com/office/drawing/2014/main" id="{778946CE-446B-43F9-B8AA-152E04AD1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8230" name="Picture@5C\QPendientes@" descr="@5C\QPendientes@">
          <a:extLst>
            <a:ext uri="{FF2B5EF4-FFF2-40B4-BE49-F238E27FC236}">
              <a16:creationId xmlns:a16="http://schemas.microsoft.com/office/drawing/2014/main" id="{6F98A467-93FD-4BB6-8ACD-F5483CFC0E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8231" name="Picture@5C\QPendientes@" descr="@5C\QPendientes@">
          <a:extLst>
            <a:ext uri="{FF2B5EF4-FFF2-40B4-BE49-F238E27FC236}">
              <a16:creationId xmlns:a16="http://schemas.microsoft.com/office/drawing/2014/main" id="{981444DA-622C-4D66-A378-F8E529BE23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8232" name="Picture@5C\QPendientes@" descr="@5C\QPendientes@">
          <a:extLst>
            <a:ext uri="{FF2B5EF4-FFF2-40B4-BE49-F238E27FC236}">
              <a16:creationId xmlns:a16="http://schemas.microsoft.com/office/drawing/2014/main" id="{F02303E5-914B-44B5-B782-B3E7DC6161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8233" name="Picture@5C\QPendientes@" descr="@5C\QPendientes@">
          <a:extLst>
            <a:ext uri="{FF2B5EF4-FFF2-40B4-BE49-F238E27FC236}">
              <a16:creationId xmlns:a16="http://schemas.microsoft.com/office/drawing/2014/main" id="{1BE52AD3-E6C2-451D-BA6D-B9CDD9641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8234" name="Picture@5C\QPendientes@" descr="@5C\QPendientes@">
          <a:extLst>
            <a:ext uri="{FF2B5EF4-FFF2-40B4-BE49-F238E27FC236}">
              <a16:creationId xmlns:a16="http://schemas.microsoft.com/office/drawing/2014/main" id="{5F891D8D-1FA6-443E-A134-48D646BC6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8235" name="Picture@5C\QPendientes@" descr="@5C\QPendientes@">
          <a:extLst>
            <a:ext uri="{FF2B5EF4-FFF2-40B4-BE49-F238E27FC236}">
              <a16:creationId xmlns:a16="http://schemas.microsoft.com/office/drawing/2014/main" id="{F6C0ED4F-CCA7-4C7D-9B10-65BA8D116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8236" name="Picture@5C\QPendientes@" descr="@5C\QPendientes@">
          <a:extLst>
            <a:ext uri="{FF2B5EF4-FFF2-40B4-BE49-F238E27FC236}">
              <a16:creationId xmlns:a16="http://schemas.microsoft.com/office/drawing/2014/main" id="{6CFB7581-560B-4427-885A-33607C756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8237" name="Picture@5C\QPendientes@" descr="@5C\QPendientes@">
          <a:extLst>
            <a:ext uri="{FF2B5EF4-FFF2-40B4-BE49-F238E27FC236}">
              <a16:creationId xmlns:a16="http://schemas.microsoft.com/office/drawing/2014/main" id="{8716734B-6236-4613-B8C8-D470615F8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8238" name="Picture@5C\QPendientes@" descr="@5C\QPendientes@">
          <a:extLst>
            <a:ext uri="{FF2B5EF4-FFF2-40B4-BE49-F238E27FC236}">
              <a16:creationId xmlns:a16="http://schemas.microsoft.com/office/drawing/2014/main" id="{8223986A-E8A5-4399-80B8-D0CA4183E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8239" name="Picture@5C\QPendientes@" descr="@5C\QPendientes@">
          <a:extLst>
            <a:ext uri="{FF2B5EF4-FFF2-40B4-BE49-F238E27FC236}">
              <a16:creationId xmlns:a16="http://schemas.microsoft.com/office/drawing/2014/main" id="{E415D232-FC02-40F0-8FC7-FC5A53A69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8240" name="Picture@5C\QPendientes@" descr="@5C\QPendientes@">
          <a:extLst>
            <a:ext uri="{FF2B5EF4-FFF2-40B4-BE49-F238E27FC236}">
              <a16:creationId xmlns:a16="http://schemas.microsoft.com/office/drawing/2014/main" id="{00708193-9F60-4A6B-B1DB-36B808BB3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8241" name="Picture@5C\QPendientes@" descr="@5C\QPendientes@">
          <a:extLst>
            <a:ext uri="{FF2B5EF4-FFF2-40B4-BE49-F238E27FC236}">
              <a16:creationId xmlns:a16="http://schemas.microsoft.com/office/drawing/2014/main" id="{30B0616B-D259-4741-86FF-8B9F505B9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8242" name="Picture@5C\QPendientes@" descr="@5C\QPendientes@">
          <a:extLst>
            <a:ext uri="{FF2B5EF4-FFF2-40B4-BE49-F238E27FC236}">
              <a16:creationId xmlns:a16="http://schemas.microsoft.com/office/drawing/2014/main" id="{6EEFBDB5-924D-4C02-9960-A6F50C25C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8243" name="Picture@5C\QPendientes@" descr="@5C\QPendientes@">
          <a:extLst>
            <a:ext uri="{FF2B5EF4-FFF2-40B4-BE49-F238E27FC236}">
              <a16:creationId xmlns:a16="http://schemas.microsoft.com/office/drawing/2014/main" id="{70E22446-BBFD-4F00-A2D4-2B58808EC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8244" name="Picture@5C\QPendientes@" descr="@5C\QPendientes@">
          <a:extLst>
            <a:ext uri="{FF2B5EF4-FFF2-40B4-BE49-F238E27FC236}">
              <a16:creationId xmlns:a16="http://schemas.microsoft.com/office/drawing/2014/main" id="{B2C9A514-31B8-4D06-A254-23A945B50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8245" name="Picture@5C\QPendientes@" descr="@5C\QPendientes@">
          <a:extLst>
            <a:ext uri="{FF2B5EF4-FFF2-40B4-BE49-F238E27FC236}">
              <a16:creationId xmlns:a16="http://schemas.microsoft.com/office/drawing/2014/main" id="{792EE996-5FD9-4C88-BE9A-A546CDB5A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8246" name="Picture@5C\QPendientes@" descr="@5C\QPendientes@">
          <a:extLst>
            <a:ext uri="{FF2B5EF4-FFF2-40B4-BE49-F238E27FC236}">
              <a16:creationId xmlns:a16="http://schemas.microsoft.com/office/drawing/2014/main" id="{455A14BC-1300-4650-B1CC-14965823B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8247" name="Picture@5C\QPendientes@" descr="@5C\QPendientes@">
          <a:extLst>
            <a:ext uri="{FF2B5EF4-FFF2-40B4-BE49-F238E27FC236}">
              <a16:creationId xmlns:a16="http://schemas.microsoft.com/office/drawing/2014/main" id="{1207583A-2812-4268-8D5F-85276672B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8248" name="Picture@5C\QPendientes@" descr="@5C\QPendientes@">
          <a:extLst>
            <a:ext uri="{FF2B5EF4-FFF2-40B4-BE49-F238E27FC236}">
              <a16:creationId xmlns:a16="http://schemas.microsoft.com/office/drawing/2014/main" id="{E3D3673F-A95B-4456-B5E1-A827F0F53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8249" name="Picture@5C\QPendientes@" descr="@5C\QPendientes@">
          <a:extLst>
            <a:ext uri="{FF2B5EF4-FFF2-40B4-BE49-F238E27FC236}">
              <a16:creationId xmlns:a16="http://schemas.microsoft.com/office/drawing/2014/main" id="{BB901743-5A27-4ADF-98B1-DD4CE6BC9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8250" name="Picture@5C\QPendientes@" descr="@5C\QPendientes@">
          <a:extLst>
            <a:ext uri="{FF2B5EF4-FFF2-40B4-BE49-F238E27FC236}">
              <a16:creationId xmlns:a16="http://schemas.microsoft.com/office/drawing/2014/main" id="{F2137970-8783-4BE1-83C3-D1A1AC0A7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8251" name="Picture@5C\QPendientes@" descr="@5C\QPendientes@">
          <a:extLst>
            <a:ext uri="{FF2B5EF4-FFF2-40B4-BE49-F238E27FC236}">
              <a16:creationId xmlns:a16="http://schemas.microsoft.com/office/drawing/2014/main" id="{7B7972E2-8B74-476E-84CE-C7DBF124A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8252" name="Picture@5C\QPendientes@" descr="@5C\QPendientes@">
          <a:extLst>
            <a:ext uri="{FF2B5EF4-FFF2-40B4-BE49-F238E27FC236}">
              <a16:creationId xmlns:a16="http://schemas.microsoft.com/office/drawing/2014/main" id="{C1BC0EDC-CF81-430F-9958-163022200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8253" name="Picture@5C\QPendientes@" descr="@5C\QPendientes@">
          <a:extLst>
            <a:ext uri="{FF2B5EF4-FFF2-40B4-BE49-F238E27FC236}">
              <a16:creationId xmlns:a16="http://schemas.microsoft.com/office/drawing/2014/main" id="{9815202C-273D-40AA-A7A0-0C5C41D8F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8254" name="Picture@5C\QPendientes@" descr="@5C\QPendientes@">
          <a:extLst>
            <a:ext uri="{FF2B5EF4-FFF2-40B4-BE49-F238E27FC236}">
              <a16:creationId xmlns:a16="http://schemas.microsoft.com/office/drawing/2014/main" id="{636FFC9C-2F67-4931-A049-CABB36916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8255" name="Picture@5C\QPendientes@" descr="@5C\QPendientes@">
          <a:extLst>
            <a:ext uri="{FF2B5EF4-FFF2-40B4-BE49-F238E27FC236}">
              <a16:creationId xmlns:a16="http://schemas.microsoft.com/office/drawing/2014/main" id="{3D8AD345-BB68-4C44-B1A0-FD0BF9098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8256" name="Picture@5C\QPendientes@" descr="@5C\QPendientes@">
          <a:extLst>
            <a:ext uri="{FF2B5EF4-FFF2-40B4-BE49-F238E27FC236}">
              <a16:creationId xmlns:a16="http://schemas.microsoft.com/office/drawing/2014/main" id="{A30E039C-2E02-4707-9089-7BFFEF21E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8257" name="Picture@5C\QPendientes@" descr="@5C\QPendientes@">
          <a:extLst>
            <a:ext uri="{FF2B5EF4-FFF2-40B4-BE49-F238E27FC236}">
              <a16:creationId xmlns:a16="http://schemas.microsoft.com/office/drawing/2014/main" id="{890B1113-EA0B-4BF3-8D0E-00FB55A8C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8258" name="Picture@5C\QPendientes@" descr="@5C\QPendientes@">
          <a:extLst>
            <a:ext uri="{FF2B5EF4-FFF2-40B4-BE49-F238E27FC236}">
              <a16:creationId xmlns:a16="http://schemas.microsoft.com/office/drawing/2014/main" id="{0203EC22-4EAF-45EE-9CAF-F82FF3B06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8259" name="Picture@5C\QPendientes@" descr="@5C\QPendientes@">
          <a:extLst>
            <a:ext uri="{FF2B5EF4-FFF2-40B4-BE49-F238E27FC236}">
              <a16:creationId xmlns:a16="http://schemas.microsoft.com/office/drawing/2014/main" id="{045D9511-7C24-444E-80A9-0450B45F7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8260" name="Picture@5C\QPendientes@" descr="@5C\QPendientes@">
          <a:extLst>
            <a:ext uri="{FF2B5EF4-FFF2-40B4-BE49-F238E27FC236}">
              <a16:creationId xmlns:a16="http://schemas.microsoft.com/office/drawing/2014/main" id="{212C9856-CC76-48E7-B9C1-405D9BE2E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8261" name="Picture@5C\QPendientes@" descr="@5C\QPendientes@">
          <a:extLst>
            <a:ext uri="{FF2B5EF4-FFF2-40B4-BE49-F238E27FC236}">
              <a16:creationId xmlns:a16="http://schemas.microsoft.com/office/drawing/2014/main" id="{2E695EBA-8F5E-4929-BCFF-D0114069AE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8262" name="Picture@5C\QPendientes@" descr="@5C\QPendientes@">
          <a:extLst>
            <a:ext uri="{FF2B5EF4-FFF2-40B4-BE49-F238E27FC236}">
              <a16:creationId xmlns:a16="http://schemas.microsoft.com/office/drawing/2014/main" id="{0C085F7D-4B5E-4D98-8E20-A4B9432AD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8263" name="Picture@5C\QPendientes@" descr="@5C\QPendientes@">
          <a:extLst>
            <a:ext uri="{FF2B5EF4-FFF2-40B4-BE49-F238E27FC236}">
              <a16:creationId xmlns:a16="http://schemas.microsoft.com/office/drawing/2014/main" id="{832F25A5-38C0-4141-9571-5D368EA23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8264" name="Picture@5C\QPendientes@" descr="@5C\QPendientes@">
          <a:extLst>
            <a:ext uri="{FF2B5EF4-FFF2-40B4-BE49-F238E27FC236}">
              <a16:creationId xmlns:a16="http://schemas.microsoft.com/office/drawing/2014/main" id="{5349207C-2928-4ED0-908E-388D55ED6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8265" name="Picture@5C\QPendientes@" descr="@5C\QPendientes@">
          <a:extLst>
            <a:ext uri="{FF2B5EF4-FFF2-40B4-BE49-F238E27FC236}">
              <a16:creationId xmlns:a16="http://schemas.microsoft.com/office/drawing/2014/main" id="{DBE055CF-847B-4BEF-A9E2-641185CA0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8266" name="Picture@5C\QPendientes@" descr="@5C\QPendientes@">
          <a:extLst>
            <a:ext uri="{FF2B5EF4-FFF2-40B4-BE49-F238E27FC236}">
              <a16:creationId xmlns:a16="http://schemas.microsoft.com/office/drawing/2014/main" id="{75B6FB6F-BC88-45C9-88CD-187D70333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8267" name="Picture@5C\QPendientes@" descr="@5C\QPendientes@">
          <a:extLst>
            <a:ext uri="{FF2B5EF4-FFF2-40B4-BE49-F238E27FC236}">
              <a16:creationId xmlns:a16="http://schemas.microsoft.com/office/drawing/2014/main" id="{4FAA288D-8F68-4A25-9D24-F53ABA529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8268" name="Picture@5C\QPendientes@" descr="@5C\QPendientes@">
          <a:extLst>
            <a:ext uri="{FF2B5EF4-FFF2-40B4-BE49-F238E27FC236}">
              <a16:creationId xmlns:a16="http://schemas.microsoft.com/office/drawing/2014/main" id="{879F3C17-2374-4D59-9E2A-8662796D2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8269" name="Picture@5C\QPendientes@" descr="@5C\QPendientes@">
          <a:extLst>
            <a:ext uri="{FF2B5EF4-FFF2-40B4-BE49-F238E27FC236}">
              <a16:creationId xmlns:a16="http://schemas.microsoft.com/office/drawing/2014/main" id="{9B90FF83-7581-4322-A762-A75B49B2A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8270" name="Picture@5C\QPendientes@" descr="@5C\QPendientes@">
          <a:extLst>
            <a:ext uri="{FF2B5EF4-FFF2-40B4-BE49-F238E27FC236}">
              <a16:creationId xmlns:a16="http://schemas.microsoft.com/office/drawing/2014/main" id="{9D59C6A8-E35E-472F-8802-047C258B6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8271" name="Picture@5C\QPendientes@" descr="@5C\QPendientes@">
          <a:extLst>
            <a:ext uri="{FF2B5EF4-FFF2-40B4-BE49-F238E27FC236}">
              <a16:creationId xmlns:a16="http://schemas.microsoft.com/office/drawing/2014/main" id="{81175010-99D9-46B8-94CB-2D3EA96D5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8272" name="Picture@5C\QPendientes@" descr="@5C\QPendientes@">
          <a:extLst>
            <a:ext uri="{FF2B5EF4-FFF2-40B4-BE49-F238E27FC236}">
              <a16:creationId xmlns:a16="http://schemas.microsoft.com/office/drawing/2014/main" id="{13DB09B2-4207-4DEC-946B-D164826321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8273" name="Picture@5C\QPendientes@" descr="@5C\QPendientes@">
          <a:extLst>
            <a:ext uri="{FF2B5EF4-FFF2-40B4-BE49-F238E27FC236}">
              <a16:creationId xmlns:a16="http://schemas.microsoft.com/office/drawing/2014/main" id="{2846CE61-EBB3-4592-8130-2E61F3268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8274" name="Picture@5C\QPendientes@" descr="@5C\QPendientes@">
          <a:extLst>
            <a:ext uri="{FF2B5EF4-FFF2-40B4-BE49-F238E27FC236}">
              <a16:creationId xmlns:a16="http://schemas.microsoft.com/office/drawing/2014/main" id="{6E904145-1B42-484B-B3DB-0078043B4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8275" name="Picture@5C\QPendientes@" descr="@5C\QPendientes@">
          <a:extLst>
            <a:ext uri="{FF2B5EF4-FFF2-40B4-BE49-F238E27FC236}">
              <a16:creationId xmlns:a16="http://schemas.microsoft.com/office/drawing/2014/main" id="{55051500-AAFE-4FE8-81BE-3E96B3C49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8276" name="Picture@5C\QPendientes@" descr="@5C\QPendientes@">
          <a:extLst>
            <a:ext uri="{FF2B5EF4-FFF2-40B4-BE49-F238E27FC236}">
              <a16:creationId xmlns:a16="http://schemas.microsoft.com/office/drawing/2014/main" id="{6A1B7710-18A8-494A-A95A-AC6BF2888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8277" name="Picture@5C\QPendientes@" descr="@5C\QPendientes@">
          <a:extLst>
            <a:ext uri="{FF2B5EF4-FFF2-40B4-BE49-F238E27FC236}">
              <a16:creationId xmlns:a16="http://schemas.microsoft.com/office/drawing/2014/main" id="{90BAA12F-91E7-4770-95D7-DCCC4FDC8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8278" name="Picture@5C\QPendientes@" descr="@5C\QPendientes@">
          <a:extLst>
            <a:ext uri="{FF2B5EF4-FFF2-40B4-BE49-F238E27FC236}">
              <a16:creationId xmlns:a16="http://schemas.microsoft.com/office/drawing/2014/main" id="{FCB1E37B-47B2-48EC-AB07-EB130C426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8279" name="Picture@5C\QPendientes@" descr="@5C\QPendientes@">
          <a:extLst>
            <a:ext uri="{FF2B5EF4-FFF2-40B4-BE49-F238E27FC236}">
              <a16:creationId xmlns:a16="http://schemas.microsoft.com/office/drawing/2014/main" id="{BA86F830-67F1-4B03-8F96-4B6C4365D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8280" name="Picture@5C\QPendientes@" descr="@5C\QPendientes@">
          <a:extLst>
            <a:ext uri="{FF2B5EF4-FFF2-40B4-BE49-F238E27FC236}">
              <a16:creationId xmlns:a16="http://schemas.microsoft.com/office/drawing/2014/main" id="{78F91084-99A8-4A83-8EFF-EE91D9442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8281" name="Picture@5C\QPendientes@" descr="@5C\QPendientes@">
          <a:extLst>
            <a:ext uri="{FF2B5EF4-FFF2-40B4-BE49-F238E27FC236}">
              <a16:creationId xmlns:a16="http://schemas.microsoft.com/office/drawing/2014/main" id="{55F1E703-3628-4630-A0EB-45C51A0ED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8282" name="Picture@5C\QPendientes@" descr="@5C\QPendientes@">
          <a:extLst>
            <a:ext uri="{FF2B5EF4-FFF2-40B4-BE49-F238E27FC236}">
              <a16:creationId xmlns:a16="http://schemas.microsoft.com/office/drawing/2014/main" id="{972C263E-18E9-4AEC-8942-B6070F3D2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8283" name="Picture@5C\QPendientes@" descr="@5C\QPendientes@">
          <a:extLst>
            <a:ext uri="{FF2B5EF4-FFF2-40B4-BE49-F238E27FC236}">
              <a16:creationId xmlns:a16="http://schemas.microsoft.com/office/drawing/2014/main" id="{3BC7457A-C345-4D19-9F01-5F48F35B0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8284" name="Picture@5C\QPendientes@" descr="@5C\QPendientes@">
          <a:extLst>
            <a:ext uri="{FF2B5EF4-FFF2-40B4-BE49-F238E27FC236}">
              <a16:creationId xmlns:a16="http://schemas.microsoft.com/office/drawing/2014/main" id="{40397347-8BE6-441B-BA09-C273A726F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8285" name="Picture@5C\QPendientes@" descr="@5C\QPendientes@">
          <a:extLst>
            <a:ext uri="{FF2B5EF4-FFF2-40B4-BE49-F238E27FC236}">
              <a16:creationId xmlns:a16="http://schemas.microsoft.com/office/drawing/2014/main" id="{D1B781D5-A284-4725-BC93-4D92BE4A2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8286" name="Picture@5C\QPendientes@" descr="@5C\QPendientes@">
          <a:extLst>
            <a:ext uri="{FF2B5EF4-FFF2-40B4-BE49-F238E27FC236}">
              <a16:creationId xmlns:a16="http://schemas.microsoft.com/office/drawing/2014/main" id="{E4909BFF-DCBB-42C6-BAD7-8C1528E68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8287" name="Picture@5C\QPendientes@" descr="@5C\QPendientes@">
          <a:extLst>
            <a:ext uri="{FF2B5EF4-FFF2-40B4-BE49-F238E27FC236}">
              <a16:creationId xmlns:a16="http://schemas.microsoft.com/office/drawing/2014/main" id="{8A6FE861-8003-4F4D-A832-E4C0EC059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8288" name="Picture@5C\QPendientes@" descr="@5C\QPendientes@">
          <a:extLst>
            <a:ext uri="{FF2B5EF4-FFF2-40B4-BE49-F238E27FC236}">
              <a16:creationId xmlns:a16="http://schemas.microsoft.com/office/drawing/2014/main" id="{6ECDEEC0-B9AE-4571-8E7A-45AAEAD78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8289" name="Picture@5C\QPendientes@" descr="@5C\QPendientes@">
          <a:extLst>
            <a:ext uri="{FF2B5EF4-FFF2-40B4-BE49-F238E27FC236}">
              <a16:creationId xmlns:a16="http://schemas.microsoft.com/office/drawing/2014/main" id="{767B50AE-782F-4FFB-B249-686A99C75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8290" name="Picture@5C\QPendientes@" descr="@5C\QPendientes@">
          <a:extLst>
            <a:ext uri="{FF2B5EF4-FFF2-40B4-BE49-F238E27FC236}">
              <a16:creationId xmlns:a16="http://schemas.microsoft.com/office/drawing/2014/main" id="{2F7E17B3-FAE7-4C31-B0D3-4B08C8BED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8291" name="Picture@5C\QPendientes@" descr="@5C\QPendientes@">
          <a:extLst>
            <a:ext uri="{FF2B5EF4-FFF2-40B4-BE49-F238E27FC236}">
              <a16:creationId xmlns:a16="http://schemas.microsoft.com/office/drawing/2014/main" id="{5073B62F-ED08-4907-A79A-F62ED37306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8292" name="Picture@5C\QPendientes@" descr="@5C\QPendientes@">
          <a:extLst>
            <a:ext uri="{FF2B5EF4-FFF2-40B4-BE49-F238E27FC236}">
              <a16:creationId xmlns:a16="http://schemas.microsoft.com/office/drawing/2014/main" id="{3457040E-D8A2-4291-9559-5D3217299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8293" name="Picture@5C\QPendientes@" descr="@5C\QPendientes@">
          <a:extLst>
            <a:ext uri="{FF2B5EF4-FFF2-40B4-BE49-F238E27FC236}">
              <a16:creationId xmlns:a16="http://schemas.microsoft.com/office/drawing/2014/main" id="{D220CEE9-D7C6-414D-BEDF-C54780F1A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8294" name="Picture@5C\QPendientes@" descr="@5C\QPendientes@">
          <a:extLst>
            <a:ext uri="{FF2B5EF4-FFF2-40B4-BE49-F238E27FC236}">
              <a16:creationId xmlns:a16="http://schemas.microsoft.com/office/drawing/2014/main" id="{F3CB5173-6DA0-41DE-A2BF-39F75A01F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8295" name="Picture@5C\QPendientes@" descr="@5C\QPendientes@">
          <a:extLst>
            <a:ext uri="{FF2B5EF4-FFF2-40B4-BE49-F238E27FC236}">
              <a16:creationId xmlns:a16="http://schemas.microsoft.com/office/drawing/2014/main" id="{3FE5BDE1-AAA7-4E11-989F-E24FB621E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8296" name="Picture@5C\QPendientes@" descr="@5C\QPendientes@">
          <a:extLst>
            <a:ext uri="{FF2B5EF4-FFF2-40B4-BE49-F238E27FC236}">
              <a16:creationId xmlns:a16="http://schemas.microsoft.com/office/drawing/2014/main" id="{B908EA6D-884A-421D-BC7F-80C6B776F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8297" name="Picture@5C\QPendientes@" descr="@5C\QPendientes@">
          <a:extLst>
            <a:ext uri="{FF2B5EF4-FFF2-40B4-BE49-F238E27FC236}">
              <a16:creationId xmlns:a16="http://schemas.microsoft.com/office/drawing/2014/main" id="{CB0CB9E2-1C2A-4ED7-8C4E-41389FEA0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8298" name="Picture@5C\QPendientes@" descr="@5C\QPendientes@">
          <a:extLst>
            <a:ext uri="{FF2B5EF4-FFF2-40B4-BE49-F238E27FC236}">
              <a16:creationId xmlns:a16="http://schemas.microsoft.com/office/drawing/2014/main" id="{6A1C8630-A2D0-4C80-9D43-56087ABBE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8299" name="Picture@5C\QPendientes@" descr="@5C\QPendientes@">
          <a:extLst>
            <a:ext uri="{FF2B5EF4-FFF2-40B4-BE49-F238E27FC236}">
              <a16:creationId xmlns:a16="http://schemas.microsoft.com/office/drawing/2014/main" id="{3E7FCB0F-F9C5-4847-93EF-3563F7C82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8300" name="Picture@5C\QPendientes@" descr="@5C\QPendientes@">
          <a:extLst>
            <a:ext uri="{FF2B5EF4-FFF2-40B4-BE49-F238E27FC236}">
              <a16:creationId xmlns:a16="http://schemas.microsoft.com/office/drawing/2014/main" id="{D726E7A5-D514-418E-8504-95BCD947C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8301" name="Picture@5C\QPendientes@" descr="@5C\QPendientes@">
          <a:extLst>
            <a:ext uri="{FF2B5EF4-FFF2-40B4-BE49-F238E27FC236}">
              <a16:creationId xmlns:a16="http://schemas.microsoft.com/office/drawing/2014/main" id="{123E6527-8C4F-4306-862A-40A636CB8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8302" name="Picture@5C\QPendientes@" descr="@5C\QPendientes@">
          <a:extLst>
            <a:ext uri="{FF2B5EF4-FFF2-40B4-BE49-F238E27FC236}">
              <a16:creationId xmlns:a16="http://schemas.microsoft.com/office/drawing/2014/main" id="{DED1D6C3-F6A2-4FFF-98C7-1442077AD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8303" name="Picture@5C\QPendientes@" descr="@5C\QPendientes@">
          <a:extLst>
            <a:ext uri="{FF2B5EF4-FFF2-40B4-BE49-F238E27FC236}">
              <a16:creationId xmlns:a16="http://schemas.microsoft.com/office/drawing/2014/main" id="{0AD11156-D1F1-4B30-B200-7DDBFB6AB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8304" name="Picture@5C\QPendientes@" descr="@5C\QPendientes@">
          <a:extLst>
            <a:ext uri="{FF2B5EF4-FFF2-40B4-BE49-F238E27FC236}">
              <a16:creationId xmlns:a16="http://schemas.microsoft.com/office/drawing/2014/main" id="{FCCACB7B-D01F-4190-AC2A-667CA1B08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8305" name="Picture@5C\QPendientes@" descr="@5C\QPendientes@">
          <a:extLst>
            <a:ext uri="{FF2B5EF4-FFF2-40B4-BE49-F238E27FC236}">
              <a16:creationId xmlns:a16="http://schemas.microsoft.com/office/drawing/2014/main" id="{D4CEEC0B-3C92-4216-9C8E-A82D91E75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8306" name="Picture@5C\QPendientes@" descr="@5C\QPendientes@">
          <a:extLst>
            <a:ext uri="{FF2B5EF4-FFF2-40B4-BE49-F238E27FC236}">
              <a16:creationId xmlns:a16="http://schemas.microsoft.com/office/drawing/2014/main" id="{7429E4D3-AC12-48ED-B397-E821AD00D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8307" name="Picture@5C\QPendientes@" descr="@5C\QPendientes@">
          <a:extLst>
            <a:ext uri="{FF2B5EF4-FFF2-40B4-BE49-F238E27FC236}">
              <a16:creationId xmlns:a16="http://schemas.microsoft.com/office/drawing/2014/main" id="{1D4C5117-0A05-46E4-AA0E-745D79AEE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8308" name="Picture@5C\QPendientes@" descr="@5C\QPendientes@">
          <a:extLst>
            <a:ext uri="{FF2B5EF4-FFF2-40B4-BE49-F238E27FC236}">
              <a16:creationId xmlns:a16="http://schemas.microsoft.com/office/drawing/2014/main" id="{6DB9CE5C-794B-4BF8-9D6B-1566C9042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8309" name="Picture@5C\QPendientes@" descr="@5C\QPendientes@">
          <a:extLst>
            <a:ext uri="{FF2B5EF4-FFF2-40B4-BE49-F238E27FC236}">
              <a16:creationId xmlns:a16="http://schemas.microsoft.com/office/drawing/2014/main" id="{BAF80519-3644-41FE-9D7B-603BFEFD52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8310" name="Picture@5C\QPendientes@" descr="@5C\QPendientes@">
          <a:extLst>
            <a:ext uri="{FF2B5EF4-FFF2-40B4-BE49-F238E27FC236}">
              <a16:creationId xmlns:a16="http://schemas.microsoft.com/office/drawing/2014/main" id="{DA5CB117-C6CD-4449-8944-C604B21EA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8311" name="Picture@5C\QPendientes@" descr="@5C\QPendientes@">
          <a:extLst>
            <a:ext uri="{FF2B5EF4-FFF2-40B4-BE49-F238E27FC236}">
              <a16:creationId xmlns:a16="http://schemas.microsoft.com/office/drawing/2014/main" id="{4D7C7E71-5377-4202-92E1-708DBE4B8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8312" name="Picture@5C\QPendientes@" descr="@5C\QPendientes@">
          <a:extLst>
            <a:ext uri="{FF2B5EF4-FFF2-40B4-BE49-F238E27FC236}">
              <a16:creationId xmlns:a16="http://schemas.microsoft.com/office/drawing/2014/main" id="{589CC6D3-FBD8-4BB9-BA5F-E6DCBE50B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8313" name="Picture@5C\QPendientes@" descr="@5C\QPendientes@">
          <a:extLst>
            <a:ext uri="{FF2B5EF4-FFF2-40B4-BE49-F238E27FC236}">
              <a16:creationId xmlns:a16="http://schemas.microsoft.com/office/drawing/2014/main" id="{8CDDC882-1178-4284-B10D-CCC34E541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8314" name="Picture@5C\QPendientes@" descr="@5C\QPendientes@">
          <a:extLst>
            <a:ext uri="{FF2B5EF4-FFF2-40B4-BE49-F238E27FC236}">
              <a16:creationId xmlns:a16="http://schemas.microsoft.com/office/drawing/2014/main" id="{7C319D07-69ED-4605-A327-B04838C28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8315" name="Picture@5C\QPendientes@" descr="@5C\QPendientes@">
          <a:extLst>
            <a:ext uri="{FF2B5EF4-FFF2-40B4-BE49-F238E27FC236}">
              <a16:creationId xmlns:a16="http://schemas.microsoft.com/office/drawing/2014/main" id="{24DD0B5A-12BE-497A-AC27-D66B26AA8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8316" name="Picture@5C\QPendientes@" descr="@5C\QPendientes@">
          <a:extLst>
            <a:ext uri="{FF2B5EF4-FFF2-40B4-BE49-F238E27FC236}">
              <a16:creationId xmlns:a16="http://schemas.microsoft.com/office/drawing/2014/main" id="{9E29B7B5-8FA2-4A64-B0E1-565068BE2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8317" name="Picture@5C\QPendientes@" descr="@5C\QPendientes@">
          <a:extLst>
            <a:ext uri="{FF2B5EF4-FFF2-40B4-BE49-F238E27FC236}">
              <a16:creationId xmlns:a16="http://schemas.microsoft.com/office/drawing/2014/main" id="{B2A5CE0B-FBED-49D2-9746-9078971D1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8318" name="Picture@5C\QPendientes@" descr="@5C\QPendientes@">
          <a:extLst>
            <a:ext uri="{FF2B5EF4-FFF2-40B4-BE49-F238E27FC236}">
              <a16:creationId xmlns:a16="http://schemas.microsoft.com/office/drawing/2014/main" id="{653B2D75-AA4D-4C9C-BCA1-300252AAB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8319" name="Picture@5C\QPendientes@" descr="@5C\QPendientes@">
          <a:extLst>
            <a:ext uri="{FF2B5EF4-FFF2-40B4-BE49-F238E27FC236}">
              <a16:creationId xmlns:a16="http://schemas.microsoft.com/office/drawing/2014/main" id="{BE652DE8-08A8-48B7-94CF-9E385F87D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8320" name="Picture@5C\QPendientes@" descr="@5C\QPendientes@">
          <a:extLst>
            <a:ext uri="{FF2B5EF4-FFF2-40B4-BE49-F238E27FC236}">
              <a16:creationId xmlns:a16="http://schemas.microsoft.com/office/drawing/2014/main" id="{BDB20028-45CE-4FF9-BCAA-260F0504C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8321" name="Picture@5C\QPendientes@" descr="@5C\QPendientes@">
          <a:extLst>
            <a:ext uri="{FF2B5EF4-FFF2-40B4-BE49-F238E27FC236}">
              <a16:creationId xmlns:a16="http://schemas.microsoft.com/office/drawing/2014/main" id="{7D034087-EF51-4B82-9391-F1FCCDC4A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8322" name="Picture@5C\QPendientes@" descr="@5C\QPendientes@">
          <a:extLst>
            <a:ext uri="{FF2B5EF4-FFF2-40B4-BE49-F238E27FC236}">
              <a16:creationId xmlns:a16="http://schemas.microsoft.com/office/drawing/2014/main" id="{481882A9-D045-483C-B58A-E02409692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8323" name="Picture@5C\QPendientes@" descr="@5C\QPendientes@">
          <a:extLst>
            <a:ext uri="{FF2B5EF4-FFF2-40B4-BE49-F238E27FC236}">
              <a16:creationId xmlns:a16="http://schemas.microsoft.com/office/drawing/2014/main" id="{81E92494-6CA7-413E-AFCD-CD672745C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8324" name="Picture@5C\QPendientes@" descr="@5C\QPendientes@">
          <a:extLst>
            <a:ext uri="{FF2B5EF4-FFF2-40B4-BE49-F238E27FC236}">
              <a16:creationId xmlns:a16="http://schemas.microsoft.com/office/drawing/2014/main" id="{D64EBE49-53DB-4C65-B732-FC33E5B3B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8325" name="Picture@5C\QPendientes@" descr="@5C\QPendientes@">
          <a:extLst>
            <a:ext uri="{FF2B5EF4-FFF2-40B4-BE49-F238E27FC236}">
              <a16:creationId xmlns:a16="http://schemas.microsoft.com/office/drawing/2014/main" id="{83ED1B75-3C66-44F1-81EB-E7284170DC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8326" name="Picture@5C\QPendientes@" descr="@5C\QPendientes@">
          <a:extLst>
            <a:ext uri="{FF2B5EF4-FFF2-40B4-BE49-F238E27FC236}">
              <a16:creationId xmlns:a16="http://schemas.microsoft.com/office/drawing/2014/main" id="{0D8B9C54-164D-4DE4-A1FB-D76C9E88A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8327" name="Picture@5C\QPendientes@" descr="@5C\QPendientes@">
          <a:extLst>
            <a:ext uri="{FF2B5EF4-FFF2-40B4-BE49-F238E27FC236}">
              <a16:creationId xmlns:a16="http://schemas.microsoft.com/office/drawing/2014/main" id="{23CA5994-886F-451A-9738-41D7E34AC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8328" name="Picture@5C\QPendientes@" descr="@5C\QPendientes@">
          <a:extLst>
            <a:ext uri="{FF2B5EF4-FFF2-40B4-BE49-F238E27FC236}">
              <a16:creationId xmlns:a16="http://schemas.microsoft.com/office/drawing/2014/main" id="{CAFF79A9-A09C-4CAE-8033-2E9AC60E3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8329" name="Picture@5C\QPendientes@" descr="@5C\QPendientes@">
          <a:extLst>
            <a:ext uri="{FF2B5EF4-FFF2-40B4-BE49-F238E27FC236}">
              <a16:creationId xmlns:a16="http://schemas.microsoft.com/office/drawing/2014/main" id="{A06489CB-12C9-4A47-8C6F-ACFBF7F6E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8330" name="Picture@5C\QPendientes@" descr="@5C\QPendientes@">
          <a:extLst>
            <a:ext uri="{FF2B5EF4-FFF2-40B4-BE49-F238E27FC236}">
              <a16:creationId xmlns:a16="http://schemas.microsoft.com/office/drawing/2014/main" id="{CFE0B188-D0A1-4D1A-9D10-434E7850E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8331" name="Picture@5C\QPendientes@" descr="@5C\QPendientes@">
          <a:extLst>
            <a:ext uri="{FF2B5EF4-FFF2-40B4-BE49-F238E27FC236}">
              <a16:creationId xmlns:a16="http://schemas.microsoft.com/office/drawing/2014/main" id="{DDD67731-0292-499A-9DF6-BBC9BC26B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8332" name="Picture@5C\QPendientes@" descr="@5C\QPendientes@">
          <a:extLst>
            <a:ext uri="{FF2B5EF4-FFF2-40B4-BE49-F238E27FC236}">
              <a16:creationId xmlns:a16="http://schemas.microsoft.com/office/drawing/2014/main" id="{29B34A79-1535-444C-95C5-6F3254D62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8333" name="Picture@5C\QPendientes@" descr="@5C\QPendientes@">
          <a:extLst>
            <a:ext uri="{FF2B5EF4-FFF2-40B4-BE49-F238E27FC236}">
              <a16:creationId xmlns:a16="http://schemas.microsoft.com/office/drawing/2014/main" id="{29ED3E09-0EF4-4F5C-812A-AC03EE98F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8334" name="Picture@5C\QPendientes@" descr="@5C\QPendientes@">
          <a:extLst>
            <a:ext uri="{FF2B5EF4-FFF2-40B4-BE49-F238E27FC236}">
              <a16:creationId xmlns:a16="http://schemas.microsoft.com/office/drawing/2014/main" id="{F4100518-CA42-4558-BB37-93CA94E892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8335" name="Picture@5C\QPendientes@" descr="@5C\QPendientes@">
          <a:extLst>
            <a:ext uri="{FF2B5EF4-FFF2-40B4-BE49-F238E27FC236}">
              <a16:creationId xmlns:a16="http://schemas.microsoft.com/office/drawing/2014/main" id="{6F140B4B-230F-456D-809C-740871AE8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8336" name="Picture@5C\QPendientes@" descr="@5C\QPendientes@">
          <a:extLst>
            <a:ext uri="{FF2B5EF4-FFF2-40B4-BE49-F238E27FC236}">
              <a16:creationId xmlns:a16="http://schemas.microsoft.com/office/drawing/2014/main" id="{0860A5D2-D1B6-47A3-B231-C2FABD9AD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8337" name="Picture@5C\QPendientes@" descr="@5C\QPendientes@">
          <a:extLst>
            <a:ext uri="{FF2B5EF4-FFF2-40B4-BE49-F238E27FC236}">
              <a16:creationId xmlns:a16="http://schemas.microsoft.com/office/drawing/2014/main" id="{E5DCC13B-C929-467D-A2D0-BDB49EBB0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8338" name="Picture@5C\QPendientes@" descr="@5C\QPendientes@">
          <a:extLst>
            <a:ext uri="{FF2B5EF4-FFF2-40B4-BE49-F238E27FC236}">
              <a16:creationId xmlns:a16="http://schemas.microsoft.com/office/drawing/2014/main" id="{D3863F71-2088-45F0-B2DF-64D061F45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8339" name="Picture@5C\QPendientes@" descr="@5C\QPendientes@">
          <a:extLst>
            <a:ext uri="{FF2B5EF4-FFF2-40B4-BE49-F238E27FC236}">
              <a16:creationId xmlns:a16="http://schemas.microsoft.com/office/drawing/2014/main" id="{89500330-B945-416E-A719-B6001513A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8340" name="Picture@5C\QPendientes@" descr="@5C\QPendientes@">
          <a:extLst>
            <a:ext uri="{FF2B5EF4-FFF2-40B4-BE49-F238E27FC236}">
              <a16:creationId xmlns:a16="http://schemas.microsoft.com/office/drawing/2014/main" id="{0B39EB64-F120-4D9D-B7E3-1ED578975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8341" name="Picture@5C\QPendientes@" descr="@5C\QPendientes@">
          <a:extLst>
            <a:ext uri="{FF2B5EF4-FFF2-40B4-BE49-F238E27FC236}">
              <a16:creationId xmlns:a16="http://schemas.microsoft.com/office/drawing/2014/main" id="{23F4193F-9415-419B-80F1-B0D02D33D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8342" name="Picture@5C\QPendientes@" descr="@5C\QPendientes@">
          <a:extLst>
            <a:ext uri="{FF2B5EF4-FFF2-40B4-BE49-F238E27FC236}">
              <a16:creationId xmlns:a16="http://schemas.microsoft.com/office/drawing/2014/main" id="{311A9F98-31B2-458E-AB1A-005B973D7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8343" name="Picture@5C\QPendientes@" descr="@5C\QPendientes@">
          <a:extLst>
            <a:ext uri="{FF2B5EF4-FFF2-40B4-BE49-F238E27FC236}">
              <a16:creationId xmlns:a16="http://schemas.microsoft.com/office/drawing/2014/main" id="{BE6E33A7-D808-44C5-BB5D-371BFEFB3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8344" name="Picture@5C\QPendientes@" descr="@5C\QPendientes@">
          <a:extLst>
            <a:ext uri="{FF2B5EF4-FFF2-40B4-BE49-F238E27FC236}">
              <a16:creationId xmlns:a16="http://schemas.microsoft.com/office/drawing/2014/main" id="{30B089AD-ADCC-4968-A337-7F8284477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8345" name="Picture@5C\QPendientes@" descr="@5C\QPendientes@">
          <a:extLst>
            <a:ext uri="{FF2B5EF4-FFF2-40B4-BE49-F238E27FC236}">
              <a16:creationId xmlns:a16="http://schemas.microsoft.com/office/drawing/2014/main" id="{35681AFA-56C5-4B9C-AFFA-9ED86203C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8346" name="Picture@5C\QPendientes@" descr="@5C\QPendientes@">
          <a:extLst>
            <a:ext uri="{FF2B5EF4-FFF2-40B4-BE49-F238E27FC236}">
              <a16:creationId xmlns:a16="http://schemas.microsoft.com/office/drawing/2014/main" id="{9CEFF0E9-8EE5-4C11-9932-978739C2B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8347" name="Picture@5C\QPendientes@" descr="@5C\QPendientes@">
          <a:extLst>
            <a:ext uri="{FF2B5EF4-FFF2-40B4-BE49-F238E27FC236}">
              <a16:creationId xmlns:a16="http://schemas.microsoft.com/office/drawing/2014/main" id="{8B2274CB-D07D-4EB0-91DA-DE36CF944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8348" name="Picture@5C\QPendientes@" descr="@5C\QPendientes@">
          <a:extLst>
            <a:ext uri="{FF2B5EF4-FFF2-40B4-BE49-F238E27FC236}">
              <a16:creationId xmlns:a16="http://schemas.microsoft.com/office/drawing/2014/main" id="{EDBC4E8D-56D8-4291-B4D7-A2B2B786B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8349" name="Picture@5C\QPendientes@" descr="@5C\QPendientes@">
          <a:extLst>
            <a:ext uri="{FF2B5EF4-FFF2-40B4-BE49-F238E27FC236}">
              <a16:creationId xmlns:a16="http://schemas.microsoft.com/office/drawing/2014/main" id="{871AA5C6-DEFA-4E33-964A-E94AA2FE7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8350" name="Picture@5C\QPendientes@" descr="@5C\QPendientes@">
          <a:extLst>
            <a:ext uri="{FF2B5EF4-FFF2-40B4-BE49-F238E27FC236}">
              <a16:creationId xmlns:a16="http://schemas.microsoft.com/office/drawing/2014/main" id="{1C87FE92-8409-4E33-9799-C774B6CF4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8351" name="Picture@5C\QPendientes@" descr="@5C\QPendientes@">
          <a:extLst>
            <a:ext uri="{FF2B5EF4-FFF2-40B4-BE49-F238E27FC236}">
              <a16:creationId xmlns:a16="http://schemas.microsoft.com/office/drawing/2014/main" id="{5C7355FB-E20A-45CF-B8F1-23DB5CA4F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8352" name="Picture@5C\QPendientes@" descr="@5C\QPendientes@">
          <a:extLst>
            <a:ext uri="{FF2B5EF4-FFF2-40B4-BE49-F238E27FC236}">
              <a16:creationId xmlns:a16="http://schemas.microsoft.com/office/drawing/2014/main" id="{C5AA2497-7BD9-4C9F-BF24-B0202D4BC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8353" name="Picture@5C\QPendientes@" descr="@5C\QPendientes@">
          <a:extLst>
            <a:ext uri="{FF2B5EF4-FFF2-40B4-BE49-F238E27FC236}">
              <a16:creationId xmlns:a16="http://schemas.microsoft.com/office/drawing/2014/main" id="{A76168AE-CAAB-405F-AD45-4351424ED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8354" name="Picture@5C\QPendientes@" descr="@5C\QPendientes@">
          <a:extLst>
            <a:ext uri="{FF2B5EF4-FFF2-40B4-BE49-F238E27FC236}">
              <a16:creationId xmlns:a16="http://schemas.microsoft.com/office/drawing/2014/main" id="{393D54CA-3F5E-41F0-A5B9-85FAA5A37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8355" name="Picture@5C\QPendientes@" descr="@5C\QPendientes@">
          <a:extLst>
            <a:ext uri="{FF2B5EF4-FFF2-40B4-BE49-F238E27FC236}">
              <a16:creationId xmlns:a16="http://schemas.microsoft.com/office/drawing/2014/main" id="{893311FC-2195-420D-899D-801716409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8356" name="Picture@5C\QPendientes@" descr="@5C\QPendientes@">
          <a:extLst>
            <a:ext uri="{FF2B5EF4-FFF2-40B4-BE49-F238E27FC236}">
              <a16:creationId xmlns:a16="http://schemas.microsoft.com/office/drawing/2014/main" id="{BA034EA1-0120-4D27-A477-250A35839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8357" name="Picture@5C\QPendientes@" descr="@5C\QPendientes@">
          <a:extLst>
            <a:ext uri="{FF2B5EF4-FFF2-40B4-BE49-F238E27FC236}">
              <a16:creationId xmlns:a16="http://schemas.microsoft.com/office/drawing/2014/main" id="{A4B77BEB-98C7-4178-94EA-1529BF489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8358" name="Picture@5C\QPendientes@" descr="@5C\QPendientes@">
          <a:extLst>
            <a:ext uri="{FF2B5EF4-FFF2-40B4-BE49-F238E27FC236}">
              <a16:creationId xmlns:a16="http://schemas.microsoft.com/office/drawing/2014/main" id="{15938C9D-96BA-4ADD-BA62-932E75F2C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8359" name="Picture@5C\QPendientes@" descr="@5C\QPendientes@">
          <a:extLst>
            <a:ext uri="{FF2B5EF4-FFF2-40B4-BE49-F238E27FC236}">
              <a16:creationId xmlns:a16="http://schemas.microsoft.com/office/drawing/2014/main" id="{95417368-EF5E-4076-8987-64755D5DF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8360" name="Picture@5C\QPendientes@" descr="@5C\QPendientes@">
          <a:extLst>
            <a:ext uri="{FF2B5EF4-FFF2-40B4-BE49-F238E27FC236}">
              <a16:creationId xmlns:a16="http://schemas.microsoft.com/office/drawing/2014/main" id="{C17E5E19-E228-4A62-8471-A129A9CD8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8361" name="Picture@5C\QPendientes@" descr="@5C\QPendientes@">
          <a:extLst>
            <a:ext uri="{FF2B5EF4-FFF2-40B4-BE49-F238E27FC236}">
              <a16:creationId xmlns:a16="http://schemas.microsoft.com/office/drawing/2014/main" id="{9CA6E9F7-8605-44C5-90D9-2D231C83B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8362" name="Picture@5C\QPendientes@" descr="@5C\QPendientes@">
          <a:extLst>
            <a:ext uri="{FF2B5EF4-FFF2-40B4-BE49-F238E27FC236}">
              <a16:creationId xmlns:a16="http://schemas.microsoft.com/office/drawing/2014/main" id="{2E790CA0-D9F7-4B74-A9BB-8CA41BBD7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8363" name="Picture@5C\QPendientes@" descr="@5C\QPendientes@">
          <a:extLst>
            <a:ext uri="{FF2B5EF4-FFF2-40B4-BE49-F238E27FC236}">
              <a16:creationId xmlns:a16="http://schemas.microsoft.com/office/drawing/2014/main" id="{F55AAE70-C237-4365-98F1-7AF99D2DD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8364" name="Picture@5C\QPendientes@" descr="@5C\QPendientes@">
          <a:extLst>
            <a:ext uri="{FF2B5EF4-FFF2-40B4-BE49-F238E27FC236}">
              <a16:creationId xmlns:a16="http://schemas.microsoft.com/office/drawing/2014/main" id="{6F32BCC8-41D9-4DBA-94E7-D50DC2F8C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8365" name="Picture@5C\QPendientes@" descr="@5C\QPendientes@">
          <a:extLst>
            <a:ext uri="{FF2B5EF4-FFF2-40B4-BE49-F238E27FC236}">
              <a16:creationId xmlns:a16="http://schemas.microsoft.com/office/drawing/2014/main" id="{B84667A2-CF06-4965-B3BD-D05A174FD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8366" name="Picture@5C\QPendientes@" descr="@5C\QPendientes@">
          <a:extLst>
            <a:ext uri="{FF2B5EF4-FFF2-40B4-BE49-F238E27FC236}">
              <a16:creationId xmlns:a16="http://schemas.microsoft.com/office/drawing/2014/main" id="{BF2AE58D-C250-4CB3-A418-DFAB8A192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8367" name="Picture@5C\QPendientes@" descr="@5C\QPendientes@">
          <a:extLst>
            <a:ext uri="{FF2B5EF4-FFF2-40B4-BE49-F238E27FC236}">
              <a16:creationId xmlns:a16="http://schemas.microsoft.com/office/drawing/2014/main" id="{4BD80A7E-CBE6-454C-BF24-766D25458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8368" name="Picture@5C\QPendientes@" descr="@5C\QPendientes@">
          <a:extLst>
            <a:ext uri="{FF2B5EF4-FFF2-40B4-BE49-F238E27FC236}">
              <a16:creationId xmlns:a16="http://schemas.microsoft.com/office/drawing/2014/main" id="{CD0EE5DC-9E90-41E1-B7F8-FF813D377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8369" name="Picture@5C\QPendientes@" descr="@5C\QPendientes@">
          <a:extLst>
            <a:ext uri="{FF2B5EF4-FFF2-40B4-BE49-F238E27FC236}">
              <a16:creationId xmlns:a16="http://schemas.microsoft.com/office/drawing/2014/main" id="{65DDE82A-DFDF-44A7-8778-A4BC13BF52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8370" name="Picture@5C\QPendientes@" descr="@5C\QPendientes@">
          <a:extLst>
            <a:ext uri="{FF2B5EF4-FFF2-40B4-BE49-F238E27FC236}">
              <a16:creationId xmlns:a16="http://schemas.microsoft.com/office/drawing/2014/main" id="{6145CE23-28A5-4262-B63E-7076BE37A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8371" name="Picture@5C\QPendientes@" descr="@5C\QPendientes@">
          <a:extLst>
            <a:ext uri="{FF2B5EF4-FFF2-40B4-BE49-F238E27FC236}">
              <a16:creationId xmlns:a16="http://schemas.microsoft.com/office/drawing/2014/main" id="{8FB4E6E0-1487-4D31-8E82-474929422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8372" name="Picture@5C\QPendientes@" descr="@5C\QPendientes@">
          <a:extLst>
            <a:ext uri="{FF2B5EF4-FFF2-40B4-BE49-F238E27FC236}">
              <a16:creationId xmlns:a16="http://schemas.microsoft.com/office/drawing/2014/main" id="{D9358B96-007F-4696-A4FA-85B6612F9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8373" name="Picture@5C\QPendientes@" descr="@5C\QPendientes@">
          <a:extLst>
            <a:ext uri="{FF2B5EF4-FFF2-40B4-BE49-F238E27FC236}">
              <a16:creationId xmlns:a16="http://schemas.microsoft.com/office/drawing/2014/main" id="{866BEC83-A527-4197-93F6-4049CF12B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8374" name="Picture@5C\QPendientes@" descr="@5C\QPendientes@">
          <a:extLst>
            <a:ext uri="{FF2B5EF4-FFF2-40B4-BE49-F238E27FC236}">
              <a16:creationId xmlns:a16="http://schemas.microsoft.com/office/drawing/2014/main" id="{24290D50-891E-49FB-A6C6-27AF83904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8375" name="Picture@5C\QPendientes@" descr="@5C\QPendientes@">
          <a:extLst>
            <a:ext uri="{FF2B5EF4-FFF2-40B4-BE49-F238E27FC236}">
              <a16:creationId xmlns:a16="http://schemas.microsoft.com/office/drawing/2014/main" id="{B09ABC0B-FFF8-4BF3-B870-59D12C8C7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8376" name="Picture@5C\QPendientes@" descr="@5C\QPendientes@">
          <a:extLst>
            <a:ext uri="{FF2B5EF4-FFF2-40B4-BE49-F238E27FC236}">
              <a16:creationId xmlns:a16="http://schemas.microsoft.com/office/drawing/2014/main" id="{7670E9E6-6FAC-4ECC-BE6C-24FB69858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8377" name="Picture@5C\QPendientes@" descr="@5C\QPendientes@">
          <a:extLst>
            <a:ext uri="{FF2B5EF4-FFF2-40B4-BE49-F238E27FC236}">
              <a16:creationId xmlns:a16="http://schemas.microsoft.com/office/drawing/2014/main" id="{EF62ED37-D717-491F-9650-5C6786C6C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8378" name="Picture@5C\QPendientes@" descr="@5C\QPendientes@">
          <a:extLst>
            <a:ext uri="{FF2B5EF4-FFF2-40B4-BE49-F238E27FC236}">
              <a16:creationId xmlns:a16="http://schemas.microsoft.com/office/drawing/2014/main" id="{486502B8-C8C9-48C4-8E63-DD458BD9A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8379" name="Picture@5C\QPendientes@" descr="@5C\QPendientes@">
          <a:extLst>
            <a:ext uri="{FF2B5EF4-FFF2-40B4-BE49-F238E27FC236}">
              <a16:creationId xmlns:a16="http://schemas.microsoft.com/office/drawing/2014/main" id="{5C89D4A6-6DB8-420A-B8F5-C3BD417B7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8380" name="Picture@5C\QPendientes@" descr="@5C\QPendientes@">
          <a:extLst>
            <a:ext uri="{FF2B5EF4-FFF2-40B4-BE49-F238E27FC236}">
              <a16:creationId xmlns:a16="http://schemas.microsoft.com/office/drawing/2014/main" id="{7D163ACD-70BB-4083-BCF7-11D2286EB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8381" name="Picture@5C\QPendientes@" descr="@5C\QPendientes@">
          <a:extLst>
            <a:ext uri="{FF2B5EF4-FFF2-40B4-BE49-F238E27FC236}">
              <a16:creationId xmlns:a16="http://schemas.microsoft.com/office/drawing/2014/main" id="{2D86224E-956F-4FCD-832A-7FECC8D8E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8382" name="Picture@5C\QPendientes@" descr="@5C\QPendientes@">
          <a:extLst>
            <a:ext uri="{FF2B5EF4-FFF2-40B4-BE49-F238E27FC236}">
              <a16:creationId xmlns:a16="http://schemas.microsoft.com/office/drawing/2014/main" id="{A038DAFB-4346-4C0F-967E-32B104B60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8383" name="Picture@5C\QPendientes@" descr="@5C\QPendientes@">
          <a:extLst>
            <a:ext uri="{FF2B5EF4-FFF2-40B4-BE49-F238E27FC236}">
              <a16:creationId xmlns:a16="http://schemas.microsoft.com/office/drawing/2014/main" id="{D7BD1C8A-E774-4454-AA5E-107F163AF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8384" name="Picture@5C\QPendientes@" descr="@5C\QPendientes@">
          <a:extLst>
            <a:ext uri="{FF2B5EF4-FFF2-40B4-BE49-F238E27FC236}">
              <a16:creationId xmlns:a16="http://schemas.microsoft.com/office/drawing/2014/main" id="{FD387A15-37F2-44D3-A4AD-764F3ECF3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8385" name="Picture@5C\QPendientes@" descr="@5C\QPendientes@">
          <a:extLst>
            <a:ext uri="{FF2B5EF4-FFF2-40B4-BE49-F238E27FC236}">
              <a16:creationId xmlns:a16="http://schemas.microsoft.com/office/drawing/2014/main" id="{557AF9D1-0097-4184-B6AE-BCD501353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8386" name="Picture@5C\QPendientes@" descr="@5C\QPendientes@">
          <a:extLst>
            <a:ext uri="{FF2B5EF4-FFF2-40B4-BE49-F238E27FC236}">
              <a16:creationId xmlns:a16="http://schemas.microsoft.com/office/drawing/2014/main" id="{86A0F3F6-E13E-48D7-AA2A-EB833E7AC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8387" name="Picture@5C\QPendientes@" descr="@5C\QPendientes@">
          <a:extLst>
            <a:ext uri="{FF2B5EF4-FFF2-40B4-BE49-F238E27FC236}">
              <a16:creationId xmlns:a16="http://schemas.microsoft.com/office/drawing/2014/main" id="{F2447EE8-5B25-493F-8EDE-6C9E2B8D9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8388" name="Picture@5C\QPendientes@" descr="@5C\QPendientes@">
          <a:extLst>
            <a:ext uri="{FF2B5EF4-FFF2-40B4-BE49-F238E27FC236}">
              <a16:creationId xmlns:a16="http://schemas.microsoft.com/office/drawing/2014/main" id="{4AEAC660-A2E5-40E4-B9F6-F135CFDF3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8389" name="Picture@5C\QPendientes@" descr="@5C\QPendientes@">
          <a:extLst>
            <a:ext uri="{FF2B5EF4-FFF2-40B4-BE49-F238E27FC236}">
              <a16:creationId xmlns:a16="http://schemas.microsoft.com/office/drawing/2014/main" id="{0E6812F5-1A6E-4935-B654-1AB365395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8390" name="Picture@5C\QPendientes@" descr="@5C\QPendientes@">
          <a:extLst>
            <a:ext uri="{FF2B5EF4-FFF2-40B4-BE49-F238E27FC236}">
              <a16:creationId xmlns:a16="http://schemas.microsoft.com/office/drawing/2014/main" id="{82295D0B-C752-490D-A4F0-734E84C09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8391" name="Picture@5C\QPendientes@" descr="@5C\QPendientes@">
          <a:extLst>
            <a:ext uri="{FF2B5EF4-FFF2-40B4-BE49-F238E27FC236}">
              <a16:creationId xmlns:a16="http://schemas.microsoft.com/office/drawing/2014/main" id="{E22C97C6-5F0E-441D-BFA5-510CE5651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8392" name="Picture@5C\QPendientes@" descr="@5C\QPendientes@">
          <a:extLst>
            <a:ext uri="{FF2B5EF4-FFF2-40B4-BE49-F238E27FC236}">
              <a16:creationId xmlns:a16="http://schemas.microsoft.com/office/drawing/2014/main" id="{5E9D9ED6-0AF7-44A8-A2DB-156EC8677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8393" name="Picture@5C\QPendientes@" descr="@5C\QPendientes@">
          <a:extLst>
            <a:ext uri="{FF2B5EF4-FFF2-40B4-BE49-F238E27FC236}">
              <a16:creationId xmlns:a16="http://schemas.microsoft.com/office/drawing/2014/main" id="{8E544CA5-64F8-436D-9C1D-749947DAB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8394" name="Picture@5C\QPendientes@" descr="@5C\QPendientes@">
          <a:extLst>
            <a:ext uri="{FF2B5EF4-FFF2-40B4-BE49-F238E27FC236}">
              <a16:creationId xmlns:a16="http://schemas.microsoft.com/office/drawing/2014/main" id="{E353AA73-EF9D-41E3-A4DC-7D8A00371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8395" name="Picture@5C\QPendientes@" descr="@5C\QPendientes@">
          <a:extLst>
            <a:ext uri="{FF2B5EF4-FFF2-40B4-BE49-F238E27FC236}">
              <a16:creationId xmlns:a16="http://schemas.microsoft.com/office/drawing/2014/main" id="{C89FF81C-7D76-40D5-91B2-CB2CD126D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8396" name="Picture@5C\QPendientes@" descr="@5C\QPendientes@">
          <a:extLst>
            <a:ext uri="{FF2B5EF4-FFF2-40B4-BE49-F238E27FC236}">
              <a16:creationId xmlns:a16="http://schemas.microsoft.com/office/drawing/2014/main" id="{92874A7F-6E76-4AF1-B6A6-7D0257D81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8397" name="Picture@5C\QPendientes@" descr="@5C\QPendientes@">
          <a:extLst>
            <a:ext uri="{FF2B5EF4-FFF2-40B4-BE49-F238E27FC236}">
              <a16:creationId xmlns:a16="http://schemas.microsoft.com/office/drawing/2014/main" id="{AE93CC44-AD8C-4CFD-90D0-CF917274D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8398" name="Picture@5C\QPendientes@" descr="@5C\QPendientes@">
          <a:extLst>
            <a:ext uri="{FF2B5EF4-FFF2-40B4-BE49-F238E27FC236}">
              <a16:creationId xmlns:a16="http://schemas.microsoft.com/office/drawing/2014/main" id="{07C3E157-783D-4929-95E8-C45E8875C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8399" name="Picture@5C\QPendientes@" descr="@5C\QPendientes@">
          <a:extLst>
            <a:ext uri="{FF2B5EF4-FFF2-40B4-BE49-F238E27FC236}">
              <a16:creationId xmlns:a16="http://schemas.microsoft.com/office/drawing/2014/main" id="{D646200A-178F-44DB-83CE-433091E80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8400" name="Picture@5C\QPendientes@" descr="@5C\QPendientes@">
          <a:extLst>
            <a:ext uri="{FF2B5EF4-FFF2-40B4-BE49-F238E27FC236}">
              <a16:creationId xmlns:a16="http://schemas.microsoft.com/office/drawing/2014/main" id="{F88B2312-CD4C-4C83-B20F-55B7045D1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8401" name="Picture@5C\QPendientes@" descr="@5C\QPendientes@">
          <a:extLst>
            <a:ext uri="{FF2B5EF4-FFF2-40B4-BE49-F238E27FC236}">
              <a16:creationId xmlns:a16="http://schemas.microsoft.com/office/drawing/2014/main" id="{84DE77D5-7A73-46F8-B59A-3C4362C72B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8402" name="Picture@5C\QPendientes@" descr="@5C\QPendientes@">
          <a:extLst>
            <a:ext uri="{FF2B5EF4-FFF2-40B4-BE49-F238E27FC236}">
              <a16:creationId xmlns:a16="http://schemas.microsoft.com/office/drawing/2014/main" id="{5CAD345D-C286-4AC1-9B2D-05779E590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7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8403" name="Picture@5C\QPendientes@" descr="@5C\QPendientes@">
          <a:extLst>
            <a:ext uri="{FF2B5EF4-FFF2-40B4-BE49-F238E27FC236}">
              <a16:creationId xmlns:a16="http://schemas.microsoft.com/office/drawing/2014/main" id="{BB4B1306-0B54-4AE3-9EE0-CD25A5A72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9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8404" name="Picture@5C\QPendientes@" descr="@5C\QPendientes@">
          <a:extLst>
            <a:ext uri="{FF2B5EF4-FFF2-40B4-BE49-F238E27FC236}">
              <a16:creationId xmlns:a16="http://schemas.microsoft.com/office/drawing/2014/main" id="{8064CB26-FEF8-47AD-B21C-E981130B8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1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8405" name="Picture@5C\QPendientes@" descr="@5C\QPendientes@">
          <a:extLst>
            <a:ext uri="{FF2B5EF4-FFF2-40B4-BE49-F238E27FC236}">
              <a16:creationId xmlns:a16="http://schemas.microsoft.com/office/drawing/2014/main" id="{8271408C-2DB2-4261-B991-DE07D7660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2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8406" name="Picture@5C\QPendientes@" descr="@5C\QPendientes@">
          <a:extLst>
            <a:ext uri="{FF2B5EF4-FFF2-40B4-BE49-F238E27FC236}">
              <a16:creationId xmlns:a16="http://schemas.microsoft.com/office/drawing/2014/main" id="{BCC9FA1F-A529-42D0-B1CE-5531EC788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4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8407" name="Picture@5C\QPendientes@" descr="@5C\QPendientes@">
          <a:extLst>
            <a:ext uri="{FF2B5EF4-FFF2-40B4-BE49-F238E27FC236}">
              <a16:creationId xmlns:a16="http://schemas.microsoft.com/office/drawing/2014/main" id="{5A9C45CE-2155-4897-A4C1-DB86A38B1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6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8408" name="Picture@5C\QPendientes@" descr="@5C\QPendientes@">
          <a:extLst>
            <a:ext uri="{FF2B5EF4-FFF2-40B4-BE49-F238E27FC236}">
              <a16:creationId xmlns:a16="http://schemas.microsoft.com/office/drawing/2014/main" id="{EE4D4D2F-4969-41EF-878E-68C8ECA2F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8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8409" name="Picture@5C\QPendientes@" descr="@5C\QPendientes@">
          <a:extLst>
            <a:ext uri="{FF2B5EF4-FFF2-40B4-BE49-F238E27FC236}">
              <a16:creationId xmlns:a16="http://schemas.microsoft.com/office/drawing/2014/main" id="{AED020BA-CFC4-48BA-B339-03DA617FE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8410" name="Picture@5C\QPendientes@" descr="@5C\QPendientes@">
          <a:extLst>
            <a:ext uri="{FF2B5EF4-FFF2-40B4-BE49-F238E27FC236}">
              <a16:creationId xmlns:a16="http://schemas.microsoft.com/office/drawing/2014/main" id="{2E416633-D1DF-4593-B0C4-C72CE5E23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1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8411" name="Picture@5C\QPendientes@" descr="@5C\QPendientes@">
          <a:extLst>
            <a:ext uri="{FF2B5EF4-FFF2-40B4-BE49-F238E27FC236}">
              <a16:creationId xmlns:a16="http://schemas.microsoft.com/office/drawing/2014/main" id="{217D6205-8A69-4DF2-A8F1-84E06CC76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3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8412" name="Picture@5C\QPendientes@" descr="@5C\QPendientes@">
          <a:extLst>
            <a:ext uri="{FF2B5EF4-FFF2-40B4-BE49-F238E27FC236}">
              <a16:creationId xmlns:a16="http://schemas.microsoft.com/office/drawing/2014/main" id="{FF70ED3D-E642-4AE7-9A52-30533C0B6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8413" name="Picture@5C\QPendientes@" descr="@5C\QPendientes@">
          <a:extLst>
            <a:ext uri="{FF2B5EF4-FFF2-40B4-BE49-F238E27FC236}">
              <a16:creationId xmlns:a16="http://schemas.microsoft.com/office/drawing/2014/main" id="{7824BA4E-5F14-4FCD-B2B7-1DBC82C8B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7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8414" name="Picture@5C\QPendientes@" descr="@5C\QPendientes@">
          <a:extLst>
            <a:ext uri="{FF2B5EF4-FFF2-40B4-BE49-F238E27FC236}">
              <a16:creationId xmlns:a16="http://schemas.microsoft.com/office/drawing/2014/main" id="{F9B1BE60-30D3-4B6E-9D0E-5BC0ADA87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9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8415" name="Picture@5C\QPendientes@" descr="@5C\QPendientes@">
          <a:extLst>
            <a:ext uri="{FF2B5EF4-FFF2-40B4-BE49-F238E27FC236}">
              <a16:creationId xmlns:a16="http://schemas.microsoft.com/office/drawing/2014/main" id="{490D196B-E673-4651-B0BB-912F7C026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1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8416" name="Picture@5C\QPendientes@" descr="@5C\QPendientes@">
          <a:extLst>
            <a:ext uri="{FF2B5EF4-FFF2-40B4-BE49-F238E27FC236}">
              <a16:creationId xmlns:a16="http://schemas.microsoft.com/office/drawing/2014/main" id="{57F5896B-189C-412C-848D-ACD5CF81D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2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8417" name="Picture@5C\QPendientes@" descr="@5C\QPendientes@">
          <a:extLst>
            <a:ext uri="{FF2B5EF4-FFF2-40B4-BE49-F238E27FC236}">
              <a16:creationId xmlns:a16="http://schemas.microsoft.com/office/drawing/2014/main" id="{1EC7FFCF-7035-46E4-8206-7CA6F1A72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4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8418" name="Picture@5C\QPendientes@" descr="@5C\QPendientes@">
          <a:extLst>
            <a:ext uri="{FF2B5EF4-FFF2-40B4-BE49-F238E27FC236}">
              <a16:creationId xmlns:a16="http://schemas.microsoft.com/office/drawing/2014/main" id="{813FDA80-C30F-404D-A9F1-B0493EA33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6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8419" name="Picture@5C\QPendientes@" descr="@5C\QPendientes@">
          <a:extLst>
            <a:ext uri="{FF2B5EF4-FFF2-40B4-BE49-F238E27FC236}">
              <a16:creationId xmlns:a16="http://schemas.microsoft.com/office/drawing/2014/main" id="{751A4D90-3115-4EEB-A0B6-5E7FFFBE5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8420" name="Picture@5C\QPendientes@" descr="@5C\QPendientes@">
          <a:extLst>
            <a:ext uri="{FF2B5EF4-FFF2-40B4-BE49-F238E27FC236}">
              <a16:creationId xmlns:a16="http://schemas.microsoft.com/office/drawing/2014/main" id="{0BE5624B-4E1A-4279-9363-6E2DBBBE7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0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8421" name="Picture@5C\QPendientes@" descr="@5C\QPendientes@">
          <a:extLst>
            <a:ext uri="{FF2B5EF4-FFF2-40B4-BE49-F238E27FC236}">
              <a16:creationId xmlns:a16="http://schemas.microsoft.com/office/drawing/2014/main" id="{3C8BACA8-025D-4311-92EE-42C2A7EFC7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2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8422" name="Picture@5C\QPendientes@" descr="@5C\QPendientes@">
          <a:extLst>
            <a:ext uri="{FF2B5EF4-FFF2-40B4-BE49-F238E27FC236}">
              <a16:creationId xmlns:a16="http://schemas.microsoft.com/office/drawing/2014/main" id="{E9391810-BE35-4DAB-A94E-DFE817DDF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3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8423" name="Picture@5C\QPendientes@" descr="@5C\QPendientes@">
          <a:extLst>
            <a:ext uri="{FF2B5EF4-FFF2-40B4-BE49-F238E27FC236}">
              <a16:creationId xmlns:a16="http://schemas.microsoft.com/office/drawing/2014/main" id="{A3160229-89E1-47C2-8E4B-FAB7215FD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5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8424" name="Picture@5C\QPendientes@" descr="@5C\QPendientes@">
          <a:extLst>
            <a:ext uri="{FF2B5EF4-FFF2-40B4-BE49-F238E27FC236}">
              <a16:creationId xmlns:a16="http://schemas.microsoft.com/office/drawing/2014/main" id="{F9101464-4BDB-49BE-B6C6-19286DD27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7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8425" name="Picture@5C\QPendientes@" descr="@5C\QPendientes@">
          <a:extLst>
            <a:ext uri="{FF2B5EF4-FFF2-40B4-BE49-F238E27FC236}">
              <a16:creationId xmlns:a16="http://schemas.microsoft.com/office/drawing/2014/main" id="{73020616-378D-472A-B7DF-2233BBDFB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9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8426" name="Picture@5C\QPendientes@" descr="@5C\QPendientes@">
          <a:extLst>
            <a:ext uri="{FF2B5EF4-FFF2-40B4-BE49-F238E27FC236}">
              <a16:creationId xmlns:a16="http://schemas.microsoft.com/office/drawing/2014/main" id="{B8CB4641-60F2-4CDF-BB28-E20629FB7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1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8427" name="Picture@5C\QPendientes@" descr="@5C\QPendientes@">
          <a:extLst>
            <a:ext uri="{FF2B5EF4-FFF2-40B4-BE49-F238E27FC236}">
              <a16:creationId xmlns:a16="http://schemas.microsoft.com/office/drawing/2014/main" id="{41FB095D-11EA-450E-9B90-70BC7147CE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3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8428" name="Picture@5C\QPendientes@" descr="@5C\QPendientes@">
          <a:extLst>
            <a:ext uri="{FF2B5EF4-FFF2-40B4-BE49-F238E27FC236}">
              <a16:creationId xmlns:a16="http://schemas.microsoft.com/office/drawing/2014/main" id="{41F7AE67-E43C-4E5B-B644-423C08DA2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4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8429" name="Picture@5C\QPendientes@" descr="@5C\QPendientes@">
          <a:extLst>
            <a:ext uri="{FF2B5EF4-FFF2-40B4-BE49-F238E27FC236}">
              <a16:creationId xmlns:a16="http://schemas.microsoft.com/office/drawing/2014/main" id="{4DAC7F8A-39BC-42CF-AB9B-14B1C1593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8430" name="Picture@5C\QPendientes@" descr="@5C\QPendientes@">
          <a:extLst>
            <a:ext uri="{FF2B5EF4-FFF2-40B4-BE49-F238E27FC236}">
              <a16:creationId xmlns:a16="http://schemas.microsoft.com/office/drawing/2014/main" id="{3F4A988E-ED16-436B-8B8C-B021E29A3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8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8431" name="Picture@5C\QPendientes@" descr="@5C\QPendientes@">
          <a:extLst>
            <a:ext uri="{FF2B5EF4-FFF2-40B4-BE49-F238E27FC236}">
              <a16:creationId xmlns:a16="http://schemas.microsoft.com/office/drawing/2014/main" id="{94BE1D55-F216-4988-B1DA-CE03E7151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0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8432" name="Picture@5C\QPendientes@" descr="@5C\QPendientes@">
          <a:extLst>
            <a:ext uri="{FF2B5EF4-FFF2-40B4-BE49-F238E27FC236}">
              <a16:creationId xmlns:a16="http://schemas.microsoft.com/office/drawing/2014/main" id="{7F3104A7-A63F-48D3-AC46-0C9D66FA7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2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8433" name="Picture@5C\QPendientes@" descr="@5C\QPendientes@">
          <a:extLst>
            <a:ext uri="{FF2B5EF4-FFF2-40B4-BE49-F238E27FC236}">
              <a16:creationId xmlns:a16="http://schemas.microsoft.com/office/drawing/2014/main" id="{35BD23CE-B2AE-48F4-A9A6-C92E17788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4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8434" name="Picture@5C\QPendientes@" descr="@5C\QPendientes@">
          <a:extLst>
            <a:ext uri="{FF2B5EF4-FFF2-40B4-BE49-F238E27FC236}">
              <a16:creationId xmlns:a16="http://schemas.microsoft.com/office/drawing/2014/main" id="{65658D44-77F2-4E79-92A3-27D00181C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5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8435" name="Picture@5C\QPendientes@" descr="@5C\QPendientes@">
          <a:extLst>
            <a:ext uri="{FF2B5EF4-FFF2-40B4-BE49-F238E27FC236}">
              <a16:creationId xmlns:a16="http://schemas.microsoft.com/office/drawing/2014/main" id="{47C3F26B-A991-4E4C-9E69-5CBCE7A87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7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8436" name="Picture@5C\QPendientes@" descr="@5C\QPendientes@">
          <a:extLst>
            <a:ext uri="{FF2B5EF4-FFF2-40B4-BE49-F238E27FC236}">
              <a16:creationId xmlns:a16="http://schemas.microsoft.com/office/drawing/2014/main" id="{373A91F5-2067-432D-BC26-0ED1385EB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9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8437" name="Picture@5C\QPendientes@" descr="@5C\QPendientes@">
          <a:extLst>
            <a:ext uri="{FF2B5EF4-FFF2-40B4-BE49-F238E27FC236}">
              <a16:creationId xmlns:a16="http://schemas.microsoft.com/office/drawing/2014/main" id="{6267F98C-34A9-4051-9F15-FC1D8EEB1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1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8438" name="Picture@5C\QPendientes@" descr="@5C\QPendientes@">
          <a:extLst>
            <a:ext uri="{FF2B5EF4-FFF2-40B4-BE49-F238E27FC236}">
              <a16:creationId xmlns:a16="http://schemas.microsoft.com/office/drawing/2014/main" id="{42B70B9A-9779-41A8-84C3-C2BEF4EBE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3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8439" name="Picture@5C\QPendientes@" descr="@5C\QPendientes@">
          <a:extLst>
            <a:ext uri="{FF2B5EF4-FFF2-40B4-BE49-F238E27FC236}">
              <a16:creationId xmlns:a16="http://schemas.microsoft.com/office/drawing/2014/main" id="{BE76F58F-C4B0-4D21-8167-DF8A0544D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8440" name="Picture@5C\QPendientes@" descr="@5C\QPendientes@">
          <a:extLst>
            <a:ext uri="{FF2B5EF4-FFF2-40B4-BE49-F238E27FC236}">
              <a16:creationId xmlns:a16="http://schemas.microsoft.com/office/drawing/2014/main" id="{4E973902-F8DA-4DEA-8D05-ACCEB09B0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6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8441" name="Picture@5C\QPendientes@" descr="@5C\QPendientes@">
          <a:extLst>
            <a:ext uri="{FF2B5EF4-FFF2-40B4-BE49-F238E27FC236}">
              <a16:creationId xmlns:a16="http://schemas.microsoft.com/office/drawing/2014/main" id="{196D1B26-588B-4617-827D-4647E0E7A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8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8442" name="Picture@5C\QPendientes@" descr="@5C\QPendientes@">
          <a:extLst>
            <a:ext uri="{FF2B5EF4-FFF2-40B4-BE49-F238E27FC236}">
              <a16:creationId xmlns:a16="http://schemas.microsoft.com/office/drawing/2014/main" id="{8B3BF001-E91E-4B3E-A9C6-83DFAE11F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0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8443" name="Picture@5C\QPendientes@" descr="@5C\QPendientes@">
          <a:extLst>
            <a:ext uri="{FF2B5EF4-FFF2-40B4-BE49-F238E27FC236}">
              <a16:creationId xmlns:a16="http://schemas.microsoft.com/office/drawing/2014/main" id="{0E888014-F857-4146-8567-1ADB3A6BE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2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8444" name="Picture@5C\QPendientes@" descr="@5C\QPendientes@">
          <a:extLst>
            <a:ext uri="{FF2B5EF4-FFF2-40B4-BE49-F238E27FC236}">
              <a16:creationId xmlns:a16="http://schemas.microsoft.com/office/drawing/2014/main" id="{05EA73A7-4E33-4A9C-91B0-B52800A7A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4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8445" name="Picture@5C\QPendientes@" descr="@5C\QPendientes@">
          <a:extLst>
            <a:ext uri="{FF2B5EF4-FFF2-40B4-BE49-F238E27FC236}">
              <a16:creationId xmlns:a16="http://schemas.microsoft.com/office/drawing/2014/main" id="{B14A6EF8-312E-4268-9D99-A5ACE264B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5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8446" name="Picture@5C\QPendientes@" descr="@5C\QPendientes@">
          <a:extLst>
            <a:ext uri="{FF2B5EF4-FFF2-40B4-BE49-F238E27FC236}">
              <a16:creationId xmlns:a16="http://schemas.microsoft.com/office/drawing/2014/main" id="{FB20F9D0-00B9-43B3-9791-DFE8EAD5F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7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8447" name="Picture@5C\QPendientes@" descr="@5C\QPendientes@">
          <a:extLst>
            <a:ext uri="{FF2B5EF4-FFF2-40B4-BE49-F238E27FC236}">
              <a16:creationId xmlns:a16="http://schemas.microsoft.com/office/drawing/2014/main" id="{23884808-2B69-43B8-A687-F8804F8B5F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9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8448" name="Picture@5C\QPendientes@" descr="@5C\QPendientes@">
          <a:extLst>
            <a:ext uri="{FF2B5EF4-FFF2-40B4-BE49-F238E27FC236}">
              <a16:creationId xmlns:a16="http://schemas.microsoft.com/office/drawing/2014/main" id="{40B7E2ED-B34C-400D-AE48-18B9A3FE8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1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8449" name="Picture@5C\QPendientes@" descr="@5C\QPendientes@">
          <a:extLst>
            <a:ext uri="{FF2B5EF4-FFF2-40B4-BE49-F238E27FC236}">
              <a16:creationId xmlns:a16="http://schemas.microsoft.com/office/drawing/2014/main" id="{CF01BE16-62C1-4930-A8F9-EACD0F3FA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8450" name="Picture@5C\QPendientes@" descr="@5C\QPendientes@">
          <a:extLst>
            <a:ext uri="{FF2B5EF4-FFF2-40B4-BE49-F238E27FC236}">
              <a16:creationId xmlns:a16="http://schemas.microsoft.com/office/drawing/2014/main" id="{EE4D2743-B159-432C-BCFE-90D333F6D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5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8451" name="Picture@5C\QPendientes@" descr="@5C\QPendientes@">
          <a:extLst>
            <a:ext uri="{FF2B5EF4-FFF2-40B4-BE49-F238E27FC236}">
              <a16:creationId xmlns:a16="http://schemas.microsoft.com/office/drawing/2014/main" id="{B83FC790-FB79-4D37-ADDE-69E79B1B3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6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8452" name="Picture@5C\QPendientes@" descr="@5C\QPendientes@">
          <a:extLst>
            <a:ext uri="{FF2B5EF4-FFF2-40B4-BE49-F238E27FC236}">
              <a16:creationId xmlns:a16="http://schemas.microsoft.com/office/drawing/2014/main" id="{A439BD43-2F6B-44D5-95A4-D2F123643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8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8453" name="Picture@5C\QPendientes@" descr="@5C\QPendientes@">
          <a:extLst>
            <a:ext uri="{FF2B5EF4-FFF2-40B4-BE49-F238E27FC236}">
              <a16:creationId xmlns:a16="http://schemas.microsoft.com/office/drawing/2014/main" id="{CD5312EC-D12E-4FD1-9896-0EA806958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0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8454" name="Picture@5C\QPendientes@" descr="@5C\QPendientes@">
          <a:extLst>
            <a:ext uri="{FF2B5EF4-FFF2-40B4-BE49-F238E27FC236}">
              <a16:creationId xmlns:a16="http://schemas.microsoft.com/office/drawing/2014/main" id="{89DB9563-FF95-45D5-9FF6-C86C20ED9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2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8455" name="Picture@5C\QPendientes@" descr="@5C\QPendientes@">
          <a:extLst>
            <a:ext uri="{FF2B5EF4-FFF2-40B4-BE49-F238E27FC236}">
              <a16:creationId xmlns:a16="http://schemas.microsoft.com/office/drawing/2014/main" id="{56EA6E7B-3470-42A4-A75B-F24585570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4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8456" name="Picture@5C\QPendientes@" descr="@5C\QPendientes@">
          <a:extLst>
            <a:ext uri="{FF2B5EF4-FFF2-40B4-BE49-F238E27FC236}">
              <a16:creationId xmlns:a16="http://schemas.microsoft.com/office/drawing/2014/main" id="{350A7EEC-5285-4917-9E02-6FA4442A9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6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8457" name="Picture@5C\QPendientes@" descr="@5C\QPendientes@">
          <a:extLst>
            <a:ext uri="{FF2B5EF4-FFF2-40B4-BE49-F238E27FC236}">
              <a16:creationId xmlns:a16="http://schemas.microsoft.com/office/drawing/2014/main" id="{DDAE24D9-6DBC-453F-BA7A-639AB1CE4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7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8458" name="Picture@5C\QPendientes@" descr="@5C\QPendientes@">
          <a:extLst>
            <a:ext uri="{FF2B5EF4-FFF2-40B4-BE49-F238E27FC236}">
              <a16:creationId xmlns:a16="http://schemas.microsoft.com/office/drawing/2014/main" id="{946BE22C-8D2A-44D7-87A4-B2C159584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9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8459" name="Picture@5C\QPendientes@" descr="@5C\QPendientes@">
          <a:extLst>
            <a:ext uri="{FF2B5EF4-FFF2-40B4-BE49-F238E27FC236}">
              <a16:creationId xmlns:a16="http://schemas.microsoft.com/office/drawing/2014/main" id="{3DF079F9-0743-4D4B-8F6F-4E20D5F99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8460" name="Picture@5C\QPendientes@" descr="@5C\QPendientes@">
          <a:extLst>
            <a:ext uri="{FF2B5EF4-FFF2-40B4-BE49-F238E27FC236}">
              <a16:creationId xmlns:a16="http://schemas.microsoft.com/office/drawing/2014/main" id="{F56F3EC7-F05A-4199-9911-3DD01181B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3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8461" name="Picture@5C\QPendientes@" descr="@5C\QPendientes@">
          <a:extLst>
            <a:ext uri="{FF2B5EF4-FFF2-40B4-BE49-F238E27FC236}">
              <a16:creationId xmlns:a16="http://schemas.microsoft.com/office/drawing/2014/main" id="{7F0A5008-B5D8-4E4E-9FF8-08D507912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5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8462" name="Picture@5C\QPendientes@" descr="@5C\QPendientes@">
          <a:extLst>
            <a:ext uri="{FF2B5EF4-FFF2-40B4-BE49-F238E27FC236}">
              <a16:creationId xmlns:a16="http://schemas.microsoft.com/office/drawing/2014/main" id="{B00493A9-8B44-4DAF-9E00-6BF5A5AC2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7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8463" name="Picture@5C\QPendientes@" descr="@5C\QPendientes@">
          <a:extLst>
            <a:ext uri="{FF2B5EF4-FFF2-40B4-BE49-F238E27FC236}">
              <a16:creationId xmlns:a16="http://schemas.microsoft.com/office/drawing/2014/main" id="{19AF8720-8276-4B47-A650-FCE8BE4D2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8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8464" name="Picture@5C\QPendientes@" descr="@5C\QPendientes@">
          <a:extLst>
            <a:ext uri="{FF2B5EF4-FFF2-40B4-BE49-F238E27FC236}">
              <a16:creationId xmlns:a16="http://schemas.microsoft.com/office/drawing/2014/main" id="{EA9EAABF-0F26-4251-AA0E-9F045AFA1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0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8465" name="Picture@5C\QPendientes@" descr="@5C\QPendientes@">
          <a:extLst>
            <a:ext uri="{FF2B5EF4-FFF2-40B4-BE49-F238E27FC236}">
              <a16:creationId xmlns:a16="http://schemas.microsoft.com/office/drawing/2014/main" id="{3B52CB87-E56C-488B-BE58-7871F0D2A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2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8466" name="Picture@5C\QPendientes@" descr="@5C\QPendientes@">
          <a:extLst>
            <a:ext uri="{FF2B5EF4-FFF2-40B4-BE49-F238E27FC236}">
              <a16:creationId xmlns:a16="http://schemas.microsoft.com/office/drawing/2014/main" id="{EE2B1953-EF52-424C-8FA3-98F91157E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4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8467" name="Picture@5C\QPendientes@" descr="@5C\QPendientes@">
          <a:extLst>
            <a:ext uri="{FF2B5EF4-FFF2-40B4-BE49-F238E27FC236}">
              <a16:creationId xmlns:a16="http://schemas.microsoft.com/office/drawing/2014/main" id="{E23E4835-9BBE-4620-BEBF-22E222C5F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6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8468" name="Picture@5C\QPendientes@" descr="@5C\QPendientes@">
          <a:extLst>
            <a:ext uri="{FF2B5EF4-FFF2-40B4-BE49-F238E27FC236}">
              <a16:creationId xmlns:a16="http://schemas.microsoft.com/office/drawing/2014/main" id="{DD5B4659-ACB4-4328-8FC4-B475649FC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8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8469" name="Picture@5C\QPendientes@" descr="@5C\QPendientes@">
          <a:extLst>
            <a:ext uri="{FF2B5EF4-FFF2-40B4-BE49-F238E27FC236}">
              <a16:creationId xmlns:a16="http://schemas.microsoft.com/office/drawing/2014/main" id="{E7E83D29-00EB-4CC3-8183-45A9D4F2D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8470" name="Picture@5C\QPendientes@" descr="@5C\QPendientes@">
          <a:extLst>
            <a:ext uri="{FF2B5EF4-FFF2-40B4-BE49-F238E27FC236}">
              <a16:creationId xmlns:a16="http://schemas.microsoft.com/office/drawing/2014/main" id="{F9111C7C-23F5-4103-BA02-5DB7C694B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1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8471" name="Picture@5C\QPendientes@" descr="@5C\QPendientes@">
          <a:extLst>
            <a:ext uri="{FF2B5EF4-FFF2-40B4-BE49-F238E27FC236}">
              <a16:creationId xmlns:a16="http://schemas.microsoft.com/office/drawing/2014/main" id="{0FC8D949-5782-47B3-AD9A-788D8E49D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3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8472" name="Picture@5C\QPendientes@" descr="@5C\QPendientes@">
          <a:extLst>
            <a:ext uri="{FF2B5EF4-FFF2-40B4-BE49-F238E27FC236}">
              <a16:creationId xmlns:a16="http://schemas.microsoft.com/office/drawing/2014/main" id="{8A156E58-926E-4DA2-87D5-61B998E29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5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8473" name="Picture@5C\QPendientes@" descr="@5C\QPendientes@">
          <a:extLst>
            <a:ext uri="{FF2B5EF4-FFF2-40B4-BE49-F238E27FC236}">
              <a16:creationId xmlns:a16="http://schemas.microsoft.com/office/drawing/2014/main" id="{5DDA200D-2EB1-42B5-BF64-26629CF29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7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8474" name="Picture@5C\QPendientes@" descr="@5C\QPendientes@">
          <a:extLst>
            <a:ext uri="{FF2B5EF4-FFF2-40B4-BE49-F238E27FC236}">
              <a16:creationId xmlns:a16="http://schemas.microsoft.com/office/drawing/2014/main" id="{DECEC2E9-8C01-4EC3-B040-6FC8F0451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9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8475" name="Picture@5C\QPendientes@" descr="@5C\QPendientes@">
          <a:extLst>
            <a:ext uri="{FF2B5EF4-FFF2-40B4-BE49-F238E27FC236}">
              <a16:creationId xmlns:a16="http://schemas.microsoft.com/office/drawing/2014/main" id="{C6317276-74B5-436B-9A39-6B2522B42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0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8476" name="Picture@5C\QPendientes@" descr="@5C\QPendientes@">
          <a:extLst>
            <a:ext uri="{FF2B5EF4-FFF2-40B4-BE49-F238E27FC236}">
              <a16:creationId xmlns:a16="http://schemas.microsoft.com/office/drawing/2014/main" id="{28895348-7A07-456E-B77D-71D7DA1EB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2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8477" name="Picture@5C\QPendientes@" descr="@5C\QPendientes@">
          <a:extLst>
            <a:ext uri="{FF2B5EF4-FFF2-40B4-BE49-F238E27FC236}">
              <a16:creationId xmlns:a16="http://schemas.microsoft.com/office/drawing/2014/main" id="{58C42F09-7DF0-471D-92B1-ACE4312B0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4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8478" name="Picture@5C\QPendientes@" descr="@5C\QPendientes@">
          <a:extLst>
            <a:ext uri="{FF2B5EF4-FFF2-40B4-BE49-F238E27FC236}">
              <a16:creationId xmlns:a16="http://schemas.microsoft.com/office/drawing/2014/main" id="{F40026C7-0F4B-4DD0-A0C8-9D9A72545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6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8479" name="Picture@5C\QPendientes@" descr="@5C\QPendientes@">
          <a:extLst>
            <a:ext uri="{FF2B5EF4-FFF2-40B4-BE49-F238E27FC236}">
              <a16:creationId xmlns:a16="http://schemas.microsoft.com/office/drawing/2014/main" id="{7F3519CC-FF5B-419F-AF36-3ABAD27D6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8480" name="Picture@5C\QPendientes@" descr="@5C\QPendientes@">
          <a:extLst>
            <a:ext uri="{FF2B5EF4-FFF2-40B4-BE49-F238E27FC236}">
              <a16:creationId xmlns:a16="http://schemas.microsoft.com/office/drawing/2014/main" id="{707D9DDF-60F0-4702-95A9-83A6323FC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0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8481" name="Picture@5C\QPendientes@" descr="@5C\QPendientes@">
          <a:extLst>
            <a:ext uri="{FF2B5EF4-FFF2-40B4-BE49-F238E27FC236}">
              <a16:creationId xmlns:a16="http://schemas.microsoft.com/office/drawing/2014/main" id="{1CA6A6CB-4310-49FE-9476-9238BCB0E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1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8482" name="Picture@5C\QPendientes@" descr="@5C\QPendientes@">
          <a:extLst>
            <a:ext uri="{FF2B5EF4-FFF2-40B4-BE49-F238E27FC236}">
              <a16:creationId xmlns:a16="http://schemas.microsoft.com/office/drawing/2014/main" id="{CEE740F7-58D3-4CA3-BE88-AE32EDB17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3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8483" name="Picture@5C\QPendientes@" descr="@5C\QPendientes@">
          <a:extLst>
            <a:ext uri="{FF2B5EF4-FFF2-40B4-BE49-F238E27FC236}">
              <a16:creationId xmlns:a16="http://schemas.microsoft.com/office/drawing/2014/main" id="{9D1CC1DD-A556-46FD-BB6F-A2202F557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5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8484" name="Picture@5C\QPendientes@" descr="@5C\QPendientes@">
          <a:extLst>
            <a:ext uri="{FF2B5EF4-FFF2-40B4-BE49-F238E27FC236}">
              <a16:creationId xmlns:a16="http://schemas.microsoft.com/office/drawing/2014/main" id="{F96EA879-2682-4C45-A10F-15FEA6721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7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8485" name="Picture@5C\QPendientes@" descr="@5C\QPendientes@">
          <a:extLst>
            <a:ext uri="{FF2B5EF4-FFF2-40B4-BE49-F238E27FC236}">
              <a16:creationId xmlns:a16="http://schemas.microsoft.com/office/drawing/2014/main" id="{E6117ECB-F03C-4C85-8E70-731A92F25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9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8486" name="Picture@5C\QPendientes@" descr="@5C\QPendientes@">
          <a:extLst>
            <a:ext uri="{FF2B5EF4-FFF2-40B4-BE49-F238E27FC236}">
              <a16:creationId xmlns:a16="http://schemas.microsoft.com/office/drawing/2014/main" id="{6C8F5B03-C4C2-49AC-B009-E96BB878A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0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8487" name="Picture@5C\QPendientes@" descr="@5C\QPendientes@">
          <a:extLst>
            <a:ext uri="{FF2B5EF4-FFF2-40B4-BE49-F238E27FC236}">
              <a16:creationId xmlns:a16="http://schemas.microsoft.com/office/drawing/2014/main" id="{A2F4FB36-5044-4EC3-B63A-0EAA65E05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2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8488" name="Picture@5C\QPendientes@" descr="@5C\QPendientes@">
          <a:extLst>
            <a:ext uri="{FF2B5EF4-FFF2-40B4-BE49-F238E27FC236}">
              <a16:creationId xmlns:a16="http://schemas.microsoft.com/office/drawing/2014/main" id="{ED2DE497-A434-4DF6-8D2E-2BEA3F8A6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4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8489" name="Picture@5C\QPendientes@" descr="@5C\QPendientes@">
          <a:extLst>
            <a:ext uri="{FF2B5EF4-FFF2-40B4-BE49-F238E27FC236}">
              <a16:creationId xmlns:a16="http://schemas.microsoft.com/office/drawing/2014/main" id="{20124E9E-1A49-4250-A324-90E17350C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8490" name="Picture@5C\QPendientes@" descr="@5C\QPendientes@">
          <a:extLst>
            <a:ext uri="{FF2B5EF4-FFF2-40B4-BE49-F238E27FC236}">
              <a16:creationId xmlns:a16="http://schemas.microsoft.com/office/drawing/2014/main" id="{EE7A35BD-78F0-41C8-BAC3-5A1034B05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8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8491" name="Picture@5C\QPendientes@" descr="@5C\QPendientes@">
          <a:extLst>
            <a:ext uri="{FF2B5EF4-FFF2-40B4-BE49-F238E27FC236}">
              <a16:creationId xmlns:a16="http://schemas.microsoft.com/office/drawing/2014/main" id="{E88E7ACE-5396-4698-8E1A-E998DCC02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0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8492" name="Picture@5C\QPendientes@" descr="@5C\QPendientes@">
          <a:extLst>
            <a:ext uri="{FF2B5EF4-FFF2-40B4-BE49-F238E27FC236}">
              <a16:creationId xmlns:a16="http://schemas.microsoft.com/office/drawing/2014/main" id="{1F859CBD-256D-43BC-9BB8-2123272EA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1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8493" name="Picture@5C\QPendientes@" descr="@5C\QPendientes@">
          <a:extLst>
            <a:ext uri="{FF2B5EF4-FFF2-40B4-BE49-F238E27FC236}">
              <a16:creationId xmlns:a16="http://schemas.microsoft.com/office/drawing/2014/main" id="{4B4A95C5-0591-47AE-8573-C9E2035B6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3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8494" name="Picture@5C\QPendientes@" descr="@5C\QPendientes@">
          <a:extLst>
            <a:ext uri="{FF2B5EF4-FFF2-40B4-BE49-F238E27FC236}">
              <a16:creationId xmlns:a16="http://schemas.microsoft.com/office/drawing/2014/main" id="{2BAF9FBF-891C-4E3D-8747-5111F0FEC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5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8495" name="Picture@5C\QPendientes@" descr="@5C\QPendientes@">
          <a:extLst>
            <a:ext uri="{FF2B5EF4-FFF2-40B4-BE49-F238E27FC236}">
              <a16:creationId xmlns:a16="http://schemas.microsoft.com/office/drawing/2014/main" id="{EE9F359B-7A5B-43CF-9F49-FF57B05AD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7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8496" name="Picture@5C\QPendientes@" descr="@5C\QPendientes@">
          <a:extLst>
            <a:ext uri="{FF2B5EF4-FFF2-40B4-BE49-F238E27FC236}">
              <a16:creationId xmlns:a16="http://schemas.microsoft.com/office/drawing/2014/main" id="{669EB0D0-C0EF-4104-8A92-26EF2D167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39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8497" name="Picture@5C\QPendientes@" descr="@5C\QPendientes@">
          <a:extLst>
            <a:ext uri="{FF2B5EF4-FFF2-40B4-BE49-F238E27FC236}">
              <a16:creationId xmlns:a16="http://schemas.microsoft.com/office/drawing/2014/main" id="{8DCFA7C8-27F9-43A7-9DA8-2C345A2D8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1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8498" name="Picture@5C\QPendientes@" descr="@5C\QPendientes@">
          <a:extLst>
            <a:ext uri="{FF2B5EF4-FFF2-40B4-BE49-F238E27FC236}">
              <a16:creationId xmlns:a16="http://schemas.microsoft.com/office/drawing/2014/main" id="{61148BA4-61F3-4E40-A4A5-DB0F5CFE0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2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8499" name="Picture@5C\QPendientes@" descr="@5C\QPendientes@">
          <a:extLst>
            <a:ext uri="{FF2B5EF4-FFF2-40B4-BE49-F238E27FC236}">
              <a16:creationId xmlns:a16="http://schemas.microsoft.com/office/drawing/2014/main" id="{8939480D-32CF-4BF3-8F93-F12E72E24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8500" name="Picture@5C\QPendientes@" descr="@5C\QPendientes@">
          <a:extLst>
            <a:ext uri="{FF2B5EF4-FFF2-40B4-BE49-F238E27FC236}">
              <a16:creationId xmlns:a16="http://schemas.microsoft.com/office/drawing/2014/main" id="{4C2C5877-6904-4296-BFB9-C0C2FFE86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6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8501" name="Picture@5C\QPendientes@" descr="@5C\QPendientes@">
          <a:extLst>
            <a:ext uri="{FF2B5EF4-FFF2-40B4-BE49-F238E27FC236}">
              <a16:creationId xmlns:a16="http://schemas.microsoft.com/office/drawing/2014/main" id="{A010587C-A0A2-46DE-A5DD-5482E848B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8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8502" name="Picture@5C\QPendientes@" descr="@5C\QPendientes@">
          <a:extLst>
            <a:ext uri="{FF2B5EF4-FFF2-40B4-BE49-F238E27FC236}">
              <a16:creationId xmlns:a16="http://schemas.microsoft.com/office/drawing/2014/main" id="{B2D9145D-E272-4C1C-B0CF-431C8EC24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0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8503" name="Picture@5C\QPendientes@" descr="@5C\QPendientes@">
          <a:extLst>
            <a:ext uri="{FF2B5EF4-FFF2-40B4-BE49-F238E27FC236}">
              <a16:creationId xmlns:a16="http://schemas.microsoft.com/office/drawing/2014/main" id="{020BB49C-4452-463A-A9E4-44B37D5AA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2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8504" name="Picture@5C\QPendientes@" descr="@5C\QPendientes@">
          <a:extLst>
            <a:ext uri="{FF2B5EF4-FFF2-40B4-BE49-F238E27FC236}">
              <a16:creationId xmlns:a16="http://schemas.microsoft.com/office/drawing/2014/main" id="{D10FDA7C-0882-40A0-AB3A-BAA6AC07C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3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8505" name="Picture@5C\QPendientes@" descr="@5C\QPendientes@">
          <a:extLst>
            <a:ext uri="{FF2B5EF4-FFF2-40B4-BE49-F238E27FC236}">
              <a16:creationId xmlns:a16="http://schemas.microsoft.com/office/drawing/2014/main" id="{086FA603-E554-4DD9-854B-5A156837E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5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8506" name="Picture@5C\QPendientes@" descr="@5C\QPendientes@">
          <a:extLst>
            <a:ext uri="{FF2B5EF4-FFF2-40B4-BE49-F238E27FC236}">
              <a16:creationId xmlns:a16="http://schemas.microsoft.com/office/drawing/2014/main" id="{39ADEB47-C69B-47D6-B054-B887D0D5F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7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8507" name="Picture@5C\QPendientes@" descr="@5C\QPendientes@">
          <a:extLst>
            <a:ext uri="{FF2B5EF4-FFF2-40B4-BE49-F238E27FC236}">
              <a16:creationId xmlns:a16="http://schemas.microsoft.com/office/drawing/2014/main" id="{69B2A8E3-2B20-41C0-8E5D-FA801AA51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59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8508" name="Picture@5C\QPendientes@" descr="@5C\QPendientes@">
          <a:extLst>
            <a:ext uri="{FF2B5EF4-FFF2-40B4-BE49-F238E27FC236}">
              <a16:creationId xmlns:a16="http://schemas.microsoft.com/office/drawing/2014/main" id="{33DD6334-5EE8-4287-A667-DE33F0924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1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509" name="Picture@5C\QPendientes@" descr="@5C\QPendientes@">
          <a:extLst>
            <a:ext uri="{FF2B5EF4-FFF2-40B4-BE49-F238E27FC236}">
              <a16:creationId xmlns:a16="http://schemas.microsoft.com/office/drawing/2014/main" id="{702C6090-7D8E-4B40-818A-81967D0BD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510" name="Picture@5C\QPendientes@" descr="@5C\QPendientes@">
          <a:extLst>
            <a:ext uri="{FF2B5EF4-FFF2-40B4-BE49-F238E27FC236}">
              <a16:creationId xmlns:a16="http://schemas.microsoft.com/office/drawing/2014/main" id="{95454E64-D5ED-47DD-B4D0-119ABEF11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4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511" name="Picture@5C\QPendientes@" descr="@5C\QPendientes@">
          <a:extLst>
            <a:ext uri="{FF2B5EF4-FFF2-40B4-BE49-F238E27FC236}">
              <a16:creationId xmlns:a16="http://schemas.microsoft.com/office/drawing/2014/main" id="{C1EE9937-F382-4BEE-96C7-91E20B796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512" name="Picture@5C\QPendientes@" descr="@5C\QPendientes@">
          <a:extLst>
            <a:ext uri="{FF2B5EF4-FFF2-40B4-BE49-F238E27FC236}">
              <a16:creationId xmlns:a16="http://schemas.microsoft.com/office/drawing/2014/main" id="{0C3EAC66-8EC7-48CD-817F-1FA64DC1E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8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513" name="Picture@5C\QPendientes@" descr="@5C\QPendientes@">
          <a:extLst>
            <a:ext uri="{FF2B5EF4-FFF2-40B4-BE49-F238E27FC236}">
              <a16:creationId xmlns:a16="http://schemas.microsoft.com/office/drawing/2014/main" id="{4753B79C-6D9E-4FB4-B345-04F84ABB3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0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514" name="Picture@5C\QPendientes@" descr="@5C\QPendientes@">
          <a:extLst>
            <a:ext uri="{FF2B5EF4-FFF2-40B4-BE49-F238E27FC236}">
              <a16:creationId xmlns:a16="http://schemas.microsoft.com/office/drawing/2014/main" id="{AC386A99-B09D-4F06-AB5A-B28B4AB49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2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515" name="Picture@5C\QPendientes@" descr="@5C\QPendientes@">
          <a:extLst>
            <a:ext uri="{FF2B5EF4-FFF2-40B4-BE49-F238E27FC236}">
              <a16:creationId xmlns:a16="http://schemas.microsoft.com/office/drawing/2014/main" id="{A395C607-EB03-4CE1-B58A-00A23E178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4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516" name="Picture@5C\QPendientes@" descr="@5C\QPendientes@">
          <a:extLst>
            <a:ext uri="{FF2B5EF4-FFF2-40B4-BE49-F238E27FC236}">
              <a16:creationId xmlns:a16="http://schemas.microsoft.com/office/drawing/2014/main" id="{FE415921-685D-419D-B06E-E37ABF61F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5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517" name="Picture@5C\QPendientes@" descr="@5C\QPendientes@">
          <a:extLst>
            <a:ext uri="{FF2B5EF4-FFF2-40B4-BE49-F238E27FC236}">
              <a16:creationId xmlns:a16="http://schemas.microsoft.com/office/drawing/2014/main" id="{6308E4A3-C748-4CF8-A60D-3BB3FDCC6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7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518" name="Picture@5C\QPendientes@" descr="@5C\QPendientes@">
          <a:extLst>
            <a:ext uri="{FF2B5EF4-FFF2-40B4-BE49-F238E27FC236}">
              <a16:creationId xmlns:a16="http://schemas.microsoft.com/office/drawing/2014/main" id="{818777C9-F98B-4AFF-B997-B8CCE3336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79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519" name="Picture@5C\QPendientes@" descr="@5C\QPendientes@">
          <a:extLst>
            <a:ext uri="{FF2B5EF4-FFF2-40B4-BE49-F238E27FC236}">
              <a16:creationId xmlns:a16="http://schemas.microsoft.com/office/drawing/2014/main" id="{05E181D1-063D-4D2C-8BA4-4ED1A8879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520" name="Picture@5C\QPendientes@" descr="@5C\QPendientes@">
          <a:extLst>
            <a:ext uri="{FF2B5EF4-FFF2-40B4-BE49-F238E27FC236}">
              <a16:creationId xmlns:a16="http://schemas.microsoft.com/office/drawing/2014/main" id="{0B6BB56F-202A-420A-BE64-CABCE4AB7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3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521" name="Picture@5C\QPendientes@" descr="@5C\QPendientes@">
          <a:extLst>
            <a:ext uri="{FF2B5EF4-FFF2-40B4-BE49-F238E27FC236}">
              <a16:creationId xmlns:a16="http://schemas.microsoft.com/office/drawing/2014/main" id="{14644307-6E91-4F89-B21B-78668C02E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4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522" name="Picture@5C\QPendientes@" descr="@5C\QPendientes@">
          <a:extLst>
            <a:ext uri="{FF2B5EF4-FFF2-40B4-BE49-F238E27FC236}">
              <a16:creationId xmlns:a16="http://schemas.microsoft.com/office/drawing/2014/main" id="{2CD1C637-A5D1-4019-8387-DCC1A30D4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6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523" name="Picture@5C\QPendientes@" descr="@5C\QPendientes@">
          <a:extLst>
            <a:ext uri="{FF2B5EF4-FFF2-40B4-BE49-F238E27FC236}">
              <a16:creationId xmlns:a16="http://schemas.microsoft.com/office/drawing/2014/main" id="{F47B6DE7-2EC9-4AE7-853D-DD66856C9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8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524" name="Picture@5C\QPendientes@" descr="@5C\QPendientes@">
          <a:extLst>
            <a:ext uri="{FF2B5EF4-FFF2-40B4-BE49-F238E27FC236}">
              <a16:creationId xmlns:a16="http://schemas.microsoft.com/office/drawing/2014/main" id="{95515773-49EE-4A79-8A46-086B1EB6F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0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525" name="Picture@5C\QPendientes@" descr="@5C\QPendientes@">
          <a:extLst>
            <a:ext uri="{FF2B5EF4-FFF2-40B4-BE49-F238E27FC236}">
              <a16:creationId xmlns:a16="http://schemas.microsoft.com/office/drawing/2014/main" id="{10689DA1-6D55-419F-A742-8FB343740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2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526" name="Picture@5C\QPendientes@" descr="@5C\QPendientes@">
          <a:extLst>
            <a:ext uri="{FF2B5EF4-FFF2-40B4-BE49-F238E27FC236}">
              <a16:creationId xmlns:a16="http://schemas.microsoft.com/office/drawing/2014/main" id="{E8C055BD-283F-4971-AB9E-4EFF39F31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4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527" name="Picture@5C\QPendientes@" descr="@5C\QPendientes@">
          <a:extLst>
            <a:ext uri="{FF2B5EF4-FFF2-40B4-BE49-F238E27FC236}">
              <a16:creationId xmlns:a16="http://schemas.microsoft.com/office/drawing/2014/main" id="{53C43349-4566-4B78-893E-B6666C29B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5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528" name="Picture@5C\QPendientes@" descr="@5C\QPendientes@">
          <a:extLst>
            <a:ext uri="{FF2B5EF4-FFF2-40B4-BE49-F238E27FC236}">
              <a16:creationId xmlns:a16="http://schemas.microsoft.com/office/drawing/2014/main" id="{92C29199-87C2-4E98-8853-FA496E896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7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529" name="Picture@5C\QPendientes@" descr="@5C\QPendientes@">
          <a:extLst>
            <a:ext uri="{FF2B5EF4-FFF2-40B4-BE49-F238E27FC236}">
              <a16:creationId xmlns:a16="http://schemas.microsoft.com/office/drawing/2014/main" id="{2E54B0E9-DF7F-4FE6-986C-F95BC6C44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530" name="Picture@5C\QPendientes@" descr="@5C\QPendientes@">
          <a:extLst>
            <a:ext uri="{FF2B5EF4-FFF2-40B4-BE49-F238E27FC236}">
              <a16:creationId xmlns:a16="http://schemas.microsoft.com/office/drawing/2014/main" id="{DA3FB60E-7EC7-42FE-8AFB-F320D7397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1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531" name="Picture@5C\QPendientes@" descr="@5C\QPendientes@">
          <a:extLst>
            <a:ext uri="{FF2B5EF4-FFF2-40B4-BE49-F238E27FC236}">
              <a16:creationId xmlns:a16="http://schemas.microsoft.com/office/drawing/2014/main" id="{47AB647A-9E88-4002-825C-CB619FCEA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3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532" name="Picture@5C\QPendientes@" descr="@5C\QPendientes@">
          <a:extLst>
            <a:ext uri="{FF2B5EF4-FFF2-40B4-BE49-F238E27FC236}">
              <a16:creationId xmlns:a16="http://schemas.microsoft.com/office/drawing/2014/main" id="{BADF610B-A765-434D-BF85-1B287C0DC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5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533" name="Picture@5C\QPendientes@" descr="@5C\QPendientes@">
          <a:extLst>
            <a:ext uri="{FF2B5EF4-FFF2-40B4-BE49-F238E27FC236}">
              <a16:creationId xmlns:a16="http://schemas.microsoft.com/office/drawing/2014/main" id="{19905265-3E33-4120-AB40-09B971A21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6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534" name="Picture@5C\QPendientes@" descr="@5C\QPendientes@">
          <a:extLst>
            <a:ext uri="{FF2B5EF4-FFF2-40B4-BE49-F238E27FC236}">
              <a16:creationId xmlns:a16="http://schemas.microsoft.com/office/drawing/2014/main" id="{646B0990-4B13-4F14-825A-20BA3609C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8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535" name="Picture@5C\QPendientes@" descr="@5C\QPendientes@">
          <a:extLst>
            <a:ext uri="{FF2B5EF4-FFF2-40B4-BE49-F238E27FC236}">
              <a16:creationId xmlns:a16="http://schemas.microsoft.com/office/drawing/2014/main" id="{0AD3425D-0A3B-4203-AD1C-57EFA9C54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0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536" name="Picture@5C\QPendientes@" descr="@5C\QPendientes@">
          <a:extLst>
            <a:ext uri="{FF2B5EF4-FFF2-40B4-BE49-F238E27FC236}">
              <a16:creationId xmlns:a16="http://schemas.microsoft.com/office/drawing/2014/main" id="{F230B8B3-8215-4E26-86E3-FF680DD06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2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537" name="Picture@5C\QPendientes@" descr="@5C\QPendientes@">
          <a:extLst>
            <a:ext uri="{FF2B5EF4-FFF2-40B4-BE49-F238E27FC236}">
              <a16:creationId xmlns:a16="http://schemas.microsoft.com/office/drawing/2014/main" id="{1BD92F6D-67F9-4F98-AE16-2DAD16C40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4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538" name="Picture@5C\QPendientes@" descr="@5C\QPendientes@">
          <a:extLst>
            <a:ext uri="{FF2B5EF4-FFF2-40B4-BE49-F238E27FC236}">
              <a16:creationId xmlns:a16="http://schemas.microsoft.com/office/drawing/2014/main" id="{0823AD0A-A36E-4F9A-AB51-4448AAE6A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6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539" name="Picture@5C\QPendientes@" descr="@5C\QPendientes@">
          <a:extLst>
            <a:ext uri="{FF2B5EF4-FFF2-40B4-BE49-F238E27FC236}">
              <a16:creationId xmlns:a16="http://schemas.microsoft.com/office/drawing/2014/main" id="{11DC3A16-D63E-4540-8883-61C7EE1AC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540" name="Picture@5C\QPendientes@" descr="@5C\QPendientes@">
          <a:extLst>
            <a:ext uri="{FF2B5EF4-FFF2-40B4-BE49-F238E27FC236}">
              <a16:creationId xmlns:a16="http://schemas.microsoft.com/office/drawing/2014/main" id="{359DE72C-6BDE-4444-B888-628FBFD00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9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541" name="Picture@5C\QPendientes@" descr="@5C\QPendientes@">
          <a:extLst>
            <a:ext uri="{FF2B5EF4-FFF2-40B4-BE49-F238E27FC236}">
              <a16:creationId xmlns:a16="http://schemas.microsoft.com/office/drawing/2014/main" id="{DB914CF7-7D0E-4858-8AED-24BF49771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1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542" name="Picture@5C\QPendientes@" descr="@5C\QPendientes@">
          <a:extLst>
            <a:ext uri="{FF2B5EF4-FFF2-40B4-BE49-F238E27FC236}">
              <a16:creationId xmlns:a16="http://schemas.microsoft.com/office/drawing/2014/main" id="{3EC468E9-8E14-456A-923B-AE0F5751D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3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543" name="Picture@5C\QPendientes@" descr="@5C\QPendientes@">
          <a:extLst>
            <a:ext uri="{FF2B5EF4-FFF2-40B4-BE49-F238E27FC236}">
              <a16:creationId xmlns:a16="http://schemas.microsoft.com/office/drawing/2014/main" id="{3F24B871-9A2A-4931-B494-D18C8DAF9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5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544" name="Picture@5C\QPendientes@" descr="@5C\QPendientes@">
          <a:extLst>
            <a:ext uri="{FF2B5EF4-FFF2-40B4-BE49-F238E27FC236}">
              <a16:creationId xmlns:a16="http://schemas.microsoft.com/office/drawing/2014/main" id="{14FBEF47-D40E-40A4-A574-4A37754D6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7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545" name="Picture@5C\QPendientes@" descr="@5C\QPendientes@">
          <a:extLst>
            <a:ext uri="{FF2B5EF4-FFF2-40B4-BE49-F238E27FC236}">
              <a16:creationId xmlns:a16="http://schemas.microsoft.com/office/drawing/2014/main" id="{41693201-B8C2-4C7B-A7B0-AB51AE594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8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546" name="Picture@5C\QPendientes@" descr="@5C\QPendientes@">
          <a:extLst>
            <a:ext uri="{FF2B5EF4-FFF2-40B4-BE49-F238E27FC236}">
              <a16:creationId xmlns:a16="http://schemas.microsoft.com/office/drawing/2014/main" id="{1D0F6BF5-7BA1-4F93-9AE4-0B20916B0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0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547" name="Picture@5C\QPendientes@" descr="@5C\QPendientes@">
          <a:extLst>
            <a:ext uri="{FF2B5EF4-FFF2-40B4-BE49-F238E27FC236}">
              <a16:creationId xmlns:a16="http://schemas.microsoft.com/office/drawing/2014/main" id="{E4801273-00F4-4BD4-A292-65F313D8E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2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548" name="Picture@5C\QPendientes@" descr="@5C\QPendientes@">
          <a:extLst>
            <a:ext uri="{FF2B5EF4-FFF2-40B4-BE49-F238E27FC236}">
              <a16:creationId xmlns:a16="http://schemas.microsoft.com/office/drawing/2014/main" id="{2A9A4CFB-5BDF-486B-AF04-96DA53036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4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549" name="Picture@5C\QPendientes@" descr="@5C\QPendientes@">
          <a:extLst>
            <a:ext uri="{FF2B5EF4-FFF2-40B4-BE49-F238E27FC236}">
              <a16:creationId xmlns:a16="http://schemas.microsoft.com/office/drawing/2014/main" id="{60F39E71-99CC-4692-919E-ECAD9EE8C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550" name="Picture@5C\QPendientes@" descr="@5C\QPendientes@">
          <a:extLst>
            <a:ext uri="{FF2B5EF4-FFF2-40B4-BE49-F238E27FC236}">
              <a16:creationId xmlns:a16="http://schemas.microsoft.com/office/drawing/2014/main" id="{A5B9B8DA-E0A4-4C5B-A635-81B07547B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8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551" name="Picture@5C\QPendientes@" descr="@5C\QPendientes@">
          <a:extLst>
            <a:ext uri="{FF2B5EF4-FFF2-40B4-BE49-F238E27FC236}">
              <a16:creationId xmlns:a16="http://schemas.microsoft.com/office/drawing/2014/main" id="{618156ED-1B5E-4579-B36D-1C5514FD8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9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552" name="Picture@5C\QPendientes@" descr="@5C\QPendientes@">
          <a:extLst>
            <a:ext uri="{FF2B5EF4-FFF2-40B4-BE49-F238E27FC236}">
              <a16:creationId xmlns:a16="http://schemas.microsoft.com/office/drawing/2014/main" id="{435A1034-27FB-4D17-8108-C13E3C8FD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1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553" name="Picture@5C\QPendientes@" descr="@5C\QPendientes@">
          <a:extLst>
            <a:ext uri="{FF2B5EF4-FFF2-40B4-BE49-F238E27FC236}">
              <a16:creationId xmlns:a16="http://schemas.microsoft.com/office/drawing/2014/main" id="{B247261F-8663-496B-A834-1F95DC73A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3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554" name="Picture@5C\QPendientes@" descr="@5C\QPendientes@">
          <a:extLst>
            <a:ext uri="{FF2B5EF4-FFF2-40B4-BE49-F238E27FC236}">
              <a16:creationId xmlns:a16="http://schemas.microsoft.com/office/drawing/2014/main" id="{A2465A21-F112-4860-9461-536B08407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5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555" name="Picture@5C\QPendientes@" descr="@5C\QPendientes@">
          <a:extLst>
            <a:ext uri="{FF2B5EF4-FFF2-40B4-BE49-F238E27FC236}">
              <a16:creationId xmlns:a16="http://schemas.microsoft.com/office/drawing/2014/main" id="{FFD99E32-E3D7-4917-804C-11E4AA09E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7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556" name="Picture@5C\QPendientes@" descr="@5C\QPendientes@">
          <a:extLst>
            <a:ext uri="{FF2B5EF4-FFF2-40B4-BE49-F238E27FC236}">
              <a16:creationId xmlns:a16="http://schemas.microsoft.com/office/drawing/2014/main" id="{1413A295-3E8B-4F8F-A429-1FBB2B9B2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48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557" name="Picture@5C\QPendientes@" descr="@5C\QPendientes@">
          <a:extLst>
            <a:ext uri="{FF2B5EF4-FFF2-40B4-BE49-F238E27FC236}">
              <a16:creationId xmlns:a16="http://schemas.microsoft.com/office/drawing/2014/main" id="{27CE6CA8-C73D-4D55-B6CE-138BA0384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0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558" name="Picture@5C\QPendientes@" descr="@5C\QPendientes@">
          <a:extLst>
            <a:ext uri="{FF2B5EF4-FFF2-40B4-BE49-F238E27FC236}">
              <a16:creationId xmlns:a16="http://schemas.microsoft.com/office/drawing/2014/main" id="{37252774-C291-46D8-B281-A778EF1F5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2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59" name="Picture@5C\QPendientes@" descr="@5C\QPendientes@">
          <a:extLst>
            <a:ext uri="{FF2B5EF4-FFF2-40B4-BE49-F238E27FC236}">
              <a16:creationId xmlns:a16="http://schemas.microsoft.com/office/drawing/2014/main" id="{C0806031-25C3-4F56-ADDE-D9B253E20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60" name="Picture@5C\QPendientes@" descr="@5C\QPendientes@">
          <a:extLst>
            <a:ext uri="{FF2B5EF4-FFF2-40B4-BE49-F238E27FC236}">
              <a16:creationId xmlns:a16="http://schemas.microsoft.com/office/drawing/2014/main" id="{E3859045-FA0D-4AD2-A9F0-2CF2F46B6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6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61" name="Picture@5C\QPendientes@" descr="@5C\QPendientes@">
          <a:extLst>
            <a:ext uri="{FF2B5EF4-FFF2-40B4-BE49-F238E27FC236}">
              <a16:creationId xmlns:a16="http://schemas.microsoft.com/office/drawing/2014/main" id="{061C917B-FFE3-40DE-A15A-12543CBD2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8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62" name="Picture@5C\QPendientes@" descr="@5C\QPendientes@">
          <a:extLst>
            <a:ext uri="{FF2B5EF4-FFF2-40B4-BE49-F238E27FC236}">
              <a16:creationId xmlns:a16="http://schemas.microsoft.com/office/drawing/2014/main" id="{AA1ADA16-943C-496B-98CD-65DA48D4C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9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63" name="Picture@5C\QPendientes@" descr="@5C\QPendientes@">
          <a:extLst>
            <a:ext uri="{FF2B5EF4-FFF2-40B4-BE49-F238E27FC236}">
              <a16:creationId xmlns:a16="http://schemas.microsoft.com/office/drawing/2014/main" id="{840F1B33-8D3E-4F29-914E-380F1B238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1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64" name="Picture@5C\QPendientes@" descr="@5C\QPendientes@">
          <a:extLst>
            <a:ext uri="{FF2B5EF4-FFF2-40B4-BE49-F238E27FC236}">
              <a16:creationId xmlns:a16="http://schemas.microsoft.com/office/drawing/2014/main" id="{C3B0BD94-6063-4D8A-9F25-CBA3C86DE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3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5" name="Picture@5C\QPendientes@" descr="@5C\QPendientes@">
          <a:extLst>
            <a:ext uri="{FF2B5EF4-FFF2-40B4-BE49-F238E27FC236}">
              <a16:creationId xmlns:a16="http://schemas.microsoft.com/office/drawing/2014/main" id="{D63A2490-AE2D-4192-82AE-618828406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5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66" name="Picture@5C\QPendientes@" descr="@5C\QPendientes@">
          <a:extLst>
            <a:ext uri="{FF2B5EF4-FFF2-40B4-BE49-F238E27FC236}">
              <a16:creationId xmlns:a16="http://schemas.microsoft.com/office/drawing/2014/main" id="{61C27D9D-2F68-4732-9937-BFC95DA82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7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67" name="Picture@5C\QPendientes@" descr="@5C\QPendientes@">
          <a:extLst>
            <a:ext uri="{FF2B5EF4-FFF2-40B4-BE49-F238E27FC236}">
              <a16:creationId xmlns:a16="http://schemas.microsoft.com/office/drawing/2014/main" id="{6C8BA11C-28A9-42E5-9D18-571C71431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69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68" name="Picture@5C\QPendientes@" descr="@5C\QPendientes@">
          <a:extLst>
            <a:ext uri="{FF2B5EF4-FFF2-40B4-BE49-F238E27FC236}">
              <a16:creationId xmlns:a16="http://schemas.microsoft.com/office/drawing/2014/main" id="{72D9414A-1CF5-41E3-9D89-9D20C71E4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0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569" name="Picture@5C\QPendientes@" descr="@5C\QPendientes@">
          <a:extLst>
            <a:ext uri="{FF2B5EF4-FFF2-40B4-BE49-F238E27FC236}">
              <a16:creationId xmlns:a16="http://schemas.microsoft.com/office/drawing/2014/main" id="{9E796FD3-CE51-4C18-A8FF-F139FBA4D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570" name="Picture@5C\QPendientes@" descr="@5C\QPendientes@">
          <a:extLst>
            <a:ext uri="{FF2B5EF4-FFF2-40B4-BE49-F238E27FC236}">
              <a16:creationId xmlns:a16="http://schemas.microsoft.com/office/drawing/2014/main" id="{155FD520-CEAE-466D-8AEC-84265CE69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4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571" name="Picture@5C\QPendientes@" descr="@5C\QPendientes@">
          <a:extLst>
            <a:ext uri="{FF2B5EF4-FFF2-40B4-BE49-F238E27FC236}">
              <a16:creationId xmlns:a16="http://schemas.microsoft.com/office/drawing/2014/main" id="{6885837A-4DC9-493B-9B2D-D0D3C12DA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6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572" name="Picture@5C\QPendientes@" descr="@5C\QPendientes@">
          <a:extLst>
            <a:ext uri="{FF2B5EF4-FFF2-40B4-BE49-F238E27FC236}">
              <a16:creationId xmlns:a16="http://schemas.microsoft.com/office/drawing/2014/main" id="{F6965B7D-BA54-47D9-A982-981A108F1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8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573" name="Picture@5C\QPendientes@" descr="@5C\QPendientes@">
          <a:extLst>
            <a:ext uri="{FF2B5EF4-FFF2-40B4-BE49-F238E27FC236}">
              <a16:creationId xmlns:a16="http://schemas.microsoft.com/office/drawing/2014/main" id="{1F920CC5-A0AD-4D68-89F3-FD6A2FEA8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0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574" name="Picture@5C\QPendientes@" descr="@5C\QPendientes@">
          <a:extLst>
            <a:ext uri="{FF2B5EF4-FFF2-40B4-BE49-F238E27FC236}">
              <a16:creationId xmlns:a16="http://schemas.microsoft.com/office/drawing/2014/main" id="{B1377C64-A99D-4419-AFD7-E3AB0FAD4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1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575" name="Picture@5C\QPendientes@" descr="@5C\QPendientes@">
          <a:extLst>
            <a:ext uri="{FF2B5EF4-FFF2-40B4-BE49-F238E27FC236}">
              <a16:creationId xmlns:a16="http://schemas.microsoft.com/office/drawing/2014/main" id="{16F2DA44-776D-4BB8-A205-B47195EF0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3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576" name="Picture@5C\QPendientes@" descr="@5C\QPendientes@">
          <a:extLst>
            <a:ext uri="{FF2B5EF4-FFF2-40B4-BE49-F238E27FC236}">
              <a16:creationId xmlns:a16="http://schemas.microsoft.com/office/drawing/2014/main" id="{7D2C95BB-2565-468B-B6BB-7F60B282C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5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577" name="Picture@5C\QPendientes@" descr="@5C\QPendientes@">
          <a:extLst>
            <a:ext uri="{FF2B5EF4-FFF2-40B4-BE49-F238E27FC236}">
              <a16:creationId xmlns:a16="http://schemas.microsoft.com/office/drawing/2014/main" id="{ED75894D-18F0-4602-8E85-150E15033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7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578" name="Picture@5C\QPendientes@" descr="@5C\QPendientes@">
          <a:extLst>
            <a:ext uri="{FF2B5EF4-FFF2-40B4-BE49-F238E27FC236}">
              <a16:creationId xmlns:a16="http://schemas.microsoft.com/office/drawing/2014/main" id="{31EB5401-641F-4FE0-9F5A-BE4468464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89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579" name="Picture@5C\QPendientes@" descr="@5C\QPendientes@">
          <a:extLst>
            <a:ext uri="{FF2B5EF4-FFF2-40B4-BE49-F238E27FC236}">
              <a16:creationId xmlns:a16="http://schemas.microsoft.com/office/drawing/2014/main" id="{D48E18B0-1238-43DD-9863-2BEF34AD0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580" name="Picture@5C\QPendientes@" descr="@5C\QPendientes@">
          <a:extLst>
            <a:ext uri="{FF2B5EF4-FFF2-40B4-BE49-F238E27FC236}">
              <a16:creationId xmlns:a16="http://schemas.microsoft.com/office/drawing/2014/main" id="{562B118C-B54C-4143-908A-3EB28A778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2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581" name="Picture@5C\QPendientes@" descr="@5C\QPendientes@">
          <a:extLst>
            <a:ext uri="{FF2B5EF4-FFF2-40B4-BE49-F238E27FC236}">
              <a16:creationId xmlns:a16="http://schemas.microsoft.com/office/drawing/2014/main" id="{A22908B2-9B77-4EE1-93F8-A10DB6143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4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582" name="Picture@5C\QPendientes@" descr="@5C\QPendientes@">
          <a:extLst>
            <a:ext uri="{FF2B5EF4-FFF2-40B4-BE49-F238E27FC236}">
              <a16:creationId xmlns:a16="http://schemas.microsoft.com/office/drawing/2014/main" id="{28A70995-339A-45DB-95FB-BEC08EF88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6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583" name="Picture@5C\QPendientes@" descr="@5C\QPendientes@">
          <a:extLst>
            <a:ext uri="{FF2B5EF4-FFF2-40B4-BE49-F238E27FC236}">
              <a16:creationId xmlns:a16="http://schemas.microsoft.com/office/drawing/2014/main" id="{3AEA3739-5D9A-4651-A26D-5BC19F81A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8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584" name="Picture@5C\QPendientes@" descr="@5C\QPendientes@">
          <a:extLst>
            <a:ext uri="{FF2B5EF4-FFF2-40B4-BE49-F238E27FC236}">
              <a16:creationId xmlns:a16="http://schemas.microsoft.com/office/drawing/2014/main" id="{F060FBD9-A788-4103-8660-A564EE475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0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585" name="Picture@5C\QPendientes@" descr="@5C\QPendientes@">
          <a:extLst>
            <a:ext uri="{FF2B5EF4-FFF2-40B4-BE49-F238E27FC236}">
              <a16:creationId xmlns:a16="http://schemas.microsoft.com/office/drawing/2014/main" id="{58D85657-8873-4D24-B1BE-2BA01D6AE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2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586" name="Picture@5C\QPendientes@" descr="@5C\QPendientes@">
          <a:extLst>
            <a:ext uri="{FF2B5EF4-FFF2-40B4-BE49-F238E27FC236}">
              <a16:creationId xmlns:a16="http://schemas.microsoft.com/office/drawing/2014/main" id="{836AFA9B-B9A3-4918-8807-12175FB91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3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587" name="Picture@5C\QPendientes@" descr="@5C\QPendientes@">
          <a:extLst>
            <a:ext uri="{FF2B5EF4-FFF2-40B4-BE49-F238E27FC236}">
              <a16:creationId xmlns:a16="http://schemas.microsoft.com/office/drawing/2014/main" id="{BBD2AC7C-4EF4-44FA-8932-2F7B9E695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5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588" name="Picture@5C\QPendientes@" descr="@5C\QPendientes@">
          <a:extLst>
            <a:ext uri="{FF2B5EF4-FFF2-40B4-BE49-F238E27FC236}">
              <a16:creationId xmlns:a16="http://schemas.microsoft.com/office/drawing/2014/main" id="{96085B28-4B63-4B00-A16A-ACC18A0BC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7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589" name="Picture@5C\QPendientes@" descr="@5C\QPendientes@">
          <a:extLst>
            <a:ext uri="{FF2B5EF4-FFF2-40B4-BE49-F238E27FC236}">
              <a16:creationId xmlns:a16="http://schemas.microsoft.com/office/drawing/2014/main" id="{71D78236-F5DD-4A43-9CAC-3DE2D8862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590" name="Picture@5C\QPendientes@" descr="@5C\QPendientes@">
          <a:extLst>
            <a:ext uri="{FF2B5EF4-FFF2-40B4-BE49-F238E27FC236}">
              <a16:creationId xmlns:a16="http://schemas.microsoft.com/office/drawing/2014/main" id="{E596ECB9-9BFB-411B-8048-1267F67B5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1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591" name="Picture@5C\QPendientes@" descr="@5C\QPendientes@">
          <a:extLst>
            <a:ext uri="{FF2B5EF4-FFF2-40B4-BE49-F238E27FC236}">
              <a16:creationId xmlns:a16="http://schemas.microsoft.com/office/drawing/2014/main" id="{25AE4B85-5769-46D2-BBC4-FF75AE468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3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592" name="Picture@5C\QPendientes@" descr="@5C\QPendientes@">
          <a:extLst>
            <a:ext uri="{FF2B5EF4-FFF2-40B4-BE49-F238E27FC236}">
              <a16:creationId xmlns:a16="http://schemas.microsoft.com/office/drawing/2014/main" id="{FC70BA78-CAD1-463F-B745-587CC08F3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4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593" name="Picture@5C\QPendientes@" descr="@5C\QPendientes@">
          <a:extLst>
            <a:ext uri="{FF2B5EF4-FFF2-40B4-BE49-F238E27FC236}">
              <a16:creationId xmlns:a16="http://schemas.microsoft.com/office/drawing/2014/main" id="{814A1016-2A8C-4C5A-B026-8D757456C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6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594" name="Picture@5C\QPendientes@" descr="@5C\QPendientes@">
          <a:extLst>
            <a:ext uri="{FF2B5EF4-FFF2-40B4-BE49-F238E27FC236}">
              <a16:creationId xmlns:a16="http://schemas.microsoft.com/office/drawing/2014/main" id="{2C15C51B-09DE-4EB6-B72E-D6B8B9BC4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8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595" name="Picture@5C\QPendientes@" descr="@5C\QPendientes@">
          <a:extLst>
            <a:ext uri="{FF2B5EF4-FFF2-40B4-BE49-F238E27FC236}">
              <a16:creationId xmlns:a16="http://schemas.microsoft.com/office/drawing/2014/main" id="{CEA3DCD2-2A24-4D29-9A13-AA7DAE363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0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596" name="Picture@5C\QPendientes@" descr="@5C\QPendientes@">
          <a:extLst>
            <a:ext uri="{FF2B5EF4-FFF2-40B4-BE49-F238E27FC236}">
              <a16:creationId xmlns:a16="http://schemas.microsoft.com/office/drawing/2014/main" id="{E5CEC214-C3EC-4FB2-AE1D-6BC0F3977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2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597" name="Picture@5C\QPendientes@" descr="@5C\QPendientes@">
          <a:extLst>
            <a:ext uri="{FF2B5EF4-FFF2-40B4-BE49-F238E27FC236}">
              <a16:creationId xmlns:a16="http://schemas.microsoft.com/office/drawing/2014/main" id="{D8AF85A2-D575-43AA-8433-89D2B6683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3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598" name="Picture@5C\QPendientes@" descr="@5C\QPendientes@">
          <a:extLst>
            <a:ext uri="{FF2B5EF4-FFF2-40B4-BE49-F238E27FC236}">
              <a16:creationId xmlns:a16="http://schemas.microsoft.com/office/drawing/2014/main" id="{BE7039BD-A574-48AD-A2F1-747AE557C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5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599" name="Picture@5C\QPendientes@" descr="@5C\QPendientes@">
          <a:extLst>
            <a:ext uri="{FF2B5EF4-FFF2-40B4-BE49-F238E27FC236}">
              <a16:creationId xmlns:a16="http://schemas.microsoft.com/office/drawing/2014/main" id="{18DF3AE7-0160-4C83-A7A0-5146C5CF3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600" name="Picture@5C\QPendientes@" descr="@5C\QPendientes@">
          <a:extLst>
            <a:ext uri="{FF2B5EF4-FFF2-40B4-BE49-F238E27FC236}">
              <a16:creationId xmlns:a16="http://schemas.microsoft.com/office/drawing/2014/main" id="{C67ED1F3-735A-4932-8B61-80D055308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9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601" name="Picture@5C\QPendientes@" descr="@5C\QPendientes@">
          <a:extLst>
            <a:ext uri="{FF2B5EF4-FFF2-40B4-BE49-F238E27FC236}">
              <a16:creationId xmlns:a16="http://schemas.microsoft.com/office/drawing/2014/main" id="{EF60AD02-462B-4FC3-83BD-A0C5D53B2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1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602" name="Picture@5C\QPendientes@" descr="@5C\QPendientes@">
          <a:extLst>
            <a:ext uri="{FF2B5EF4-FFF2-40B4-BE49-F238E27FC236}">
              <a16:creationId xmlns:a16="http://schemas.microsoft.com/office/drawing/2014/main" id="{05999A5B-100F-4345-8FD9-5AB03A93F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3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603" name="Picture@5C\QPendientes@" descr="@5C\QPendientes@">
          <a:extLst>
            <a:ext uri="{FF2B5EF4-FFF2-40B4-BE49-F238E27FC236}">
              <a16:creationId xmlns:a16="http://schemas.microsoft.com/office/drawing/2014/main" id="{7A068FF8-6721-479C-8703-71F354B8D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4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604" name="Picture@5C\QPendientes@" descr="@5C\QPendientes@">
          <a:extLst>
            <a:ext uri="{FF2B5EF4-FFF2-40B4-BE49-F238E27FC236}">
              <a16:creationId xmlns:a16="http://schemas.microsoft.com/office/drawing/2014/main" id="{9A7C20B2-1605-4249-A42A-B3C4ECC07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6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605" name="Picture@5C\QPendientes@" descr="@5C\QPendientes@">
          <a:extLst>
            <a:ext uri="{FF2B5EF4-FFF2-40B4-BE49-F238E27FC236}">
              <a16:creationId xmlns:a16="http://schemas.microsoft.com/office/drawing/2014/main" id="{464D859B-E353-46F5-98C5-61BD0903C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38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606" name="Picture@5C\QPendientes@" descr="@5C\QPendientes@">
          <a:extLst>
            <a:ext uri="{FF2B5EF4-FFF2-40B4-BE49-F238E27FC236}">
              <a16:creationId xmlns:a16="http://schemas.microsoft.com/office/drawing/2014/main" id="{DCB09914-0E4B-474F-8990-B92E2C62E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0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607" name="Picture@5C\QPendientes@" descr="@5C\QPendientes@">
          <a:extLst>
            <a:ext uri="{FF2B5EF4-FFF2-40B4-BE49-F238E27FC236}">
              <a16:creationId xmlns:a16="http://schemas.microsoft.com/office/drawing/2014/main" id="{94A7EFBD-A0F4-4CE1-9AC0-EE740ED6C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2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608" name="Picture@5C\QPendientes@" descr="@5C\QPendientes@">
          <a:extLst>
            <a:ext uri="{FF2B5EF4-FFF2-40B4-BE49-F238E27FC236}">
              <a16:creationId xmlns:a16="http://schemas.microsoft.com/office/drawing/2014/main" id="{0BB3C0B6-708C-4034-98C3-22B6C7A2D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4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8609" name="Picture@5C\QPendientes@" descr="@5C\QPendientes@">
          <a:extLst>
            <a:ext uri="{FF2B5EF4-FFF2-40B4-BE49-F238E27FC236}">
              <a16:creationId xmlns:a16="http://schemas.microsoft.com/office/drawing/2014/main" id="{D9846878-1E60-4264-96FE-2352BF009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8610" name="Picture@5C\QPendientes@" descr="@5C\QPendientes@">
          <a:extLst>
            <a:ext uri="{FF2B5EF4-FFF2-40B4-BE49-F238E27FC236}">
              <a16:creationId xmlns:a16="http://schemas.microsoft.com/office/drawing/2014/main" id="{8EA570C8-F525-4559-943C-53872F929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8611" name="Picture@5C\QPendientes@" descr="@5C\QPendientes@">
          <a:extLst>
            <a:ext uri="{FF2B5EF4-FFF2-40B4-BE49-F238E27FC236}">
              <a16:creationId xmlns:a16="http://schemas.microsoft.com/office/drawing/2014/main" id="{565A18D5-60E7-46BD-93D1-24D2CCDBE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9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8612" name="Picture@5C\QPendientes@" descr="@5C\QPendientes@">
          <a:extLst>
            <a:ext uri="{FF2B5EF4-FFF2-40B4-BE49-F238E27FC236}">
              <a16:creationId xmlns:a16="http://schemas.microsoft.com/office/drawing/2014/main" id="{06578FBF-6FA5-4721-B12A-A34BFFB24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1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8613" name="Picture@5C\QPendientes@" descr="@5C\QPendientes@">
          <a:extLst>
            <a:ext uri="{FF2B5EF4-FFF2-40B4-BE49-F238E27FC236}">
              <a16:creationId xmlns:a16="http://schemas.microsoft.com/office/drawing/2014/main" id="{0A2F2C58-7838-4757-B87F-E0AC91FA6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3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8614" name="Picture@5C\QPendientes@" descr="@5C\QPendientes@">
          <a:extLst>
            <a:ext uri="{FF2B5EF4-FFF2-40B4-BE49-F238E27FC236}">
              <a16:creationId xmlns:a16="http://schemas.microsoft.com/office/drawing/2014/main" id="{DF2CB65F-C692-409B-875A-1E72649AC9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5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8615" name="Picture@5C\QPendientes@" descr="@5C\QPendientes@">
          <a:extLst>
            <a:ext uri="{FF2B5EF4-FFF2-40B4-BE49-F238E27FC236}">
              <a16:creationId xmlns:a16="http://schemas.microsoft.com/office/drawing/2014/main" id="{89D3A871-B96F-4C34-AADB-31DAF3AB3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6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8616" name="Picture@5C\QPendientes@" descr="@5C\QPendientes@">
          <a:extLst>
            <a:ext uri="{FF2B5EF4-FFF2-40B4-BE49-F238E27FC236}">
              <a16:creationId xmlns:a16="http://schemas.microsoft.com/office/drawing/2014/main" id="{0567E05D-AB8E-4E4D-AA39-B160E82E2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58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8617" name="Picture@5C\QPendientes@" descr="@5C\QPendientes@">
          <a:extLst>
            <a:ext uri="{FF2B5EF4-FFF2-40B4-BE49-F238E27FC236}">
              <a16:creationId xmlns:a16="http://schemas.microsoft.com/office/drawing/2014/main" id="{09CA5FA8-DE97-4890-BDA6-0F525768B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0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8618" name="Picture@5C\QPendientes@" descr="@5C\QPendientes@">
          <a:extLst>
            <a:ext uri="{FF2B5EF4-FFF2-40B4-BE49-F238E27FC236}">
              <a16:creationId xmlns:a16="http://schemas.microsoft.com/office/drawing/2014/main" id="{48B3043F-27D8-4643-A21D-CD755CA23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2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8619" name="Picture@5C\QPendientes@" descr="@5C\QPendientes@">
          <a:extLst>
            <a:ext uri="{FF2B5EF4-FFF2-40B4-BE49-F238E27FC236}">
              <a16:creationId xmlns:a16="http://schemas.microsoft.com/office/drawing/2014/main" id="{9DA3BAC8-1995-4F88-AEED-D61A4F8F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8620" name="Picture@5C\QPendientes@" descr="@5C\QPendientes@">
          <a:extLst>
            <a:ext uri="{FF2B5EF4-FFF2-40B4-BE49-F238E27FC236}">
              <a16:creationId xmlns:a16="http://schemas.microsoft.com/office/drawing/2014/main" id="{059E98EC-72D6-4605-9FC8-47FAEC73D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6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8621" name="Picture@5C\QPendientes@" descr="@5C\QPendientes@">
          <a:extLst>
            <a:ext uri="{FF2B5EF4-FFF2-40B4-BE49-F238E27FC236}">
              <a16:creationId xmlns:a16="http://schemas.microsoft.com/office/drawing/2014/main" id="{BAC8EE4B-A826-4552-9839-77073338A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7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8622" name="Picture@5C\QPendientes@" descr="@5C\QPendientes@">
          <a:extLst>
            <a:ext uri="{FF2B5EF4-FFF2-40B4-BE49-F238E27FC236}">
              <a16:creationId xmlns:a16="http://schemas.microsoft.com/office/drawing/2014/main" id="{D4896B04-5210-4344-A4CC-98E7D125D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9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8623" name="Picture@5C\QPendientes@" descr="@5C\QPendientes@">
          <a:extLst>
            <a:ext uri="{FF2B5EF4-FFF2-40B4-BE49-F238E27FC236}">
              <a16:creationId xmlns:a16="http://schemas.microsoft.com/office/drawing/2014/main" id="{80DDA08D-69EF-4090-8AE6-FAF37DAC9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1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8624" name="Picture@5C\QPendientes@" descr="@5C\QPendientes@">
          <a:extLst>
            <a:ext uri="{FF2B5EF4-FFF2-40B4-BE49-F238E27FC236}">
              <a16:creationId xmlns:a16="http://schemas.microsoft.com/office/drawing/2014/main" id="{EF46D36F-CCC1-4BBD-87BD-0B14370D4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3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8625" name="Picture@5C\QPendientes@" descr="@5C\QPendientes@">
          <a:extLst>
            <a:ext uri="{FF2B5EF4-FFF2-40B4-BE49-F238E27FC236}">
              <a16:creationId xmlns:a16="http://schemas.microsoft.com/office/drawing/2014/main" id="{9456217E-D611-4D97-BFB3-7B5FB1930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5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8626" name="Picture@5C\QPendientes@" descr="@5C\QPendientes@">
          <a:extLst>
            <a:ext uri="{FF2B5EF4-FFF2-40B4-BE49-F238E27FC236}">
              <a16:creationId xmlns:a16="http://schemas.microsoft.com/office/drawing/2014/main" id="{2C32510F-5BF3-45DF-9E94-300F68293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7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8627" name="Picture@5C\QPendientes@" descr="@5C\QPendientes@">
          <a:extLst>
            <a:ext uri="{FF2B5EF4-FFF2-40B4-BE49-F238E27FC236}">
              <a16:creationId xmlns:a16="http://schemas.microsoft.com/office/drawing/2014/main" id="{9D20773C-4FBF-456D-85DF-0DFBC630C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78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8628" name="Picture@5C\QPendientes@" descr="@5C\QPendientes@">
          <a:extLst>
            <a:ext uri="{FF2B5EF4-FFF2-40B4-BE49-F238E27FC236}">
              <a16:creationId xmlns:a16="http://schemas.microsoft.com/office/drawing/2014/main" id="{06491044-639D-4203-94E0-5C5F932D93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0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8629" name="Picture@5C\QPendientes@" descr="@5C\QPendientes@">
          <a:extLst>
            <a:ext uri="{FF2B5EF4-FFF2-40B4-BE49-F238E27FC236}">
              <a16:creationId xmlns:a16="http://schemas.microsoft.com/office/drawing/2014/main" id="{B210CDB7-37F7-4232-A896-2F9FC55FD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8630" name="Picture@5C\QPendientes@" descr="@5C\QPendientes@">
          <a:extLst>
            <a:ext uri="{FF2B5EF4-FFF2-40B4-BE49-F238E27FC236}">
              <a16:creationId xmlns:a16="http://schemas.microsoft.com/office/drawing/2014/main" id="{C26217A4-4394-46AC-B376-99E586442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4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8631" name="Picture@5C\QPendientes@" descr="@5C\QPendientes@">
          <a:extLst>
            <a:ext uri="{FF2B5EF4-FFF2-40B4-BE49-F238E27FC236}">
              <a16:creationId xmlns:a16="http://schemas.microsoft.com/office/drawing/2014/main" id="{5C0BBB81-C5E2-4C20-9561-DD3B12D78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6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8632" name="Picture@5C\QPendientes@" descr="@5C\QPendientes@">
          <a:extLst>
            <a:ext uri="{FF2B5EF4-FFF2-40B4-BE49-F238E27FC236}">
              <a16:creationId xmlns:a16="http://schemas.microsoft.com/office/drawing/2014/main" id="{28091AEF-B6A5-4A68-8CD6-CE2F9BCFB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7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8633" name="Picture@5C\QPendientes@" descr="@5C\QPendientes@">
          <a:extLst>
            <a:ext uri="{FF2B5EF4-FFF2-40B4-BE49-F238E27FC236}">
              <a16:creationId xmlns:a16="http://schemas.microsoft.com/office/drawing/2014/main" id="{77BD8710-91F7-447E-9B74-14198C730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9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8634" name="Picture@5C\QPendientes@" descr="@5C\QPendientes@">
          <a:extLst>
            <a:ext uri="{FF2B5EF4-FFF2-40B4-BE49-F238E27FC236}">
              <a16:creationId xmlns:a16="http://schemas.microsoft.com/office/drawing/2014/main" id="{D67AA4C7-DE5C-4FF0-B075-D9249F443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1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8635" name="Picture@5C\QPendientes@" descr="@5C\QPendientes@">
          <a:extLst>
            <a:ext uri="{FF2B5EF4-FFF2-40B4-BE49-F238E27FC236}">
              <a16:creationId xmlns:a16="http://schemas.microsoft.com/office/drawing/2014/main" id="{1CC16BC7-BE75-4264-95E7-C54EE7699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3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8636" name="Picture@5C\QPendientes@" descr="@5C\QPendientes@">
          <a:extLst>
            <a:ext uri="{FF2B5EF4-FFF2-40B4-BE49-F238E27FC236}">
              <a16:creationId xmlns:a16="http://schemas.microsoft.com/office/drawing/2014/main" id="{85B2158D-D41E-4338-AC9F-F82813774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5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8637" name="Picture@5C\QPendientes@" descr="@5C\QPendientes@">
          <a:extLst>
            <a:ext uri="{FF2B5EF4-FFF2-40B4-BE49-F238E27FC236}">
              <a16:creationId xmlns:a16="http://schemas.microsoft.com/office/drawing/2014/main" id="{536DA992-0647-4802-8249-98755066A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7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8638" name="Picture@5C\QPendientes@" descr="@5C\QPendientes@">
          <a:extLst>
            <a:ext uri="{FF2B5EF4-FFF2-40B4-BE49-F238E27FC236}">
              <a16:creationId xmlns:a16="http://schemas.microsoft.com/office/drawing/2014/main" id="{3909F048-E386-4941-927A-FB997DD14E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98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8639" name="Picture@5C\QPendientes@" descr="@5C\QPendientes@">
          <a:extLst>
            <a:ext uri="{FF2B5EF4-FFF2-40B4-BE49-F238E27FC236}">
              <a16:creationId xmlns:a16="http://schemas.microsoft.com/office/drawing/2014/main" id="{07DDA20A-2433-441A-848C-A79839369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8640" name="Picture@5C\QPendientes@" descr="@5C\QPendientes@">
          <a:extLst>
            <a:ext uri="{FF2B5EF4-FFF2-40B4-BE49-F238E27FC236}">
              <a16:creationId xmlns:a16="http://schemas.microsoft.com/office/drawing/2014/main" id="{0A2E9EE8-1C76-4166-8C5D-BB9F63101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2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8641" name="Picture@5C\QPendientes@" descr="@5C\QPendientes@">
          <a:extLst>
            <a:ext uri="{FF2B5EF4-FFF2-40B4-BE49-F238E27FC236}">
              <a16:creationId xmlns:a16="http://schemas.microsoft.com/office/drawing/2014/main" id="{36D18114-D37C-4644-8AF1-89DC0DC7E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4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8642" name="Picture@5C\QPendientes@" descr="@5C\QPendientes@">
          <a:extLst>
            <a:ext uri="{FF2B5EF4-FFF2-40B4-BE49-F238E27FC236}">
              <a16:creationId xmlns:a16="http://schemas.microsoft.com/office/drawing/2014/main" id="{43DB098C-AA1A-4A00-AC39-0EEA63710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6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8643" name="Picture@5C\QPendientes@" descr="@5C\QPendientes@">
          <a:extLst>
            <a:ext uri="{FF2B5EF4-FFF2-40B4-BE49-F238E27FC236}">
              <a16:creationId xmlns:a16="http://schemas.microsoft.com/office/drawing/2014/main" id="{BA7E63B6-9B11-455F-8292-34303160B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8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8644" name="Picture@5C\QPendientes@" descr="@5C\QPendientes@">
          <a:extLst>
            <a:ext uri="{FF2B5EF4-FFF2-40B4-BE49-F238E27FC236}">
              <a16:creationId xmlns:a16="http://schemas.microsoft.com/office/drawing/2014/main" id="{C72DE4F3-DD90-4653-B941-C1BAE6971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9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8645" name="Picture@5C\QPendientes@" descr="@5C\QPendientes@">
          <a:extLst>
            <a:ext uri="{FF2B5EF4-FFF2-40B4-BE49-F238E27FC236}">
              <a16:creationId xmlns:a16="http://schemas.microsoft.com/office/drawing/2014/main" id="{3F35A116-FD23-444E-9339-74BB6CC55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1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8646" name="Picture@5C\QPendientes@" descr="@5C\QPendientes@">
          <a:extLst>
            <a:ext uri="{FF2B5EF4-FFF2-40B4-BE49-F238E27FC236}">
              <a16:creationId xmlns:a16="http://schemas.microsoft.com/office/drawing/2014/main" id="{5664C005-C031-4A09-A55C-2E8E58503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3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8647" name="Picture@5C\QPendientes@" descr="@5C\QPendientes@">
          <a:extLst>
            <a:ext uri="{FF2B5EF4-FFF2-40B4-BE49-F238E27FC236}">
              <a16:creationId xmlns:a16="http://schemas.microsoft.com/office/drawing/2014/main" id="{0ACDCBD4-FD50-4E26-A834-D434A316D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5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8648" name="Picture@5C\QPendientes@" descr="@5C\QPendientes@">
          <a:extLst>
            <a:ext uri="{FF2B5EF4-FFF2-40B4-BE49-F238E27FC236}">
              <a16:creationId xmlns:a16="http://schemas.microsoft.com/office/drawing/2014/main" id="{7E9E7006-D945-4FE3-B929-6EF4D60A4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7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8649" name="Picture@5C\QPendientes@" descr="@5C\QPendientes@">
          <a:extLst>
            <a:ext uri="{FF2B5EF4-FFF2-40B4-BE49-F238E27FC236}">
              <a16:creationId xmlns:a16="http://schemas.microsoft.com/office/drawing/2014/main" id="{79298EB0-E783-4B6A-9370-D79A332D7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8650" name="Picture@5C\QPendientes@" descr="@5C\QPendientes@">
          <a:extLst>
            <a:ext uri="{FF2B5EF4-FFF2-40B4-BE49-F238E27FC236}">
              <a16:creationId xmlns:a16="http://schemas.microsoft.com/office/drawing/2014/main" id="{328A103C-732C-434E-92AE-7BABB3B22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0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8651" name="Picture@5C\QPendientes@" descr="@5C\QPendientes@">
          <a:extLst>
            <a:ext uri="{FF2B5EF4-FFF2-40B4-BE49-F238E27FC236}">
              <a16:creationId xmlns:a16="http://schemas.microsoft.com/office/drawing/2014/main" id="{43A62B8C-B5C3-460B-954B-71DF13A278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2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8652" name="Picture@5C\QPendientes@" descr="@5C\QPendientes@">
          <a:extLst>
            <a:ext uri="{FF2B5EF4-FFF2-40B4-BE49-F238E27FC236}">
              <a16:creationId xmlns:a16="http://schemas.microsoft.com/office/drawing/2014/main" id="{521F8906-CA18-40AF-9C64-65B6E642B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4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8653" name="Picture@5C\QPendientes@" descr="@5C\QPendientes@">
          <a:extLst>
            <a:ext uri="{FF2B5EF4-FFF2-40B4-BE49-F238E27FC236}">
              <a16:creationId xmlns:a16="http://schemas.microsoft.com/office/drawing/2014/main" id="{A1847B93-8CD5-4464-A94E-CF40A42385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6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8654" name="Picture@5C\QPendientes@" descr="@5C\QPendientes@">
          <a:extLst>
            <a:ext uri="{FF2B5EF4-FFF2-40B4-BE49-F238E27FC236}">
              <a16:creationId xmlns:a16="http://schemas.microsoft.com/office/drawing/2014/main" id="{CF5B3246-3873-4B0E-87D2-B99C9AD60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28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8655" name="Picture@5C\QPendientes@" descr="@5C\QPendientes@">
          <a:extLst>
            <a:ext uri="{FF2B5EF4-FFF2-40B4-BE49-F238E27FC236}">
              <a16:creationId xmlns:a16="http://schemas.microsoft.com/office/drawing/2014/main" id="{906DCB4D-61AE-4C36-B3CF-FF4F2F332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0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8656" name="Picture@5C\QPendientes@" descr="@5C\QPendientes@">
          <a:extLst>
            <a:ext uri="{FF2B5EF4-FFF2-40B4-BE49-F238E27FC236}">
              <a16:creationId xmlns:a16="http://schemas.microsoft.com/office/drawing/2014/main" id="{CA77BBDE-C0D4-4E57-AF1E-FAAC4884F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1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8657" name="Picture@5C\QPendientes@" descr="@5C\QPendientes@">
          <a:extLst>
            <a:ext uri="{FF2B5EF4-FFF2-40B4-BE49-F238E27FC236}">
              <a16:creationId xmlns:a16="http://schemas.microsoft.com/office/drawing/2014/main" id="{EF6D1BE1-0EF3-4BA6-910C-B3CFB1A3E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3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8658" name="Picture@5C\QPendientes@" descr="@5C\QPendientes@">
          <a:extLst>
            <a:ext uri="{FF2B5EF4-FFF2-40B4-BE49-F238E27FC236}">
              <a16:creationId xmlns:a16="http://schemas.microsoft.com/office/drawing/2014/main" id="{AF2C6FA9-55D0-4E95-894E-53873141C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5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8659" name="Picture@5C\QPendientes@" descr="@5C\QPendientes@">
          <a:extLst>
            <a:ext uri="{FF2B5EF4-FFF2-40B4-BE49-F238E27FC236}">
              <a16:creationId xmlns:a16="http://schemas.microsoft.com/office/drawing/2014/main" id="{24E6D741-3D15-44E3-A962-EFE01B45A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8660" name="Picture@5C\QPendientes@" descr="@5C\QPendientes@">
          <a:extLst>
            <a:ext uri="{FF2B5EF4-FFF2-40B4-BE49-F238E27FC236}">
              <a16:creationId xmlns:a16="http://schemas.microsoft.com/office/drawing/2014/main" id="{27DB3866-4549-4E7C-8C33-E636A8B13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9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8661" name="Picture@5C\QPendientes@" descr="@5C\QPendientes@">
          <a:extLst>
            <a:ext uri="{FF2B5EF4-FFF2-40B4-BE49-F238E27FC236}">
              <a16:creationId xmlns:a16="http://schemas.microsoft.com/office/drawing/2014/main" id="{C6484C62-BA8B-49C6-8F7A-01CA7CF89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1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8662" name="Picture@5C\QPendientes@" descr="@5C\QPendientes@">
          <a:extLst>
            <a:ext uri="{FF2B5EF4-FFF2-40B4-BE49-F238E27FC236}">
              <a16:creationId xmlns:a16="http://schemas.microsoft.com/office/drawing/2014/main" id="{E2118C93-046D-461D-A2C8-71A41FEBB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2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8663" name="Picture@5C\QPendientes@" descr="@5C\QPendientes@">
          <a:extLst>
            <a:ext uri="{FF2B5EF4-FFF2-40B4-BE49-F238E27FC236}">
              <a16:creationId xmlns:a16="http://schemas.microsoft.com/office/drawing/2014/main" id="{CCD9BB04-1779-4117-8D74-4BCC0CBBD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4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8664" name="Picture@5C\QPendientes@" descr="@5C\QPendientes@">
          <a:extLst>
            <a:ext uri="{FF2B5EF4-FFF2-40B4-BE49-F238E27FC236}">
              <a16:creationId xmlns:a16="http://schemas.microsoft.com/office/drawing/2014/main" id="{F7A059D5-8347-47CA-89EB-85E8F91A82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6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8665" name="Picture@5C\QPendientes@" descr="@5C\QPendientes@">
          <a:extLst>
            <a:ext uri="{FF2B5EF4-FFF2-40B4-BE49-F238E27FC236}">
              <a16:creationId xmlns:a16="http://schemas.microsoft.com/office/drawing/2014/main" id="{5B29CC01-EFBE-4A59-B87A-12B97D839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48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8666" name="Picture@5C\QPendientes@" descr="@5C\QPendientes@">
          <a:extLst>
            <a:ext uri="{FF2B5EF4-FFF2-40B4-BE49-F238E27FC236}">
              <a16:creationId xmlns:a16="http://schemas.microsoft.com/office/drawing/2014/main" id="{8DBFB2D9-CB80-4D77-AD2D-2656FF35C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0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8667" name="Picture@5C\QPendientes@" descr="@5C\QPendientes@">
          <a:extLst>
            <a:ext uri="{FF2B5EF4-FFF2-40B4-BE49-F238E27FC236}">
              <a16:creationId xmlns:a16="http://schemas.microsoft.com/office/drawing/2014/main" id="{CBF076A6-41FE-4E7A-AD81-73DBF903A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1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8668" name="Picture@5C\QPendientes@" descr="@5C\QPendientes@">
          <a:extLst>
            <a:ext uri="{FF2B5EF4-FFF2-40B4-BE49-F238E27FC236}">
              <a16:creationId xmlns:a16="http://schemas.microsoft.com/office/drawing/2014/main" id="{705A6C0B-0765-4776-9101-F3F7335FF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3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8669" name="Picture@5C\QPendientes@" descr="@5C\QPendientes@">
          <a:extLst>
            <a:ext uri="{FF2B5EF4-FFF2-40B4-BE49-F238E27FC236}">
              <a16:creationId xmlns:a16="http://schemas.microsoft.com/office/drawing/2014/main" id="{98FC88FC-7340-4E24-948C-8E801DC611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8670" name="Picture@5C\QPendientes@" descr="@5C\QPendientes@">
          <a:extLst>
            <a:ext uri="{FF2B5EF4-FFF2-40B4-BE49-F238E27FC236}">
              <a16:creationId xmlns:a16="http://schemas.microsoft.com/office/drawing/2014/main" id="{FD43DA0A-CCAB-4FA0-8837-59616035D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7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8671" name="Picture@5C\QPendientes@" descr="@5C\QPendientes@">
          <a:extLst>
            <a:ext uri="{FF2B5EF4-FFF2-40B4-BE49-F238E27FC236}">
              <a16:creationId xmlns:a16="http://schemas.microsoft.com/office/drawing/2014/main" id="{293699CD-FFF8-4C3C-A8A4-611F75993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9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8672" name="Picture@5C\QPendientes@" descr="@5C\QPendientes@">
          <a:extLst>
            <a:ext uri="{FF2B5EF4-FFF2-40B4-BE49-F238E27FC236}">
              <a16:creationId xmlns:a16="http://schemas.microsoft.com/office/drawing/2014/main" id="{F32D5120-EE08-4F84-8336-7274C3F73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1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8673" name="Picture@5C\QPendientes@" descr="@5C\QPendientes@">
          <a:extLst>
            <a:ext uri="{FF2B5EF4-FFF2-40B4-BE49-F238E27FC236}">
              <a16:creationId xmlns:a16="http://schemas.microsoft.com/office/drawing/2014/main" id="{74B68291-FCEB-47F4-9060-07353D30D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2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8674" name="Picture@5C\QPendientes@" descr="@5C\QPendientes@">
          <a:extLst>
            <a:ext uri="{FF2B5EF4-FFF2-40B4-BE49-F238E27FC236}">
              <a16:creationId xmlns:a16="http://schemas.microsoft.com/office/drawing/2014/main" id="{D1EA750D-268D-43CA-9940-22DA71D28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4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8675" name="Picture@5C\QPendientes@" descr="@5C\QPendientes@">
          <a:extLst>
            <a:ext uri="{FF2B5EF4-FFF2-40B4-BE49-F238E27FC236}">
              <a16:creationId xmlns:a16="http://schemas.microsoft.com/office/drawing/2014/main" id="{5E304334-EC0F-4798-AA8A-78EBD52C8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6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8676" name="Picture@5C\QPendientes@" descr="@5C\QPendientes@">
          <a:extLst>
            <a:ext uri="{FF2B5EF4-FFF2-40B4-BE49-F238E27FC236}">
              <a16:creationId xmlns:a16="http://schemas.microsoft.com/office/drawing/2014/main" id="{4DA20D9E-FF8B-4BC0-86C6-A55EBE2B1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68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8677" name="Picture@5C\QPendientes@" descr="@5C\QPendientes@">
          <a:extLst>
            <a:ext uri="{FF2B5EF4-FFF2-40B4-BE49-F238E27FC236}">
              <a16:creationId xmlns:a16="http://schemas.microsoft.com/office/drawing/2014/main" id="{52D68AC0-03D4-4233-B9D7-9A02B14FA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0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8678" name="Picture@5C\QPendientes@" descr="@5C\QPendientes@">
          <a:extLst>
            <a:ext uri="{FF2B5EF4-FFF2-40B4-BE49-F238E27FC236}">
              <a16:creationId xmlns:a16="http://schemas.microsoft.com/office/drawing/2014/main" id="{8BC49A86-ABCF-49A9-B8D2-F3E13C00A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2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8679" name="Picture@5C\QPendientes@" descr="@5C\QPendientes@">
          <a:extLst>
            <a:ext uri="{FF2B5EF4-FFF2-40B4-BE49-F238E27FC236}">
              <a16:creationId xmlns:a16="http://schemas.microsoft.com/office/drawing/2014/main" id="{6E1AD3EF-7EB9-4040-9FDD-E622B4BC0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8680" name="Picture@5C\QPendientes@" descr="@5C\QPendientes@">
          <a:extLst>
            <a:ext uri="{FF2B5EF4-FFF2-40B4-BE49-F238E27FC236}">
              <a16:creationId xmlns:a16="http://schemas.microsoft.com/office/drawing/2014/main" id="{BCCD1990-4173-4574-BD04-7C1A0FFF5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5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8681" name="Picture@5C\QPendientes@" descr="@5C\QPendientes@">
          <a:extLst>
            <a:ext uri="{FF2B5EF4-FFF2-40B4-BE49-F238E27FC236}">
              <a16:creationId xmlns:a16="http://schemas.microsoft.com/office/drawing/2014/main" id="{869E8676-D4C0-4A0D-A5AA-861588DCC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7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8682" name="Picture@5C\QPendientes@" descr="@5C\QPendientes@">
          <a:extLst>
            <a:ext uri="{FF2B5EF4-FFF2-40B4-BE49-F238E27FC236}">
              <a16:creationId xmlns:a16="http://schemas.microsoft.com/office/drawing/2014/main" id="{618786F0-C466-4D21-BDE2-32E0EE840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9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8683" name="Picture@5C\QPendientes@" descr="@5C\QPendientes@">
          <a:extLst>
            <a:ext uri="{FF2B5EF4-FFF2-40B4-BE49-F238E27FC236}">
              <a16:creationId xmlns:a16="http://schemas.microsoft.com/office/drawing/2014/main" id="{9800D805-AD45-4E69-876C-E7BD40189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1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8684" name="Picture@5C\QPendientes@" descr="@5C\QPendientes@">
          <a:extLst>
            <a:ext uri="{FF2B5EF4-FFF2-40B4-BE49-F238E27FC236}">
              <a16:creationId xmlns:a16="http://schemas.microsoft.com/office/drawing/2014/main" id="{488B0C0F-B05E-4213-B18A-68864988A6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3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8685" name="Picture@5C\QPendientes@" descr="@5C\QPendientes@">
          <a:extLst>
            <a:ext uri="{FF2B5EF4-FFF2-40B4-BE49-F238E27FC236}">
              <a16:creationId xmlns:a16="http://schemas.microsoft.com/office/drawing/2014/main" id="{E95D5701-E8E3-4E49-BF09-326D5D913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4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8686" name="Picture@5C\QPendientes@" descr="@5C\QPendientes@">
          <a:extLst>
            <a:ext uri="{FF2B5EF4-FFF2-40B4-BE49-F238E27FC236}">
              <a16:creationId xmlns:a16="http://schemas.microsoft.com/office/drawing/2014/main" id="{4A2A0889-D492-4F4C-9CAF-7CE013743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6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8687" name="Picture@5C\QPendientes@" descr="@5C\QPendientes@">
          <a:extLst>
            <a:ext uri="{FF2B5EF4-FFF2-40B4-BE49-F238E27FC236}">
              <a16:creationId xmlns:a16="http://schemas.microsoft.com/office/drawing/2014/main" id="{7449ADCA-DBB8-4415-AD6D-32CB75CF5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88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8688" name="Picture@5C\QPendientes@" descr="@5C\QPendientes@">
          <a:extLst>
            <a:ext uri="{FF2B5EF4-FFF2-40B4-BE49-F238E27FC236}">
              <a16:creationId xmlns:a16="http://schemas.microsoft.com/office/drawing/2014/main" id="{5B1064A2-2381-46D4-A9D2-E825986D9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0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8689" name="Picture@5C\QPendientes@" descr="@5C\QPendientes@">
          <a:extLst>
            <a:ext uri="{FF2B5EF4-FFF2-40B4-BE49-F238E27FC236}">
              <a16:creationId xmlns:a16="http://schemas.microsoft.com/office/drawing/2014/main" id="{33879507-C65D-45F4-9A05-BF6799E42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8690" name="Picture@5C\QPendientes@" descr="@5C\QPendientes@">
          <a:extLst>
            <a:ext uri="{FF2B5EF4-FFF2-40B4-BE49-F238E27FC236}">
              <a16:creationId xmlns:a16="http://schemas.microsoft.com/office/drawing/2014/main" id="{3A97379B-6D95-4FC4-9AE1-BB2A4845C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4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8691" name="Picture@5C\QPendientes@" descr="@5C\QPendientes@">
          <a:extLst>
            <a:ext uri="{FF2B5EF4-FFF2-40B4-BE49-F238E27FC236}">
              <a16:creationId xmlns:a16="http://schemas.microsoft.com/office/drawing/2014/main" id="{4CDDC883-69BD-4EB5-BF38-326536D97E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5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8692" name="Picture@5C\QPendientes@" descr="@5C\QPendientes@">
          <a:extLst>
            <a:ext uri="{FF2B5EF4-FFF2-40B4-BE49-F238E27FC236}">
              <a16:creationId xmlns:a16="http://schemas.microsoft.com/office/drawing/2014/main" id="{1C6450D8-BB1A-4799-B00F-96098454D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7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8693" name="Picture@5C\QPendientes@" descr="@5C\QPendientes@">
          <a:extLst>
            <a:ext uri="{FF2B5EF4-FFF2-40B4-BE49-F238E27FC236}">
              <a16:creationId xmlns:a16="http://schemas.microsoft.com/office/drawing/2014/main" id="{216C07F2-2B6B-4D7D-9E6C-698500A0C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9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8694" name="Picture@5C\QPendientes@" descr="@5C\QPendientes@">
          <a:extLst>
            <a:ext uri="{FF2B5EF4-FFF2-40B4-BE49-F238E27FC236}">
              <a16:creationId xmlns:a16="http://schemas.microsoft.com/office/drawing/2014/main" id="{DF03D6A5-80E1-469B-85A5-BF4598B4A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1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8695" name="Picture@5C\QPendientes@" descr="@5C\QPendientes@">
          <a:extLst>
            <a:ext uri="{FF2B5EF4-FFF2-40B4-BE49-F238E27FC236}">
              <a16:creationId xmlns:a16="http://schemas.microsoft.com/office/drawing/2014/main" id="{121B73A5-6461-47D3-894A-7D7CC7308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3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8696" name="Picture@5C\QPendientes@" descr="@5C\QPendientes@">
          <a:extLst>
            <a:ext uri="{FF2B5EF4-FFF2-40B4-BE49-F238E27FC236}">
              <a16:creationId xmlns:a16="http://schemas.microsoft.com/office/drawing/2014/main" id="{7F7C0E4A-DB4C-4423-9192-9A0507BDE9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5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8697" name="Picture@5C\QPendientes@" descr="@5C\QPendientes@">
          <a:extLst>
            <a:ext uri="{FF2B5EF4-FFF2-40B4-BE49-F238E27FC236}">
              <a16:creationId xmlns:a16="http://schemas.microsoft.com/office/drawing/2014/main" id="{0C8D487E-BDB0-4F77-A688-F894EFBF7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6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8698" name="Picture@5C\QPendientes@" descr="@5C\QPendientes@">
          <a:extLst>
            <a:ext uri="{FF2B5EF4-FFF2-40B4-BE49-F238E27FC236}">
              <a16:creationId xmlns:a16="http://schemas.microsoft.com/office/drawing/2014/main" id="{27DD13AD-7F8B-4F1C-9BC4-7E19C9D8C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8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8699" name="Picture@5C\QPendientes@" descr="@5C\QPendientes@">
          <a:extLst>
            <a:ext uri="{FF2B5EF4-FFF2-40B4-BE49-F238E27FC236}">
              <a16:creationId xmlns:a16="http://schemas.microsoft.com/office/drawing/2014/main" id="{F95937ED-C670-45DB-B85D-1F31D7505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8700" name="Picture@5C\QPendientes@" descr="@5C\QPendientes@">
          <a:extLst>
            <a:ext uri="{FF2B5EF4-FFF2-40B4-BE49-F238E27FC236}">
              <a16:creationId xmlns:a16="http://schemas.microsoft.com/office/drawing/2014/main" id="{D4AB743D-C701-4485-A8D4-221F91D7F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2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8701" name="Picture@5C\QPendientes@" descr="@5C\QPendientes@">
          <a:extLst>
            <a:ext uri="{FF2B5EF4-FFF2-40B4-BE49-F238E27FC236}">
              <a16:creationId xmlns:a16="http://schemas.microsoft.com/office/drawing/2014/main" id="{E66C0C5F-6104-4C4C-99F3-47A66BDD5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4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8702" name="Picture@5C\QPendientes@" descr="@5C\QPendientes@">
          <a:extLst>
            <a:ext uri="{FF2B5EF4-FFF2-40B4-BE49-F238E27FC236}">
              <a16:creationId xmlns:a16="http://schemas.microsoft.com/office/drawing/2014/main" id="{8B98A5A5-12A2-480A-AF99-6C8DD0082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5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8703" name="Picture@5C\QPendientes@" descr="@5C\QPendientes@">
          <a:extLst>
            <a:ext uri="{FF2B5EF4-FFF2-40B4-BE49-F238E27FC236}">
              <a16:creationId xmlns:a16="http://schemas.microsoft.com/office/drawing/2014/main" id="{7DA85CD5-B7D1-42BE-B8C3-15E03FDD9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7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8704" name="Picture@5C\QPendientes@" descr="@5C\QPendientes@">
          <a:extLst>
            <a:ext uri="{FF2B5EF4-FFF2-40B4-BE49-F238E27FC236}">
              <a16:creationId xmlns:a16="http://schemas.microsoft.com/office/drawing/2014/main" id="{23917E9F-7554-46CD-AD24-D029B86BF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9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8705" name="Picture@5C\QPendientes@" descr="@5C\QPendientes@">
          <a:extLst>
            <a:ext uri="{FF2B5EF4-FFF2-40B4-BE49-F238E27FC236}">
              <a16:creationId xmlns:a16="http://schemas.microsoft.com/office/drawing/2014/main" id="{4B7E3BEA-43F6-4201-A014-8D6A499BB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1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8706" name="Picture@5C\QPendientes@" descr="@5C\QPendientes@">
          <a:extLst>
            <a:ext uri="{FF2B5EF4-FFF2-40B4-BE49-F238E27FC236}">
              <a16:creationId xmlns:a16="http://schemas.microsoft.com/office/drawing/2014/main" id="{D7DF034D-CC06-48AD-BCCB-F02F3FB19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3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8707" name="Picture@5C\QPendientes@" descr="@5C\QPendientes@">
          <a:extLst>
            <a:ext uri="{FF2B5EF4-FFF2-40B4-BE49-F238E27FC236}">
              <a16:creationId xmlns:a16="http://schemas.microsoft.com/office/drawing/2014/main" id="{C0B3CB05-F460-4DD6-9466-606D5451E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5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8708" name="Picture@5C\QPendientes@" descr="@5C\QPendientes@">
          <a:extLst>
            <a:ext uri="{FF2B5EF4-FFF2-40B4-BE49-F238E27FC236}">
              <a16:creationId xmlns:a16="http://schemas.microsoft.com/office/drawing/2014/main" id="{3F718EBB-961A-48AA-82F1-63A5FC1CC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6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8709" name="Picture@5C\QPendientes@" descr="@5C\QPendientes@">
          <a:extLst>
            <a:ext uri="{FF2B5EF4-FFF2-40B4-BE49-F238E27FC236}">
              <a16:creationId xmlns:a16="http://schemas.microsoft.com/office/drawing/2014/main" id="{1BCCA3D8-BBBC-4D1D-8656-7684AAF78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8710" name="Picture@5C\QPendientes@" descr="@5C\QPendientes@">
          <a:extLst>
            <a:ext uri="{FF2B5EF4-FFF2-40B4-BE49-F238E27FC236}">
              <a16:creationId xmlns:a16="http://schemas.microsoft.com/office/drawing/2014/main" id="{AFED70FE-7918-4EA9-9551-B99C2E282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0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8711" name="Picture@5C\QPendientes@" descr="@5C\QPendientes@">
          <a:extLst>
            <a:ext uri="{FF2B5EF4-FFF2-40B4-BE49-F238E27FC236}">
              <a16:creationId xmlns:a16="http://schemas.microsoft.com/office/drawing/2014/main" id="{000CE202-85D7-4679-81B3-8E38441AC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2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8712" name="Picture@5C\QPendientes@" descr="@5C\QPendientes@">
          <a:extLst>
            <a:ext uri="{FF2B5EF4-FFF2-40B4-BE49-F238E27FC236}">
              <a16:creationId xmlns:a16="http://schemas.microsoft.com/office/drawing/2014/main" id="{AF097A83-9BD1-4481-BD3A-F16A15E3D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4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8713" name="Picture@5C\QPendientes@" descr="@5C\QPendientes@">
          <a:extLst>
            <a:ext uri="{FF2B5EF4-FFF2-40B4-BE49-F238E27FC236}">
              <a16:creationId xmlns:a16="http://schemas.microsoft.com/office/drawing/2014/main" id="{1852910F-C726-45C0-892B-FB0967DBD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6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8714" name="Picture@5C\QPendientes@" descr="@5C\QPendientes@">
          <a:extLst>
            <a:ext uri="{FF2B5EF4-FFF2-40B4-BE49-F238E27FC236}">
              <a16:creationId xmlns:a16="http://schemas.microsoft.com/office/drawing/2014/main" id="{F1B157FB-038C-4A16-820E-7DE2EB8F4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7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8715" name="Picture@5C\QPendientes@" descr="@5C\QPendientes@">
          <a:extLst>
            <a:ext uri="{FF2B5EF4-FFF2-40B4-BE49-F238E27FC236}">
              <a16:creationId xmlns:a16="http://schemas.microsoft.com/office/drawing/2014/main" id="{2213A897-E82A-4D94-858B-DCB18CEDE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39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8716" name="Picture@5C\QPendientes@" descr="@5C\QPendientes@">
          <a:extLst>
            <a:ext uri="{FF2B5EF4-FFF2-40B4-BE49-F238E27FC236}">
              <a16:creationId xmlns:a16="http://schemas.microsoft.com/office/drawing/2014/main" id="{B633CA2E-C4BE-4E47-827B-B6573ED0E9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1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8717" name="Picture@5C\QPendientes@" descr="@5C\QPendientes@">
          <a:extLst>
            <a:ext uri="{FF2B5EF4-FFF2-40B4-BE49-F238E27FC236}">
              <a16:creationId xmlns:a16="http://schemas.microsoft.com/office/drawing/2014/main" id="{CFBA67A2-4FCB-4713-AA18-51FC7D889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3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8718" name="Picture@5C\QPendientes@" descr="@5C\QPendientes@">
          <a:extLst>
            <a:ext uri="{FF2B5EF4-FFF2-40B4-BE49-F238E27FC236}">
              <a16:creationId xmlns:a16="http://schemas.microsoft.com/office/drawing/2014/main" id="{D689D518-5F66-46F2-AD48-EB804174F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5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8719" name="Picture@5C\QPendientes@" descr="@5C\QPendientes@">
          <a:extLst>
            <a:ext uri="{FF2B5EF4-FFF2-40B4-BE49-F238E27FC236}">
              <a16:creationId xmlns:a16="http://schemas.microsoft.com/office/drawing/2014/main" id="{29B09C1D-3264-4111-AF4D-6270F96FEB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8720" name="Picture@5C\QPendientes@" descr="@5C\QPendientes@">
          <a:extLst>
            <a:ext uri="{FF2B5EF4-FFF2-40B4-BE49-F238E27FC236}">
              <a16:creationId xmlns:a16="http://schemas.microsoft.com/office/drawing/2014/main" id="{251A769F-1CCB-4E61-876F-5D0E6DBE5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8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8721" name="Picture@5C\QPendientes@" descr="@5C\QPendientes@">
          <a:extLst>
            <a:ext uri="{FF2B5EF4-FFF2-40B4-BE49-F238E27FC236}">
              <a16:creationId xmlns:a16="http://schemas.microsoft.com/office/drawing/2014/main" id="{563BD489-AFBE-41BC-9299-B49F6B948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0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8722" name="Picture@5C\QPendientes@" descr="@5C\QPendientes@">
          <a:extLst>
            <a:ext uri="{FF2B5EF4-FFF2-40B4-BE49-F238E27FC236}">
              <a16:creationId xmlns:a16="http://schemas.microsoft.com/office/drawing/2014/main" id="{FC29C92B-0797-4BDD-AAAE-FA90FA805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2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8723" name="Picture@5C\QPendientes@" descr="@5C\QPendientes@">
          <a:extLst>
            <a:ext uri="{FF2B5EF4-FFF2-40B4-BE49-F238E27FC236}">
              <a16:creationId xmlns:a16="http://schemas.microsoft.com/office/drawing/2014/main" id="{922C5D5A-EC22-410B-934F-0B15C5430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4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8724" name="Picture@5C\QPendientes@" descr="@5C\QPendientes@">
          <a:extLst>
            <a:ext uri="{FF2B5EF4-FFF2-40B4-BE49-F238E27FC236}">
              <a16:creationId xmlns:a16="http://schemas.microsoft.com/office/drawing/2014/main" id="{4716E316-AB19-4932-B93D-2A2B1E635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6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8725" name="Picture@5C\QPendientes@" descr="@5C\QPendientes@">
          <a:extLst>
            <a:ext uri="{FF2B5EF4-FFF2-40B4-BE49-F238E27FC236}">
              <a16:creationId xmlns:a16="http://schemas.microsoft.com/office/drawing/2014/main" id="{4E7055E8-7E41-4DF9-A60F-160022B66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8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8726" name="Picture@5C\QPendientes@" descr="@5C\QPendientes@">
          <a:extLst>
            <a:ext uri="{FF2B5EF4-FFF2-40B4-BE49-F238E27FC236}">
              <a16:creationId xmlns:a16="http://schemas.microsoft.com/office/drawing/2014/main" id="{F1BAE1C4-E09E-4272-B745-CC0BA5D62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59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8727" name="Picture@5C\QPendientes@" descr="@5C\QPendientes@">
          <a:extLst>
            <a:ext uri="{FF2B5EF4-FFF2-40B4-BE49-F238E27FC236}">
              <a16:creationId xmlns:a16="http://schemas.microsoft.com/office/drawing/2014/main" id="{41902FE5-01A1-457C-80EE-DF073AF04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1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8728" name="Picture@5C\QPendientes@" descr="@5C\QPendientes@">
          <a:extLst>
            <a:ext uri="{FF2B5EF4-FFF2-40B4-BE49-F238E27FC236}">
              <a16:creationId xmlns:a16="http://schemas.microsoft.com/office/drawing/2014/main" id="{270FC6F3-42D3-4937-B272-1B088ACCF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3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8729" name="Picture@5C\QPendientes@" descr="@5C\QPendientes@">
          <a:extLst>
            <a:ext uri="{FF2B5EF4-FFF2-40B4-BE49-F238E27FC236}">
              <a16:creationId xmlns:a16="http://schemas.microsoft.com/office/drawing/2014/main" id="{C37306B6-1A8E-4EF4-8D24-8040F8E85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8730" name="Picture@5C\QPendientes@" descr="@5C\QPendientes@">
          <a:extLst>
            <a:ext uri="{FF2B5EF4-FFF2-40B4-BE49-F238E27FC236}">
              <a16:creationId xmlns:a16="http://schemas.microsoft.com/office/drawing/2014/main" id="{653EC12E-20B8-406D-A09D-22BECD969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7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8731" name="Picture@5C\QPendientes@" descr="@5C\QPendientes@">
          <a:extLst>
            <a:ext uri="{FF2B5EF4-FFF2-40B4-BE49-F238E27FC236}">
              <a16:creationId xmlns:a16="http://schemas.microsoft.com/office/drawing/2014/main" id="{A7022264-6B07-4E4F-BE7A-D47A49141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9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8732" name="Picture@5C\QPendientes@" descr="@5C\QPendientes@">
          <a:extLst>
            <a:ext uri="{FF2B5EF4-FFF2-40B4-BE49-F238E27FC236}">
              <a16:creationId xmlns:a16="http://schemas.microsoft.com/office/drawing/2014/main" id="{5C08B4A4-505C-4E4C-8BDD-489B2A594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0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8733" name="Picture@5C\QPendientes@" descr="@5C\QPendientes@">
          <a:extLst>
            <a:ext uri="{FF2B5EF4-FFF2-40B4-BE49-F238E27FC236}">
              <a16:creationId xmlns:a16="http://schemas.microsoft.com/office/drawing/2014/main" id="{FEBE69CA-CDC4-45AC-B988-61CA46224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2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8734" name="Picture@5C\QPendientes@" descr="@5C\QPendientes@">
          <a:extLst>
            <a:ext uri="{FF2B5EF4-FFF2-40B4-BE49-F238E27FC236}">
              <a16:creationId xmlns:a16="http://schemas.microsoft.com/office/drawing/2014/main" id="{0DAFC589-D62D-4093-8F7E-4D0288541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4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8735" name="Picture@5C\QPendientes@" descr="@5C\QPendientes@">
          <a:extLst>
            <a:ext uri="{FF2B5EF4-FFF2-40B4-BE49-F238E27FC236}">
              <a16:creationId xmlns:a16="http://schemas.microsoft.com/office/drawing/2014/main" id="{084D938E-9FF5-4E6B-B426-FBF88A8D9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6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8736" name="Picture@5C\QPendientes@" descr="@5C\QPendientes@">
          <a:extLst>
            <a:ext uri="{FF2B5EF4-FFF2-40B4-BE49-F238E27FC236}">
              <a16:creationId xmlns:a16="http://schemas.microsoft.com/office/drawing/2014/main" id="{86B3BCF1-D9F1-4396-9CEF-FF6CCC7A9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78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8737" name="Picture@5C\QPendientes@" descr="@5C\QPendientes@">
          <a:extLst>
            <a:ext uri="{FF2B5EF4-FFF2-40B4-BE49-F238E27FC236}">
              <a16:creationId xmlns:a16="http://schemas.microsoft.com/office/drawing/2014/main" id="{B5C8EC1B-BB51-4F96-9432-16A3DFEC3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0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8738" name="Picture@5C\QPendientes@" descr="@5C\QPendientes@">
          <a:extLst>
            <a:ext uri="{FF2B5EF4-FFF2-40B4-BE49-F238E27FC236}">
              <a16:creationId xmlns:a16="http://schemas.microsoft.com/office/drawing/2014/main" id="{3878024F-C59C-4EB6-84BA-256CFC40D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1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8739" name="Picture@5C\QPendientes@" descr="@5C\QPendientes@">
          <a:extLst>
            <a:ext uri="{FF2B5EF4-FFF2-40B4-BE49-F238E27FC236}">
              <a16:creationId xmlns:a16="http://schemas.microsoft.com/office/drawing/2014/main" id="{950636E2-7EC7-4E8D-912D-D98AB0378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8740" name="Picture@5C\QPendientes@" descr="@5C\QPendientes@">
          <a:extLst>
            <a:ext uri="{FF2B5EF4-FFF2-40B4-BE49-F238E27FC236}">
              <a16:creationId xmlns:a16="http://schemas.microsoft.com/office/drawing/2014/main" id="{0C3E174D-E107-434D-A212-65C26D496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5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8741" name="Picture@5C\QPendientes@" descr="@5C\QPendientes@">
          <a:extLst>
            <a:ext uri="{FF2B5EF4-FFF2-40B4-BE49-F238E27FC236}">
              <a16:creationId xmlns:a16="http://schemas.microsoft.com/office/drawing/2014/main" id="{4A931F51-6977-427B-B65C-C5C7F43D1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7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8742" name="Picture@5C\QPendientes@" descr="@5C\QPendientes@">
          <a:extLst>
            <a:ext uri="{FF2B5EF4-FFF2-40B4-BE49-F238E27FC236}">
              <a16:creationId xmlns:a16="http://schemas.microsoft.com/office/drawing/2014/main" id="{533DAEF6-1AAF-42F8-8E95-DAFA7ED31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9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8743" name="Picture@5C\QPendientes@" descr="@5C\QPendientes@">
          <a:extLst>
            <a:ext uri="{FF2B5EF4-FFF2-40B4-BE49-F238E27FC236}">
              <a16:creationId xmlns:a16="http://schemas.microsoft.com/office/drawing/2014/main" id="{E0BEEABD-5FA4-453E-8039-67D7A5D48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0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8744" name="Picture@5C\QPendientes@" descr="@5C\QPendientes@">
          <a:extLst>
            <a:ext uri="{FF2B5EF4-FFF2-40B4-BE49-F238E27FC236}">
              <a16:creationId xmlns:a16="http://schemas.microsoft.com/office/drawing/2014/main" id="{C0FEB748-5754-4ECB-9AD4-B044C20FD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2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8745" name="Picture@5C\QPendientes@" descr="@5C\QPendientes@">
          <a:extLst>
            <a:ext uri="{FF2B5EF4-FFF2-40B4-BE49-F238E27FC236}">
              <a16:creationId xmlns:a16="http://schemas.microsoft.com/office/drawing/2014/main" id="{598A90AB-94F4-4C5D-912B-466CCACD3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4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8746" name="Picture@5C\QPendientes@" descr="@5C\QPendientes@">
          <a:extLst>
            <a:ext uri="{FF2B5EF4-FFF2-40B4-BE49-F238E27FC236}">
              <a16:creationId xmlns:a16="http://schemas.microsoft.com/office/drawing/2014/main" id="{57AE313A-3130-4FE9-AC17-2430F7BFF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6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8747" name="Picture@5C\QPendientes@" descr="@5C\QPendientes@">
          <a:extLst>
            <a:ext uri="{FF2B5EF4-FFF2-40B4-BE49-F238E27FC236}">
              <a16:creationId xmlns:a16="http://schemas.microsoft.com/office/drawing/2014/main" id="{3B89FC16-0FDB-466B-BD29-534EB5C0B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98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8748" name="Picture@5C\QPendientes@" descr="@5C\QPendientes@">
          <a:extLst>
            <a:ext uri="{FF2B5EF4-FFF2-40B4-BE49-F238E27FC236}">
              <a16:creationId xmlns:a16="http://schemas.microsoft.com/office/drawing/2014/main" id="{C456664D-F757-4B1C-A946-D6A6BD243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0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8749" name="Picture@5C\QPendientes@" descr="@5C\QPendientes@">
          <a:extLst>
            <a:ext uri="{FF2B5EF4-FFF2-40B4-BE49-F238E27FC236}">
              <a16:creationId xmlns:a16="http://schemas.microsoft.com/office/drawing/2014/main" id="{F511B185-6D4F-4349-801D-907AF5235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8750" name="Picture@5C\QPendientes@" descr="@5C\QPendientes@">
          <a:extLst>
            <a:ext uri="{FF2B5EF4-FFF2-40B4-BE49-F238E27FC236}">
              <a16:creationId xmlns:a16="http://schemas.microsoft.com/office/drawing/2014/main" id="{AF7D2EB8-91EF-465D-805F-74012F453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3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8751" name="Picture@5C\QPendientes@" descr="@5C\QPendientes@">
          <a:extLst>
            <a:ext uri="{FF2B5EF4-FFF2-40B4-BE49-F238E27FC236}">
              <a16:creationId xmlns:a16="http://schemas.microsoft.com/office/drawing/2014/main" id="{E8D8F150-8459-46AC-912A-487591A25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5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8752" name="Picture@5C\QPendientes@" descr="@5C\QPendientes@">
          <a:extLst>
            <a:ext uri="{FF2B5EF4-FFF2-40B4-BE49-F238E27FC236}">
              <a16:creationId xmlns:a16="http://schemas.microsoft.com/office/drawing/2014/main" id="{024C85FA-E3FD-4F43-BB6D-44E7AF3D3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7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8753" name="Picture@5C\QPendientes@" descr="@5C\QPendientes@">
          <a:extLst>
            <a:ext uri="{FF2B5EF4-FFF2-40B4-BE49-F238E27FC236}">
              <a16:creationId xmlns:a16="http://schemas.microsoft.com/office/drawing/2014/main" id="{ADA62E9A-4758-412E-A0A6-428EB7CEC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9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8754" name="Picture@5C\QPendientes@" descr="@5C\QPendientes@">
          <a:extLst>
            <a:ext uri="{FF2B5EF4-FFF2-40B4-BE49-F238E27FC236}">
              <a16:creationId xmlns:a16="http://schemas.microsoft.com/office/drawing/2014/main" id="{D07A9B6F-3BA2-4743-AC90-E99570A7D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1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8755" name="Picture@5C\QPendientes@" descr="@5C\QPendientes@">
          <a:extLst>
            <a:ext uri="{FF2B5EF4-FFF2-40B4-BE49-F238E27FC236}">
              <a16:creationId xmlns:a16="http://schemas.microsoft.com/office/drawing/2014/main" id="{43A042C5-6AB6-4562-A7B6-8D8B8A8A5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2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8756" name="Picture@5C\QPendientes@" descr="@5C\QPendientes@">
          <a:extLst>
            <a:ext uri="{FF2B5EF4-FFF2-40B4-BE49-F238E27FC236}">
              <a16:creationId xmlns:a16="http://schemas.microsoft.com/office/drawing/2014/main" id="{1EF321D3-8A26-4712-8F36-3C9569834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4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8757" name="Picture@5C\QPendientes@" descr="@5C\QPendientes@">
          <a:extLst>
            <a:ext uri="{FF2B5EF4-FFF2-40B4-BE49-F238E27FC236}">
              <a16:creationId xmlns:a16="http://schemas.microsoft.com/office/drawing/2014/main" id="{FD4FADE9-F04B-4F0D-A049-BBF3E784A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6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8758" name="Picture@5C\QPendientes@" descr="@5C\QPendientes@">
          <a:extLst>
            <a:ext uri="{FF2B5EF4-FFF2-40B4-BE49-F238E27FC236}">
              <a16:creationId xmlns:a16="http://schemas.microsoft.com/office/drawing/2014/main" id="{4BA8D2E3-4201-492C-8A1C-3BE450870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8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8759" name="Picture@5C\QPendientes@" descr="@5C\QPendientes@">
          <a:extLst>
            <a:ext uri="{FF2B5EF4-FFF2-40B4-BE49-F238E27FC236}">
              <a16:creationId xmlns:a16="http://schemas.microsoft.com/office/drawing/2014/main" id="{0263B8FB-0EED-49AE-95E3-958DB6CE2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8760" name="Picture@5C\QPendientes@" descr="@5C\QPendientes@">
          <a:extLst>
            <a:ext uri="{FF2B5EF4-FFF2-40B4-BE49-F238E27FC236}">
              <a16:creationId xmlns:a16="http://schemas.microsoft.com/office/drawing/2014/main" id="{EEE0FECC-E31A-46E4-80C2-E52E36853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2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8761" name="Picture@5C\QPendientes@" descr="@5C\QPendientes@">
          <a:extLst>
            <a:ext uri="{FF2B5EF4-FFF2-40B4-BE49-F238E27FC236}">
              <a16:creationId xmlns:a16="http://schemas.microsoft.com/office/drawing/2014/main" id="{2DC595D8-4DC1-47B6-AB9A-C1DEDEC8D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3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8762" name="Picture@5C\QPendientes@" descr="@5C\QPendientes@">
          <a:extLst>
            <a:ext uri="{FF2B5EF4-FFF2-40B4-BE49-F238E27FC236}">
              <a16:creationId xmlns:a16="http://schemas.microsoft.com/office/drawing/2014/main" id="{99467A4C-C97F-4790-9431-9CC135C42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5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8763" name="Picture@5C\QPendientes@" descr="@5C\QPendientes@">
          <a:extLst>
            <a:ext uri="{FF2B5EF4-FFF2-40B4-BE49-F238E27FC236}">
              <a16:creationId xmlns:a16="http://schemas.microsoft.com/office/drawing/2014/main" id="{7F84C62C-D54A-49D1-9257-B1425D0D1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7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8764" name="Picture@5C\QPendientes@" descr="@5C\QPendientes@">
          <a:extLst>
            <a:ext uri="{FF2B5EF4-FFF2-40B4-BE49-F238E27FC236}">
              <a16:creationId xmlns:a16="http://schemas.microsoft.com/office/drawing/2014/main" id="{6CF745D1-F7A7-437B-94D7-4DD271E4A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9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8765" name="Picture@5C\QPendientes@" descr="@5C\QPendientes@">
          <a:extLst>
            <a:ext uri="{FF2B5EF4-FFF2-40B4-BE49-F238E27FC236}">
              <a16:creationId xmlns:a16="http://schemas.microsoft.com/office/drawing/2014/main" id="{3DCE648E-EA9F-4911-9C2E-328602661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1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8766" name="Picture@5C\QPendientes@" descr="@5C\QPendientes@">
          <a:extLst>
            <a:ext uri="{FF2B5EF4-FFF2-40B4-BE49-F238E27FC236}">
              <a16:creationId xmlns:a16="http://schemas.microsoft.com/office/drawing/2014/main" id="{8E5197AB-828E-4D92-9943-47707A8A1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3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8767" name="Picture@5C\QPendientes@" descr="@5C\QPendientes@">
          <a:extLst>
            <a:ext uri="{FF2B5EF4-FFF2-40B4-BE49-F238E27FC236}">
              <a16:creationId xmlns:a16="http://schemas.microsoft.com/office/drawing/2014/main" id="{607126BB-1864-471A-A567-CB08CEF43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4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8768" name="Picture@5C\QPendientes@" descr="@5C\QPendientes@">
          <a:extLst>
            <a:ext uri="{FF2B5EF4-FFF2-40B4-BE49-F238E27FC236}">
              <a16:creationId xmlns:a16="http://schemas.microsoft.com/office/drawing/2014/main" id="{239AAD66-5426-43D9-B77C-BB098AAE6D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6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8769" name="Picture@5C\QPendientes@" descr="@5C\QPendientes@">
          <a:extLst>
            <a:ext uri="{FF2B5EF4-FFF2-40B4-BE49-F238E27FC236}">
              <a16:creationId xmlns:a16="http://schemas.microsoft.com/office/drawing/2014/main" id="{39C3171E-0A88-4DA4-BF74-E461D6724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8770" name="Picture@5C\QPendientes@" descr="@5C\QPendientes@">
          <a:extLst>
            <a:ext uri="{FF2B5EF4-FFF2-40B4-BE49-F238E27FC236}">
              <a16:creationId xmlns:a16="http://schemas.microsoft.com/office/drawing/2014/main" id="{5245ED5A-A2D3-4709-904B-B63413569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0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8771" name="Picture@5C\QPendientes@" descr="@5C\QPendientes@">
          <a:extLst>
            <a:ext uri="{FF2B5EF4-FFF2-40B4-BE49-F238E27FC236}">
              <a16:creationId xmlns:a16="http://schemas.microsoft.com/office/drawing/2014/main" id="{200954BC-0D9C-46DC-B936-67DE4CA20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2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8772" name="Picture@5C\QPendientes@" descr="@5C\QPendientes@">
          <a:extLst>
            <a:ext uri="{FF2B5EF4-FFF2-40B4-BE49-F238E27FC236}">
              <a16:creationId xmlns:a16="http://schemas.microsoft.com/office/drawing/2014/main" id="{38795A1C-474C-4E44-80E1-4CB5C82DD2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4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8773" name="Picture@5C\QPendientes@" descr="@5C\QPendientes@">
          <a:extLst>
            <a:ext uri="{FF2B5EF4-FFF2-40B4-BE49-F238E27FC236}">
              <a16:creationId xmlns:a16="http://schemas.microsoft.com/office/drawing/2014/main" id="{8D84ECA2-A6FB-43C6-824F-315154A9D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5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8774" name="Picture@5C\QPendientes@" descr="@5C\QPendientes@">
          <a:extLst>
            <a:ext uri="{FF2B5EF4-FFF2-40B4-BE49-F238E27FC236}">
              <a16:creationId xmlns:a16="http://schemas.microsoft.com/office/drawing/2014/main" id="{13706DA8-670C-4AFA-8F93-D63C81C49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7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8775" name="Picture@5C\QPendientes@" descr="@5C\QPendientes@">
          <a:extLst>
            <a:ext uri="{FF2B5EF4-FFF2-40B4-BE49-F238E27FC236}">
              <a16:creationId xmlns:a16="http://schemas.microsoft.com/office/drawing/2014/main" id="{3D41FECB-879E-453F-8895-E9B2D6B04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49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8776" name="Picture@5C\QPendientes@" descr="@5C\QPendientes@">
          <a:extLst>
            <a:ext uri="{FF2B5EF4-FFF2-40B4-BE49-F238E27FC236}">
              <a16:creationId xmlns:a16="http://schemas.microsoft.com/office/drawing/2014/main" id="{EDE4975D-37CF-4FCA-B794-5076D2DCE7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1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8777" name="Picture@5C\QPendientes@" descr="@5C\QPendientes@">
          <a:extLst>
            <a:ext uri="{FF2B5EF4-FFF2-40B4-BE49-F238E27FC236}">
              <a16:creationId xmlns:a16="http://schemas.microsoft.com/office/drawing/2014/main" id="{1F03BE32-1446-492B-9275-F0C724D31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3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8778" name="Picture@5C\QPendientes@" descr="@5C\QPendientes@">
          <a:extLst>
            <a:ext uri="{FF2B5EF4-FFF2-40B4-BE49-F238E27FC236}">
              <a16:creationId xmlns:a16="http://schemas.microsoft.com/office/drawing/2014/main" id="{498F44B3-E713-4FF2-9277-804768A72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4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8779" name="Picture@5C\QPendientes@" descr="@5C\QPendientes@">
          <a:extLst>
            <a:ext uri="{FF2B5EF4-FFF2-40B4-BE49-F238E27FC236}">
              <a16:creationId xmlns:a16="http://schemas.microsoft.com/office/drawing/2014/main" id="{6B627FB9-318D-4F2B-88D9-94480DFDA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8780" name="Picture@5C\QPendientes@" descr="@5C\QPendientes@">
          <a:extLst>
            <a:ext uri="{FF2B5EF4-FFF2-40B4-BE49-F238E27FC236}">
              <a16:creationId xmlns:a16="http://schemas.microsoft.com/office/drawing/2014/main" id="{B8434A8D-0BC6-42EE-8240-5AC4E90E8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8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8781" name="Picture@5C\QPendientes@" descr="@5C\QPendientes@">
          <a:extLst>
            <a:ext uri="{FF2B5EF4-FFF2-40B4-BE49-F238E27FC236}">
              <a16:creationId xmlns:a16="http://schemas.microsoft.com/office/drawing/2014/main" id="{4C3F7AE4-EB6F-4F43-8379-4B10B961B3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0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8782" name="Picture@5C\QPendientes@" descr="@5C\QPendientes@">
          <a:extLst>
            <a:ext uri="{FF2B5EF4-FFF2-40B4-BE49-F238E27FC236}">
              <a16:creationId xmlns:a16="http://schemas.microsoft.com/office/drawing/2014/main" id="{32A6A609-CC7C-424C-AC06-218E51B6C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2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8783" name="Picture@5C\QPendientes@" descr="@5C\QPendientes@">
          <a:extLst>
            <a:ext uri="{FF2B5EF4-FFF2-40B4-BE49-F238E27FC236}">
              <a16:creationId xmlns:a16="http://schemas.microsoft.com/office/drawing/2014/main" id="{B1FD3E98-1E76-414D-80B1-40E6EA48B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4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8784" name="Picture@5C\QPendientes@" descr="@5C\QPendientes@">
          <a:extLst>
            <a:ext uri="{FF2B5EF4-FFF2-40B4-BE49-F238E27FC236}">
              <a16:creationId xmlns:a16="http://schemas.microsoft.com/office/drawing/2014/main" id="{B5C7C32C-FE1B-4B47-8106-A2346FE67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5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8785" name="Picture@5C\QPendientes@" descr="@5C\QPendientes@">
          <a:extLst>
            <a:ext uri="{FF2B5EF4-FFF2-40B4-BE49-F238E27FC236}">
              <a16:creationId xmlns:a16="http://schemas.microsoft.com/office/drawing/2014/main" id="{89523615-5613-4ED8-BDF2-85D002622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7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8786" name="Picture@5C\QPendientes@" descr="@5C\QPendientes@">
          <a:extLst>
            <a:ext uri="{FF2B5EF4-FFF2-40B4-BE49-F238E27FC236}">
              <a16:creationId xmlns:a16="http://schemas.microsoft.com/office/drawing/2014/main" id="{DAD69AD9-B678-4B9E-9BB7-30379F002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69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8787" name="Picture@5C\QPendientes@" descr="@5C\QPendientes@">
          <a:extLst>
            <a:ext uri="{FF2B5EF4-FFF2-40B4-BE49-F238E27FC236}">
              <a16:creationId xmlns:a16="http://schemas.microsoft.com/office/drawing/2014/main" id="{8C76E15B-84B0-4CFC-9E7E-F7052253F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1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8788" name="Picture@5C\QPendientes@" descr="@5C\QPendientes@">
          <a:extLst>
            <a:ext uri="{FF2B5EF4-FFF2-40B4-BE49-F238E27FC236}">
              <a16:creationId xmlns:a16="http://schemas.microsoft.com/office/drawing/2014/main" id="{BAFFF52C-13A8-4BC9-881E-C10D2F263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3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8789" name="Picture@5C\QPendientes@" descr="@5C\QPendientes@">
          <a:extLst>
            <a:ext uri="{FF2B5EF4-FFF2-40B4-BE49-F238E27FC236}">
              <a16:creationId xmlns:a16="http://schemas.microsoft.com/office/drawing/2014/main" id="{2CC773A2-C295-4E95-8F0A-F3E1D2E87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8790" name="Picture@5C\QPendientes@" descr="@5C\QPendientes@">
          <a:extLst>
            <a:ext uri="{FF2B5EF4-FFF2-40B4-BE49-F238E27FC236}">
              <a16:creationId xmlns:a16="http://schemas.microsoft.com/office/drawing/2014/main" id="{3DB763F9-5EF0-433C-A82A-B37A7440A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6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8791" name="Picture@5C\QPendientes@" descr="@5C\QPendientes@">
          <a:extLst>
            <a:ext uri="{FF2B5EF4-FFF2-40B4-BE49-F238E27FC236}">
              <a16:creationId xmlns:a16="http://schemas.microsoft.com/office/drawing/2014/main" id="{86DC7F4E-22F9-4DDE-8895-BED4B81C6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8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8792" name="Picture@5C\QPendientes@" descr="@5C\QPendientes@">
          <a:extLst>
            <a:ext uri="{FF2B5EF4-FFF2-40B4-BE49-F238E27FC236}">
              <a16:creationId xmlns:a16="http://schemas.microsoft.com/office/drawing/2014/main" id="{B78A5888-F143-4974-AB21-BABB422E8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0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8793" name="Picture@5C\QPendientes@" descr="@5C\QPendientes@">
          <a:extLst>
            <a:ext uri="{FF2B5EF4-FFF2-40B4-BE49-F238E27FC236}">
              <a16:creationId xmlns:a16="http://schemas.microsoft.com/office/drawing/2014/main" id="{0CBB5ACB-A88C-4957-A6FE-3DAA65429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2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8794" name="Picture@5C\QPendientes@" descr="@5C\QPendientes@">
          <a:extLst>
            <a:ext uri="{FF2B5EF4-FFF2-40B4-BE49-F238E27FC236}">
              <a16:creationId xmlns:a16="http://schemas.microsoft.com/office/drawing/2014/main" id="{CEBCEF2E-2738-44C7-9A4C-DA6F4D7C8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4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8795" name="Picture@5C\QPendientes@" descr="@5C\QPendientes@">
          <a:extLst>
            <a:ext uri="{FF2B5EF4-FFF2-40B4-BE49-F238E27FC236}">
              <a16:creationId xmlns:a16="http://schemas.microsoft.com/office/drawing/2014/main" id="{85E151B1-9D90-4814-B9AD-F1B060591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6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8796" name="Picture@5C\QPendientes@" descr="@5C\QPendientes@">
          <a:extLst>
            <a:ext uri="{FF2B5EF4-FFF2-40B4-BE49-F238E27FC236}">
              <a16:creationId xmlns:a16="http://schemas.microsoft.com/office/drawing/2014/main" id="{AF10D18D-16EF-43A1-9132-5AF200B29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7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8797" name="Picture@5C\QPendientes@" descr="@5C\QPendientes@">
          <a:extLst>
            <a:ext uri="{FF2B5EF4-FFF2-40B4-BE49-F238E27FC236}">
              <a16:creationId xmlns:a16="http://schemas.microsoft.com/office/drawing/2014/main" id="{13865D67-5E83-405E-9364-AA88F37CD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89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8798" name="Picture@5C\QPendientes@" descr="@5C\QPendientes@">
          <a:extLst>
            <a:ext uri="{FF2B5EF4-FFF2-40B4-BE49-F238E27FC236}">
              <a16:creationId xmlns:a16="http://schemas.microsoft.com/office/drawing/2014/main" id="{C527187C-FD83-4485-93F4-C925BA92CF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1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8799" name="Picture@5C\QPendientes@" descr="@5C\QPendientes@">
          <a:extLst>
            <a:ext uri="{FF2B5EF4-FFF2-40B4-BE49-F238E27FC236}">
              <a16:creationId xmlns:a16="http://schemas.microsoft.com/office/drawing/2014/main" id="{A9445CF9-20ED-4C52-8B8B-0EE290C1E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8800" name="Picture@5C\QPendientes@" descr="@5C\QPendientes@">
          <a:extLst>
            <a:ext uri="{FF2B5EF4-FFF2-40B4-BE49-F238E27FC236}">
              <a16:creationId xmlns:a16="http://schemas.microsoft.com/office/drawing/2014/main" id="{2670377F-1C35-4567-88F8-57CA3165D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5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8801" name="Picture@5C\QPendientes@" descr="@5C\QPendientes@">
          <a:extLst>
            <a:ext uri="{FF2B5EF4-FFF2-40B4-BE49-F238E27FC236}">
              <a16:creationId xmlns:a16="http://schemas.microsoft.com/office/drawing/2014/main" id="{09C669F8-A00A-4416-89A2-F89AF3733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7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8802" name="Picture@5C\QPendientes@" descr="@5C\QPendientes@">
          <a:extLst>
            <a:ext uri="{FF2B5EF4-FFF2-40B4-BE49-F238E27FC236}">
              <a16:creationId xmlns:a16="http://schemas.microsoft.com/office/drawing/2014/main" id="{3F286A2D-632F-4324-A35E-84A95D0E0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8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8803" name="Picture@5C\QPendientes@" descr="@5C\QPendientes@">
          <a:extLst>
            <a:ext uri="{FF2B5EF4-FFF2-40B4-BE49-F238E27FC236}">
              <a16:creationId xmlns:a16="http://schemas.microsoft.com/office/drawing/2014/main" id="{B7AE972D-EF79-469F-91EB-99EE668B5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0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8804" name="Picture@5C\QPendientes@" descr="@5C\QPendientes@">
          <a:extLst>
            <a:ext uri="{FF2B5EF4-FFF2-40B4-BE49-F238E27FC236}">
              <a16:creationId xmlns:a16="http://schemas.microsoft.com/office/drawing/2014/main" id="{D642233A-A0C5-428B-AD74-4BB01D440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2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8805" name="Picture@5C\QPendientes@" descr="@5C\QPendientes@">
          <a:extLst>
            <a:ext uri="{FF2B5EF4-FFF2-40B4-BE49-F238E27FC236}">
              <a16:creationId xmlns:a16="http://schemas.microsoft.com/office/drawing/2014/main" id="{7F247266-1824-494F-B70A-F115B8A61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4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8806" name="Picture@5C\QPendientes@" descr="@5C\QPendientes@">
          <a:extLst>
            <a:ext uri="{FF2B5EF4-FFF2-40B4-BE49-F238E27FC236}">
              <a16:creationId xmlns:a16="http://schemas.microsoft.com/office/drawing/2014/main" id="{D830D985-2003-46E9-87EA-4ED9DEBAF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6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8807" name="Picture@5C\QPendientes@" descr="@5C\QPendientes@">
          <a:extLst>
            <a:ext uri="{FF2B5EF4-FFF2-40B4-BE49-F238E27FC236}">
              <a16:creationId xmlns:a16="http://schemas.microsoft.com/office/drawing/2014/main" id="{56DE4039-B125-4E91-9E26-28CE9D69D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8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8808" name="Picture@5C\QPendientes@" descr="@5C\QPendientes@">
          <a:extLst>
            <a:ext uri="{FF2B5EF4-FFF2-40B4-BE49-F238E27FC236}">
              <a16:creationId xmlns:a16="http://schemas.microsoft.com/office/drawing/2014/main" id="{B3203C56-30EA-4CA5-B0AA-1E497747E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8809" name="Picture@5C\QPendientes@" descr="@5C\QPendientes@">
          <a:extLst>
            <a:ext uri="{FF2B5EF4-FFF2-40B4-BE49-F238E27FC236}">
              <a16:creationId xmlns:a16="http://schemas.microsoft.com/office/drawing/2014/main" id="{135E593C-E934-4289-9995-B4FA2B460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8810" name="Picture@5C\QPendientes@" descr="@5C\QPendientes@">
          <a:extLst>
            <a:ext uri="{FF2B5EF4-FFF2-40B4-BE49-F238E27FC236}">
              <a16:creationId xmlns:a16="http://schemas.microsoft.com/office/drawing/2014/main" id="{67D9309D-F358-474B-97FF-1C2808B42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3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8811" name="Picture@5C\QPendientes@" descr="@5C\QPendientes@">
          <a:extLst>
            <a:ext uri="{FF2B5EF4-FFF2-40B4-BE49-F238E27FC236}">
              <a16:creationId xmlns:a16="http://schemas.microsoft.com/office/drawing/2014/main" id="{615D41FA-D389-4659-8D03-CC1E266CA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5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8812" name="Picture@5C\QPendientes@" descr="@5C\QPendientes@">
          <a:extLst>
            <a:ext uri="{FF2B5EF4-FFF2-40B4-BE49-F238E27FC236}">
              <a16:creationId xmlns:a16="http://schemas.microsoft.com/office/drawing/2014/main" id="{9C84ADD9-D2D7-4E8C-BE8B-C7369B24D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7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8813" name="Picture@5C\QPendientes@" descr="@5C\QPendientes@">
          <a:extLst>
            <a:ext uri="{FF2B5EF4-FFF2-40B4-BE49-F238E27FC236}">
              <a16:creationId xmlns:a16="http://schemas.microsoft.com/office/drawing/2014/main" id="{A5DB15F5-1A87-4FCD-BDE3-D11B98631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8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8814" name="Picture@5C\QPendientes@" descr="@5C\QPendientes@">
          <a:extLst>
            <a:ext uri="{FF2B5EF4-FFF2-40B4-BE49-F238E27FC236}">
              <a16:creationId xmlns:a16="http://schemas.microsoft.com/office/drawing/2014/main" id="{D5627F1E-6595-4442-B02B-50E89D96B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0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8815" name="Picture@5C\QPendientes@" descr="@5C\QPendientes@">
          <a:extLst>
            <a:ext uri="{FF2B5EF4-FFF2-40B4-BE49-F238E27FC236}">
              <a16:creationId xmlns:a16="http://schemas.microsoft.com/office/drawing/2014/main" id="{7DBF6815-85F0-40F4-9D6B-E3DD7C971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2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8816" name="Picture@5C\QPendientes@" descr="@5C\QPendientes@">
          <a:extLst>
            <a:ext uri="{FF2B5EF4-FFF2-40B4-BE49-F238E27FC236}">
              <a16:creationId xmlns:a16="http://schemas.microsoft.com/office/drawing/2014/main" id="{1390F303-9E53-4493-B886-58CF6FF26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4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8817" name="Picture@5C\QPendientes@" descr="@5C\QPendientes@">
          <a:extLst>
            <a:ext uri="{FF2B5EF4-FFF2-40B4-BE49-F238E27FC236}">
              <a16:creationId xmlns:a16="http://schemas.microsoft.com/office/drawing/2014/main" id="{44CD36E4-C926-4970-B368-3DE6F98E4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6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8818" name="Picture@5C\QPendientes@" descr="@5C\QPendientes@">
          <a:extLst>
            <a:ext uri="{FF2B5EF4-FFF2-40B4-BE49-F238E27FC236}">
              <a16:creationId xmlns:a16="http://schemas.microsoft.com/office/drawing/2014/main" id="{D5942B95-B468-4D14-9961-286712E96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8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8819" name="Picture@5C\QPendientes@" descr="@5C\QPendientes@">
          <a:extLst>
            <a:ext uri="{FF2B5EF4-FFF2-40B4-BE49-F238E27FC236}">
              <a16:creationId xmlns:a16="http://schemas.microsoft.com/office/drawing/2014/main" id="{7D1AF8FA-421F-4345-860D-4A49CE017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8820" name="Picture@5C\QPendientes@" descr="@5C\QPendientes@">
          <a:extLst>
            <a:ext uri="{FF2B5EF4-FFF2-40B4-BE49-F238E27FC236}">
              <a16:creationId xmlns:a16="http://schemas.microsoft.com/office/drawing/2014/main" id="{03C79A1D-5DBF-4717-BBDF-89801934E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1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8821" name="Picture@5C\QPendientes@" descr="@5C\QPendientes@">
          <a:extLst>
            <a:ext uri="{FF2B5EF4-FFF2-40B4-BE49-F238E27FC236}">
              <a16:creationId xmlns:a16="http://schemas.microsoft.com/office/drawing/2014/main" id="{1EC3B44D-BCD1-454E-88FC-A2E004577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3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8822" name="Picture@5C\QPendientes@" descr="@5C\QPendientes@">
          <a:extLst>
            <a:ext uri="{FF2B5EF4-FFF2-40B4-BE49-F238E27FC236}">
              <a16:creationId xmlns:a16="http://schemas.microsoft.com/office/drawing/2014/main" id="{F6F6C42C-CE76-486A-AEAD-AD7325C13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5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8823" name="Picture@5C\QPendientes@" descr="@5C\QPendientes@">
          <a:extLst>
            <a:ext uri="{FF2B5EF4-FFF2-40B4-BE49-F238E27FC236}">
              <a16:creationId xmlns:a16="http://schemas.microsoft.com/office/drawing/2014/main" id="{DF7B3A54-18A8-483C-8868-7EFAD3A8A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7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8824" name="Picture@5C\QPendientes@" descr="@5C\QPendientes@">
          <a:extLst>
            <a:ext uri="{FF2B5EF4-FFF2-40B4-BE49-F238E27FC236}">
              <a16:creationId xmlns:a16="http://schemas.microsoft.com/office/drawing/2014/main" id="{E01031F9-E73A-40CF-AF23-48F886B98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39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8825" name="Picture@5C\QPendientes@" descr="@5C\QPendientes@">
          <a:extLst>
            <a:ext uri="{FF2B5EF4-FFF2-40B4-BE49-F238E27FC236}">
              <a16:creationId xmlns:a16="http://schemas.microsoft.com/office/drawing/2014/main" id="{F4A1BA2A-F8BB-47F9-915D-362EBD23E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0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8826" name="Picture@5C\QPendientes@" descr="@5C\QPendientes@">
          <a:extLst>
            <a:ext uri="{FF2B5EF4-FFF2-40B4-BE49-F238E27FC236}">
              <a16:creationId xmlns:a16="http://schemas.microsoft.com/office/drawing/2014/main" id="{70EC4032-116F-439B-9FA8-CDA1219B9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2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8827" name="Picture@5C\QPendientes@" descr="@5C\QPendientes@">
          <a:extLst>
            <a:ext uri="{FF2B5EF4-FFF2-40B4-BE49-F238E27FC236}">
              <a16:creationId xmlns:a16="http://schemas.microsoft.com/office/drawing/2014/main" id="{E1515953-1A40-46DE-9BAE-7068236ED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4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8828" name="Picture@5C\QPendientes@" descr="@5C\QPendientes@">
          <a:extLst>
            <a:ext uri="{FF2B5EF4-FFF2-40B4-BE49-F238E27FC236}">
              <a16:creationId xmlns:a16="http://schemas.microsoft.com/office/drawing/2014/main" id="{0BAC953E-58AE-4872-BADC-98C584E87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6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8829" name="Picture@5C\QPendientes@" descr="@5C\QPendientes@">
          <a:extLst>
            <a:ext uri="{FF2B5EF4-FFF2-40B4-BE49-F238E27FC236}">
              <a16:creationId xmlns:a16="http://schemas.microsoft.com/office/drawing/2014/main" id="{043FED9B-BD60-4D7F-A8E3-8BCF0CDAC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8830" name="Picture@5C\QPendientes@" descr="@5C\QPendientes@">
          <a:extLst>
            <a:ext uri="{FF2B5EF4-FFF2-40B4-BE49-F238E27FC236}">
              <a16:creationId xmlns:a16="http://schemas.microsoft.com/office/drawing/2014/main" id="{AB71B89A-7FDB-4CC8-BB28-A8D6E93B8D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0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8831" name="Picture@5C\QPendientes@" descr="@5C\QPendientes@">
          <a:extLst>
            <a:ext uri="{FF2B5EF4-FFF2-40B4-BE49-F238E27FC236}">
              <a16:creationId xmlns:a16="http://schemas.microsoft.com/office/drawing/2014/main" id="{61315E6B-48E3-40BE-BC6F-481861989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1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8832" name="Picture@5C\QPendientes@" descr="@5C\QPendientes@">
          <a:extLst>
            <a:ext uri="{FF2B5EF4-FFF2-40B4-BE49-F238E27FC236}">
              <a16:creationId xmlns:a16="http://schemas.microsoft.com/office/drawing/2014/main" id="{81C396D5-66A3-4C3E-BA53-2C0BA0D82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3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8833" name="Picture@5C\QPendientes@" descr="@5C\QPendientes@">
          <a:extLst>
            <a:ext uri="{FF2B5EF4-FFF2-40B4-BE49-F238E27FC236}">
              <a16:creationId xmlns:a16="http://schemas.microsoft.com/office/drawing/2014/main" id="{A2C9673E-52D1-49BC-93E9-E2DC3B281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5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8834" name="Picture@5C\QPendientes@" descr="@5C\QPendientes@">
          <a:extLst>
            <a:ext uri="{FF2B5EF4-FFF2-40B4-BE49-F238E27FC236}">
              <a16:creationId xmlns:a16="http://schemas.microsoft.com/office/drawing/2014/main" id="{57CEA319-8DB6-4EF8-9611-223430DC0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7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8835" name="Picture@5C\QPendientes@" descr="@5C\QPendientes@">
          <a:extLst>
            <a:ext uri="{FF2B5EF4-FFF2-40B4-BE49-F238E27FC236}">
              <a16:creationId xmlns:a16="http://schemas.microsoft.com/office/drawing/2014/main" id="{8113178F-AE6B-42AA-A0A4-09229A454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59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8836" name="Picture@5C\QPendientes@" descr="@5C\QPendientes@">
          <a:extLst>
            <a:ext uri="{FF2B5EF4-FFF2-40B4-BE49-F238E27FC236}">
              <a16:creationId xmlns:a16="http://schemas.microsoft.com/office/drawing/2014/main" id="{03E78653-9C06-4780-9023-55DFF5478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1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8837" name="Picture@5C\QPendientes@" descr="@5C\QPendientes@">
          <a:extLst>
            <a:ext uri="{FF2B5EF4-FFF2-40B4-BE49-F238E27FC236}">
              <a16:creationId xmlns:a16="http://schemas.microsoft.com/office/drawing/2014/main" id="{05A0DE88-46A4-4626-ADA8-F65EE0087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2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8838" name="Picture@5C\QPendientes@" descr="@5C\QPendientes@">
          <a:extLst>
            <a:ext uri="{FF2B5EF4-FFF2-40B4-BE49-F238E27FC236}">
              <a16:creationId xmlns:a16="http://schemas.microsoft.com/office/drawing/2014/main" id="{51520B57-8D9B-4DC1-A390-925B80E5B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4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8839" name="Picture@5C\QPendientes@" descr="@5C\QPendientes@">
          <a:extLst>
            <a:ext uri="{FF2B5EF4-FFF2-40B4-BE49-F238E27FC236}">
              <a16:creationId xmlns:a16="http://schemas.microsoft.com/office/drawing/2014/main" id="{4589A596-1D96-4C19-A7D7-75A686C5F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8840" name="Picture@5C\QPendientes@" descr="@5C\QPendientes@">
          <a:extLst>
            <a:ext uri="{FF2B5EF4-FFF2-40B4-BE49-F238E27FC236}">
              <a16:creationId xmlns:a16="http://schemas.microsoft.com/office/drawing/2014/main" id="{BDD49176-4BA8-43BC-A21E-44DC2E5CF7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8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8841" name="Picture@5C\QPendientes@" descr="@5C\QPendientes@">
          <a:extLst>
            <a:ext uri="{FF2B5EF4-FFF2-40B4-BE49-F238E27FC236}">
              <a16:creationId xmlns:a16="http://schemas.microsoft.com/office/drawing/2014/main" id="{A65054F8-0146-4F97-8F89-BC4157EB7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0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8842" name="Picture@5C\QPendientes@" descr="@5C\QPendientes@">
          <a:extLst>
            <a:ext uri="{FF2B5EF4-FFF2-40B4-BE49-F238E27FC236}">
              <a16:creationId xmlns:a16="http://schemas.microsoft.com/office/drawing/2014/main" id="{B10D66A3-A21A-46AB-A50E-B9B88B9E1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2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8843" name="Picture@5C\QPendientes@" descr="@5C\QPendientes@">
          <a:extLst>
            <a:ext uri="{FF2B5EF4-FFF2-40B4-BE49-F238E27FC236}">
              <a16:creationId xmlns:a16="http://schemas.microsoft.com/office/drawing/2014/main" id="{AF932302-ECCB-4C6F-8E22-87C7308A7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3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8844" name="Picture@5C\QPendientes@" descr="@5C\QPendientes@">
          <a:extLst>
            <a:ext uri="{FF2B5EF4-FFF2-40B4-BE49-F238E27FC236}">
              <a16:creationId xmlns:a16="http://schemas.microsoft.com/office/drawing/2014/main" id="{FBBA0E28-3FA7-4F80-95B1-54235A027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5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8845" name="Picture@5C\QPendientes@" descr="@5C\QPendientes@">
          <a:extLst>
            <a:ext uri="{FF2B5EF4-FFF2-40B4-BE49-F238E27FC236}">
              <a16:creationId xmlns:a16="http://schemas.microsoft.com/office/drawing/2014/main" id="{E3CC627B-EAC0-44A1-B6C3-47A76A1EB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7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8846" name="Picture@5C\QPendientes@" descr="@5C\QPendientes@">
          <a:extLst>
            <a:ext uri="{FF2B5EF4-FFF2-40B4-BE49-F238E27FC236}">
              <a16:creationId xmlns:a16="http://schemas.microsoft.com/office/drawing/2014/main" id="{2D2A66EA-A022-4D8B-84A2-9BED2A728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79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8847" name="Picture@5C\QPendientes@" descr="@5C\QPendientes@">
          <a:extLst>
            <a:ext uri="{FF2B5EF4-FFF2-40B4-BE49-F238E27FC236}">
              <a16:creationId xmlns:a16="http://schemas.microsoft.com/office/drawing/2014/main" id="{3A11FC0E-FFCF-4D49-A44F-D43DD5A04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1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8848" name="Picture@5C\QPendientes@" descr="@5C\QPendientes@">
          <a:extLst>
            <a:ext uri="{FF2B5EF4-FFF2-40B4-BE49-F238E27FC236}">
              <a16:creationId xmlns:a16="http://schemas.microsoft.com/office/drawing/2014/main" id="{47F3EC3E-EC37-4563-8881-A1E494291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3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8849" name="Picture@5C\QPendientes@" descr="@5C\QPendientes@">
          <a:extLst>
            <a:ext uri="{FF2B5EF4-FFF2-40B4-BE49-F238E27FC236}">
              <a16:creationId xmlns:a16="http://schemas.microsoft.com/office/drawing/2014/main" id="{4CA266AC-1EB9-4CA5-A60E-2BBBD5907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8850" name="Picture@5C\QPendientes@" descr="@5C\QPendientes@">
          <a:extLst>
            <a:ext uri="{FF2B5EF4-FFF2-40B4-BE49-F238E27FC236}">
              <a16:creationId xmlns:a16="http://schemas.microsoft.com/office/drawing/2014/main" id="{0C5638C1-3EF2-467B-9019-3D6FC2A66D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6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8851" name="Picture@5C\QPendientes@" descr="@5C\QPendientes@">
          <a:extLst>
            <a:ext uri="{FF2B5EF4-FFF2-40B4-BE49-F238E27FC236}">
              <a16:creationId xmlns:a16="http://schemas.microsoft.com/office/drawing/2014/main" id="{2FA7B702-694F-4712-841E-2A01C7CA0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8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8852" name="Picture@5C\QPendientes@" descr="@5C\QPendientes@">
          <a:extLst>
            <a:ext uri="{FF2B5EF4-FFF2-40B4-BE49-F238E27FC236}">
              <a16:creationId xmlns:a16="http://schemas.microsoft.com/office/drawing/2014/main" id="{836A01A4-C436-4BB8-84F8-7EAFAF8C7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0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8853" name="Picture@5C\QPendientes@" descr="@5C\QPendientes@">
          <a:extLst>
            <a:ext uri="{FF2B5EF4-FFF2-40B4-BE49-F238E27FC236}">
              <a16:creationId xmlns:a16="http://schemas.microsoft.com/office/drawing/2014/main" id="{BBC88387-C04A-47BE-8154-AE467C0E9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2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8854" name="Picture@5C\QPendientes@" descr="@5C\QPendientes@">
          <a:extLst>
            <a:ext uri="{FF2B5EF4-FFF2-40B4-BE49-F238E27FC236}">
              <a16:creationId xmlns:a16="http://schemas.microsoft.com/office/drawing/2014/main" id="{F22082CB-0D5D-4D18-BF56-B9A78DC3D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3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8855" name="Picture@5C\QPendientes@" descr="@5C\QPendientes@">
          <a:extLst>
            <a:ext uri="{FF2B5EF4-FFF2-40B4-BE49-F238E27FC236}">
              <a16:creationId xmlns:a16="http://schemas.microsoft.com/office/drawing/2014/main" id="{D432B689-CF0C-4A81-96E6-2D76D6808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5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8856" name="Picture@5C\QPendientes@" descr="@5C\QPendientes@">
          <a:extLst>
            <a:ext uri="{FF2B5EF4-FFF2-40B4-BE49-F238E27FC236}">
              <a16:creationId xmlns:a16="http://schemas.microsoft.com/office/drawing/2014/main" id="{CAAEBCAE-54AD-4E4C-A449-84D22C017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7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8857" name="Picture@5C\QPendientes@" descr="@5C\QPendientes@">
          <a:extLst>
            <a:ext uri="{FF2B5EF4-FFF2-40B4-BE49-F238E27FC236}">
              <a16:creationId xmlns:a16="http://schemas.microsoft.com/office/drawing/2014/main" id="{3D34D895-D9CE-426B-9977-32122A333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9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8858" name="Picture@5C\QPendientes@" descr="@5C\QPendientes@">
          <a:extLst>
            <a:ext uri="{FF2B5EF4-FFF2-40B4-BE49-F238E27FC236}">
              <a16:creationId xmlns:a16="http://schemas.microsoft.com/office/drawing/2014/main" id="{A3FB12F3-6FAC-4036-BF27-685CC1C38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1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8859" name="Picture@5C\QPendientes@" descr="@5C\QPendientes@">
          <a:extLst>
            <a:ext uri="{FF2B5EF4-FFF2-40B4-BE49-F238E27FC236}">
              <a16:creationId xmlns:a16="http://schemas.microsoft.com/office/drawing/2014/main" id="{75C0F94F-41FB-41B9-A2B6-269DD9967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8860" name="Picture@5C\QPendientes@" descr="@5C\QPendientes@">
          <a:extLst>
            <a:ext uri="{FF2B5EF4-FFF2-40B4-BE49-F238E27FC236}">
              <a16:creationId xmlns:a16="http://schemas.microsoft.com/office/drawing/2014/main" id="{CFBD3062-58F4-4DAD-8EB0-FE4A4DCE5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4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8861" name="Picture@5C\QPendientes@" descr="@5C\QPendientes@">
          <a:extLst>
            <a:ext uri="{FF2B5EF4-FFF2-40B4-BE49-F238E27FC236}">
              <a16:creationId xmlns:a16="http://schemas.microsoft.com/office/drawing/2014/main" id="{A6099D6C-1296-47D0-8B4D-128C58627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6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8862" name="Picture@5C\QPendientes@" descr="@5C\QPendientes@">
          <a:extLst>
            <a:ext uri="{FF2B5EF4-FFF2-40B4-BE49-F238E27FC236}">
              <a16:creationId xmlns:a16="http://schemas.microsoft.com/office/drawing/2014/main" id="{C33677B2-89D7-4AE6-A88F-A1E31C01D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8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8863" name="Picture@5C\QPendientes@" descr="@5C\QPendientes@">
          <a:extLst>
            <a:ext uri="{FF2B5EF4-FFF2-40B4-BE49-F238E27FC236}">
              <a16:creationId xmlns:a16="http://schemas.microsoft.com/office/drawing/2014/main" id="{97FF7A7D-EFF2-4E81-9993-F56312EAA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0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8864" name="Picture@5C\QPendientes@" descr="@5C\QPendientes@">
          <a:extLst>
            <a:ext uri="{FF2B5EF4-FFF2-40B4-BE49-F238E27FC236}">
              <a16:creationId xmlns:a16="http://schemas.microsoft.com/office/drawing/2014/main" id="{96B22110-EEE8-4F65-B43D-76E6372BA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2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8865" name="Picture@5C\QPendientes@" descr="@5C\QPendientes@">
          <a:extLst>
            <a:ext uri="{FF2B5EF4-FFF2-40B4-BE49-F238E27FC236}">
              <a16:creationId xmlns:a16="http://schemas.microsoft.com/office/drawing/2014/main" id="{8F3BD37C-AE31-4DE7-AB44-23DFD0D6E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4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8866" name="Picture@5C\QPendientes@" descr="@5C\QPendientes@">
          <a:extLst>
            <a:ext uri="{FF2B5EF4-FFF2-40B4-BE49-F238E27FC236}">
              <a16:creationId xmlns:a16="http://schemas.microsoft.com/office/drawing/2014/main" id="{1EE8E9D1-3233-406D-B557-D66F33D58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5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8867" name="Picture@5C\QPendientes@" descr="@5C\QPendientes@">
          <a:extLst>
            <a:ext uri="{FF2B5EF4-FFF2-40B4-BE49-F238E27FC236}">
              <a16:creationId xmlns:a16="http://schemas.microsoft.com/office/drawing/2014/main" id="{A84615B2-94F5-4A56-AD39-F662371D6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7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8868" name="Picture@5C\QPendientes@" descr="@5C\QPendientes@">
          <a:extLst>
            <a:ext uri="{FF2B5EF4-FFF2-40B4-BE49-F238E27FC236}">
              <a16:creationId xmlns:a16="http://schemas.microsoft.com/office/drawing/2014/main" id="{65813B12-A948-4182-9F65-054778ADCF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9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8869" name="Picture@5C\QPendientes@" descr="@5C\QPendientes@">
          <a:extLst>
            <a:ext uri="{FF2B5EF4-FFF2-40B4-BE49-F238E27FC236}">
              <a16:creationId xmlns:a16="http://schemas.microsoft.com/office/drawing/2014/main" id="{E18EAE35-0232-4C71-8F8D-6B24D5B70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8870" name="Picture@5C\QPendientes@" descr="@5C\QPendientes@">
          <a:extLst>
            <a:ext uri="{FF2B5EF4-FFF2-40B4-BE49-F238E27FC236}">
              <a16:creationId xmlns:a16="http://schemas.microsoft.com/office/drawing/2014/main" id="{1B14EF4D-F922-4CA2-B963-3C7A6C74C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3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8871" name="Picture@5C\QPendientes@" descr="@5C\QPendientes@">
          <a:extLst>
            <a:ext uri="{FF2B5EF4-FFF2-40B4-BE49-F238E27FC236}">
              <a16:creationId xmlns:a16="http://schemas.microsoft.com/office/drawing/2014/main" id="{269E21A4-6EE3-45A3-9931-A9CEAD681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5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8872" name="Picture@5C\QPendientes@" descr="@5C\QPendientes@">
          <a:extLst>
            <a:ext uri="{FF2B5EF4-FFF2-40B4-BE49-F238E27FC236}">
              <a16:creationId xmlns:a16="http://schemas.microsoft.com/office/drawing/2014/main" id="{8FBE510E-B10E-47BC-BA3E-8C1C2FAE0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6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8873" name="Picture@5C\QPendientes@" descr="@5C\QPendientes@">
          <a:extLst>
            <a:ext uri="{FF2B5EF4-FFF2-40B4-BE49-F238E27FC236}">
              <a16:creationId xmlns:a16="http://schemas.microsoft.com/office/drawing/2014/main" id="{34EC3AED-FF08-40F8-BF3A-A73C655A2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8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8874" name="Picture@5C\QPendientes@" descr="@5C\QPendientes@">
          <a:extLst>
            <a:ext uri="{FF2B5EF4-FFF2-40B4-BE49-F238E27FC236}">
              <a16:creationId xmlns:a16="http://schemas.microsoft.com/office/drawing/2014/main" id="{A1BE960E-8E77-4B06-AA4E-9EA85348C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0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8875" name="Picture@5C\QPendientes@" descr="@5C\QPendientes@">
          <a:extLst>
            <a:ext uri="{FF2B5EF4-FFF2-40B4-BE49-F238E27FC236}">
              <a16:creationId xmlns:a16="http://schemas.microsoft.com/office/drawing/2014/main" id="{9D75E619-3E44-4AEA-9D6B-29A4A1EFE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2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8876" name="Picture@5C\QPendientes@" descr="@5C\QPendientes@">
          <a:extLst>
            <a:ext uri="{FF2B5EF4-FFF2-40B4-BE49-F238E27FC236}">
              <a16:creationId xmlns:a16="http://schemas.microsoft.com/office/drawing/2014/main" id="{C3585B1B-9867-4388-A469-960A94A24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4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8877" name="Picture@5C\QPendientes@" descr="@5C\QPendientes@">
          <a:extLst>
            <a:ext uri="{FF2B5EF4-FFF2-40B4-BE49-F238E27FC236}">
              <a16:creationId xmlns:a16="http://schemas.microsoft.com/office/drawing/2014/main" id="{83654B25-D7A7-418B-AF5A-346E247D2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6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8878" name="Picture@5C\QPendientes@" descr="@5C\QPendientes@">
          <a:extLst>
            <a:ext uri="{FF2B5EF4-FFF2-40B4-BE49-F238E27FC236}">
              <a16:creationId xmlns:a16="http://schemas.microsoft.com/office/drawing/2014/main" id="{60859670-40C4-48B2-8214-28970B601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7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8879" name="Picture@5C\QPendientes@" descr="@5C\QPendientes@">
          <a:extLst>
            <a:ext uri="{FF2B5EF4-FFF2-40B4-BE49-F238E27FC236}">
              <a16:creationId xmlns:a16="http://schemas.microsoft.com/office/drawing/2014/main" id="{D9014BFC-D646-4CD2-B62F-40AA25934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8880" name="Picture@5C\QPendientes@" descr="@5C\QPendientes@">
          <a:extLst>
            <a:ext uri="{FF2B5EF4-FFF2-40B4-BE49-F238E27FC236}">
              <a16:creationId xmlns:a16="http://schemas.microsoft.com/office/drawing/2014/main" id="{8C0FFA2F-C1CF-44BB-BF7E-16E90F6E8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1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8881" name="Picture@5C\QPendientes@" descr="@5C\QPendientes@">
          <a:extLst>
            <a:ext uri="{FF2B5EF4-FFF2-40B4-BE49-F238E27FC236}">
              <a16:creationId xmlns:a16="http://schemas.microsoft.com/office/drawing/2014/main" id="{8436FD8C-B5B8-4621-BE8D-CD362ED70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3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8882" name="Picture@5C\QPendientes@" descr="@5C\QPendientes@">
          <a:extLst>
            <a:ext uri="{FF2B5EF4-FFF2-40B4-BE49-F238E27FC236}">
              <a16:creationId xmlns:a16="http://schemas.microsoft.com/office/drawing/2014/main" id="{F28EA73C-71FA-42C7-8C86-749833BF4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5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8883" name="Picture@5C\QPendientes@" descr="@5C\QPendientes@">
          <a:extLst>
            <a:ext uri="{FF2B5EF4-FFF2-40B4-BE49-F238E27FC236}">
              <a16:creationId xmlns:a16="http://schemas.microsoft.com/office/drawing/2014/main" id="{6D1D4878-1A53-4C59-90D5-046DEEE43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7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8884" name="Picture@5C\QPendientes@" descr="@5C\QPendientes@">
          <a:extLst>
            <a:ext uri="{FF2B5EF4-FFF2-40B4-BE49-F238E27FC236}">
              <a16:creationId xmlns:a16="http://schemas.microsoft.com/office/drawing/2014/main" id="{B1F23A2D-5D5A-4EF6-AF75-3545B6E47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48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8885" name="Picture@5C\QPendientes@" descr="@5C\QPendientes@">
          <a:extLst>
            <a:ext uri="{FF2B5EF4-FFF2-40B4-BE49-F238E27FC236}">
              <a16:creationId xmlns:a16="http://schemas.microsoft.com/office/drawing/2014/main" id="{BC539BB4-2777-4670-A095-9EC8A8C48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0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8886" name="Picture@5C\QPendientes@" descr="@5C\QPendientes@">
          <a:extLst>
            <a:ext uri="{FF2B5EF4-FFF2-40B4-BE49-F238E27FC236}">
              <a16:creationId xmlns:a16="http://schemas.microsoft.com/office/drawing/2014/main" id="{15BB3736-6B1C-409E-93D7-F3A531747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2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8887" name="Picture@5C\QPendientes@" descr="@5C\QPendientes@">
          <a:extLst>
            <a:ext uri="{FF2B5EF4-FFF2-40B4-BE49-F238E27FC236}">
              <a16:creationId xmlns:a16="http://schemas.microsoft.com/office/drawing/2014/main" id="{0FE859E5-EC7B-43BE-B8EB-CC87D3B65E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4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8888" name="Picture@5C\QPendientes@" descr="@5C\QPendientes@">
          <a:extLst>
            <a:ext uri="{FF2B5EF4-FFF2-40B4-BE49-F238E27FC236}">
              <a16:creationId xmlns:a16="http://schemas.microsoft.com/office/drawing/2014/main" id="{4A5B8BB6-6DF0-4BE8-8CF8-956601F9E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6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8889" name="Picture@5C\QPendientes@" descr="@5C\QPendientes@">
          <a:extLst>
            <a:ext uri="{FF2B5EF4-FFF2-40B4-BE49-F238E27FC236}">
              <a16:creationId xmlns:a16="http://schemas.microsoft.com/office/drawing/2014/main" id="{778260E8-3F17-405C-BC59-8DD1B7E6E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8890" name="Picture@5C\QPendientes@" descr="@5C\QPendientes@">
          <a:extLst>
            <a:ext uri="{FF2B5EF4-FFF2-40B4-BE49-F238E27FC236}">
              <a16:creationId xmlns:a16="http://schemas.microsoft.com/office/drawing/2014/main" id="{E1AC63AE-BD27-4C1D-AE26-D65172D11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9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8891" name="Picture@5C\QPendientes@" descr="@5C\QPendientes@">
          <a:extLst>
            <a:ext uri="{FF2B5EF4-FFF2-40B4-BE49-F238E27FC236}">
              <a16:creationId xmlns:a16="http://schemas.microsoft.com/office/drawing/2014/main" id="{77822760-1450-4B4A-A37D-3D6FC008C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1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8892" name="Picture@5C\QPendientes@" descr="@5C\QPendientes@">
          <a:extLst>
            <a:ext uri="{FF2B5EF4-FFF2-40B4-BE49-F238E27FC236}">
              <a16:creationId xmlns:a16="http://schemas.microsoft.com/office/drawing/2014/main" id="{93360050-F3C0-4462-9E61-1AD28FF39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3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8893" name="Picture@5C\QPendientes@" descr="@5C\QPendientes@">
          <a:extLst>
            <a:ext uri="{FF2B5EF4-FFF2-40B4-BE49-F238E27FC236}">
              <a16:creationId xmlns:a16="http://schemas.microsoft.com/office/drawing/2014/main" id="{C70F5A4A-E118-41C3-9862-8829EAEBD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5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8894" name="Picture@5C\QPendientes@" descr="@5C\QPendientes@">
          <a:extLst>
            <a:ext uri="{FF2B5EF4-FFF2-40B4-BE49-F238E27FC236}">
              <a16:creationId xmlns:a16="http://schemas.microsoft.com/office/drawing/2014/main" id="{BAE358BD-C3BD-4711-8612-7F1DEA272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7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8895" name="Picture@5C\QPendientes@" descr="@5C\QPendientes@">
          <a:extLst>
            <a:ext uri="{FF2B5EF4-FFF2-40B4-BE49-F238E27FC236}">
              <a16:creationId xmlns:a16="http://schemas.microsoft.com/office/drawing/2014/main" id="{B3911E7D-DE89-494C-8D4D-1C3BACC3C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68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8896" name="Picture@5C\QPendientes@" descr="@5C\QPendientes@">
          <a:extLst>
            <a:ext uri="{FF2B5EF4-FFF2-40B4-BE49-F238E27FC236}">
              <a16:creationId xmlns:a16="http://schemas.microsoft.com/office/drawing/2014/main" id="{B0FB0E01-09DF-443F-8159-7D0F196A9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0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8897" name="Picture@5C\QPendientes@" descr="@5C\QPendientes@">
          <a:extLst>
            <a:ext uri="{FF2B5EF4-FFF2-40B4-BE49-F238E27FC236}">
              <a16:creationId xmlns:a16="http://schemas.microsoft.com/office/drawing/2014/main" id="{62639AC7-2347-4FEC-8834-F22B86923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2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8898" name="Picture@5C\QPendientes@" descr="@5C\QPendientes@">
          <a:extLst>
            <a:ext uri="{FF2B5EF4-FFF2-40B4-BE49-F238E27FC236}">
              <a16:creationId xmlns:a16="http://schemas.microsoft.com/office/drawing/2014/main" id="{52DAEAC0-1ADC-42B9-8F40-28538314E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4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8899" name="Picture@5C\QPendientes@" descr="@5C\QPendientes@">
          <a:extLst>
            <a:ext uri="{FF2B5EF4-FFF2-40B4-BE49-F238E27FC236}">
              <a16:creationId xmlns:a16="http://schemas.microsoft.com/office/drawing/2014/main" id="{B3115060-D6F5-460A-82F9-AC376387E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8900" name="Picture@5C\QPendientes@" descr="@5C\QPendientes@">
          <a:extLst>
            <a:ext uri="{FF2B5EF4-FFF2-40B4-BE49-F238E27FC236}">
              <a16:creationId xmlns:a16="http://schemas.microsoft.com/office/drawing/2014/main" id="{0AF0E04B-0C97-42BE-B48E-ABC20E4C1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8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8901" name="Picture@5C\QPendientes@" descr="@5C\QPendientes@">
          <a:extLst>
            <a:ext uri="{FF2B5EF4-FFF2-40B4-BE49-F238E27FC236}">
              <a16:creationId xmlns:a16="http://schemas.microsoft.com/office/drawing/2014/main" id="{51EB1289-F27D-4193-AC36-FFD8230B9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9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8902" name="Picture@5C\QPendientes@" descr="@5C\QPendientes@">
          <a:extLst>
            <a:ext uri="{FF2B5EF4-FFF2-40B4-BE49-F238E27FC236}">
              <a16:creationId xmlns:a16="http://schemas.microsoft.com/office/drawing/2014/main" id="{034A0C02-9FD3-4B6E-A72C-2D1BA9467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1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8903" name="Picture@5C\QPendientes@" descr="@5C\QPendientes@">
          <a:extLst>
            <a:ext uri="{FF2B5EF4-FFF2-40B4-BE49-F238E27FC236}">
              <a16:creationId xmlns:a16="http://schemas.microsoft.com/office/drawing/2014/main" id="{E0111E2A-767A-4392-8C02-CCB51E4E2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3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8904" name="Picture@5C\QPendientes@" descr="@5C\QPendientes@">
          <a:extLst>
            <a:ext uri="{FF2B5EF4-FFF2-40B4-BE49-F238E27FC236}">
              <a16:creationId xmlns:a16="http://schemas.microsoft.com/office/drawing/2014/main" id="{43BB3E63-90A5-4BAE-B8C2-053AE0728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5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8905" name="Picture@5C\QPendientes@" descr="@5C\QPendientes@">
          <a:extLst>
            <a:ext uri="{FF2B5EF4-FFF2-40B4-BE49-F238E27FC236}">
              <a16:creationId xmlns:a16="http://schemas.microsoft.com/office/drawing/2014/main" id="{D72F23DA-C7B4-4E92-AEB3-B0B8A1AFF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7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8906" name="Picture@5C\QPendientes@" descr="@5C\QPendientes@">
          <a:extLst>
            <a:ext uri="{FF2B5EF4-FFF2-40B4-BE49-F238E27FC236}">
              <a16:creationId xmlns:a16="http://schemas.microsoft.com/office/drawing/2014/main" id="{DAC6EA29-6243-499F-B3FC-619BEA452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9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8907" name="Picture@5C\QPendientes@" descr="@5C\QPendientes@">
          <a:extLst>
            <a:ext uri="{FF2B5EF4-FFF2-40B4-BE49-F238E27FC236}">
              <a16:creationId xmlns:a16="http://schemas.microsoft.com/office/drawing/2014/main" id="{BBE05E07-2ABC-424C-B432-FD50139EB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8908" name="Picture@5C\QPendientes@" descr="@5C\QPendientes@">
          <a:extLst>
            <a:ext uri="{FF2B5EF4-FFF2-40B4-BE49-F238E27FC236}">
              <a16:creationId xmlns:a16="http://schemas.microsoft.com/office/drawing/2014/main" id="{C7FE8E3E-9DD1-43E7-B5FA-44CF54497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2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8909" name="Picture@5C\QPendientes@" descr="@5C\QPendientes@">
          <a:extLst>
            <a:ext uri="{FF2B5EF4-FFF2-40B4-BE49-F238E27FC236}">
              <a16:creationId xmlns:a16="http://schemas.microsoft.com/office/drawing/2014/main" id="{3611328C-E99B-467A-8800-98BEDBACB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8910" name="Picture@5C\QPendientes@" descr="@5C\QPendientes@">
          <a:extLst>
            <a:ext uri="{FF2B5EF4-FFF2-40B4-BE49-F238E27FC236}">
              <a16:creationId xmlns:a16="http://schemas.microsoft.com/office/drawing/2014/main" id="{BBB1196F-B5C8-423B-9672-686AD12C7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6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8911" name="Picture@5C\QPendientes@" descr="@5C\QPendientes@">
          <a:extLst>
            <a:ext uri="{FF2B5EF4-FFF2-40B4-BE49-F238E27FC236}">
              <a16:creationId xmlns:a16="http://schemas.microsoft.com/office/drawing/2014/main" id="{84B0DCA2-AF06-4A2B-B4D0-09F8DB792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8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8912" name="Picture@5C\QPendientes@" descr="@5C\QPendientes@">
          <a:extLst>
            <a:ext uri="{FF2B5EF4-FFF2-40B4-BE49-F238E27FC236}">
              <a16:creationId xmlns:a16="http://schemas.microsoft.com/office/drawing/2014/main" id="{959B8584-7048-4CD2-88E6-CF567E33A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0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8913" name="Picture@5C\QPendientes@" descr="@5C\QPendientes@">
          <a:extLst>
            <a:ext uri="{FF2B5EF4-FFF2-40B4-BE49-F238E27FC236}">
              <a16:creationId xmlns:a16="http://schemas.microsoft.com/office/drawing/2014/main" id="{CE99F9F6-6CA1-47F4-9154-D987A7BB1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1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8914" name="Picture@5C\QPendientes@" descr="@5C\QPendientes@">
          <a:extLst>
            <a:ext uri="{FF2B5EF4-FFF2-40B4-BE49-F238E27FC236}">
              <a16:creationId xmlns:a16="http://schemas.microsoft.com/office/drawing/2014/main" id="{56E471D1-178B-4128-9256-E89CE3ADE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3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8915" name="Picture@5C\QPendientes@" descr="@5C\QPendientes@">
          <a:extLst>
            <a:ext uri="{FF2B5EF4-FFF2-40B4-BE49-F238E27FC236}">
              <a16:creationId xmlns:a16="http://schemas.microsoft.com/office/drawing/2014/main" id="{48DFA532-36C4-420D-8B03-BD1BC0DC3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5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8916" name="Picture@5C\QPendientes@" descr="@5C\QPendientes@">
          <a:extLst>
            <a:ext uri="{FF2B5EF4-FFF2-40B4-BE49-F238E27FC236}">
              <a16:creationId xmlns:a16="http://schemas.microsoft.com/office/drawing/2014/main" id="{B639456A-49CC-4259-AAF3-2DE6989B5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7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8917" name="Picture@5C\QPendientes@" descr="@5C\QPendientes@">
          <a:extLst>
            <a:ext uri="{FF2B5EF4-FFF2-40B4-BE49-F238E27FC236}">
              <a16:creationId xmlns:a16="http://schemas.microsoft.com/office/drawing/2014/main" id="{9B266D22-E708-4043-9F1E-8282162D8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9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8918" name="Picture@5C\QPendientes@" descr="@5C\QPendientes@">
          <a:extLst>
            <a:ext uri="{FF2B5EF4-FFF2-40B4-BE49-F238E27FC236}">
              <a16:creationId xmlns:a16="http://schemas.microsoft.com/office/drawing/2014/main" id="{0378F16D-FA10-4E32-96BC-7ED0B92CD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1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8919" name="Picture@5C\QPendientes@" descr="@5C\QPendientes@">
          <a:extLst>
            <a:ext uri="{FF2B5EF4-FFF2-40B4-BE49-F238E27FC236}">
              <a16:creationId xmlns:a16="http://schemas.microsoft.com/office/drawing/2014/main" id="{698A3F55-C5A0-4998-B269-77CE10D2A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8920" name="Picture@5C\QPendientes@" descr="@5C\QPendientes@">
          <a:extLst>
            <a:ext uri="{FF2B5EF4-FFF2-40B4-BE49-F238E27FC236}">
              <a16:creationId xmlns:a16="http://schemas.microsoft.com/office/drawing/2014/main" id="{DF1D2CF4-E5AB-4054-8526-392A9F82B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4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8921" name="Picture@5C\QPendientes@" descr="@5C\QPendientes@">
          <a:extLst>
            <a:ext uri="{FF2B5EF4-FFF2-40B4-BE49-F238E27FC236}">
              <a16:creationId xmlns:a16="http://schemas.microsoft.com/office/drawing/2014/main" id="{F9020E0F-AA29-4F88-9828-9A84701C3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6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8922" name="Picture@5C\QPendientes@" descr="@5C\QPendientes@">
          <a:extLst>
            <a:ext uri="{FF2B5EF4-FFF2-40B4-BE49-F238E27FC236}">
              <a16:creationId xmlns:a16="http://schemas.microsoft.com/office/drawing/2014/main" id="{E5FAAA4C-DD51-42BD-9D21-FBB9ECCE6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8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8923" name="Picture@5C\QPendientes@" descr="@5C\QPendientes@">
          <a:extLst>
            <a:ext uri="{FF2B5EF4-FFF2-40B4-BE49-F238E27FC236}">
              <a16:creationId xmlns:a16="http://schemas.microsoft.com/office/drawing/2014/main" id="{ADE47F05-0F8E-4D8B-B2CC-06DA6C6EF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0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8924" name="Picture@5C\QPendientes@" descr="@5C\QPendientes@">
          <a:extLst>
            <a:ext uri="{FF2B5EF4-FFF2-40B4-BE49-F238E27FC236}">
              <a16:creationId xmlns:a16="http://schemas.microsoft.com/office/drawing/2014/main" id="{9889AFA7-4AA2-4FF5-8A12-EB542F1A5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1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8925" name="Picture@5C\QPendientes@" descr="@5C\QPendientes@">
          <a:extLst>
            <a:ext uri="{FF2B5EF4-FFF2-40B4-BE49-F238E27FC236}">
              <a16:creationId xmlns:a16="http://schemas.microsoft.com/office/drawing/2014/main" id="{6BA54E74-E8BA-4182-99B8-4661425F2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3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8926" name="Picture@5C\QPendientes@" descr="@5C\QPendientes@">
          <a:extLst>
            <a:ext uri="{FF2B5EF4-FFF2-40B4-BE49-F238E27FC236}">
              <a16:creationId xmlns:a16="http://schemas.microsoft.com/office/drawing/2014/main" id="{75794FFE-1C3F-48A7-BE15-DABAE699E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5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8927" name="Picture@5C\QPendientes@" descr="@5C\QPendientes@">
          <a:extLst>
            <a:ext uri="{FF2B5EF4-FFF2-40B4-BE49-F238E27FC236}">
              <a16:creationId xmlns:a16="http://schemas.microsoft.com/office/drawing/2014/main" id="{C8B799B1-2530-49E3-BCE9-D492BFFE6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7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8928" name="Picture@5C\QPendientes@" descr="@5C\QPendientes@">
          <a:extLst>
            <a:ext uri="{FF2B5EF4-FFF2-40B4-BE49-F238E27FC236}">
              <a16:creationId xmlns:a16="http://schemas.microsoft.com/office/drawing/2014/main" id="{0BFD4B7D-40B3-4854-8E9D-4CACD7621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9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8929" name="Picture@5C\QPendientes@" descr="@5C\QPendientes@">
          <a:extLst>
            <a:ext uri="{FF2B5EF4-FFF2-40B4-BE49-F238E27FC236}">
              <a16:creationId xmlns:a16="http://schemas.microsoft.com/office/drawing/2014/main" id="{34BBF498-0A02-49AE-97BC-5EC20C78B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8930" name="Picture@5C\QPendientes@" descr="@5C\QPendientes@">
          <a:extLst>
            <a:ext uri="{FF2B5EF4-FFF2-40B4-BE49-F238E27FC236}">
              <a16:creationId xmlns:a16="http://schemas.microsoft.com/office/drawing/2014/main" id="{9927FE35-D4AB-42D4-8804-79390DB26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2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8931" name="Picture@5C\QPendientes@" descr="@5C\QPendientes@">
          <a:extLst>
            <a:ext uri="{FF2B5EF4-FFF2-40B4-BE49-F238E27FC236}">
              <a16:creationId xmlns:a16="http://schemas.microsoft.com/office/drawing/2014/main" id="{433E0F95-A267-4038-95B2-4D7161A78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4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8932" name="Picture@5C\QPendientes@" descr="@5C\QPendientes@">
          <a:extLst>
            <a:ext uri="{FF2B5EF4-FFF2-40B4-BE49-F238E27FC236}">
              <a16:creationId xmlns:a16="http://schemas.microsoft.com/office/drawing/2014/main" id="{F50A8F2D-3129-415C-8EA4-F33A54FEA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6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8933" name="Picture@5C\QPendientes@" descr="@5C\QPendientes@">
          <a:extLst>
            <a:ext uri="{FF2B5EF4-FFF2-40B4-BE49-F238E27FC236}">
              <a16:creationId xmlns:a16="http://schemas.microsoft.com/office/drawing/2014/main" id="{53555B9E-2DFB-4E66-B05F-09C6C696C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8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8934" name="Picture@5C\QPendientes@" descr="@5C\QPendientes@">
          <a:extLst>
            <a:ext uri="{FF2B5EF4-FFF2-40B4-BE49-F238E27FC236}">
              <a16:creationId xmlns:a16="http://schemas.microsoft.com/office/drawing/2014/main" id="{163A03CB-CB60-474D-9DAB-FD3C5EB7A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0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8935" name="Picture@5C\QPendientes@" descr="@5C\QPendientes@">
          <a:extLst>
            <a:ext uri="{FF2B5EF4-FFF2-40B4-BE49-F238E27FC236}">
              <a16:creationId xmlns:a16="http://schemas.microsoft.com/office/drawing/2014/main" id="{DFBF7D38-E0B2-4B40-B791-5566DC076C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2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8936" name="Picture@5C\QPendientes@" descr="@5C\QPendientes@">
          <a:extLst>
            <a:ext uri="{FF2B5EF4-FFF2-40B4-BE49-F238E27FC236}">
              <a16:creationId xmlns:a16="http://schemas.microsoft.com/office/drawing/2014/main" id="{85162791-DEBB-4514-A76B-7BBD9A701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3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8937" name="Picture@5C\QPendientes@" descr="@5C\QPendientes@">
          <a:extLst>
            <a:ext uri="{FF2B5EF4-FFF2-40B4-BE49-F238E27FC236}">
              <a16:creationId xmlns:a16="http://schemas.microsoft.com/office/drawing/2014/main" id="{ED2A53CC-35E8-4239-AE2D-05AB5D285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5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8938" name="Picture@5C\QPendientes@" descr="@5C\QPendientes@">
          <a:extLst>
            <a:ext uri="{FF2B5EF4-FFF2-40B4-BE49-F238E27FC236}">
              <a16:creationId xmlns:a16="http://schemas.microsoft.com/office/drawing/2014/main" id="{B8282A88-EB9E-4076-9C55-7E2F4424E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7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8939" name="Picture@5C\QPendientes@" descr="@5C\QPendientes@">
          <a:extLst>
            <a:ext uri="{FF2B5EF4-FFF2-40B4-BE49-F238E27FC236}">
              <a16:creationId xmlns:a16="http://schemas.microsoft.com/office/drawing/2014/main" id="{213BD597-2B02-44DB-99BE-3B0EBF80C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8940" name="Picture@5C\QPendientes@" descr="@5C\QPendientes@">
          <a:extLst>
            <a:ext uri="{FF2B5EF4-FFF2-40B4-BE49-F238E27FC236}">
              <a16:creationId xmlns:a16="http://schemas.microsoft.com/office/drawing/2014/main" id="{E45AFC07-59F4-43AE-9FCB-09C7A9010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1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8941" name="Picture@5C\QPendientes@" descr="@5C\QPendientes@">
          <a:extLst>
            <a:ext uri="{FF2B5EF4-FFF2-40B4-BE49-F238E27FC236}">
              <a16:creationId xmlns:a16="http://schemas.microsoft.com/office/drawing/2014/main" id="{90F1A506-E695-493A-BC5A-C96089F2D2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3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8942" name="Picture@5C\QPendientes@" descr="@5C\QPendientes@">
          <a:extLst>
            <a:ext uri="{FF2B5EF4-FFF2-40B4-BE49-F238E27FC236}">
              <a16:creationId xmlns:a16="http://schemas.microsoft.com/office/drawing/2014/main" id="{7E3DF090-C3E5-45D1-9953-D7F857882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4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8943" name="Picture@5C\QPendientes@" descr="@5C\QPendientes@">
          <a:extLst>
            <a:ext uri="{FF2B5EF4-FFF2-40B4-BE49-F238E27FC236}">
              <a16:creationId xmlns:a16="http://schemas.microsoft.com/office/drawing/2014/main" id="{5889DA88-5B34-4ED4-A313-92021CED8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6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8944" name="Picture@5C\QPendientes@" descr="@5C\QPendientes@">
          <a:extLst>
            <a:ext uri="{FF2B5EF4-FFF2-40B4-BE49-F238E27FC236}">
              <a16:creationId xmlns:a16="http://schemas.microsoft.com/office/drawing/2014/main" id="{9875C58D-1B79-4F10-BB7C-CA1E916EB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58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8945" name="Picture@5C\QPendientes@" descr="@5C\QPendientes@">
          <a:extLst>
            <a:ext uri="{FF2B5EF4-FFF2-40B4-BE49-F238E27FC236}">
              <a16:creationId xmlns:a16="http://schemas.microsoft.com/office/drawing/2014/main" id="{4AB158C7-4E63-44BE-83D3-8CA16860D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0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8946" name="Picture@5C\QPendientes@" descr="@5C\QPendientes@">
          <a:extLst>
            <a:ext uri="{FF2B5EF4-FFF2-40B4-BE49-F238E27FC236}">
              <a16:creationId xmlns:a16="http://schemas.microsoft.com/office/drawing/2014/main" id="{771376B3-90AF-46AD-80E0-25EA247C1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2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8947" name="Picture@5C\QPendientes@" descr="@5C\QPendientes@">
          <a:extLst>
            <a:ext uri="{FF2B5EF4-FFF2-40B4-BE49-F238E27FC236}">
              <a16:creationId xmlns:a16="http://schemas.microsoft.com/office/drawing/2014/main" id="{6D765425-3967-4E80-9351-F5E748F2A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4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8948" name="Picture@5C\QPendientes@" descr="@5C\QPendientes@">
          <a:extLst>
            <a:ext uri="{FF2B5EF4-FFF2-40B4-BE49-F238E27FC236}">
              <a16:creationId xmlns:a16="http://schemas.microsoft.com/office/drawing/2014/main" id="{E643EAD5-3B1F-4A4B-8424-DF2C83FD0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5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8949" name="Picture@5C\QPendientes@" descr="@5C\QPendientes@">
          <a:extLst>
            <a:ext uri="{FF2B5EF4-FFF2-40B4-BE49-F238E27FC236}">
              <a16:creationId xmlns:a16="http://schemas.microsoft.com/office/drawing/2014/main" id="{C6A30A31-3D64-4E08-8D9B-4F2526BF5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8950" name="Picture@5C\QPendientes@" descr="@5C\QPendientes@">
          <a:extLst>
            <a:ext uri="{FF2B5EF4-FFF2-40B4-BE49-F238E27FC236}">
              <a16:creationId xmlns:a16="http://schemas.microsoft.com/office/drawing/2014/main" id="{448E67A1-FE1A-40F7-A06C-1C321A4A2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9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8951" name="Picture@5C\QPendientes@" descr="@5C\QPendientes@">
          <a:extLst>
            <a:ext uri="{FF2B5EF4-FFF2-40B4-BE49-F238E27FC236}">
              <a16:creationId xmlns:a16="http://schemas.microsoft.com/office/drawing/2014/main" id="{E7C6503A-2C80-432C-AC70-2A8C4E15D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1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8952" name="Picture@5C\QPendientes@" descr="@5C\QPendientes@">
          <a:extLst>
            <a:ext uri="{FF2B5EF4-FFF2-40B4-BE49-F238E27FC236}">
              <a16:creationId xmlns:a16="http://schemas.microsoft.com/office/drawing/2014/main" id="{170F5BD4-298F-492B-9C81-50F16EF02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3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8953" name="Picture@5C\QPendientes@" descr="@5C\QPendientes@">
          <a:extLst>
            <a:ext uri="{FF2B5EF4-FFF2-40B4-BE49-F238E27FC236}">
              <a16:creationId xmlns:a16="http://schemas.microsoft.com/office/drawing/2014/main" id="{54EAFA27-4DC5-40DB-A2B9-0F20C40CB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5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8954" name="Picture@5C\QPendientes@" descr="@5C\QPendientes@">
          <a:extLst>
            <a:ext uri="{FF2B5EF4-FFF2-40B4-BE49-F238E27FC236}">
              <a16:creationId xmlns:a16="http://schemas.microsoft.com/office/drawing/2014/main" id="{0CBB16F0-F4FC-4901-BF74-EAD0DA367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6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8955" name="Picture@5C\QPendientes@" descr="@5C\QPendientes@">
          <a:extLst>
            <a:ext uri="{FF2B5EF4-FFF2-40B4-BE49-F238E27FC236}">
              <a16:creationId xmlns:a16="http://schemas.microsoft.com/office/drawing/2014/main" id="{5F72D1CB-8FB4-42C7-904F-4FF4D6DB5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78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8956" name="Picture@5C\QPendientes@" descr="@5C\QPendientes@">
          <a:extLst>
            <a:ext uri="{FF2B5EF4-FFF2-40B4-BE49-F238E27FC236}">
              <a16:creationId xmlns:a16="http://schemas.microsoft.com/office/drawing/2014/main" id="{4E78FE0F-BEED-4B06-8762-2B22F02CE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0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8957" name="Picture@5C\QPendientes@" descr="@5C\QPendientes@">
          <a:extLst>
            <a:ext uri="{FF2B5EF4-FFF2-40B4-BE49-F238E27FC236}">
              <a16:creationId xmlns:a16="http://schemas.microsoft.com/office/drawing/2014/main" id="{DF1BE98C-E5EF-4AC9-AF9B-34CEE4992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2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8958" name="Picture@5C\QPendientes@" descr="@5C\QPendientes@">
          <a:extLst>
            <a:ext uri="{FF2B5EF4-FFF2-40B4-BE49-F238E27FC236}">
              <a16:creationId xmlns:a16="http://schemas.microsoft.com/office/drawing/2014/main" id="{9E2D1718-390E-4B4D-B1DF-E4A3DED7D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4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8959" name="Picture@5C\QPendientes@" descr="@5C\QPendientes@">
          <a:extLst>
            <a:ext uri="{FF2B5EF4-FFF2-40B4-BE49-F238E27FC236}">
              <a16:creationId xmlns:a16="http://schemas.microsoft.com/office/drawing/2014/main" id="{858F8C3C-0D78-4B08-9823-5D19E5DE7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8960" name="Picture@5C\QPendientes@" descr="@5C\QPendientes@">
          <a:extLst>
            <a:ext uri="{FF2B5EF4-FFF2-40B4-BE49-F238E27FC236}">
              <a16:creationId xmlns:a16="http://schemas.microsoft.com/office/drawing/2014/main" id="{DDE30E20-ABB7-4E74-A5B1-566BB2607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7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8961" name="Picture@5C\QPendientes@" descr="@5C\QPendientes@">
          <a:extLst>
            <a:ext uri="{FF2B5EF4-FFF2-40B4-BE49-F238E27FC236}">
              <a16:creationId xmlns:a16="http://schemas.microsoft.com/office/drawing/2014/main" id="{12604629-591F-4CF4-9D60-DD188CF66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9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8962" name="Picture@5C\QPendientes@" descr="@5C\QPendientes@">
          <a:extLst>
            <a:ext uri="{FF2B5EF4-FFF2-40B4-BE49-F238E27FC236}">
              <a16:creationId xmlns:a16="http://schemas.microsoft.com/office/drawing/2014/main" id="{8FB70AFB-7D1C-46B3-AC81-CFD118327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1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8963" name="Picture@5C\QPendientes@" descr="@5C\QPendientes@">
          <a:extLst>
            <a:ext uri="{FF2B5EF4-FFF2-40B4-BE49-F238E27FC236}">
              <a16:creationId xmlns:a16="http://schemas.microsoft.com/office/drawing/2014/main" id="{5E71F3B7-E901-4485-BE13-7469B5B46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3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8964" name="Picture@5C\QPendientes@" descr="@5C\QPendientes@">
          <a:extLst>
            <a:ext uri="{FF2B5EF4-FFF2-40B4-BE49-F238E27FC236}">
              <a16:creationId xmlns:a16="http://schemas.microsoft.com/office/drawing/2014/main" id="{D25854AB-53F6-4E55-95E6-E533311DA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5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8965" name="Picture@5C\QPendientes@" descr="@5C\QPendientes@">
          <a:extLst>
            <a:ext uri="{FF2B5EF4-FFF2-40B4-BE49-F238E27FC236}">
              <a16:creationId xmlns:a16="http://schemas.microsoft.com/office/drawing/2014/main" id="{2736AEC8-B7A2-4AE2-8A62-1CCB4459D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6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8966" name="Picture@5C\QPendientes@" descr="@5C\QPendientes@">
          <a:extLst>
            <a:ext uri="{FF2B5EF4-FFF2-40B4-BE49-F238E27FC236}">
              <a16:creationId xmlns:a16="http://schemas.microsoft.com/office/drawing/2014/main" id="{609BF67F-4639-4609-B77D-D0026CE1B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8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8967" name="Picture@5C\QPendientes@" descr="@5C\QPendientes@">
          <a:extLst>
            <a:ext uri="{FF2B5EF4-FFF2-40B4-BE49-F238E27FC236}">
              <a16:creationId xmlns:a16="http://schemas.microsoft.com/office/drawing/2014/main" id="{1F5D6EE1-6077-44DE-A9DF-9242478E2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0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8968" name="Picture@5C\QPendientes@" descr="@5C\QPendientes@">
          <a:extLst>
            <a:ext uri="{FF2B5EF4-FFF2-40B4-BE49-F238E27FC236}">
              <a16:creationId xmlns:a16="http://schemas.microsoft.com/office/drawing/2014/main" id="{62A33A19-D22A-404A-B3E8-9BED704E3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2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8969" name="Picture@5C\QPendientes@" descr="@5C\QPendientes@">
          <a:extLst>
            <a:ext uri="{FF2B5EF4-FFF2-40B4-BE49-F238E27FC236}">
              <a16:creationId xmlns:a16="http://schemas.microsoft.com/office/drawing/2014/main" id="{B76037A8-DA11-4133-BEA2-C8C4837F7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8970" name="Picture@5C\QPendientes@" descr="@5C\QPendientes@">
          <a:extLst>
            <a:ext uri="{FF2B5EF4-FFF2-40B4-BE49-F238E27FC236}">
              <a16:creationId xmlns:a16="http://schemas.microsoft.com/office/drawing/2014/main" id="{2D710F0D-9AC6-4009-BAC9-2C58586F1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6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8971" name="Picture@5C\QPendientes@" descr="@5C\QPendientes@">
          <a:extLst>
            <a:ext uri="{FF2B5EF4-FFF2-40B4-BE49-F238E27FC236}">
              <a16:creationId xmlns:a16="http://schemas.microsoft.com/office/drawing/2014/main" id="{20FA4128-FC25-415C-B55B-2296DBBAF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7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8972" name="Picture@5C\QPendientes@" descr="@5C\QPendientes@">
          <a:extLst>
            <a:ext uri="{FF2B5EF4-FFF2-40B4-BE49-F238E27FC236}">
              <a16:creationId xmlns:a16="http://schemas.microsoft.com/office/drawing/2014/main" id="{8EDD7FB5-90BA-4873-BFA3-135904911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9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8973" name="Picture@5C\QPendientes@" descr="@5C\QPendientes@">
          <a:extLst>
            <a:ext uri="{FF2B5EF4-FFF2-40B4-BE49-F238E27FC236}">
              <a16:creationId xmlns:a16="http://schemas.microsoft.com/office/drawing/2014/main" id="{E440DE79-3735-4447-A9DD-A1256EF26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1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8974" name="Picture@5C\QPendientes@" descr="@5C\QPendientes@">
          <a:extLst>
            <a:ext uri="{FF2B5EF4-FFF2-40B4-BE49-F238E27FC236}">
              <a16:creationId xmlns:a16="http://schemas.microsoft.com/office/drawing/2014/main" id="{ACF03B8C-109B-4487-87DA-C7D321976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3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8975" name="Picture@5C\QPendientes@" descr="@5C\QPendientes@">
          <a:extLst>
            <a:ext uri="{FF2B5EF4-FFF2-40B4-BE49-F238E27FC236}">
              <a16:creationId xmlns:a16="http://schemas.microsoft.com/office/drawing/2014/main" id="{224AC205-8F1D-4D4C-BE66-6B5D75234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5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8976" name="Picture@5C\QPendientes@" descr="@5C\QPendientes@">
          <a:extLst>
            <a:ext uri="{FF2B5EF4-FFF2-40B4-BE49-F238E27FC236}">
              <a16:creationId xmlns:a16="http://schemas.microsoft.com/office/drawing/2014/main" id="{2A06060A-9F1C-4B83-9498-0EA73DFEC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7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8977" name="Picture@5C\QPendientes@" descr="@5C\QPendientes@">
          <a:extLst>
            <a:ext uri="{FF2B5EF4-FFF2-40B4-BE49-F238E27FC236}">
              <a16:creationId xmlns:a16="http://schemas.microsoft.com/office/drawing/2014/main" id="{87B21A33-560D-415F-A784-B6C740D96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8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8978" name="Picture@5C\QPendientes@" descr="@5C\QPendientes@">
          <a:extLst>
            <a:ext uri="{FF2B5EF4-FFF2-40B4-BE49-F238E27FC236}">
              <a16:creationId xmlns:a16="http://schemas.microsoft.com/office/drawing/2014/main" id="{D963F637-3572-44D8-BE2B-F38A016D4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0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8979" name="Picture@5C\QPendientes@" descr="@5C\QPendientes@">
          <a:extLst>
            <a:ext uri="{FF2B5EF4-FFF2-40B4-BE49-F238E27FC236}">
              <a16:creationId xmlns:a16="http://schemas.microsoft.com/office/drawing/2014/main" id="{96E27C66-6E38-4158-923C-B62457E43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8980" name="Picture@5C\QPendientes@" descr="@5C\QPendientes@">
          <a:extLst>
            <a:ext uri="{FF2B5EF4-FFF2-40B4-BE49-F238E27FC236}">
              <a16:creationId xmlns:a16="http://schemas.microsoft.com/office/drawing/2014/main" id="{CDAD8FD5-D346-4E7F-9219-A765C89F8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4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8981" name="Picture@5C\QPendientes@" descr="@5C\QPendientes@">
          <a:extLst>
            <a:ext uri="{FF2B5EF4-FFF2-40B4-BE49-F238E27FC236}">
              <a16:creationId xmlns:a16="http://schemas.microsoft.com/office/drawing/2014/main" id="{DC857373-9785-4ED7-A65B-610E9ED1E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6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8982" name="Picture@5C\QPendientes@" descr="@5C\QPendientes@">
          <a:extLst>
            <a:ext uri="{FF2B5EF4-FFF2-40B4-BE49-F238E27FC236}">
              <a16:creationId xmlns:a16="http://schemas.microsoft.com/office/drawing/2014/main" id="{AF9469CB-1CF0-4956-A070-77E5F0923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8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8983" name="Picture@5C\QPendientes@" descr="@5C\QPendientes@">
          <a:extLst>
            <a:ext uri="{FF2B5EF4-FFF2-40B4-BE49-F238E27FC236}">
              <a16:creationId xmlns:a16="http://schemas.microsoft.com/office/drawing/2014/main" id="{596BD306-8651-4384-A819-88A6AD695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9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8984" name="Picture@5C\QPendientes@" descr="@5C\QPendientes@">
          <a:extLst>
            <a:ext uri="{FF2B5EF4-FFF2-40B4-BE49-F238E27FC236}">
              <a16:creationId xmlns:a16="http://schemas.microsoft.com/office/drawing/2014/main" id="{63E9E0D7-DB26-46A7-9BAB-C6754D462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1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8985" name="Picture@5C\QPendientes@" descr="@5C\QPendientes@">
          <a:extLst>
            <a:ext uri="{FF2B5EF4-FFF2-40B4-BE49-F238E27FC236}">
              <a16:creationId xmlns:a16="http://schemas.microsoft.com/office/drawing/2014/main" id="{9D4FDF53-76DE-4394-AC1A-406A01C2F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3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8986" name="Picture@5C\QPendientes@" descr="@5C\QPendientes@">
          <a:extLst>
            <a:ext uri="{FF2B5EF4-FFF2-40B4-BE49-F238E27FC236}">
              <a16:creationId xmlns:a16="http://schemas.microsoft.com/office/drawing/2014/main" id="{7BA263E1-1914-4663-8812-BEADE3B5A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5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8987" name="Picture@5C\QPendientes@" descr="@5C\QPendientes@">
          <a:extLst>
            <a:ext uri="{FF2B5EF4-FFF2-40B4-BE49-F238E27FC236}">
              <a16:creationId xmlns:a16="http://schemas.microsoft.com/office/drawing/2014/main" id="{36E3217B-EEDB-499F-83CD-9F8A22FAA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7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8988" name="Picture@5C\QPendientes@" descr="@5C\QPendientes@">
          <a:extLst>
            <a:ext uri="{FF2B5EF4-FFF2-40B4-BE49-F238E27FC236}">
              <a16:creationId xmlns:a16="http://schemas.microsoft.com/office/drawing/2014/main" id="{51114625-2C6F-4CCE-8460-626AD7D44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9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8989" name="Picture@5C\QPendientes@" descr="@5C\QPendientes@">
          <a:extLst>
            <a:ext uri="{FF2B5EF4-FFF2-40B4-BE49-F238E27FC236}">
              <a16:creationId xmlns:a16="http://schemas.microsoft.com/office/drawing/2014/main" id="{AB6A857D-D094-4580-B6B7-151318218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8990" name="Picture@5C\QPendientes@" descr="@5C\QPendientes@">
          <a:extLst>
            <a:ext uri="{FF2B5EF4-FFF2-40B4-BE49-F238E27FC236}">
              <a16:creationId xmlns:a16="http://schemas.microsoft.com/office/drawing/2014/main" id="{A5ED7C42-9DF8-41EE-ABB8-DD0B35A8D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2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8991" name="Picture@5C\QPendientes@" descr="@5C\QPendientes@">
          <a:extLst>
            <a:ext uri="{FF2B5EF4-FFF2-40B4-BE49-F238E27FC236}">
              <a16:creationId xmlns:a16="http://schemas.microsoft.com/office/drawing/2014/main" id="{7CC2758F-F862-4E87-9399-82037C577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4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8992" name="Picture@5C\QPendientes@" descr="@5C\QPendientes@">
          <a:extLst>
            <a:ext uri="{FF2B5EF4-FFF2-40B4-BE49-F238E27FC236}">
              <a16:creationId xmlns:a16="http://schemas.microsoft.com/office/drawing/2014/main" id="{DEECB138-9E75-4BE1-AB10-B5CFE4176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6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8993" name="Picture@5C\QPendientes@" descr="@5C\QPendientes@">
          <a:extLst>
            <a:ext uri="{FF2B5EF4-FFF2-40B4-BE49-F238E27FC236}">
              <a16:creationId xmlns:a16="http://schemas.microsoft.com/office/drawing/2014/main" id="{6A5DBCE9-9555-4ABD-B31E-ACB3E9C80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8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8994" name="Picture@5C\QPendientes@" descr="@5C\QPendientes@">
          <a:extLst>
            <a:ext uri="{FF2B5EF4-FFF2-40B4-BE49-F238E27FC236}">
              <a16:creationId xmlns:a16="http://schemas.microsoft.com/office/drawing/2014/main" id="{15B5B27E-518F-45A3-8EC7-9BA6A04CC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0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8995" name="Picture@5C\QPendientes@" descr="@5C\QPendientes@">
          <a:extLst>
            <a:ext uri="{FF2B5EF4-FFF2-40B4-BE49-F238E27FC236}">
              <a16:creationId xmlns:a16="http://schemas.microsoft.com/office/drawing/2014/main" id="{1F629C80-AF41-42DB-B53A-C388BE424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1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8996" name="Picture@5C\QPendientes@" descr="@5C\QPendientes@">
          <a:extLst>
            <a:ext uri="{FF2B5EF4-FFF2-40B4-BE49-F238E27FC236}">
              <a16:creationId xmlns:a16="http://schemas.microsoft.com/office/drawing/2014/main" id="{78C376E1-7533-45F7-B6E4-3BB9DDD14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3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8997" name="Picture@5C\QPendientes@" descr="@5C\QPendientes@">
          <a:extLst>
            <a:ext uri="{FF2B5EF4-FFF2-40B4-BE49-F238E27FC236}">
              <a16:creationId xmlns:a16="http://schemas.microsoft.com/office/drawing/2014/main" id="{7927C4E5-BD09-4230-83B3-12245D025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5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8998" name="Picture@5C\QPendientes@" descr="@5C\QPendientes@">
          <a:extLst>
            <a:ext uri="{FF2B5EF4-FFF2-40B4-BE49-F238E27FC236}">
              <a16:creationId xmlns:a16="http://schemas.microsoft.com/office/drawing/2014/main" id="{E892EB2D-03C5-480E-8CFF-BA160967D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7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8999" name="Picture@5C\QPendientes@" descr="@5C\QPendientes@">
          <a:extLst>
            <a:ext uri="{FF2B5EF4-FFF2-40B4-BE49-F238E27FC236}">
              <a16:creationId xmlns:a16="http://schemas.microsoft.com/office/drawing/2014/main" id="{7611371C-9111-4F50-A3C2-4E07B7573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9000" name="Picture@5C\QPendientes@" descr="@5C\QPendientes@">
          <a:extLst>
            <a:ext uri="{FF2B5EF4-FFF2-40B4-BE49-F238E27FC236}">
              <a16:creationId xmlns:a16="http://schemas.microsoft.com/office/drawing/2014/main" id="{A23651FC-2E5B-423F-9B12-AFA1ECC56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0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9001" name="Picture@5C\QPendientes@" descr="@5C\QPendientes@">
          <a:extLst>
            <a:ext uri="{FF2B5EF4-FFF2-40B4-BE49-F238E27FC236}">
              <a16:creationId xmlns:a16="http://schemas.microsoft.com/office/drawing/2014/main" id="{A5EAE85E-4274-47BA-91CA-F59A69A4D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2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9002" name="Picture@5C\QPendientes@" descr="@5C\QPendientes@">
          <a:extLst>
            <a:ext uri="{FF2B5EF4-FFF2-40B4-BE49-F238E27FC236}">
              <a16:creationId xmlns:a16="http://schemas.microsoft.com/office/drawing/2014/main" id="{1914D098-430F-4A93-A504-29E24E2EE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4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9003" name="Picture@5C\QPendientes@" descr="@5C\QPendientes@">
          <a:extLst>
            <a:ext uri="{FF2B5EF4-FFF2-40B4-BE49-F238E27FC236}">
              <a16:creationId xmlns:a16="http://schemas.microsoft.com/office/drawing/2014/main" id="{D85C3B9E-B5E6-483B-8E7D-2A4B11D77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6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9004" name="Picture@5C\QPendientes@" descr="@5C\QPendientes@">
          <a:extLst>
            <a:ext uri="{FF2B5EF4-FFF2-40B4-BE49-F238E27FC236}">
              <a16:creationId xmlns:a16="http://schemas.microsoft.com/office/drawing/2014/main" id="{A3B198AD-E86A-40B0-8C52-EAC6203AD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68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9005" name="Picture@5C\QPendientes@" descr="@5C\QPendientes@">
          <a:extLst>
            <a:ext uri="{FF2B5EF4-FFF2-40B4-BE49-F238E27FC236}">
              <a16:creationId xmlns:a16="http://schemas.microsoft.com/office/drawing/2014/main" id="{88B50B5F-EF1B-4A32-BCD8-865D93FF9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0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9006" name="Picture@5C\QPendientes@" descr="@5C\QPendientes@">
          <a:extLst>
            <a:ext uri="{FF2B5EF4-FFF2-40B4-BE49-F238E27FC236}">
              <a16:creationId xmlns:a16="http://schemas.microsoft.com/office/drawing/2014/main" id="{DAE29C28-1C21-4CFD-9CD8-840970C9E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9007" name="Picture@5C\QPendientes@" descr="@5C\QPendientes@">
          <a:extLst>
            <a:ext uri="{FF2B5EF4-FFF2-40B4-BE49-F238E27FC236}">
              <a16:creationId xmlns:a16="http://schemas.microsoft.com/office/drawing/2014/main" id="{6C7A0E3C-FD60-426F-80AC-C1B94B090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3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9008" name="Picture@5C\QPendientes@" descr="@5C\QPendientes@">
          <a:extLst>
            <a:ext uri="{FF2B5EF4-FFF2-40B4-BE49-F238E27FC236}">
              <a16:creationId xmlns:a16="http://schemas.microsoft.com/office/drawing/2014/main" id="{E178FFA8-EE2A-4AD4-A513-97E122AEE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5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9009" name="Picture@5C\QPendientes@" descr="@5C\QPendientes@">
          <a:extLst>
            <a:ext uri="{FF2B5EF4-FFF2-40B4-BE49-F238E27FC236}">
              <a16:creationId xmlns:a16="http://schemas.microsoft.com/office/drawing/2014/main" id="{911C0F22-0228-45C6-9D9E-AD5F704CA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9010" name="Picture@5C\QPendientes@" descr="@5C\QPendientes@">
          <a:extLst>
            <a:ext uri="{FF2B5EF4-FFF2-40B4-BE49-F238E27FC236}">
              <a16:creationId xmlns:a16="http://schemas.microsoft.com/office/drawing/2014/main" id="{61147370-B210-4272-96ED-5EC6C7755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9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9011" name="Picture@5C\QPendientes@" descr="@5C\QPendientes@">
          <a:extLst>
            <a:ext uri="{FF2B5EF4-FFF2-40B4-BE49-F238E27FC236}">
              <a16:creationId xmlns:a16="http://schemas.microsoft.com/office/drawing/2014/main" id="{80B0BC67-FC43-4621-9D58-419758F38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1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9012" name="Picture@5C\QPendientes@" descr="@5C\QPendientes@">
          <a:extLst>
            <a:ext uri="{FF2B5EF4-FFF2-40B4-BE49-F238E27FC236}">
              <a16:creationId xmlns:a16="http://schemas.microsoft.com/office/drawing/2014/main" id="{E47C0265-C9C8-42AD-AA2A-45A438AD1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2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9013" name="Picture@5C\QPendientes@" descr="@5C\QPendientes@">
          <a:extLst>
            <a:ext uri="{FF2B5EF4-FFF2-40B4-BE49-F238E27FC236}">
              <a16:creationId xmlns:a16="http://schemas.microsoft.com/office/drawing/2014/main" id="{F50568F6-18A1-4008-A80A-38FDAF257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4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9014" name="Picture@5C\QPendientes@" descr="@5C\QPendientes@">
          <a:extLst>
            <a:ext uri="{FF2B5EF4-FFF2-40B4-BE49-F238E27FC236}">
              <a16:creationId xmlns:a16="http://schemas.microsoft.com/office/drawing/2014/main" id="{9CE419DF-8C0A-44E3-BDC4-208155179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6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9015" name="Picture@5C\QPendientes@" descr="@5C\QPendientes@">
          <a:extLst>
            <a:ext uri="{FF2B5EF4-FFF2-40B4-BE49-F238E27FC236}">
              <a16:creationId xmlns:a16="http://schemas.microsoft.com/office/drawing/2014/main" id="{FD6E9867-E960-4057-9B8E-63CFA9DA0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8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9016" name="Picture@5C\QPendientes@" descr="@5C\QPendientes@">
          <a:extLst>
            <a:ext uri="{FF2B5EF4-FFF2-40B4-BE49-F238E27FC236}">
              <a16:creationId xmlns:a16="http://schemas.microsoft.com/office/drawing/2014/main" id="{090392F9-8439-41F5-BCE7-DE1F820DC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0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9017" name="Picture@5C\QPendientes@" descr="@5C\QPendientes@">
          <a:extLst>
            <a:ext uri="{FF2B5EF4-FFF2-40B4-BE49-F238E27FC236}">
              <a16:creationId xmlns:a16="http://schemas.microsoft.com/office/drawing/2014/main" id="{E52C9839-0EB2-412E-9B14-A1F5E5C12D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2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9018" name="Picture@5C\QPendientes@" descr="@5C\QPendientes@">
          <a:extLst>
            <a:ext uri="{FF2B5EF4-FFF2-40B4-BE49-F238E27FC236}">
              <a16:creationId xmlns:a16="http://schemas.microsoft.com/office/drawing/2014/main" id="{E0E368A0-D745-4D9A-9E92-FEA1A1B55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3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9019" name="Picture@5C\QPendientes@" descr="@5C\QPendientes@">
          <a:extLst>
            <a:ext uri="{FF2B5EF4-FFF2-40B4-BE49-F238E27FC236}">
              <a16:creationId xmlns:a16="http://schemas.microsoft.com/office/drawing/2014/main" id="{5189D8B6-20F6-4F70-BA78-3C1B03F084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9020" name="Picture@5C\QPendientes@" descr="@5C\QPendientes@">
          <a:extLst>
            <a:ext uri="{FF2B5EF4-FFF2-40B4-BE49-F238E27FC236}">
              <a16:creationId xmlns:a16="http://schemas.microsoft.com/office/drawing/2014/main" id="{2E8D3D49-1AD7-4678-AD36-FEC17765D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7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9021" name="Picture@5C\QPendientes@" descr="@5C\QPendientes@">
          <a:extLst>
            <a:ext uri="{FF2B5EF4-FFF2-40B4-BE49-F238E27FC236}">
              <a16:creationId xmlns:a16="http://schemas.microsoft.com/office/drawing/2014/main" id="{4EE7E903-EF11-45BC-8ACD-F08BE0D3C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9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9022" name="Picture@5C\QPendientes@" descr="@5C\QPendientes@">
          <a:extLst>
            <a:ext uri="{FF2B5EF4-FFF2-40B4-BE49-F238E27FC236}">
              <a16:creationId xmlns:a16="http://schemas.microsoft.com/office/drawing/2014/main" id="{C388E818-1BB4-438C-B434-739EEF2A2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1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9023" name="Picture@5C\QPendientes@" descr="@5C\QPendientes@">
          <a:extLst>
            <a:ext uri="{FF2B5EF4-FFF2-40B4-BE49-F238E27FC236}">
              <a16:creationId xmlns:a16="http://schemas.microsoft.com/office/drawing/2014/main" id="{994B7ADC-3B75-480D-B4E9-4EFEF1D4A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3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9024" name="Picture@5C\QPendientes@" descr="@5C\QPendientes@">
          <a:extLst>
            <a:ext uri="{FF2B5EF4-FFF2-40B4-BE49-F238E27FC236}">
              <a16:creationId xmlns:a16="http://schemas.microsoft.com/office/drawing/2014/main" id="{444C08EC-6774-44C3-809F-CFFF12475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4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9025" name="Picture@5C\QPendientes@" descr="@5C\QPendientes@">
          <a:extLst>
            <a:ext uri="{FF2B5EF4-FFF2-40B4-BE49-F238E27FC236}">
              <a16:creationId xmlns:a16="http://schemas.microsoft.com/office/drawing/2014/main" id="{D4680CF5-875E-4785-9631-0056CCBD3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6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9026" name="Picture@5C\QPendientes@" descr="@5C\QPendientes@">
          <a:extLst>
            <a:ext uri="{FF2B5EF4-FFF2-40B4-BE49-F238E27FC236}">
              <a16:creationId xmlns:a16="http://schemas.microsoft.com/office/drawing/2014/main" id="{EB6CF78B-FE53-48F5-BF8D-5387D9135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8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9027" name="Picture@5C\QPendientes@" descr="@5C\QPendientes@">
          <a:extLst>
            <a:ext uri="{FF2B5EF4-FFF2-40B4-BE49-F238E27FC236}">
              <a16:creationId xmlns:a16="http://schemas.microsoft.com/office/drawing/2014/main" id="{FE2C4E0B-5E8D-4999-812A-45773DCDA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0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9028" name="Picture@5C\QPendientes@" descr="@5C\QPendientes@">
          <a:extLst>
            <a:ext uri="{FF2B5EF4-FFF2-40B4-BE49-F238E27FC236}">
              <a16:creationId xmlns:a16="http://schemas.microsoft.com/office/drawing/2014/main" id="{06FC62FA-F44D-4C9B-8959-1B17CA46B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2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9029" name="Picture@5C\QPendientes@" descr="@5C\QPendientes@">
          <a:extLst>
            <a:ext uri="{FF2B5EF4-FFF2-40B4-BE49-F238E27FC236}">
              <a16:creationId xmlns:a16="http://schemas.microsoft.com/office/drawing/2014/main" id="{6BB67AF8-CBD6-45E7-85AD-34D7B7779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9030" name="Picture@5C\QPendientes@" descr="@5C\QPendientes@">
          <a:extLst>
            <a:ext uri="{FF2B5EF4-FFF2-40B4-BE49-F238E27FC236}">
              <a16:creationId xmlns:a16="http://schemas.microsoft.com/office/drawing/2014/main" id="{6914624D-4A4F-4B5E-A0D5-69AEF5E89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5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9031" name="Picture@5C\QPendientes@" descr="@5C\QPendientes@">
          <a:extLst>
            <a:ext uri="{FF2B5EF4-FFF2-40B4-BE49-F238E27FC236}">
              <a16:creationId xmlns:a16="http://schemas.microsoft.com/office/drawing/2014/main" id="{D842D208-DAA3-496B-9BB0-3C32AC65F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7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9032" name="Picture@5C\QPendientes@" descr="@5C\QPendientes@">
          <a:extLst>
            <a:ext uri="{FF2B5EF4-FFF2-40B4-BE49-F238E27FC236}">
              <a16:creationId xmlns:a16="http://schemas.microsoft.com/office/drawing/2014/main" id="{59BF9F2B-59DC-4210-876D-9F0B22C6A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9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9033" name="Picture@5C\QPendientes@" descr="@5C\QPendientes@">
          <a:extLst>
            <a:ext uri="{FF2B5EF4-FFF2-40B4-BE49-F238E27FC236}">
              <a16:creationId xmlns:a16="http://schemas.microsoft.com/office/drawing/2014/main" id="{3C01B173-C4E6-4504-B802-8A8E1A549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1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9034" name="Picture@5C\QPendientes@" descr="@5C\QPendientes@">
          <a:extLst>
            <a:ext uri="{FF2B5EF4-FFF2-40B4-BE49-F238E27FC236}">
              <a16:creationId xmlns:a16="http://schemas.microsoft.com/office/drawing/2014/main" id="{FAC95A86-5A86-4FA7-814F-9D5166AD0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3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9035" name="Picture@5C\QPendientes@" descr="@5C\QPendientes@">
          <a:extLst>
            <a:ext uri="{FF2B5EF4-FFF2-40B4-BE49-F238E27FC236}">
              <a16:creationId xmlns:a16="http://schemas.microsoft.com/office/drawing/2014/main" id="{E4775AFA-D63C-4E36-9B75-7A1FC89CA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4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9036" name="Picture@5C\QPendientes@" descr="@5C\QPendientes@">
          <a:extLst>
            <a:ext uri="{FF2B5EF4-FFF2-40B4-BE49-F238E27FC236}">
              <a16:creationId xmlns:a16="http://schemas.microsoft.com/office/drawing/2014/main" id="{927B5739-5031-4631-8FE8-9691BF2BB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6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9037" name="Picture@5C\QPendientes@" descr="@5C\QPendientes@">
          <a:extLst>
            <a:ext uri="{FF2B5EF4-FFF2-40B4-BE49-F238E27FC236}">
              <a16:creationId xmlns:a16="http://schemas.microsoft.com/office/drawing/2014/main" id="{93313330-E012-4600-B918-4363D60F1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8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9038" name="Picture@5C\QPendientes@" descr="@5C\QPendientes@">
          <a:extLst>
            <a:ext uri="{FF2B5EF4-FFF2-40B4-BE49-F238E27FC236}">
              <a16:creationId xmlns:a16="http://schemas.microsoft.com/office/drawing/2014/main" id="{CE8366A5-F9D2-4C10-B373-DB879596F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0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9039" name="Picture@5C\QPendientes@" descr="@5C\QPendientes@">
          <a:extLst>
            <a:ext uri="{FF2B5EF4-FFF2-40B4-BE49-F238E27FC236}">
              <a16:creationId xmlns:a16="http://schemas.microsoft.com/office/drawing/2014/main" id="{61A9AFAD-8F67-49DB-BC0A-E2442E952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9040" name="Picture@5C\QPendientes@" descr="@5C\QPendientes@">
          <a:extLst>
            <a:ext uri="{FF2B5EF4-FFF2-40B4-BE49-F238E27FC236}">
              <a16:creationId xmlns:a16="http://schemas.microsoft.com/office/drawing/2014/main" id="{AF129E69-3035-4569-A248-4517007FD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4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9041" name="Picture@5C\QPendientes@" descr="@5C\QPendientes@">
          <a:extLst>
            <a:ext uri="{FF2B5EF4-FFF2-40B4-BE49-F238E27FC236}">
              <a16:creationId xmlns:a16="http://schemas.microsoft.com/office/drawing/2014/main" id="{E0CE542A-9D58-40FE-AADD-30611A7AC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5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9042" name="Picture@5C\QPendientes@" descr="@5C\QPendientes@">
          <a:extLst>
            <a:ext uri="{FF2B5EF4-FFF2-40B4-BE49-F238E27FC236}">
              <a16:creationId xmlns:a16="http://schemas.microsoft.com/office/drawing/2014/main" id="{1DAAE4AB-15AA-48A6-A1D3-7A3DFCCDC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7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9043" name="Picture@5C\QPendientes@" descr="@5C\QPendientes@">
          <a:extLst>
            <a:ext uri="{FF2B5EF4-FFF2-40B4-BE49-F238E27FC236}">
              <a16:creationId xmlns:a16="http://schemas.microsoft.com/office/drawing/2014/main" id="{6239BCA2-D9AC-47C5-86E5-1E5AA6D04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9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9044" name="Picture@5C\QPendientes@" descr="@5C\QPendientes@">
          <a:extLst>
            <a:ext uri="{FF2B5EF4-FFF2-40B4-BE49-F238E27FC236}">
              <a16:creationId xmlns:a16="http://schemas.microsoft.com/office/drawing/2014/main" id="{D1B134F4-D3F1-4407-9B24-7BDC9C793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1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9045" name="Picture@5C\QPendientes@" descr="@5C\QPendientes@">
          <a:extLst>
            <a:ext uri="{FF2B5EF4-FFF2-40B4-BE49-F238E27FC236}">
              <a16:creationId xmlns:a16="http://schemas.microsoft.com/office/drawing/2014/main" id="{1C4067BD-6680-4DE8-A9CF-27015C093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3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9046" name="Picture@5C\QPendientes@" descr="@5C\QPendientes@">
          <a:extLst>
            <a:ext uri="{FF2B5EF4-FFF2-40B4-BE49-F238E27FC236}">
              <a16:creationId xmlns:a16="http://schemas.microsoft.com/office/drawing/2014/main" id="{8C8ADDE0-3B58-4977-AC10-8F32F038A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5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9047" name="Picture@5C\QPendientes@" descr="@5C\QPendientes@">
          <a:extLst>
            <a:ext uri="{FF2B5EF4-FFF2-40B4-BE49-F238E27FC236}">
              <a16:creationId xmlns:a16="http://schemas.microsoft.com/office/drawing/2014/main" id="{9A0796FB-E4DF-44F6-AC43-80D9C1E7B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6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9048" name="Picture@5C\QPendientes@" descr="@5C\QPendientes@">
          <a:extLst>
            <a:ext uri="{FF2B5EF4-FFF2-40B4-BE49-F238E27FC236}">
              <a16:creationId xmlns:a16="http://schemas.microsoft.com/office/drawing/2014/main" id="{86F73795-75C1-4ECD-8AA1-5B19DEF08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8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9049" name="Picture@5C\QPendientes@" descr="@5C\QPendientes@">
          <a:extLst>
            <a:ext uri="{FF2B5EF4-FFF2-40B4-BE49-F238E27FC236}">
              <a16:creationId xmlns:a16="http://schemas.microsoft.com/office/drawing/2014/main" id="{88CEF57C-0927-4A20-804E-F3E1BBD06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9050" name="Picture@5C\QPendientes@" descr="@5C\QPendientes@">
          <a:extLst>
            <a:ext uri="{FF2B5EF4-FFF2-40B4-BE49-F238E27FC236}">
              <a16:creationId xmlns:a16="http://schemas.microsoft.com/office/drawing/2014/main" id="{D72C6C69-6DB1-4F88-8AA8-667DAABCA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2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9051" name="Picture@5C\QPendientes@" descr="@5C\QPendientes@">
          <a:extLst>
            <a:ext uri="{FF2B5EF4-FFF2-40B4-BE49-F238E27FC236}">
              <a16:creationId xmlns:a16="http://schemas.microsoft.com/office/drawing/2014/main" id="{889DCCCB-E96D-4035-B7A5-93990ABB0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4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9052" name="Picture@5C\QPendientes@" descr="@5C\QPendientes@">
          <a:extLst>
            <a:ext uri="{FF2B5EF4-FFF2-40B4-BE49-F238E27FC236}">
              <a16:creationId xmlns:a16="http://schemas.microsoft.com/office/drawing/2014/main" id="{F2502020-C711-4761-AB54-12B3A3FBB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6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9053" name="Picture@5C\QPendientes@" descr="@5C\QPendientes@">
          <a:extLst>
            <a:ext uri="{FF2B5EF4-FFF2-40B4-BE49-F238E27FC236}">
              <a16:creationId xmlns:a16="http://schemas.microsoft.com/office/drawing/2014/main" id="{359252D1-7D55-4B9B-ADBC-5A3140973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7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9054" name="Picture@5C\QPendientes@" descr="@5C\QPendientes@">
          <a:extLst>
            <a:ext uri="{FF2B5EF4-FFF2-40B4-BE49-F238E27FC236}">
              <a16:creationId xmlns:a16="http://schemas.microsoft.com/office/drawing/2014/main" id="{4207CB13-A437-435B-B182-CEFE65A7B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9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9055" name="Picture@5C\QPendientes@" descr="@5C\QPendientes@">
          <a:extLst>
            <a:ext uri="{FF2B5EF4-FFF2-40B4-BE49-F238E27FC236}">
              <a16:creationId xmlns:a16="http://schemas.microsoft.com/office/drawing/2014/main" id="{E491B4AD-8212-4BED-8E91-3DE9D7176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1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9056" name="Picture@5C\QPendientes@" descr="@5C\QPendientes@">
          <a:extLst>
            <a:ext uri="{FF2B5EF4-FFF2-40B4-BE49-F238E27FC236}">
              <a16:creationId xmlns:a16="http://schemas.microsoft.com/office/drawing/2014/main" id="{B70D6DC3-2BF6-4F72-B737-CE23AD508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3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9057" name="Picture@5C\QPendientes@" descr="@5C\QPendientes@">
          <a:extLst>
            <a:ext uri="{FF2B5EF4-FFF2-40B4-BE49-F238E27FC236}">
              <a16:creationId xmlns:a16="http://schemas.microsoft.com/office/drawing/2014/main" id="{4091B302-C900-4736-BB5F-E2394F383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5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9058" name="Picture@5C\QPendientes@" descr="@5C\QPendientes@">
          <a:extLst>
            <a:ext uri="{FF2B5EF4-FFF2-40B4-BE49-F238E27FC236}">
              <a16:creationId xmlns:a16="http://schemas.microsoft.com/office/drawing/2014/main" id="{036B9701-D0CD-4ED7-AE84-0ACC95DD0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7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9059" name="Picture@5C\QPendientes@" descr="@5C\QPendientes@">
          <a:extLst>
            <a:ext uri="{FF2B5EF4-FFF2-40B4-BE49-F238E27FC236}">
              <a16:creationId xmlns:a16="http://schemas.microsoft.com/office/drawing/2014/main" id="{56C6C3B1-7559-4C39-B154-AF1C5FECC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9060" name="Picture@5C\QPendientes@" descr="@5C\QPendientes@">
          <a:extLst>
            <a:ext uri="{FF2B5EF4-FFF2-40B4-BE49-F238E27FC236}">
              <a16:creationId xmlns:a16="http://schemas.microsoft.com/office/drawing/2014/main" id="{1B621AC3-A0A9-4EEE-B1DD-1283675CD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0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9061" name="Picture@5C\QPendientes@" descr="@5C\QPendientes@">
          <a:extLst>
            <a:ext uri="{FF2B5EF4-FFF2-40B4-BE49-F238E27FC236}">
              <a16:creationId xmlns:a16="http://schemas.microsoft.com/office/drawing/2014/main" id="{DAE1B582-6F73-4345-BF80-FA86B9399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2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9062" name="Picture@5C\QPendientes@" descr="@5C\QPendientes@">
          <a:extLst>
            <a:ext uri="{FF2B5EF4-FFF2-40B4-BE49-F238E27FC236}">
              <a16:creationId xmlns:a16="http://schemas.microsoft.com/office/drawing/2014/main" id="{7ED565CC-3525-429F-BC9D-3A56BD042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4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9063" name="Picture@5C\QPendientes@" descr="@5C\QPendientes@">
          <a:extLst>
            <a:ext uri="{FF2B5EF4-FFF2-40B4-BE49-F238E27FC236}">
              <a16:creationId xmlns:a16="http://schemas.microsoft.com/office/drawing/2014/main" id="{B5BF7EFF-B230-4AAD-80DF-AA71F72B6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6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9064" name="Picture@5C\QPendientes@" descr="@5C\QPendientes@">
          <a:extLst>
            <a:ext uri="{FF2B5EF4-FFF2-40B4-BE49-F238E27FC236}">
              <a16:creationId xmlns:a16="http://schemas.microsoft.com/office/drawing/2014/main" id="{F9CC283B-2785-4842-B454-563909768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8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9065" name="Picture@5C\QPendientes@" descr="@5C\QPendientes@">
          <a:extLst>
            <a:ext uri="{FF2B5EF4-FFF2-40B4-BE49-F238E27FC236}">
              <a16:creationId xmlns:a16="http://schemas.microsoft.com/office/drawing/2014/main" id="{F621FAC7-0152-41FC-B6AC-4DB7C341F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9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9066" name="Picture@5C\QPendientes@" descr="@5C\QPendientes@">
          <a:extLst>
            <a:ext uri="{FF2B5EF4-FFF2-40B4-BE49-F238E27FC236}">
              <a16:creationId xmlns:a16="http://schemas.microsoft.com/office/drawing/2014/main" id="{6F8DAD5A-5E1D-406E-A971-AC312B161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1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9067" name="Picture@5C\QPendientes@" descr="@5C\QPendientes@">
          <a:extLst>
            <a:ext uri="{FF2B5EF4-FFF2-40B4-BE49-F238E27FC236}">
              <a16:creationId xmlns:a16="http://schemas.microsoft.com/office/drawing/2014/main" id="{E1099ACC-2582-4327-A3F5-CFC2C9C39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3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9068" name="Picture@5C\QPendientes@" descr="@5C\QPendientes@">
          <a:extLst>
            <a:ext uri="{FF2B5EF4-FFF2-40B4-BE49-F238E27FC236}">
              <a16:creationId xmlns:a16="http://schemas.microsoft.com/office/drawing/2014/main" id="{5B39F9AD-399B-404F-92F7-1003B66E5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5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9069" name="Picture@5C\QPendientes@" descr="@5C\QPendientes@">
          <a:extLst>
            <a:ext uri="{FF2B5EF4-FFF2-40B4-BE49-F238E27FC236}">
              <a16:creationId xmlns:a16="http://schemas.microsoft.com/office/drawing/2014/main" id="{C1C37440-2D21-4ECB-919E-0190187B0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9070" name="Picture@5C\QPendientes@" descr="@5C\QPendientes@">
          <a:extLst>
            <a:ext uri="{FF2B5EF4-FFF2-40B4-BE49-F238E27FC236}">
              <a16:creationId xmlns:a16="http://schemas.microsoft.com/office/drawing/2014/main" id="{850BF672-B743-4256-8D15-84962A5ED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8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9071" name="Picture@5C\QPendientes@" descr="@5C\QPendientes@">
          <a:extLst>
            <a:ext uri="{FF2B5EF4-FFF2-40B4-BE49-F238E27FC236}">
              <a16:creationId xmlns:a16="http://schemas.microsoft.com/office/drawing/2014/main" id="{396DC91D-B51A-4798-82FD-24867B917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0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9072" name="Picture@5C\QPendientes@" descr="@5C\QPendientes@">
          <a:extLst>
            <a:ext uri="{FF2B5EF4-FFF2-40B4-BE49-F238E27FC236}">
              <a16:creationId xmlns:a16="http://schemas.microsoft.com/office/drawing/2014/main" id="{CCD8E9F5-EEEE-4BCD-B876-4EE0F56E3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2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9073" name="Picture@5C\QPendientes@" descr="@5C\QPendientes@">
          <a:extLst>
            <a:ext uri="{FF2B5EF4-FFF2-40B4-BE49-F238E27FC236}">
              <a16:creationId xmlns:a16="http://schemas.microsoft.com/office/drawing/2014/main" id="{EDB133C6-1983-4DE1-A722-7C3884071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4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9074" name="Picture@5C\QPendientes@" descr="@5C\QPendientes@">
          <a:extLst>
            <a:ext uri="{FF2B5EF4-FFF2-40B4-BE49-F238E27FC236}">
              <a16:creationId xmlns:a16="http://schemas.microsoft.com/office/drawing/2014/main" id="{15735882-1F40-4BAA-A1BD-86AA0EBD7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6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9075" name="Picture@5C\QPendientes@" descr="@5C\QPendientes@">
          <a:extLst>
            <a:ext uri="{FF2B5EF4-FFF2-40B4-BE49-F238E27FC236}">
              <a16:creationId xmlns:a16="http://schemas.microsoft.com/office/drawing/2014/main" id="{B9E5DCA1-1FB1-47DB-B394-48118A4D9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8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9076" name="Picture@5C\QPendientes@" descr="@5C\QPendientes@">
          <a:extLst>
            <a:ext uri="{FF2B5EF4-FFF2-40B4-BE49-F238E27FC236}">
              <a16:creationId xmlns:a16="http://schemas.microsoft.com/office/drawing/2014/main" id="{406B0A5F-ECC2-4353-8C37-FCF96413D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9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9077" name="Picture@5C\QPendientes@" descr="@5C\QPendientes@">
          <a:extLst>
            <a:ext uri="{FF2B5EF4-FFF2-40B4-BE49-F238E27FC236}">
              <a16:creationId xmlns:a16="http://schemas.microsoft.com/office/drawing/2014/main" id="{8970DF7B-4ADC-4A5A-A09D-43AA92825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1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9078" name="Picture@5C\QPendientes@" descr="@5C\QPendientes@">
          <a:extLst>
            <a:ext uri="{FF2B5EF4-FFF2-40B4-BE49-F238E27FC236}">
              <a16:creationId xmlns:a16="http://schemas.microsoft.com/office/drawing/2014/main" id="{5B4B763A-7688-42F9-BB00-1A18F9315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3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9079" name="Picture@5C\QPendientes@" descr="@5C\QPendientes@">
          <a:extLst>
            <a:ext uri="{FF2B5EF4-FFF2-40B4-BE49-F238E27FC236}">
              <a16:creationId xmlns:a16="http://schemas.microsoft.com/office/drawing/2014/main" id="{A4FF0868-4CDA-4D24-B0BD-AE0521AEF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9080" name="Picture@5C\QPendientes@" descr="@5C\QPendientes@">
          <a:extLst>
            <a:ext uri="{FF2B5EF4-FFF2-40B4-BE49-F238E27FC236}">
              <a16:creationId xmlns:a16="http://schemas.microsoft.com/office/drawing/2014/main" id="{25831A60-F38C-4F76-86B0-07FDC0E83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7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9081" name="Picture@5C\QPendientes@" descr="@5C\QPendientes@">
          <a:extLst>
            <a:ext uri="{FF2B5EF4-FFF2-40B4-BE49-F238E27FC236}">
              <a16:creationId xmlns:a16="http://schemas.microsoft.com/office/drawing/2014/main" id="{C6D4A893-2F1A-4679-B281-7FC06F9A8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9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9082" name="Picture@5C\QPendientes@" descr="@5C\QPendientes@">
          <a:extLst>
            <a:ext uri="{FF2B5EF4-FFF2-40B4-BE49-F238E27FC236}">
              <a16:creationId xmlns:a16="http://schemas.microsoft.com/office/drawing/2014/main" id="{FB3FB1A6-81A5-48DA-9BDC-F00D91A9E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0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9083" name="Picture@5C\QPendientes@" descr="@5C\QPendientes@">
          <a:extLst>
            <a:ext uri="{FF2B5EF4-FFF2-40B4-BE49-F238E27FC236}">
              <a16:creationId xmlns:a16="http://schemas.microsoft.com/office/drawing/2014/main" id="{A6337BEA-8E40-44C9-AFD7-B3FE08228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2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9084" name="Picture@5C\QPendientes@" descr="@5C\QPendientes@">
          <a:extLst>
            <a:ext uri="{FF2B5EF4-FFF2-40B4-BE49-F238E27FC236}">
              <a16:creationId xmlns:a16="http://schemas.microsoft.com/office/drawing/2014/main" id="{7F03185E-14AD-4C69-82B4-2ACA63778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4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9085" name="Picture@5C\QPendientes@" descr="@5C\QPendientes@">
          <a:extLst>
            <a:ext uri="{FF2B5EF4-FFF2-40B4-BE49-F238E27FC236}">
              <a16:creationId xmlns:a16="http://schemas.microsoft.com/office/drawing/2014/main" id="{10391AFD-8E7A-4E1B-8600-31FB38AA0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6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9086" name="Picture@5C\QPendientes@" descr="@5C\QPendientes@">
          <a:extLst>
            <a:ext uri="{FF2B5EF4-FFF2-40B4-BE49-F238E27FC236}">
              <a16:creationId xmlns:a16="http://schemas.microsoft.com/office/drawing/2014/main" id="{D390B0CE-E09C-48E8-A728-1DBBC541D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8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9087" name="Picture@5C\QPendientes@" descr="@5C\QPendientes@">
          <a:extLst>
            <a:ext uri="{FF2B5EF4-FFF2-40B4-BE49-F238E27FC236}">
              <a16:creationId xmlns:a16="http://schemas.microsoft.com/office/drawing/2014/main" id="{2C1183DE-211B-431D-971F-A3EC4CCEB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0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9088" name="Picture@5C\QPendientes@" descr="@5C\QPendientes@">
          <a:extLst>
            <a:ext uri="{FF2B5EF4-FFF2-40B4-BE49-F238E27FC236}">
              <a16:creationId xmlns:a16="http://schemas.microsoft.com/office/drawing/2014/main" id="{DB8A6246-0BE3-4D88-8924-EBCAAB993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1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9089" name="Picture@5C\QPendientes@" descr="@5C\QPendientes@">
          <a:extLst>
            <a:ext uri="{FF2B5EF4-FFF2-40B4-BE49-F238E27FC236}">
              <a16:creationId xmlns:a16="http://schemas.microsoft.com/office/drawing/2014/main" id="{1D77CA0B-B7D1-45E5-AA24-75898DD51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9090" name="Picture@5C\QPendientes@" descr="@5C\QPendientes@">
          <a:extLst>
            <a:ext uri="{FF2B5EF4-FFF2-40B4-BE49-F238E27FC236}">
              <a16:creationId xmlns:a16="http://schemas.microsoft.com/office/drawing/2014/main" id="{42AFB3B2-2DC8-4592-BE7D-39EA71936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5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9091" name="Picture@5C\QPendientes@" descr="@5C\QPendientes@">
          <a:extLst>
            <a:ext uri="{FF2B5EF4-FFF2-40B4-BE49-F238E27FC236}">
              <a16:creationId xmlns:a16="http://schemas.microsoft.com/office/drawing/2014/main" id="{FFE48518-2D17-4311-8BCC-FB13FDDFC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7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9092" name="Picture@5C\QPendientes@" descr="@5C\QPendientes@">
          <a:extLst>
            <a:ext uri="{FF2B5EF4-FFF2-40B4-BE49-F238E27FC236}">
              <a16:creationId xmlns:a16="http://schemas.microsoft.com/office/drawing/2014/main" id="{6D91C0D0-388A-4123-B7F9-518CCFBA3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9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9093" name="Picture@5C\QPendientes@" descr="@5C\QPendientes@">
          <a:extLst>
            <a:ext uri="{FF2B5EF4-FFF2-40B4-BE49-F238E27FC236}">
              <a16:creationId xmlns:a16="http://schemas.microsoft.com/office/drawing/2014/main" id="{24FA16FB-A9F0-4723-9874-8EEBEA2EA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1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9094" name="Picture@5C\QPendientes@" descr="@5C\QPendientes@">
          <a:extLst>
            <a:ext uri="{FF2B5EF4-FFF2-40B4-BE49-F238E27FC236}">
              <a16:creationId xmlns:a16="http://schemas.microsoft.com/office/drawing/2014/main" id="{F9EFD098-AF07-4A8D-A633-DFE0C819D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2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9095" name="Picture@5C\QPendientes@" descr="@5C\QPendientes@">
          <a:extLst>
            <a:ext uri="{FF2B5EF4-FFF2-40B4-BE49-F238E27FC236}">
              <a16:creationId xmlns:a16="http://schemas.microsoft.com/office/drawing/2014/main" id="{12A03CDA-3A7A-4AA8-9E87-C254E6132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4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9096" name="Picture@5C\QPendientes@" descr="@5C\QPendientes@">
          <a:extLst>
            <a:ext uri="{FF2B5EF4-FFF2-40B4-BE49-F238E27FC236}">
              <a16:creationId xmlns:a16="http://schemas.microsoft.com/office/drawing/2014/main" id="{E5DD5521-F3B0-42BC-966B-BE9F1FED6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6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9097" name="Picture@5C\QPendientes@" descr="@5C\QPendientes@">
          <a:extLst>
            <a:ext uri="{FF2B5EF4-FFF2-40B4-BE49-F238E27FC236}">
              <a16:creationId xmlns:a16="http://schemas.microsoft.com/office/drawing/2014/main" id="{A6A24C8D-93E5-4C7F-AAF8-7325811D0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8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9098" name="Picture@5C\QPendientes@" descr="@5C\QPendientes@">
          <a:extLst>
            <a:ext uri="{FF2B5EF4-FFF2-40B4-BE49-F238E27FC236}">
              <a16:creationId xmlns:a16="http://schemas.microsoft.com/office/drawing/2014/main" id="{47608A07-D967-4963-9F7F-B587379DC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0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9099" name="Picture@5C\QPendientes@" descr="@5C\QPendientes@">
          <a:extLst>
            <a:ext uri="{FF2B5EF4-FFF2-40B4-BE49-F238E27FC236}">
              <a16:creationId xmlns:a16="http://schemas.microsoft.com/office/drawing/2014/main" id="{598B9CCD-D8D7-40E1-A133-39A34FDB6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9100" name="Picture@5C\QPendientes@" descr="@5C\QPendientes@">
          <a:extLst>
            <a:ext uri="{FF2B5EF4-FFF2-40B4-BE49-F238E27FC236}">
              <a16:creationId xmlns:a16="http://schemas.microsoft.com/office/drawing/2014/main" id="{DCFA30EC-1232-4278-A64C-87EA7FD23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3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9101" name="Picture@5C\QPendientes@" descr="@5C\QPendientes@">
          <a:extLst>
            <a:ext uri="{FF2B5EF4-FFF2-40B4-BE49-F238E27FC236}">
              <a16:creationId xmlns:a16="http://schemas.microsoft.com/office/drawing/2014/main" id="{138A40F5-36FB-4337-87FF-73DF3AE42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5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9102" name="Picture@5C\QPendientes@" descr="@5C\QPendientes@">
          <a:extLst>
            <a:ext uri="{FF2B5EF4-FFF2-40B4-BE49-F238E27FC236}">
              <a16:creationId xmlns:a16="http://schemas.microsoft.com/office/drawing/2014/main" id="{F8781F8E-863D-4A2B-B585-726F08861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7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9103" name="Picture@5C\QPendientes@" descr="@5C\QPendientes@">
          <a:extLst>
            <a:ext uri="{FF2B5EF4-FFF2-40B4-BE49-F238E27FC236}">
              <a16:creationId xmlns:a16="http://schemas.microsoft.com/office/drawing/2014/main" id="{7E7CD470-75BA-499B-AC4B-624DDC385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9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9104" name="Picture@5C\QPendientes@" descr="@5C\QPendientes@">
          <a:extLst>
            <a:ext uri="{FF2B5EF4-FFF2-40B4-BE49-F238E27FC236}">
              <a16:creationId xmlns:a16="http://schemas.microsoft.com/office/drawing/2014/main" id="{53A9C2EB-1E28-4411-B60B-AC186932C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1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9105" name="Picture@5C\QPendientes@" descr="@5C\QPendientes@">
          <a:extLst>
            <a:ext uri="{FF2B5EF4-FFF2-40B4-BE49-F238E27FC236}">
              <a16:creationId xmlns:a16="http://schemas.microsoft.com/office/drawing/2014/main" id="{F32AB753-54E4-4BA2-9C7B-0D193F22A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3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9106" name="Picture@5C\QPendientes@" descr="@5C\QPendientes@">
          <a:extLst>
            <a:ext uri="{FF2B5EF4-FFF2-40B4-BE49-F238E27FC236}">
              <a16:creationId xmlns:a16="http://schemas.microsoft.com/office/drawing/2014/main" id="{347041A1-A99C-40D8-AB86-DCD9CCA6B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4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9107" name="Picture@5C\QPendientes@" descr="@5C\QPendientes@">
          <a:extLst>
            <a:ext uri="{FF2B5EF4-FFF2-40B4-BE49-F238E27FC236}">
              <a16:creationId xmlns:a16="http://schemas.microsoft.com/office/drawing/2014/main" id="{03A44B75-0ECF-4E7A-AF75-6EC005B12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6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9108" name="Picture@5C\QPendientes@" descr="@5C\QPendientes@">
          <a:extLst>
            <a:ext uri="{FF2B5EF4-FFF2-40B4-BE49-F238E27FC236}">
              <a16:creationId xmlns:a16="http://schemas.microsoft.com/office/drawing/2014/main" id="{60B64922-8DA7-4172-841B-0FAA4C9D8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8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9109" name="Picture@5C\QPendientes@" descr="@5C\QPendientes@">
          <a:extLst>
            <a:ext uri="{FF2B5EF4-FFF2-40B4-BE49-F238E27FC236}">
              <a16:creationId xmlns:a16="http://schemas.microsoft.com/office/drawing/2014/main" id="{F1485B82-FE49-43E6-9E73-8C3D42375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9110" name="Picture@5C\QPendientes@" descr="@5C\QPendientes@">
          <a:extLst>
            <a:ext uri="{FF2B5EF4-FFF2-40B4-BE49-F238E27FC236}">
              <a16:creationId xmlns:a16="http://schemas.microsoft.com/office/drawing/2014/main" id="{AF564AA1-AFC0-41CD-9CE8-30BB26D98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2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9111" name="Picture@5C\QPendientes@" descr="@5C\QPendientes@">
          <a:extLst>
            <a:ext uri="{FF2B5EF4-FFF2-40B4-BE49-F238E27FC236}">
              <a16:creationId xmlns:a16="http://schemas.microsoft.com/office/drawing/2014/main" id="{152483EA-ABF5-445C-B456-396D7E084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3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9112" name="Picture@5C\QPendientes@" descr="@5C\QPendientes@">
          <a:extLst>
            <a:ext uri="{FF2B5EF4-FFF2-40B4-BE49-F238E27FC236}">
              <a16:creationId xmlns:a16="http://schemas.microsoft.com/office/drawing/2014/main" id="{37FF1826-2A37-4AD0-B391-415489646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5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9113" name="Picture@5C\QPendientes@" descr="@5C\QPendientes@">
          <a:extLst>
            <a:ext uri="{FF2B5EF4-FFF2-40B4-BE49-F238E27FC236}">
              <a16:creationId xmlns:a16="http://schemas.microsoft.com/office/drawing/2014/main" id="{3328EA6E-7071-4377-8BB4-C6F1E648E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7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9114" name="Picture@5C\QPendientes@" descr="@5C\QPendientes@">
          <a:extLst>
            <a:ext uri="{FF2B5EF4-FFF2-40B4-BE49-F238E27FC236}">
              <a16:creationId xmlns:a16="http://schemas.microsoft.com/office/drawing/2014/main" id="{4939E829-97A6-475C-92BF-FCB69455A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9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9115" name="Picture@5C\QPendientes@" descr="@5C\QPendientes@">
          <a:extLst>
            <a:ext uri="{FF2B5EF4-FFF2-40B4-BE49-F238E27FC236}">
              <a16:creationId xmlns:a16="http://schemas.microsoft.com/office/drawing/2014/main" id="{F8B9A18A-BF2E-4B9C-87E3-7BFF4F989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1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9116" name="Picture@5C\QPendientes@" descr="@5C\QPendientes@">
          <a:extLst>
            <a:ext uri="{FF2B5EF4-FFF2-40B4-BE49-F238E27FC236}">
              <a16:creationId xmlns:a16="http://schemas.microsoft.com/office/drawing/2014/main" id="{9A7E2A50-2A2E-4220-B6F5-19B5D70F4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3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9117" name="Picture@5C\QPendientes@" descr="@5C\QPendientes@">
          <a:extLst>
            <a:ext uri="{FF2B5EF4-FFF2-40B4-BE49-F238E27FC236}">
              <a16:creationId xmlns:a16="http://schemas.microsoft.com/office/drawing/2014/main" id="{CCD92F23-178C-40D0-9AD6-BB84FB26E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4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9118" name="Picture@5C\QPendientes@" descr="@5C\QPendientes@">
          <a:extLst>
            <a:ext uri="{FF2B5EF4-FFF2-40B4-BE49-F238E27FC236}">
              <a16:creationId xmlns:a16="http://schemas.microsoft.com/office/drawing/2014/main" id="{8D31445D-E14E-4338-8465-BD6362D8B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6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9119" name="Picture@5C\QPendientes@" descr="@5C\QPendientes@">
          <a:extLst>
            <a:ext uri="{FF2B5EF4-FFF2-40B4-BE49-F238E27FC236}">
              <a16:creationId xmlns:a16="http://schemas.microsoft.com/office/drawing/2014/main" id="{6A105353-23CA-4132-ABE2-47B458962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9120" name="Picture@5C\QPendientes@" descr="@5C\QPendientes@">
          <a:extLst>
            <a:ext uri="{FF2B5EF4-FFF2-40B4-BE49-F238E27FC236}">
              <a16:creationId xmlns:a16="http://schemas.microsoft.com/office/drawing/2014/main" id="{E2EF7E0B-DB24-4DC2-8F02-C4407FCCA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0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9121" name="Picture@5C\QPendientes@" descr="@5C\QPendientes@">
          <a:extLst>
            <a:ext uri="{FF2B5EF4-FFF2-40B4-BE49-F238E27FC236}">
              <a16:creationId xmlns:a16="http://schemas.microsoft.com/office/drawing/2014/main" id="{ECD266F3-474F-4F6E-87E1-C14B29AE8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2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9122" name="Picture@5C\QPendientes@" descr="@5C\QPendientes@">
          <a:extLst>
            <a:ext uri="{FF2B5EF4-FFF2-40B4-BE49-F238E27FC236}">
              <a16:creationId xmlns:a16="http://schemas.microsoft.com/office/drawing/2014/main" id="{7E6957C0-7061-492A-BCEE-C3D700554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4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9123" name="Picture@5C\QPendientes@" descr="@5C\QPendientes@">
          <a:extLst>
            <a:ext uri="{FF2B5EF4-FFF2-40B4-BE49-F238E27FC236}">
              <a16:creationId xmlns:a16="http://schemas.microsoft.com/office/drawing/2014/main" id="{FC55A3DC-30DF-4A7A-82BC-ECFE1ED64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5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9124" name="Picture@5C\QPendientes@" descr="@5C\QPendientes@">
          <a:extLst>
            <a:ext uri="{FF2B5EF4-FFF2-40B4-BE49-F238E27FC236}">
              <a16:creationId xmlns:a16="http://schemas.microsoft.com/office/drawing/2014/main" id="{7AC639C4-866E-4119-9FA4-3C04F3A4F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7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9125" name="Picture@5C\QPendientes@" descr="@5C\QPendientes@">
          <a:extLst>
            <a:ext uri="{FF2B5EF4-FFF2-40B4-BE49-F238E27FC236}">
              <a16:creationId xmlns:a16="http://schemas.microsoft.com/office/drawing/2014/main" id="{76DA12E5-2422-43F6-84B3-E0E37B09E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9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9126" name="Picture@5C\QPendientes@" descr="@5C\QPendientes@">
          <a:extLst>
            <a:ext uri="{FF2B5EF4-FFF2-40B4-BE49-F238E27FC236}">
              <a16:creationId xmlns:a16="http://schemas.microsoft.com/office/drawing/2014/main" id="{4D196395-78EA-48EE-893A-26CDA8411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1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9127" name="Picture@5C\QPendientes@" descr="@5C\QPendientes@">
          <a:extLst>
            <a:ext uri="{FF2B5EF4-FFF2-40B4-BE49-F238E27FC236}">
              <a16:creationId xmlns:a16="http://schemas.microsoft.com/office/drawing/2014/main" id="{C9677EFD-A866-41E9-8AC4-377DD2820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3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9128" name="Picture@5C\QPendientes@" descr="@5C\QPendientes@">
          <a:extLst>
            <a:ext uri="{FF2B5EF4-FFF2-40B4-BE49-F238E27FC236}">
              <a16:creationId xmlns:a16="http://schemas.microsoft.com/office/drawing/2014/main" id="{385C14AD-EC14-4F4B-B07C-2D9F7AF87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5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9129" name="Picture@5C\QPendientes@" descr="@5C\QPendientes@">
          <a:extLst>
            <a:ext uri="{FF2B5EF4-FFF2-40B4-BE49-F238E27FC236}">
              <a16:creationId xmlns:a16="http://schemas.microsoft.com/office/drawing/2014/main" id="{A5CA4B4F-BD36-4542-B64C-2FA9646C4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9130" name="Picture@5C\QPendientes@" descr="@5C\QPendientes@">
          <a:extLst>
            <a:ext uri="{FF2B5EF4-FFF2-40B4-BE49-F238E27FC236}">
              <a16:creationId xmlns:a16="http://schemas.microsoft.com/office/drawing/2014/main" id="{447E8F72-A02A-4D5F-AE7A-CF0DADA72A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8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9131" name="Picture@5C\QPendientes@" descr="@5C\QPendientes@">
          <a:extLst>
            <a:ext uri="{FF2B5EF4-FFF2-40B4-BE49-F238E27FC236}">
              <a16:creationId xmlns:a16="http://schemas.microsoft.com/office/drawing/2014/main" id="{FB5FDE9A-35FF-4C66-9B6F-58D53126B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0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9132" name="Picture@5C\QPendientes@" descr="@5C\QPendientes@">
          <a:extLst>
            <a:ext uri="{FF2B5EF4-FFF2-40B4-BE49-F238E27FC236}">
              <a16:creationId xmlns:a16="http://schemas.microsoft.com/office/drawing/2014/main" id="{D285BE73-D768-48CB-958D-0C98E14EC5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2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9133" name="Picture@5C\QPendientes@" descr="@5C\QPendientes@">
          <a:extLst>
            <a:ext uri="{FF2B5EF4-FFF2-40B4-BE49-F238E27FC236}">
              <a16:creationId xmlns:a16="http://schemas.microsoft.com/office/drawing/2014/main" id="{EF5CAA2E-0D12-45BD-B1D3-21407D302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4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9134" name="Picture@5C\QPendientes@" descr="@5C\QPendientes@">
          <a:extLst>
            <a:ext uri="{FF2B5EF4-FFF2-40B4-BE49-F238E27FC236}">
              <a16:creationId xmlns:a16="http://schemas.microsoft.com/office/drawing/2014/main" id="{DA8703E8-2A41-42BB-8F0E-31E9441DF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6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9135" name="Picture@5C\QPendientes@" descr="@5C\QPendientes@">
          <a:extLst>
            <a:ext uri="{FF2B5EF4-FFF2-40B4-BE49-F238E27FC236}">
              <a16:creationId xmlns:a16="http://schemas.microsoft.com/office/drawing/2014/main" id="{498679DE-C855-4CB0-944D-FE7D45373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7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9136" name="Picture@5C\QPendientes@" descr="@5C\QPendientes@">
          <a:extLst>
            <a:ext uri="{FF2B5EF4-FFF2-40B4-BE49-F238E27FC236}">
              <a16:creationId xmlns:a16="http://schemas.microsoft.com/office/drawing/2014/main" id="{C00273A2-E8E8-4AD3-A792-37EF43C63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9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9137" name="Picture@5C\QPendientes@" descr="@5C\QPendientes@">
          <a:extLst>
            <a:ext uri="{FF2B5EF4-FFF2-40B4-BE49-F238E27FC236}">
              <a16:creationId xmlns:a16="http://schemas.microsoft.com/office/drawing/2014/main" id="{B35FD893-7599-4992-9EDD-93427B971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1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9138" name="Picture@5C\QPendientes@" descr="@5C\QPendientes@">
          <a:extLst>
            <a:ext uri="{FF2B5EF4-FFF2-40B4-BE49-F238E27FC236}">
              <a16:creationId xmlns:a16="http://schemas.microsoft.com/office/drawing/2014/main" id="{DDF61EDC-6732-402C-8C46-1411310B7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3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9139" name="Picture@5C\QPendientes@" descr="@5C\QPendientes@">
          <a:extLst>
            <a:ext uri="{FF2B5EF4-FFF2-40B4-BE49-F238E27FC236}">
              <a16:creationId xmlns:a16="http://schemas.microsoft.com/office/drawing/2014/main" id="{156A9054-7AE9-4FD6-AED1-888BE50F0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9140" name="Picture@5C\QPendientes@" descr="@5C\QPendientes@">
          <a:extLst>
            <a:ext uri="{FF2B5EF4-FFF2-40B4-BE49-F238E27FC236}">
              <a16:creationId xmlns:a16="http://schemas.microsoft.com/office/drawing/2014/main" id="{B4CEBC84-574B-46DF-8BA3-357109663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7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9141" name="Picture@5C\QPendientes@" descr="@5C\QPendientes@">
          <a:extLst>
            <a:ext uri="{FF2B5EF4-FFF2-40B4-BE49-F238E27FC236}">
              <a16:creationId xmlns:a16="http://schemas.microsoft.com/office/drawing/2014/main" id="{7C053607-5505-4C2E-B401-033CF4A79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8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9142" name="Picture@5C\QPendientes@" descr="@5C\QPendientes@">
          <a:extLst>
            <a:ext uri="{FF2B5EF4-FFF2-40B4-BE49-F238E27FC236}">
              <a16:creationId xmlns:a16="http://schemas.microsoft.com/office/drawing/2014/main" id="{156DD4CD-A2BD-4A03-87FF-941A51EAF9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0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9143" name="Picture@5C\QPendientes@" descr="@5C\QPendientes@">
          <a:extLst>
            <a:ext uri="{FF2B5EF4-FFF2-40B4-BE49-F238E27FC236}">
              <a16:creationId xmlns:a16="http://schemas.microsoft.com/office/drawing/2014/main" id="{A810F169-363B-4554-B9F3-49D232042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2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9144" name="Picture@5C\QPendientes@" descr="@5C\QPendientes@">
          <a:extLst>
            <a:ext uri="{FF2B5EF4-FFF2-40B4-BE49-F238E27FC236}">
              <a16:creationId xmlns:a16="http://schemas.microsoft.com/office/drawing/2014/main" id="{A02C9BF8-831E-4E4F-837F-E7CAD14CD8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4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9145" name="Picture@5C\QPendientes@" descr="@5C\QPendientes@">
          <a:extLst>
            <a:ext uri="{FF2B5EF4-FFF2-40B4-BE49-F238E27FC236}">
              <a16:creationId xmlns:a16="http://schemas.microsoft.com/office/drawing/2014/main" id="{2012F377-4EA2-4130-9B68-78EFAA6C3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6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9146" name="Picture@5C\QPendientes@" descr="@5C\QPendientes@">
          <a:extLst>
            <a:ext uri="{FF2B5EF4-FFF2-40B4-BE49-F238E27FC236}">
              <a16:creationId xmlns:a16="http://schemas.microsoft.com/office/drawing/2014/main" id="{2BC76969-0B68-489D-BDD5-7DE33B501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7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9147" name="Picture@5C\QPendientes@" descr="@5C\QPendientes@">
          <a:extLst>
            <a:ext uri="{FF2B5EF4-FFF2-40B4-BE49-F238E27FC236}">
              <a16:creationId xmlns:a16="http://schemas.microsoft.com/office/drawing/2014/main" id="{8A48AA62-39E5-4C3D-BF28-31F648A67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9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9148" name="Picture@5C\QPendientes@" descr="@5C\QPendientes@">
          <a:extLst>
            <a:ext uri="{FF2B5EF4-FFF2-40B4-BE49-F238E27FC236}">
              <a16:creationId xmlns:a16="http://schemas.microsoft.com/office/drawing/2014/main" id="{79F830F1-7F9A-4E7A-A898-C7E39DC59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1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9149" name="Picture@5C\QPendientes@" descr="@5C\QPendientes@">
          <a:extLst>
            <a:ext uri="{FF2B5EF4-FFF2-40B4-BE49-F238E27FC236}">
              <a16:creationId xmlns:a16="http://schemas.microsoft.com/office/drawing/2014/main" id="{C6C6C057-BEA3-40ED-A259-721E35768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9150" name="Picture@5C\QPendientes@" descr="@5C\QPendientes@">
          <a:extLst>
            <a:ext uri="{FF2B5EF4-FFF2-40B4-BE49-F238E27FC236}">
              <a16:creationId xmlns:a16="http://schemas.microsoft.com/office/drawing/2014/main" id="{53A66214-420F-48AD-ABFB-D9B7F093C2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5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9151" name="Picture@5C\QPendientes@" descr="@5C\QPendientes@">
          <a:extLst>
            <a:ext uri="{FF2B5EF4-FFF2-40B4-BE49-F238E27FC236}">
              <a16:creationId xmlns:a16="http://schemas.microsoft.com/office/drawing/2014/main" id="{5A2ADD3F-3E7F-4D8D-BAB2-ACDC198C1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7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9152" name="Picture@5C\QPendientes@" descr="@5C\QPendientes@">
          <a:extLst>
            <a:ext uri="{FF2B5EF4-FFF2-40B4-BE49-F238E27FC236}">
              <a16:creationId xmlns:a16="http://schemas.microsoft.com/office/drawing/2014/main" id="{745E7BAC-13A6-4690-8C3A-89715D56B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8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9153" name="Picture@5C\QPendientes@" descr="@5C\QPendientes@">
          <a:extLst>
            <a:ext uri="{FF2B5EF4-FFF2-40B4-BE49-F238E27FC236}">
              <a16:creationId xmlns:a16="http://schemas.microsoft.com/office/drawing/2014/main" id="{C1108A67-0432-45CD-B75E-E04E965FF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0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9154" name="Picture@5C\QPendientes@" descr="@5C\QPendientes@">
          <a:extLst>
            <a:ext uri="{FF2B5EF4-FFF2-40B4-BE49-F238E27FC236}">
              <a16:creationId xmlns:a16="http://schemas.microsoft.com/office/drawing/2014/main" id="{9F5DE8D3-0B1B-42C2-AE8A-57F036202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2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9155" name="Picture@5C\QPendientes@" descr="@5C\QPendientes@">
          <a:extLst>
            <a:ext uri="{FF2B5EF4-FFF2-40B4-BE49-F238E27FC236}">
              <a16:creationId xmlns:a16="http://schemas.microsoft.com/office/drawing/2014/main" id="{776626ED-E4D1-48F1-8BA7-42514EDADF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4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9156" name="Picture@5C\QPendientes@" descr="@5C\QPendientes@">
          <a:extLst>
            <a:ext uri="{FF2B5EF4-FFF2-40B4-BE49-F238E27FC236}">
              <a16:creationId xmlns:a16="http://schemas.microsoft.com/office/drawing/2014/main" id="{C5E3B387-A79C-4CFB-B28D-5D139FD59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6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9157" name="Picture@5C\QPendientes@" descr="@5C\QPendientes@">
          <a:extLst>
            <a:ext uri="{FF2B5EF4-FFF2-40B4-BE49-F238E27FC236}">
              <a16:creationId xmlns:a16="http://schemas.microsoft.com/office/drawing/2014/main" id="{7358B5A8-2748-47F6-81EF-E9AF9CCB3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8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9158" name="Picture@5C\QPendientes@" descr="@5C\QPendientes@">
          <a:extLst>
            <a:ext uri="{FF2B5EF4-FFF2-40B4-BE49-F238E27FC236}">
              <a16:creationId xmlns:a16="http://schemas.microsoft.com/office/drawing/2014/main" id="{01623C34-61D7-47C9-B443-CD23846E81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9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9159" name="Picture@5C\QPendientes@" descr="@5C\QPendientes@">
          <a:extLst>
            <a:ext uri="{FF2B5EF4-FFF2-40B4-BE49-F238E27FC236}">
              <a16:creationId xmlns:a16="http://schemas.microsoft.com/office/drawing/2014/main" id="{3D656005-111C-4C9C-8437-4BBF47105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9160" name="Picture@5C\QPendientes@" descr="@5C\QPendientes@">
          <a:extLst>
            <a:ext uri="{FF2B5EF4-FFF2-40B4-BE49-F238E27FC236}">
              <a16:creationId xmlns:a16="http://schemas.microsoft.com/office/drawing/2014/main" id="{2198512D-3CB9-4A80-8D85-D5353C97A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3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9161" name="Picture@5C\QPendientes@" descr="@5C\QPendientes@">
          <a:extLst>
            <a:ext uri="{FF2B5EF4-FFF2-40B4-BE49-F238E27FC236}">
              <a16:creationId xmlns:a16="http://schemas.microsoft.com/office/drawing/2014/main" id="{13C6FA89-2B41-4944-8B0F-42202DD10E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5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9162" name="Picture@5C\QPendientes@" descr="@5C\QPendientes@">
          <a:extLst>
            <a:ext uri="{FF2B5EF4-FFF2-40B4-BE49-F238E27FC236}">
              <a16:creationId xmlns:a16="http://schemas.microsoft.com/office/drawing/2014/main" id="{64371A16-452A-45A5-85C0-A48A04B2F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7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9163" name="Picture@5C\QPendientes@" descr="@5C\QPendientes@">
          <a:extLst>
            <a:ext uri="{FF2B5EF4-FFF2-40B4-BE49-F238E27FC236}">
              <a16:creationId xmlns:a16="http://schemas.microsoft.com/office/drawing/2014/main" id="{6FBC1FAE-1EB5-4009-A5E8-A74C186C4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9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9164" name="Picture@5C\QPendientes@" descr="@5C\QPendientes@">
          <a:extLst>
            <a:ext uri="{FF2B5EF4-FFF2-40B4-BE49-F238E27FC236}">
              <a16:creationId xmlns:a16="http://schemas.microsoft.com/office/drawing/2014/main" id="{A3457C5B-EE7A-437D-884D-E235D6249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0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9165" name="Picture@5C\QPendientes@" descr="@5C\QPendientes@">
          <a:extLst>
            <a:ext uri="{FF2B5EF4-FFF2-40B4-BE49-F238E27FC236}">
              <a16:creationId xmlns:a16="http://schemas.microsoft.com/office/drawing/2014/main" id="{7D80BCFD-782B-4A6F-9753-F510998861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2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9166" name="Picture@5C\QPendientes@" descr="@5C\QPendientes@">
          <a:extLst>
            <a:ext uri="{FF2B5EF4-FFF2-40B4-BE49-F238E27FC236}">
              <a16:creationId xmlns:a16="http://schemas.microsoft.com/office/drawing/2014/main" id="{F6DBDC3B-962A-44BB-A50F-BE651C4DF6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4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9167" name="Picture@5C\QPendientes@" descr="@5C\QPendientes@">
          <a:extLst>
            <a:ext uri="{FF2B5EF4-FFF2-40B4-BE49-F238E27FC236}">
              <a16:creationId xmlns:a16="http://schemas.microsoft.com/office/drawing/2014/main" id="{52004677-CB13-4392-BA97-CE9F06982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6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9168" name="Picture@5C\QPendientes@" descr="@5C\QPendientes@">
          <a:extLst>
            <a:ext uri="{FF2B5EF4-FFF2-40B4-BE49-F238E27FC236}">
              <a16:creationId xmlns:a16="http://schemas.microsoft.com/office/drawing/2014/main" id="{4085628C-02EB-4C6C-A43E-4F7D1916F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8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9169" name="Picture@5C\QPendientes@" descr="@5C\QPendientes@">
          <a:extLst>
            <a:ext uri="{FF2B5EF4-FFF2-40B4-BE49-F238E27FC236}">
              <a16:creationId xmlns:a16="http://schemas.microsoft.com/office/drawing/2014/main" id="{4D69F1B1-3A1E-4BC7-8F31-C4973BCE1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9170" name="Picture@5C\QPendientes@" descr="@5C\QPendientes@">
          <a:extLst>
            <a:ext uri="{FF2B5EF4-FFF2-40B4-BE49-F238E27FC236}">
              <a16:creationId xmlns:a16="http://schemas.microsoft.com/office/drawing/2014/main" id="{1BE1060D-CB41-403F-9950-8738A2CD6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1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9171" name="Picture@5C\QPendientes@" descr="@5C\QPendientes@">
          <a:extLst>
            <a:ext uri="{FF2B5EF4-FFF2-40B4-BE49-F238E27FC236}">
              <a16:creationId xmlns:a16="http://schemas.microsoft.com/office/drawing/2014/main" id="{DFA77086-B3F8-4068-B1C2-1B692C9D8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3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9172" name="Picture@5C\QPendientes@" descr="@5C\QPendientes@">
          <a:extLst>
            <a:ext uri="{FF2B5EF4-FFF2-40B4-BE49-F238E27FC236}">
              <a16:creationId xmlns:a16="http://schemas.microsoft.com/office/drawing/2014/main" id="{4442EB72-501F-4373-881A-FCA76AA0B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5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9173" name="Picture@5C\QPendientes@" descr="@5C\QPendientes@">
          <a:extLst>
            <a:ext uri="{FF2B5EF4-FFF2-40B4-BE49-F238E27FC236}">
              <a16:creationId xmlns:a16="http://schemas.microsoft.com/office/drawing/2014/main" id="{B54F7943-B006-4474-8E08-3B6ABC811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7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9174" name="Picture@5C\QPendientes@" descr="@5C\QPendientes@">
          <a:extLst>
            <a:ext uri="{FF2B5EF4-FFF2-40B4-BE49-F238E27FC236}">
              <a16:creationId xmlns:a16="http://schemas.microsoft.com/office/drawing/2014/main" id="{BA81E7EF-BF2A-4049-AB85-A7EEB8E56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9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9175" name="Picture@5C\QPendientes@" descr="@5C\QPendientes@">
          <a:extLst>
            <a:ext uri="{FF2B5EF4-FFF2-40B4-BE49-F238E27FC236}">
              <a16:creationId xmlns:a16="http://schemas.microsoft.com/office/drawing/2014/main" id="{E1D85582-E81E-45CB-B84F-5612F950C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1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9176" name="Picture@5C\QPendientes@" descr="@5C\QPendientes@">
          <a:extLst>
            <a:ext uri="{FF2B5EF4-FFF2-40B4-BE49-F238E27FC236}">
              <a16:creationId xmlns:a16="http://schemas.microsoft.com/office/drawing/2014/main" id="{744B4CF4-BD41-4971-91E4-0B90FCD15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2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9177" name="Picture@5C\QPendientes@" descr="@5C\QPendientes@">
          <a:extLst>
            <a:ext uri="{FF2B5EF4-FFF2-40B4-BE49-F238E27FC236}">
              <a16:creationId xmlns:a16="http://schemas.microsoft.com/office/drawing/2014/main" id="{5AF4C3C1-7569-441A-A58D-8F218FB83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4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9178" name="Picture@5C\QPendientes@" descr="@5C\QPendientes@">
          <a:extLst>
            <a:ext uri="{FF2B5EF4-FFF2-40B4-BE49-F238E27FC236}">
              <a16:creationId xmlns:a16="http://schemas.microsoft.com/office/drawing/2014/main" id="{FFD4AC1F-D759-4C82-88A2-C06EDEDC2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6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9179" name="Picture@5C\QPendientes@" descr="@5C\QPendientes@">
          <a:extLst>
            <a:ext uri="{FF2B5EF4-FFF2-40B4-BE49-F238E27FC236}">
              <a16:creationId xmlns:a16="http://schemas.microsoft.com/office/drawing/2014/main" id="{B7E11DA8-A648-458F-B4C0-7D587F180A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9180" name="Picture@5C\QPendientes@" descr="@5C\QPendientes@">
          <a:extLst>
            <a:ext uri="{FF2B5EF4-FFF2-40B4-BE49-F238E27FC236}">
              <a16:creationId xmlns:a16="http://schemas.microsoft.com/office/drawing/2014/main" id="{4D0B7958-3D5A-41BC-884A-C9F194A72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0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9181" name="Picture@5C\QPendientes@" descr="@5C\QPendientes@">
          <a:extLst>
            <a:ext uri="{FF2B5EF4-FFF2-40B4-BE49-F238E27FC236}">
              <a16:creationId xmlns:a16="http://schemas.microsoft.com/office/drawing/2014/main" id="{E5C245A6-66C4-4736-BE7D-C93CBE433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1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9182" name="Picture@5C\QPendientes@" descr="@5C\QPendientes@">
          <a:extLst>
            <a:ext uri="{FF2B5EF4-FFF2-40B4-BE49-F238E27FC236}">
              <a16:creationId xmlns:a16="http://schemas.microsoft.com/office/drawing/2014/main" id="{1A1072B1-45F4-4052-87C5-941B75D1E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3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9183" name="Picture@5C\QPendientes@" descr="@5C\QPendientes@">
          <a:extLst>
            <a:ext uri="{FF2B5EF4-FFF2-40B4-BE49-F238E27FC236}">
              <a16:creationId xmlns:a16="http://schemas.microsoft.com/office/drawing/2014/main" id="{E548E72B-B661-4AB0-89B5-BAFC281E2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5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9184" name="Picture@5C\QPendientes@" descr="@5C\QPendientes@">
          <a:extLst>
            <a:ext uri="{FF2B5EF4-FFF2-40B4-BE49-F238E27FC236}">
              <a16:creationId xmlns:a16="http://schemas.microsoft.com/office/drawing/2014/main" id="{5F11CBBA-A1E0-4D9D-A5B6-2ECB5A826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7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9185" name="Picture@5C\QPendientes@" descr="@5C\QPendientes@">
          <a:extLst>
            <a:ext uri="{FF2B5EF4-FFF2-40B4-BE49-F238E27FC236}">
              <a16:creationId xmlns:a16="http://schemas.microsoft.com/office/drawing/2014/main" id="{0C6BA2D5-F7AA-4F90-B406-71DCA4280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9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9186" name="Picture@5C\QPendientes@" descr="@5C\QPendientes@">
          <a:extLst>
            <a:ext uri="{FF2B5EF4-FFF2-40B4-BE49-F238E27FC236}">
              <a16:creationId xmlns:a16="http://schemas.microsoft.com/office/drawing/2014/main" id="{426B43DD-DA24-4B64-876F-CE1693A1E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1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9187" name="Picture@5C\QPendientes@" descr="@5C\QPendientes@">
          <a:extLst>
            <a:ext uri="{FF2B5EF4-FFF2-40B4-BE49-F238E27FC236}">
              <a16:creationId xmlns:a16="http://schemas.microsoft.com/office/drawing/2014/main" id="{729A21B5-233C-4C18-AC88-0C7CCCEE8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2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9188" name="Picture@5C\QPendientes@" descr="@5C\QPendientes@">
          <a:extLst>
            <a:ext uri="{FF2B5EF4-FFF2-40B4-BE49-F238E27FC236}">
              <a16:creationId xmlns:a16="http://schemas.microsoft.com/office/drawing/2014/main" id="{A990D372-C081-4C00-BACE-3A0D37E24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4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9189" name="Picture@5C\QPendientes@" descr="@5C\QPendientes@">
          <a:extLst>
            <a:ext uri="{FF2B5EF4-FFF2-40B4-BE49-F238E27FC236}">
              <a16:creationId xmlns:a16="http://schemas.microsoft.com/office/drawing/2014/main" id="{0AE1B8FA-7A8F-458F-BF0F-A278E6AD9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9190" name="Picture@5C\QPendientes@" descr="@5C\QPendientes@">
          <a:extLst>
            <a:ext uri="{FF2B5EF4-FFF2-40B4-BE49-F238E27FC236}">
              <a16:creationId xmlns:a16="http://schemas.microsoft.com/office/drawing/2014/main" id="{502E0C8B-C670-4827-BD5C-756BFFA63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8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9191" name="Picture@5C\QPendientes@" descr="@5C\QPendientes@">
          <a:extLst>
            <a:ext uri="{FF2B5EF4-FFF2-40B4-BE49-F238E27FC236}">
              <a16:creationId xmlns:a16="http://schemas.microsoft.com/office/drawing/2014/main" id="{D3C2A97F-FD19-48BB-B259-81FD68B56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0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9192" name="Picture@5C\QPendientes@" descr="@5C\QPendientes@">
          <a:extLst>
            <a:ext uri="{FF2B5EF4-FFF2-40B4-BE49-F238E27FC236}">
              <a16:creationId xmlns:a16="http://schemas.microsoft.com/office/drawing/2014/main" id="{92E1D6D5-AC91-4066-8EB2-9AE194A78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2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9193" name="Picture@5C\QPendientes@" descr="@5C\QPendientes@">
          <a:extLst>
            <a:ext uri="{FF2B5EF4-FFF2-40B4-BE49-F238E27FC236}">
              <a16:creationId xmlns:a16="http://schemas.microsoft.com/office/drawing/2014/main" id="{AE62AE6B-356A-4EB7-B608-162AB1913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3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9194" name="Picture@5C\QPendientes@" descr="@5C\QPendientes@">
          <a:extLst>
            <a:ext uri="{FF2B5EF4-FFF2-40B4-BE49-F238E27FC236}">
              <a16:creationId xmlns:a16="http://schemas.microsoft.com/office/drawing/2014/main" id="{23A3E744-C3B1-4F5B-AE34-265F5FED2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5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9195" name="Picture@5C\QPendientes@" descr="@5C\QPendientes@">
          <a:extLst>
            <a:ext uri="{FF2B5EF4-FFF2-40B4-BE49-F238E27FC236}">
              <a16:creationId xmlns:a16="http://schemas.microsoft.com/office/drawing/2014/main" id="{916163BF-FDBD-4256-90FA-B1B4768C8F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7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9196" name="Picture@5C\QPendientes@" descr="@5C\QPendientes@">
          <a:extLst>
            <a:ext uri="{FF2B5EF4-FFF2-40B4-BE49-F238E27FC236}">
              <a16:creationId xmlns:a16="http://schemas.microsoft.com/office/drawing/2014/main" id="{69B36A59-341E-4124-8822-606D6BF3EE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9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9197" name="Picture@5C\QPendientes@" descr="@5C\QPendientes@">
          <a:extLst>
            <a:ext uri="{FF2B5EF4-FFF2-40B4-BE49-F238E27FC236}">
              <a16:creationId xmlns:a16="http://schemas.microsoft.com/office/drawing/2014/main" id="{517859D1-6073-4DA8-8E9D-DE0B51640E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1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9198" name="Picture@5C\QPendientes@" descr="@5C\QPendientes@">
          <a:extLst>
            <a:ext uri="{FF2B5EF4-FFF2-40B4-BE49-F238E27FC236}">
              <a16:creationId xmlns:a16="http://schemas.microsoft.com/office/drawing/2014/main" id="{8CD29941-2F94-4CC2-9A55-D84D0FC7F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3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9199" name="Picture@5C\QPendientes@" descr="@5C\QPendientes@">
          <a:extLst>
            <a:ext uri="{FF2B5EF4-FFF2-40B4-BE49-F238E27FC236}">
              <a16:creationId xmlns:a16="http://schemas.microsoft.com/office/drawing/2014/main" id="{F39C559C-56FE-42C7-AC54-1CA5E8BB0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9200" name="Picture@5C\QPendientes@" descr="@5C\QPendientes@">
          <a:extLst>
            <a:ext uri="{FF2B5EF4-FFF2-40B4-BE49-F238E27FC236}">
              <a16:creationId xmlns:a16="http://schemas.microsoft.com/office/drawing/2014/main" id="{0D9FCEC0-026C-436F-94E2-8D7088094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6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9201" name="Picture@5C\QPendientes@" descr="@5C\QPendientes@">
          <a:extLst>
            <a:ext uri="{FF2B5EF4-FFF2-40B4-BE49-F238E27FC236}">
              <a16:creationId xmlns:a16="http://schemas.microsoft.com/office/drawing/2014/main" id="{9652511F-0596-4C7B-96D9-589673CD5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8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9202" name="Picture@5C\QPendientes@" descr="@5C\QPendientes@">
          <a:extLst>
            <a:ext uri="{FF2B5EF4-FFF2-40B4-BE49-F238E27FC236}">
              <a16:creationId xmlns:a16="http://schemas.microsoft.com/office/drawing/2014/main" id="{447EA4AD-82F7-40A3-9D95-253E07138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0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9203" name="Picture@5C\QPendientes@" descr="@5C\QPendientes@">
          <a:extLst>
            <a:ext uri="{FF2B5EF4-FFF2-40B4-BE49-F238E27FC236}">
              <a16:creationId xmlns:a16="http://schemas.microsoft.com/office/drawing/2014/main" id="{3CD513C9-E356-476E-9F69-7CB2D0280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2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9204" name="Picture@5C\QPendientes@" descr="@5C\QPendientes@">
          <a:extLst>
            <a:ext uri="{FF2B5EF4-FFF2-40B4-BE49-F238E27FC236}">
              <a16:creationId xmlns:a16="http://schemas.microsoft.com/office/drawing/2014/main" id="{E58113AA-3339-46FE-8649-3C245EA11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4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9205" name="Picture@5C\QPendientes@" descr="@5C\QPendientes@">
          <a:extLst>
            <a:ext uri="{FF2B5EF4-FFF2-40B4-BE49-F238E27FC236}">
              <a16:creationId xmlns:a16="http://schemas.microsoft.com/office/drawing/2014/main" id="{ACAA9EDB-B714-4253-86D3-46D85CC39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5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9206" name="Picture@5C\QPendientes@" descr="@5C\QPendientes@">
          <a:extLst>
            <a:ext uri="{FF2B5EF4-FFF2-40B4-BE49-F238E27FC236}">
              <a16:creationId xmlns:a16="http://schemas.microsoft.com/office/drawing/2014/main" id="{D3F61D4D-C6A1-4C7D-8CB0-C3EC03B1F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7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9207" name="Picture@5C\QPendientes@" descr="@5C\QPendientes@">
          <a:extLst>
            <a:ext uri="{FF2B5EF4-FFF2-40B4-BE49-F238E27FC236}">
              <a16:creationId xmlns:a16="http://schemas.microsoft.com/office/drawing/2014/main" id="{633E0C33-5DDB-4BE2-9F21-8C818ABEA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9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9208" name="Picture@5C\QPendientes@" descr="@5C\QPendientes@">
          <a:extLst>
            <a:ext uri="{FF2B5EF4-FFF2-40B4-BE49-F238E27FC236}">
              <a16:creationId xmlns:a16="http://schemas.microsoft.com/office/drawing/2014/main" id="{869A0790-E80C-4D63-A697-943D70DB2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1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9209" name="Picture@5C\QPendientes@" descr="@5C\QPendientes@">
          <a:extLst>
            <a:ext uri="{FF2B5EF4-FFF2-40B4-BE49-F238E27FC236}">
              <a16:creationId xmlns:a16="http://schemas.microsoft.com/office/drawing/2014/main" id="{B4BE423B-CD9A-436B-A8EB-F2ED22945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9210" name="Picture@5C\QPendientes@" descr="@5C\QPendientes@">
          <a:extLst>
            <a:ext uri="{FF2B5EF4-FFF2-40B4-BE49-F238E27FC236}">
              <a16:creationId xmlns:a16="http://schemas.microsoft.com/office/drawing/2014/main" id="{98952BC7-8BDE-4F27-9214-133CA4B1F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5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9211" name="Picture@5C\QPendientes@" descr="@5C\QPendientes@">
          <a:extLst>
            <a:ext uri="{FF2B5EF4-FFF2-40B4-BE49-F238E27FC236}">
              <a16:creationId xmlns:a16="http://schemas.microsoft.com/office/drawing/2014/main" id="{2D55503B-4EB9-4AF7-A544-36E76C6D7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6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9212" name="Picture@5C\QPendientes@" descr="@5C\QPendientes@">
          <a:extLst>
            <a:ext uri="{FF2B5EF4-FFF2-40B4-BE49-F238E27FC236}">
              <a16:creationId xmlns:a16="http://schemas.microsoft.com/office/drawing/2014/main" id="{2CB8DEBB-9433-46EC-B71C-9A591BD62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8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9213" name="Picture@5C\QPendientes@" descr="@5C\QPendientes@">
          <a:extLst>
            <a:ext uri="{FF2B5EF4-FFF2-40B4-BE49-F238E27FC236}">
              <a16:creationId xmlns:a16="http://schemas.microsoft.com/office/drawing/2014/main" id="{82F2E0F3-9396-43A7-95FE-549B41A79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0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9214" name="Picture@5C\QPendientes@" descr="@5C\QPendientes@">
          <a:extLst>
            <a:ext uri="{FF2B5EF4-FFF2-40B4-BE49-F238E27FC236}">
              <a16:creationId xmlns:a16="http://schemas.microsoft.com/office/drawing/2014/main" id="{8A044618-4676-437A-BD7E-E8FAA1551F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2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9215" name="Picture@5C\QPendientes@" descr="@5C\QPendientes@">
          <a:extLst>
            <a:ext uri="{FF2B5EF4-FFF2-40B4-BE49-F238E27FC236}">
              <a16:creationId xmlns:a16="http://schemas.microsoft.com/office/drawing/2014/main" id="{60D5D58C-DBAC-4045-BA19-81CCEC75B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4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9216" name="Picture@5C\QPendientes@" descr="@5C\QPendientes@">
          <a:extLst>
            <a:ext uri="{FF2B5EF4-FFF2-40B4-BE49-F238E27FC236}">
              <a16:creationId xmlns:a16="http://schemas.microsoft.com/office/drawing/2014/main" id="{FFA89EDD-7207-4DE6-BF02-CE065BCFF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6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9217" name="Picture@5C\QPendientes@" descr="@5C\QPendientes@">
          <a:extLst>
            <a:ext uri="{FF2B5EF4-FFF2-40B4-BE49-F238E27FC236}">
              <a16:creationId xmlns:a16="http://schemas.microsoft.com/office/drawing/2014/main" id="{4615280D-4203-441D-A21D-B418719C7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7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9218" name="Picture@5C\QPendientes@" descr="@5C\QPendientes@">
          <a:extLst>
            <a:ext uri="{FF2B5EF4-FFF2-40B4-BE49-F238E27FC236}">
              <a16:creationId xmlns:a16="http://schemas.microsoft.com/office/drawing/2014/main" id="{D7E7442A-4E2A-49F6-9FE1-17E9960A7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9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9219" name="Picture@5C\QPendientes@" descr="@5C\QPendientes@">
          <a:extLst>
            <a:ext uri="{FF2B5EF4-FFF2-40B4-BE49-F238E27FC236}">
              <a16:creationId xmlns:a16="http://schemas.microsoft.com/office/drawing/2014/main" id="{FFDFD5D4-B115-4F6D-BCCC-7DF835F34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9220" name="Picture@5C\QPendientes@" descr="@5C\QPendientes@">
          <a:extLst>
            <a:ext uri="{FF2B5EF4-FFF2-40B4-BE49-F238E27FC236}">
              <a16:creationId xmlns:a16="http://schemas.microsoft.com/office/drawing/2014/main" id="{903E385A-B1A2-4F66-B82B-F32C78F50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3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9221" name="Picture@5C\QPendientes@" descr="@5C\QPendientes@">
          <a:extLst>
            <a:ext uri="{FF2B5EF4-FFF2-40B4-BE49-F238E27FC236}">
              <a16:creationId xmlns:a16="http://schemas.microsoft.com/office/drawing/2014/main" id="{DFF63B0B-9EB0-4F71-B0F5-18C033D04F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5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9222" name="Picture@5C\QPendientes@" descr="@5C\QPendientes@">
          <a:extLst>
            <a:ext uri="{FF2B5EF4-FFF2-40B4-BE49-F238E27FC236}">
              <a16:creationId xmlns:a16="http://schemas.microsoft.com/office/drawing/2014/main" id="{B40C4402-610A-485D-8F96-D87D8F13D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6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9223" name="Picture@5C\QPendientes@" descr="@5C\QPendientes@">
          <a:extLst>
            <a:ext uri="{FF2B5EF4-FFF2-40B4-BE49-F238E27FC236}">
              <a16:creationId xmlns:a16="http://schemas.microsoft.com/office/drawing/2014/main" id="{BF516801-6175-46C9-AB25-99F9A4711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8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9224" name="Picture@5C\QPendientes@" descr="@5C\QPendientes@">
          <a:extLst>
            <a:ext uri="{FF2B5EF4-FFF2-40B4-BE49-F238E27FC236}">
              <a16:creationId xmlns:a16="http://schemas.microsoft.com/office/drawing/2014/main" id="{8C7F8045-45F3-4283-84AD-610299A29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0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9225" name="Picture@5C\QPendientes@" descr="@5C\QPendientes@">
          <a:extLst>
            <a:ext uri="{FF2B5EF4-FFF2-40B4-BE49-F238E27FC236}">
              <a16:creationId xmlns:a16="http://schemas.microsoft.com/office/drawing/2014/main" id="{009EB490-B4AE-4756-996A-7F4E3ACE5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2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9226" name="Picture@5C\QPendientes@" descr="@5C\QPendientes@">
          <a:extLst>
            <a:ext uri="{FF2B5EF4-FFF2-40B4-BE49-F238E27FC236}">
              <a16:creationId xmlns:a16="http://schemas.microsoft.com/office/drawing/2014/main" id="{17B1ADF9-4571-493E-9BA0-A35004707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4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9227" name="Picture@5C\QPendientes@" descr="@5C\QPendientes@">
          <a:extLst>
            <a:ext uri="{FF2B5EF4-FFF2-40B4-BE49-F238E27FC236}">
              <a16:creationId xmlns:a16="http://schemas.microsoft.com/office/drawing/2014/main" id="{9CD2BA43-FF97-46F3-8AF7-D04FFA5B9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6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9228" name="Picture@5C\QPendientes@" descr="@5C\QPendientes@">
          <a:extLst>
            <a:ext uri="{FF2B5EF4-FFF2-40B4-BE49-F238E27FC236}">
              <a16:creationId xmlns:a16="http://schemas.microsoft.com/office/drawing/2014/main" id="{247258E0-929E-4F09-883B-1218AF822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7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9229" name="Picture@5C\QPendientes@" descr="@5C\QPendientes@">
          <a:extLst>
            <a:ext uri="{FF2B5EF4-FFF2-40B4-BE49-F238E27FC236}">
              <a16:creationId xmlns:a16="http://schemas.microsoft.com/office/drawing/2014/main" id="{80A87E9E-94F5-4279-B5FD-989E436FA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9230" name="Picture@5C\QPendientes@" descr="@5C\QPendientes@">
          <a:extLst>
            <a:ext uri="{FF2B5EF4-FFF2-40B4-BE49-F238E27FC236}">
              <a16:creationId xmlns:a16="http://schemas.microsoft.com/office/drawing/2014/main" id="{B9371528-BB05-4B19-B5BA-852F6852E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1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9231" name="Picture@5C\QPendientes@" descr="@5C\QPendientes@">
          <a:extLst>
            <a:ext uri="{FF2B5EF4-FFF2-40B4-BE49-F238E27FC236}">
              <a16:creationId xmlns:a16="http://schemas.microsoft.com/office/drawing/2014/main" id="{198F5CCB-514D-4E3D-8ADF-A928796DA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3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9232" name="Picture@5C\QPendientes@" descr="@5C\QPendientes@">
          <a:extLst>
            <a:ext uri="{FF2B5EF4-FFF2-40B4-BE49-F238E27FC236}">
              <a16:creationId xmlns:a16="http://schemas.microsoft.com/office/drawing/2014/main" id="{EBAD91A6-C24A-4411-BE86-F522502B6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5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9233" name="Picture@5C\QPendientes@" descr="@5C\QPendientes@">
          <a:extLst>
            <a:ext uri="{FF2B5EF4-FFF2-40B4-BE49-F238E27FC236}">
              <a16:creationId xmlns:a16="http://schemas.microsoft.com/office/drawing/2014/main" id="{426CA07E-00AD-4A29-8B19-FBE87ECB3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7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9234" name="Picture@5C\QPendientes@" descr="@5C\QPendientes@">
          <a:extLst>
            <a:ext uri="{FF2B5EF4-FFF2-40B4-BE49-F238E27FC236}">
              <a16:creationId xmlns:a16="http://schemas.microsoft.com/office/drawing/2014/main" id="{E4BE7C31-63A9-4C86-A803-4738BD6D9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8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9235" name="Picture@5C\QPendientes@" descr="@5C\QPendientes@">
          <a:extLst>
            <a:ext uri="{FF2B5EF4-FFF2-40B4-BE49-F238E27FC236}">
              <a16:creationId xmlns:a16="http://schemas.microsoft.com/office/drawing/2014/main" id="{1FDFF932-967D-4FA8-88CB-06DC8CBC1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0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9236" name="Picture@5C\QPendientes@" descr="@5C\QPendientes@">
          <a:extLst>
            <a:ext uri="{FF2B5EF4-FFF2-40B4-BE49-F238E27FC236}">
              <a16:creationId xmlns:a16="http://schemas.microsoft.com/office/drawing/2014/main" id="{FAAF7455-5574-425E-AC56-9EBD981B4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2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9237" name="Picture@5C\QPendientes@" descr="@5C\QPendientes@">
          <a:extLst>
            <a:ext uri="{FF2B5EF4-FFF2-40B4-BE49-F238E27FC236}">
              <a16:creationId xmlns:a16="http://schemas.microsoft.com/office/drawing/2014/main" id="{F3F8B15B-7261-4F53-84B8-F642BEAA4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4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9238" name="Picture@5C\QPendientes@" descr="@5C\QPendientes@">
          <a:extLst>
            <a:ext uri="{FF2B5EF4-FFF2-40B4-BE49-F238E27FC236}">
              <a16:creationId xmlns:a16="http://schemas.microsoft.com/office/drawing/2014/main" id="{0FD29839-4E6A-465F-894C-C341BA5F4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6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9239" name="Picture@5C\QPendientes@" descr="@5C\QPendientes@">
          <a:extLst>
            <a:ext uri="{FF2B5EF4-FFF2-40B4-BE49-F238E27FC236}">
              <a16:creationId xmlns:a16="http://schemas.microsoft.com/office/drawing/2014/main" id="{3FA63115-9EC7-4A25-813A-7060528CC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9240" name="Picture@5C\QPendientes@" descr="@5C\QPendientes@">
          <a:extLst>
            <a:ext uri="{FF2B5EF4-FFF2-40B4-BE49-F238E27FC236}">
              <a16:creationId xmlns:a16="http://schemas.microsoft.com/office/drawing/2014/main" id="{E84B26B7-0A2A-46FF-90D6-E3515924F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9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9241" name="Picture@5C\QPendientes@" descr="@5C\QPendientes@">
          <a:extLst>
            <a:ext uri="{FF2B5EF4-FFF2-40B4-BE49-F238E27FC236}">
              <a16:creationId xmlns:a16="http://schemas.microsoft.com/office/drawing/2014/main" id="{5FE7FD4D-1EE1-4E62-A1C9-06EFEB8FC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1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9242" name="Picture@5C\QPendientes@" descr="@5C\QPendientes@">
          <a:extLst>
            <a:ext uri="{FF2B5EF4-FFF2-40B4-BE49-F238E27FC236}">
              <a16:creationId xmlns:a16="http://schemas.microsoft.com/office/drawing/2014/main" id="{F7902C15-8F92-41A5-A362-9BFF64F51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3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9243" name="Picture@5C\QPendientes@" descr="@5C\QPendientes@">
          <a:extLst>
            <a:ext uri="{FF2B5EF4-FFF2-40B4-BE49-F238E27FC236}">
              <a16:creationId xmlns:a16="http://schemas.microsoft.com/office/drawing/2014/main" id="{0617137C-C5E0-4FB4-9255-514870909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5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9244" name="Picture@5C\QPendientes@" descr="@5C\QPendientes@">
          <a:extLst>
            <a:ext uri="{FF2B5EF4-FFF2-40B4-BE49-F238E27FC236}">
              <a16:creationId xmlns:a16="http://schemas.microsoft.com/office/drawing/2014/main" id="{01E50704-7D4A-4E6F-8FB7-AE6EE037E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7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9245" name="Picture@5C\QPendientes@" descr="@5C\QPendientes@">
          <a:extLst>
            <a:ext uri="{FF2B5EF4-FFF2-40B4-BE49-F238E27FC236}">
              <a16:creationId xmlns:a16="http://schemas.microsoft.com/office/drawing/2014/main" id="{78DAD10C-2FCE-4E81-8832-0AD62B1D6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9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9246" name="Picture@5C\QPendientes@" descr="@5C\QPendientes@">
          <a:extLst>
            <a:ext uri="{FF2B5EF4-FFF2-40B4-BE49-F238E27FC236}">
              <a16:creationId xmlns:a16="http://schemas.microsoft.com/office/drawing/2014/main" id="{97E3632D-639C-46A2-9ED6-1032A8971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0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9247" name="Picture@5C\QPendientes@" descr="@5C\QPendientes@">
          <a:extLst>
            <a:ext uri="{FF2B5EF4-FFF2-40B4-BE49-F238E27FC236}">
              <a16:creationId xmlns:a16="http://schemas.microsoft.com/office/drawing/2014/main" id="{F547FCBD-20A8-4E02-81A5-CD957CEBC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2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9248" name="Picture@5C\QPendientes@" descr="@5C\QPendientes@">
          <a:extLst>
            <a:ext uri="{FF2B5EF4-FFF2-40B4-BE49-F238E27FC236}">
              <a16:creationId xmlns:a16="http://schemas.microsoft.com/office/drawing/2014/main" id="{3B95E507-8FCF-46DE-9659-ECEDECBE5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4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9249" name="Picture@5C\QPendientes@" descr="@5C\QPendientes@">
          <a:extLst>
            <a:ext uri="{FF2B5EF4-FFF2-40B4-BE49-F238E27FC236}">
              <a16:creationId xmlns:a16="http://schemas.microsoft.com/office/drawing/2014/main" id="{929DFA24-D05B-4AD4-82C4-FB17BA750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9250" name="Picture@5C\QPendientes@" descr="@5C\QPendientes@">
          <a:extLst>
            <a:ext uri="{FF2B5EF4-FFF2-40B4-BE49-F238E27FC236}">
              <a16:creationId xmlns:a16="http://schemas.microsoft.com/office/drawing/2014/main" id="{9FB345F0-C517-4039-BD2D-BC4B325A0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8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9251" name="Picture@5C\QPendientes@" descr="@5C\QPendientes@">
          <a:extLst>
            <a:ext uri="{FF2B5EF4-FFF2-40B4-BE49-F238E27FC236}">
              <a16:creationId xmlns:a16="http://schemas.microsoft.com/office/drawing/2014/main" id="{58ED2E2F-070A-47F0-A9DE-82701A433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0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9252" name="Picture@5C\QPendientes@" descr="@5C\QPendientes@">
          <a:extLst>
            <a:ext uri="{FF2B5EF4-FFF2-40B4-BE49-F238E27FC236}">
              <a16:creationId xmlns:a16="http://schemas.microsoft.com/office/drawing/2014/main" id="{2CED0F0B-1289-4256-8146-F0963D2D2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1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9253" name="Picture@5C\QPendientes@" descr="@5C\QPendientes@">
          <a:extLst>
            <a:ext uri="{FF2B5EF4-FFF2-40B4-BE49-F238E27FC236}">
              <a16:creationId xmlns:a16="http://schemas.microsoft.com/office/drawing/2014/main" id="{7D838BF0-3C1A-4FF3-A619-EE2B961FC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3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9254" name="Picture@5C\QPendientes@" descr="@5C\QPendientes@">
          <a:extLst>
            <a:ext uri="{FF2B5EF4-FFF2-40B4-BE49-F238E27FC236}">
              <a16:creationId xmlns:a16="http://schemas.microsoft.com/office/drawing/2014/main" id="{36D3692F-0BF7-411A-B2DD-FB0CA3F60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5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9255" name="Picture@5C\QPendientes@" descr="@5C\QPendientes@">
          <a:extLst>
            <a:ext uri="{FF2B5EF4-FFF2-40B4-BE49-F238E27FC236}">
              <a16:creationId xmlns:a16="http://schemas.microsoft.com/office/drawing/2014/main" id="{AC89860E-0BC4-4DBC-BE95-4499DBF5C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7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9256" name="Picture@5C\QPendientes@" descr="@5C\QPendientes@">
          <a:extLst>
            <a:ext uri="{FF2B5EF4-FFF2-40B4-BE49-F238E27FC236}">
              <a16:creationId xmlns:a16="http://schemas.microsoft.com/office/drawing/2014/main" id="{0235F0D3-AE4B-40FC-8869-E525F8541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9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9257" name="Picture@5C\QPendientes@" descr="@5C\QPendientes@">
          <a:extLst>
            <a:ext uri="{FF2B5EF4-FFF2-40B4-BE49-F238E27FC236}">
              <a16:creationId xmlns:a16="http://schemas.microsoft.com/office/drawing/2014/main" id="{870B5DB1-30DA-43AE-B8A2-508CB0DC5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0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9258" name="Picture@5C\QPendientes@" descr="@5C\QPendientes@">
          <a:extLst>
            <a:ext uri="{FF2B5EF4-FFF2-40B4-BE49-F238E27FC236}">
              <a16:creationId xmlns:a16="http://schemas.microsoft.com/office/drawing/2014/main" id="{0BB1CAA5-4106-49B5-A373-DD3D96614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2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9259" name="Picture@5C\QPendientes@" descr="@5C\QPendientes@">
          <a:extLst>
            <a:ext uri="{FF2B5EF4-FFF2-40B4-BE49-F238E27FC236}">
              <a16:creationId xmlns:a16="http://schemas.microsoft.com/office/drawing/2014/main" id="{B17B2850-3807-4CC4-A54B-C4D7A04AC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9260" name="Picture@5C\QPendientes@" descr="@5C\QPendientes@">
          <a:extLst>
            <a:ext uri="{FF2B5EF4-FFF2-40B4-BE49-F238E27FC236}">
              <a16:creationId xmlns:a16="http://schemas.microsoft.com/office/drawing/2014/main" id="{4690F2D8-F814-41F2-8A46-41911DC9D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6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9261" name="Picture@5C\QPendientes@" descr="@5C\QPendientes@">
          <a:extLst>
            <a:ext uri="{FF2B5EF4-FFF2-40B4-BE49-F238E27FC236}">
              <a16:creationId xmlns:a16="http://schemas.microsoft.com/office/drawing/2014/main" id="{A97BC39C-CF36-4067-92D3-2DBC56519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8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9262" name="Picture@5C\QPendientes@" descr="@5C\QPendientes@">
          <a:extLst>
            <a:ext uri="{FF2B5EF4-FFF2-40B4-BE49-F238E27FC236}">
              <a16:creationId xmlns:a16="http://schemas.microsoft.com/office/drawing/2014/main" id="{9AEAA707-6325-425D-A74A-36E96F2E3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0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9263" name="Picture@5C\QPendientes@" descr="@5C\QPendientes@">
          <a:extLst>
            <a:ext uri="{FF2B5EF4-FFF2-40B4-BE49-F238E27FC236}">
              <a16:creationId xmlns:a16="http://schemas.microsoft.com/office/drawing/2014/main" id="{4B07A26F-0DC9-4F7E-A556-7C33440A1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1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9264" name="Picture@5C\QPendientes@" descr="@5C\QPendientes@">
          <a:extLst>
            <a:ext uri="{FF2B5EF4-FFF2-40B4-BE49-F238E27FC236}">
              <a16:creationId xmlns:a16="http://schemas.microsoft.com/office/drawing/2014/main" id="{EB3F66F7-037C-46B5-AB4A-1F592D513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3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9265" name="Picture@5C\QPendientes@" descr="@5C\QPendientes@">
          <a:extLst>
            <a:ext uri="{FF2B5EF4-FFF2-40B4-BE49-F238E27FC236}">
              <a16:creationId xmlns:a16="http://schemas.microsoft.com/office/drawing/2014/main" id="{A15AC7CC-A1BF-472D-BB95-3AFD8BCA0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5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9266" name="Picture@5C\QPendientes@" descr="@5C\QPendientes@">
          <a:extLst>
            <a:ext uri="{FF2B5EF4-FFF2-40B4-BE49-F238E27FC236}">
              <a16:creationId xmlns:a16="http://schemas.microsoft.com/office/drawing/2014/main" id="{0DA3AA2A-8A91-439C-8410-C16B89DB6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7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9267" name="Picture@5C\QPendientes@" descr="@5C\QPendientes@">
          <a:extLst>
            <a:ext uri="{FF2B5EF4-FFF2-40B4-BE49-F238E27FC236}">
              <a16:creationId xmlns:a16="http://schemas.microsoft.com/office/drawing/2014/main" id="{7BF2AD31-DC70-42B0-BEFC-2281DF50D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9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9268" name="Picture@5C\QPendientes@" descr="@5C\QPendientes@">
          <a:extLst>
            <a:ext uri="{FF2B5EF4-FFF2-40B4-BE49-F238E27FC236}">
              <a16:creationId xmlns:a16="http://schemas.microsoft.com/office/drawing/2014/main" id="{680FAFF0-8DA1-4D3F-8017-C4CB4B622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1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9269" name="Picture@5C\QPendientes@" descr="@5C\QPendientes@">
          <a:extLst>
            <a:ext uri="{FF2B5EF4-FFF2-40B4-BE49-F238E27FC236}">
              <a16:creationId xmlns:a16="http://schemas.microsoft.com/office/drawing/2014/main" id="{750C64B0-C740-4911-82D2-342A31258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9270" name="Picture@5C\QPendientes@" descr="@5C\QPendientes@">
          <a:extLst>
            <a:ext uri="{FF2B5EF4-FFF2-40B4-BE49-F238E27FC236}">
              <a16:creationId xmlns:a16="http://schemas.microsoft.com/office/drawing/2014/main" id="{A9D52E32-029C-48D8-95BE-63823AE7E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4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9271" name="Picture@5C\QPendientes@" descr="@5C\QPendientes@">
          <a:extLst>
            <a:ext uri="{FF2B5EF4-FFF2-40B4-BE49-F238E27FC236}">
              <a16:creationId xmlns:a16="http://schemas.microsoft.com/office/drawing/2014/main" id="{28664343-1D3A-43FE-902D-0A82808C2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6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9272" name="Picture@5C\QPendientes@" descr="@5C\QPendientes@">
          <a:extLst>
            <a:ext uri="{FF2B5EF4-FFF2-40B4-BE49-F238E27FC236}">
              <a16:creationId xmlns:a16="http://schemas.microsoft.com/office/drawing/2014/main" id="{F389B79B-4F97-4E42-8C8D-5246A6961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8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9273" name="Picture@5C\QPendientes@" descr="@5C\QPendientes@">
          <a:extLst>
            <a:ext uri="{FF2B5EF4-FFF2-40B4-BE49-F238E27FC236}">
              <a16:creationId xmlns:a16="http://schemas.microsoft.com/office/drawing/2014/main" id="{5722C1C0-C59D-4E16-BD18-F97644548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0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9274" name="Picture@5C\QPendientes@" descr="@5C\QPendientes@">
          <a:extLst>
            <a:ext uri="{FF2B5EF4-FFF2-40B4-BE49-F238E27FC236}">
              <a16:creationId xmlns:a16="http://schemas.microsoft.com/office/drawing/2014/main" id="{1CD4F30D-25E7-4771-A728-1678DCF84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2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9275" name="Picture@5C\QPendientes@" descr="@5C\QPendientes@">
          <a:extLst>
            <a:ext uri="{FF2B5EF4-FFF2-40B4-BE49-F238E27FC236}">
              <a16:creationId xmlns:a16="http://schemas.microsoft.com/office/drawing/2014/main" id="{B8D41CF5-46DF-4E99-BD3B-EEE39CA29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3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9276" name="Picture@5C\QPendientes@" descr="@5C\QPendientes@">
          <a:extLst>
            <a:ext uri="{FF2B5EF4-FFF2-40B4-BE49-F238E27FC236}">
              <a16:creationId xmlns:a16="http://schemas.microsoft.com/office/drawing/2014/main" id="{D46CA20F-EBBE-41C3-8C6B-5255CCECB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5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9277" name="Picture@5C\QPendientes@" descr="@5C\QPendientes@">
          <a:extLst>
            <a:ext uri="{FF2B5EF4-FFF2-40B4-BE49-F238E27FC236}">
              <a16:creationId xmlns:a16="http://schemas.microsoft.com/office/drawing/2014/main" id="{3B322904-BC6B-4182-976B-D51BBF69B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7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9278" name="Picture@5C\QPendientes@" descr="@5C\QPendientes@">
          <a:extLst>
            <a:ext uri="{FF2B5EF4-FFF2-40B4-BE49-F238E27FC236}">
              <a16:creationId xmlns:a16="http://schemas.microsoft.com/office/drawing/2014/main" id="{F2D9D704-818E-4938-8EF0-1E91B3380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69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9279" name="Picture@5C\QPendientes@" descr="@5C\QPendientes@">
          <a:extLst>
            <a:ext uri="{FF2B5EF4-FFF2-40B4-BE49-F238E27FC236}">
              <a16:creationId xmlns:a16="http://schemas.microsoft.com/office/drawing/2014/main" id="{542312E6-6C06-4713-A92E-173B273CB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9280" name="Picture@5C\QPendientes@" descr="@5C\QPendientes@">
          <a:extLst>
            <a:ext uri="{FF2B5EF4-FFF2-40B4-BE49-F238E27FC236}">
              <a16:creationId xmlns:a16="http://schemas.microsoft.com/office/drawing/2014/main" id="{FBB64888-5274-4B47-B21A-F3DB9B354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3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9281" name="Picture@5C\QPendientes@" descr="@5C\QPendientes@">
          <a:extLst>
            <a:ext uri="{FF2B5EF4-FFF2-40B4-BE49-F238E27FC236}">
              <a16:creationId xmlns:a16="http://schemas.microsoft.com/office/drawing/2014/main" id="{CE06D133-D81F-4E57-B89F-0EBCB04E5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4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9282" name="Picture@5C\QPendientes@" descr="@5C\QPendientes@">
          <a:extLst>
            <a:ext uri="{FF2B5EF4-FFF2-40B4-BE49-F238E27FC236}">
              <a16:creationId xmlns:a16="http://schemas.microsoft.com/office/drawing/2014/main" id="{694852EF-24A7-43A0-A505-6CA7DFF0A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6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9283" name="Picture@5C\QPendientes@" descr="@5C\QPendientes@">
          <a:extLst>
            <a:ext uri="{FF2B5EF4-FFF2-40B4-BE49-F238E27FC236}">
              <a16:creationId xmlns:a16="http://schemas.microsoft.com/office/drawing/2014/main" id="{2B480292-499B-4CAB-9CEA-86BFE33AF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8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9284" name="Picture@5C\QPendientes@" descr="@5C\QPendientes@">
          <a:extLst>
            <a:ext uri="{FF2B5EF4-FFF2-40B4-BE49-F238E27FC236}">
              <a16:creationId xmlns:a16="http://schemas.microsoft.com/office/drawing/2014/main" id="{DBEBF050-0249-4368-B3F6-2E4924C00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0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9285" name="Picture@5C\QPendientes@" descr="@5C\QPendientes@">
          <a:extLst>
            <a:ext uri="{FF2B5EF4-FFF2-40B4-BE49-F238E27FC236}">
              <a16:creationId xmlns:a16="http://schemas.microsoft.com/office/drawing/2014/main" id="{96B5919B-60FB-46EC-927C-531586BE3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2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9286" name="Picture@5C\QPendientes@" descr="@5C\QPendientes@">
          <a:extLst>
            <a:ext uri="{FF2B5EF4-FFF2-40B4-BE49-F238E27FC236}">
              <a16:creationId xmlns:a16="http://schemas.microsoft.com/office/drawing/2014/main" id="{799312E4-A01E-44D9-9E8E-BC3821395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4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9287" name="Picture@5C\QPendientes@" descr="@5C\QPendientes@">
          <a:extLst>
            <a:ext uri="{FF2B5EF4-FFF2-40B4-BE49-F238E27FC236}">
              <a16:creationId xmlns:a16="http://schemas.microsoft.com/office/drawing/2014/main" id="{B1E6F531-3250-4287-A93E-9DA96DC3B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5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9288" name="Picture@5C\QPendientes@" descr="@5C\QPendientes@">
          <a:extLst>
            <a:ext uri="{FF2B5EF4-FFF2-40B4-BE49-F238E27FC236}">
              <a16:creationId xmlns:a16="http://schemas.microsoft.com/office/drawing/2014/main" id="{9D042232-B614-4793-9C0D-89CA8A689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7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9289" name="Picture@5C\QPendientes@" descr="@5C\QPendientes@">
          <a:extLst>
            <a:ext uri="{FF2B5EF4-FFF2-40B4-BE49-F238E27FC236}">
              <a16:creationId xmlns:a16="http://schemas.microsoft.com/office/drawing/2014/main" id="{83728907-6D84-49A0-9032-DB6A13F51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9290" name="Picture@5C\QPendientes@" descr="@5C\QPendientes@">
          <a:extLst>
            <a:ext uri="{FF2B5EF4-FFF2-40B4-BE49-F238E27FC236}">
              <a16:creationId xmlns:a16="http://schemas.microsoft.com/office/drawing/2014/main" id="{FE17F88C-8EFD-45D4-8611-76A7F4BB6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1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9291" name="Picture@5C\QPendientes@" descr="@5C\QPendientes@">
          <a:extLst>
            <a:ext uri="{FF2B5EF4-FFF2-40B4-BE49-F238E27FC236}">
              <a16:creationId xmlns:a16="http://schemas.microsoft.com/office/drawing/2014/main" id="{B316C833-8CA3-4AAC-A4DF-C4D644FAC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3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9292" name="Picture@5C\QPendientes@" descr="@5C\QPendientes@">
          <a:extLst>
            <a:ext uri="{FF2B5EF4-FFF2-40B4-BE49-F238E27FC236}">
              <a16:creationId xmlns:a16="http://schemas.microsoft.com/office/drawing/2014/main" id="{985E54A3-AB0F-4600-A1BA-92A04FCFB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4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9293" name="Picture@5C\QPendientes@" descr="@5C\QPendientes@">
          <a:extLst>
            <a:ext uri="{FF2B5EF4-FFF2-40B4-BE49-F238E27FC236}">
              <a16:creationId xmlns:a16="http://schemas.microsoft.com/office/drawing/2014/main" id="{092181D4-1E42-4353-9B58-C2480294D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6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9294" name="Picture@5C\QPendientes@" descr="@5C\QPendientes@">
          <a:extLst>
            <a:ext uri="{FF2B5EF4-FFF2-40B4-BE49-F238E27FC236}">
              <a16:creationId xmlns:a16="http://schemas.microsoft.com/office/drawing/2014/main" id="{288AD220-5B7A-47AF-9CC6-85FBA63C2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8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9295" name="Picture@5C\QPendientes@" descr="@5C\QPendientes@">
          <a:extLst>
            <a:ext uri="{FF2B5EF4-FFF2-40B4-BE49-F238E27FC236}">
              <a16:creationId xmlns:a16="http://schemas.microsoft.com/office/drawing/2014/main" id="{5686F306-5BC7-4397-8046-EBB3E8D18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0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9296" name="Picture@5C\QPendientes@" descr="@5C\QPendientes@">
          <a:extLst>
            <a:ext uri="{FF2B5EF4-FFF2-40B4-BE49-F238E27FC236}">
              <a16:creationId xmlns:a16="http://schemas.microsoft.com/office/drawing/2014/main" id="{2A45CA90-7AF7-47B4-96BC-574A55E60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2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9297" name="Picture@5C\QPendientes@" descr="@5C\QPendientes@">
          <a:extLst>
            <a:ext uri="{FF2B5EF4-FFF2-40B4-BE49-F238E27FC236}">
              <a16:creationId xmlns:a16="http://schemas.microsoft.com/office/drawing/2014/main" id="{472E3FCA-20EE-4362-BDAE-C7513E41F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4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9298" name="Picture@5C\QPendientes@" descr="@5C\QPendientes@">
          <a:extLst>
            <a:ext uri="{FF2B5EF4-FFF2-40B4-BE49-F238E27FC236}">
              <a16:creationId xmlns:a16="http://schemas.microsoft.com/office/drawing/2014/main" id="{5145D507-0706-4798-A91C-9EDF9D1BF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5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9299" name="Picture@5C\QPendientes@" descr="@5C\QPendientes@">
          <a:extLst>
            <a:ext uri="{FF2B5EF4-FFF2-40B4-BE49-F238E27FC236}">
              <a16:creationId xmlns:a16="http://schemas.microsoft.com/office/drawing/2014/main" id="{A893BD51-1AFF-46EB-B1B7-2C75DAA61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9300" name="Picture@5C\QPendientes@" descr="@5C\QPendientes@">
          <a:extLst>
            <a:ext uri="{FF2B5EF4-FFF2-40B4-BE49-F238E27FC236}">
              <a16:creationId xmlns:a16="http://schemas.microsoft.com/office/drawing/2014/main" id="{3AF4CC00-0036-44C3-BAC1-51390A5B5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9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9301" name="Picture@5C\QPendientes@" descr="@5C\QPendientes@">
          <a:extLst>
            <a:ext uri="{FF2B5EF4-FFF2-40B4-BE49-F238E27FC236}">
              <a16:creationId xmlns:a16="http://schemas.microsoft.com/office/drawing/2014/main" id="{C9BC2192-80C2-42F8-BC74-46BCB2997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1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9302" name="Picture@5C\QPendientes@" descr="@5C\QPendientes@">
          <a:extLst>
            <a:ext uri="{FF2B5EF4-FFF2-40B4-BE49-F238E27FC236}">
              <a16:creationId xmlns:a16="http://schemas.microsoft.com/office/drawing/2014/main" id="{A2EC6FBF-7D5F-4C47-B464-B5E7B39E5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3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9303" name="Picture@5C\QPendientes@" descr="@5C\QPendientes@">
          <a:extLst>
            <a:ext uri="{FF2B5EF4-FFF2-40B4-BE49-F238E27FC236}">
              <a16:creationId xmlns:a16="http://schemas.microsoft.com/office/drawing/2014/main" id="{0C4134C4-065F-4EA6-9738-DF27A357F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5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9304" name="Picture@5C\QPendientes@" descr="@5C\QPendientes@">
          <a:extLst>
            <a:ext uri="{FF2B5EF4-FFF2-40B4-BE49-F238E27FC236}">
              <a16:creationId xmlns:a16="http://schemas.microsoft.com/office/drawing/2014/main" id="{B02A3980-77A8-4A7B-A1A7-4D74FF008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6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9305" name="Picture@5C\QPendientes@" descr="@5C\QPendientes@">
          <a:extLst>
            <a:ext uri="{FF2B5EF4-FFF2-40B4-BE49-F238E27FC236}">
              <a16:creationId xmlns:a16="http://schemas.microsoft.com/office/drawing/2014/main" id="{6A27F7B7-A9A1-4AD0-9781-D71B4565F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8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9306" name="Picture@5C\QPendientes@" descr="@5C\QPendientes@">
          <a:extLst>
            <a:ext uri="{FF2B5EF4-FFF2-40B4-BE49-F238E27FC236}">
              <a16:creationId xmlns:a16="http://schemas.microsoft.com/office/drawing/2014/main" id="{C1E29193-E9A5-45E2-89F6-D51FACDE3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0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9307" name="Picture@5C\QPendientes@" descr="@5C\QPendientes@">
          <a:extLst>
            <a:ext uri="{FF2B5EF4-FFF2-40B4-BE49-F238E27FC236}">
              <a16:creationId xmlns:a16="http://schemas.microsoft.com/office/drawing/2014/main" id="{8F36701D-1259-41F8-920E-359FBEDCD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2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9308" name="Picture@5C\QPendientes@" descr="@5C\QPendientes@">
          <a:extLst>
            <a:ext uri="{FF2B5EF4-FFF2-40B4-BE49-F238E27FC236}">
              <a16:creationId xmlns:a16="http://schemas.microsoft.com/office/drawing/2014/main" id="{9C86E221-6AEC-43B0-ADFE-4DA269FD0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4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9309" name="Picture@5C\QPendientes@" descr="@5C\QPendientes@">
          <a:extLst>
            <a:ext uri="{FF2B5EF4-FFF2-40B4-BE49-F238E27FC236}">
              <a16:creationId xmlns:a16="http://schemas.microsoft.com/office/drawing/2014/main" id="{E69C7F8D-4E3E-4313-B5A3-D497083BD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9310" name="Picture@5C\QPendientes@" descr="@5C\QPendientes@">
          <a:extLst>
            <a:ext uri="{FF2B5EF4-FFF2-40B4-BE49-F238E27FC236}">
              <a16:creationId xmlns:a16="http://schemas.microsoft.com/office/drawing/2014/main" id="{3F38E98F-A30D-4A52-9935-B601C804D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7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9311" name="Picture@5C\QPendientes@" descr="@5C\QPendientes@">
          <a:extLst>
            <a:ext uri="{FF2B5EF4-FFF2-40B4-BE49-F238E27FC236}">
              <a16:creationId xmlns:a16="http://schemas.microsoft.com/office/drawing/2014/main" id="{CAA30DF0-1FE8-4CDC-BA2E-3EC959B52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9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9312" name="Picture@5C\QPendientes@" descr="@5C\QPendientes@">
          <a:extLst>
            <a:ext uri="{FF2B5EF4-FFF2-40B4-BE49-F238E27FC236}">
              <a16:creationId xmlns:a16="http://schemas.microsoft.com/office/drawing/2014/main" id="{C19DBC74-2624-4DA9-810F-5EDC54DC2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1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9313" name="Picture@5C\QPendientes@" descr="@5C\QPendientes@">
          <a:extLst>
            <a:ext uri="{FF2B5EF4-FFF2-40B4-BE49-F238E27FC236}">
              <a16:creationId xmlns:a16="http://schemas.microsoft.com/office/drawing/2014/main" id="{EF7D5EA3-9779-43CA-9E00-D4BE2668E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3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9314" name="Picture@5C\QPendientes@" descr="@5C\QPendientes@">
          <a:extLst>
            <a:ext uri="{FF2B5EF4-FFF2-40B4-BE49-F238E27FC236}">
              <a16:creationId xmlns:a16="http://schemas.microsoft.com/office/drawing/2014/main" id="{CCA65760-16D6-4B27-A218-2153B1E89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5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9315" name="Picture@5C\QPendientes@" descr="@5C\QPendientes@">
          <a:extLst>
            <a:ext uri="{FF2B5EF4-FFF2-40B4-BE49-F238E27FC236}">
              <a16:creationId xmlns:a16="http://schemas.microsoft.com/office/drawing/2014/main" id="{D68B01A1-214D-4B64-9D1D-58E24AC33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7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9316" name="Picture@5C\QPendientes@" descr="@5C\QPendientes@">
          <a:extLst>
            <a:ext uri="{FF2B5EF4-FFF2-40B4-BE49-F238E27FC236}">
              <a16:creationId xmlns:a16="http://schemas.microsoft.com/office/drawing/2014/main" id="{BF8B43DC-32ED-4702-BF4D-FD93F9277F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8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9317" name="Picture@5C\QPendientes@" descr="@5C\QPendientes@">
          <a:extLst>
            <a:ext uri="{FF2B5EF4-FFF2-40B4-BE49-F238E27FC236}">
              <a16:creationId xmlns:a16="http://schemas.microsoft.com/office/drawing/2014/main" id="{10AD5685-C88B-4E25-870B-5D533F398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0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9318" name="Picture@5C\QPendientes@" descr="@5C\QPendientes@">
          <a:extLst>
            <a:ext uri="{FF2B5EF4-FFF2-40B4-BE49-F238E27FC236}">
              <a16:creationId xmlns:a16="http://schemas.microsoft.com/office/drawing/2014/main" id="{37064D99-BE7B-44D3-B369-AB5157D93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2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9319" name="Picture@5C\QPendientes@" descr="@5C\QPendientes@">
          <a:extLst>
            <a:ext uri="{FF2B5EF4-FFF2-40B4-BE49-F238E27FC236}">
              <a16:creationId xmlns:a16="http://schemas.microsoft.com/office/drawing/2014/main" id="{B8631757-BD65-46BE-AF96-773F3FF65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9320" name="Picture@5C\QPendientes@" descr="@5C\QPendientes@">
          <a:extLst>
            <a:ext uri="{FF2B5EF4-FFF2-40B4-BE49-F238E27FC236}">
              <a16:creationId xmlns:a16="http://schemas.microsoft.com/office/drawing/2014/main" id="{384A7DAE-30A1-42AC-8587-D21BD914A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6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9321" name="Picture@5C\QPendientes@" descr="@5C\QPendientes@">
          <a:extLst>
            <a:ext uri="{FF2B5EF4-FFF2-40B4-BE49-F238E27FC236}">
              <a16:creationId xmlns:a16="http://schemas.microsoft.com/office/drawing/2014/main" id="{851C3DDF-F770-4051-AA74-B2D73FA14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8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9322" name="Picture@5C\QPendientes@" descr="@5C\QPendientes@">
          <a:extLst>
            <a:ext uri="{FF2B5EF4-FFF2-40B4-BE49-F238E27FC236}">
              <a16:creationId xmlns:a16="http://schemas.microsoft.com/office/drawing/2014/main" id="{CA8DD39E-5165-4B05-B7B3-08A698FBA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9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9323" name="Picture@5C\QPendientes@" descr="@5C\QPendientes@">
          <a:extLst>
            <a:ext uri="{FF2B5EF4-FFF2-40B4-BE49-F238E27FC236}">
              <a16:creationId xmlns:a16="http://schemas.microsoft.com/office/drawing/2014/main" id="{88331A1D-6201-480A-8B74-A49CC33E0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1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9324" name="Picture@5C\QPendientes@" descr="@5C\QPendientes@">
          <a:extLst>
            <a:ext uri="{FF2B5EF4-FFF2-40B4-BE49-F238E27FC236}">
              <a16:creationId xmlns:a16="http://schemas.microsoft.com/office/drawing/2014/main" id="{DF1E3CEE-BB8D-428D-9B58-C78B5E540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3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9325" name="Picture@5C\QPendientes@" descr="@5C\QPendientes@">
          <a:extLst>
            <a:ext uri="{FF2B5EF4-FFF2-40B4-BE49-F238E27FC236}">
              <a16:creationId xmlns:a16="http://schemas.microsoft.com/office/drawing/2014/main" id="{111C525C-BFEE-4157-8012-9B9CD4536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5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9326" name="Picture@5C\QPendientes@" descr="@5C\QPendientes@">
          <a:extLst>
            <a:ext uri="{FF2B5EF4-FFF2-40B4-BE49-F238E27FC236}">
              <a16:creationId xmlns:a16="http://schemas.microsoft.com/office/drawing/2014/main" id="{C4F5D45F-D820-4EC7-99BF-614D3CC77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7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9327" name="Picture@5C\QPendientes@" descr="@5C\QPendientes@">
          <a:extLst>
            <a:ext uri="{FF2B5EF4-FFF2-40B4-BE49-F238E27FC236}">
              <a16:creationId xmlns:a16="http://schemas.microsoft.com/office/drawing/2014/main" id="{D88BF973-ECA2-460B-B757-37853E79E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58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9328" name="Picture@5C\QPendientes@" descr="@5C\QPendientes@">
          <a:extLst>
            <a:ext uri="{FF2B5EF4-FFF2-40B4-BE49-F238E27FC236}">
              <a16:creationId xmlns:a16="http://schemas.microsoft.com/office/drawing/2014/main" id="{4E7A2C11-14CE-475A-9DAB-FAB08DAF15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0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9329" name="Picture@5C\QPendientes@" descr="@5C\QPendientes@">
          <a:extLst>
            <a:ext uri="{FF2B5EF4-FFF2-40B4-BE49-F238E27FC236}">
              <a16:creationId xmlns:a16="http://schemas.microsoft.com/office/drawing/2014/main" id="{9B47262B-727C-42B2-A4DB-EDA58B405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9330" name="Picture@5C\QPendientes@" descr="@5C\QPendientes@">
          <a:extLst>
            <a:ext uri="{FF2B5EF4-FFF2-40B4-BE49-F238E27FC236}">
              <a16:creationId xmlns:a16="http://schemas.microsoft.com/office/drawing/2014/main" id="{402D1F33-0DBB-4829-8D65-7D0CC70F8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4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9331" name="Picture@5C\QPendientes@" descr="@5C\QPendientes@">
          <a:extLst>
            <a:ext uri="{FF2B5EF4-FFF2-40B4-BE49-F238E27FC236}">
              <a16:creationId xmlns:a16="http://schemas.microsoft.com/office/drawing/2014/main" id="{543053ED-EE5B-4E0B-AD68-3EF5B7DBFB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6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9332" name="Picture@5C\QPendientes@" descr="@5C\QPendientes@">
          <a:extLst>
            <a:ext uri="{FF2B5EF4-FFF2-40B4-BE49-F238E27FC236}">
              <a16:creationId xmlns:a16="http://schemas.microsoft.com/office/drawing/2014/main" id="{13B97D5D-E6E2-404A-8C5C-92FDAD138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8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9333" name="Picture@5C\QPendientes@" descr="@5C\QPendientes@">
          <a:extLst>
            <a:ext uri="{FF2B5EF4-FFF2-40B4-BE49-F238E27FC236}">
              <a16:creationId xmlns:a16="http://schemas.microsoft.com/office/drawing/2014/main" id="{2223065F-5712-404E-8AFC-90A689B53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9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9334" name="Picture@5C\QPendientes@" descr="@5C\QPendientes@">
          <a:extLst>
            <a:ext uri="{FF2B5EF4-FFF2-40B4-BE49-F238E27FC236}">
              <a16:creationId xmlns:a16="http://schemas.microsoft.com/office/drawing/2014/main" id="{C2547738-F6BA-47A4-9E4E-91EF4446E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1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9335" name="Picture@5C\QPendientes@" descr="@5C\QPendientes@">
          <a:extLst>
            <a:ext uri="{FF2B5EF4-FFF2-40B4-BE49-F238E27FC236}">
              <a16:creationId xmlns:a16="http://schemas.microsoft.com/office/drawing/2014/main" id="{DAC55361-6431-4459-AF36-28FC69C5F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3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9336" name="Picture@5C\QPendientes@" descr="@5C\QPendientes@">
          <a:extLst>
            <a:ext uri="{FF2B5EF4-FFF2-40B4-BE49-F238E27FC236}">
              <a16:creationId xmlns:a16="http://schemas.microsoft.com/office/drawing/2014/main" id="{B7823987-C98C-4847-BD36-818E8B6E4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5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9337" name="Picture@5C\QPendientes@" descr="@5C\QPendientes@">
          <a:extLst>
            <a:ext uri="{FF2B5EF4-FFF2-40B4-BE49-F238E27FC236}">
              <a16:creationId xmlns:a16="http://schemas.microsoft.com/office/drawing/2014/main" id="{D73D96F0-3893-4C33-9C78-E6905BC2C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7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9338" name="Picture@5C\QPendientes@" descr="@5C\QPendientes@">
          <a:extLst>
            <a:ext uri="{FF2B5EF4-FFF2-40B4-BE49-F238E27FC236}">
              <a16:creationId xmlns:a16="http://schemas.microsoft.com/office/drawing/2014/main" id="{A498626B-1625-46EA-8712-BA7991753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79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9339" name="Picture@5C\QPendientes@" descr="@5C\QPendientes@">
          <a:extLst>
            <a:ext uri="{FF2B5EF4-FFF2-40B4-BE49-F238E27FC236}">
              <a16:creationId xmlns:a16="http://schemas.microsoft.com/office/drawing/2014/main" id="{612CB382-245F-41B0-977A-DDF5E9E76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9340" name="Picture@5C\QPendientes@" descr="@5C\QPendientes@">
          <a:extLst>
            <a:ext uri="{FF2B5EF4-FFF2-40B4-BE49-F238E27FC236}">
              <a16:creationId xmlns:a16="http://schemas.microsoft.com/office/drawing/2014/main" id="{7F0FBA30-A88F-43C7-8642-8FA913D98F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2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9341" name="Picture@5C\QPendientes@" descr="@5C\QPendientes@">
          <a:extLst>
            <a:ext uri="{FF2B5EF4-FFF2-40B4-BE49-F238E27FC236}">
              <a16:creationId xmlns:a16="http://schemas.microsoft.com/office/drawing/2014/main" id="{86F63C58-FE43-4EC2-9155-D353B4F37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4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9342" name="Picture@5C\QPendientes@" descr="@5C\QPendientes@">
          <a:extLst>
            <a:ext uri="{FF2B5EF4-FFF2-40B4-BE49-F238E27FC236}">
              <a16:creationId xmlns:a16="http://schemas.microsoft.com/office/drawing/2014/main" id="{3EB08809-233B-4DC9-9118-688432276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6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9343" name="Picture@5C\QPendientes@" descr="@5C\QPendientes@">
          <a:extLst>
            <a:ext uri="{FF2B5EF4-FFF2-40B4-BE49-F238E27FC236}">
              <a16:creationId xmlns:a16="http://schemas.microsoft.com/office/drawing/2014/main" id="{591063BB-B9C5-4EFD-97A2-CAD4B7C47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8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9344" name="Picture@5C\QPendientes@" descr="@5C\QPendientes@">
          <a:extLst>
            <a:ext uri="{FF2B5EF4-FFF2-40B4-BE49-F238E27FC236}">
              <a16:creationId xmlns:a16="http://schemas.microsoft.com/office/drawing/2014/main" id="{214759FE-881D-449D-9AEB-33D3A10D0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0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9345" name="Picture@5C\QPendientes@" descr="@5C\QPendientes@">
          <a:extLst>
            <a:ext uri="{FF2B5EF4-FFF2-40B4-BE49-F238E27FC236}">
              <a16:creationId xmlns:a16="http://schemas.microsoft.com/office/drawing/2014/main" id="{7D1F4A10-425C-40E3-B37B-0B69930C8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1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9346" name="Picture@5C\QPendientes@" descr="@5C\QPendientes@">
          <a:extLst>
            <a:ext uri="{FF2B5EF4-FFF2-40B4-BE49-F238E27FC236}">
              <a16:creationId xmlns:a16="http://schemas.microsoft.com/office/drawing/2014/main" id="{BBA3FB67-C449-44E5-959A-E48EF5198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3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9347" name="Picture@5C\QPendientes@" descr="@5C\QPendientes@">
          <a:extLst>
            <a:ext uri="{FF2B5EF4-FFF2-40B4-BE49-F238E27FC236}">
              <a16:creationId xmlns:a16="http://schemas.microsoft.com/office/drawing/2014/main" id="{DE4CABAB-11C9-44EF-B453-84643F569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5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9348" name="Picture@5C\QPendientes@" descr="@5C\QPendientes@">
          <a:extLst>
            <a:ext uri="{FF2B5EF4-FFF2-40B4-BE49-F238E27FC236}">
              <a16:creationId xmlns:a16="http://schemas.microsoft.com/office/drawing/2014/main" id="{28F18ECF-8F8D-4998-893B-010F934B3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7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9349" name="Picture@5C\QPendientes@" descr="@5C\QPendientes@">
          <a:extLst>
            <a:ext uri="{FF2B5EF4-FFF2-40B4-BE49-F238E27FC236}">
              <a16:creationId xmlns:a16="http://schemas.microsoft.com/office/drawing/2014/main" id="{77E625A5-4C6E-40D5-9D16-FE70EAAEA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9350" name="Picture@5C\QPendientes@" descr="@5C\QPendientes@">
          <a:extLst>
            <a:ext uri="{FF2B5EF4-FFF2-40B4-BE49-F238E27FC236}">
              <a16:creationId xmlns:a16="http://schemas.microsoft.com/office/drawing/2014/main" id="{7EAA1B50-4AAE-4C1F-83A7-6A3F1B531A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1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9351" name="Picture@5C\QPendientes@" descr="@5C\QPendientes@">
          <a:extLst>
            <a:ext uri="{FF2B5EF4-FFF2-40B4-BE49-F238E27FC236}">
              <a16:creationId xmlns:a16="http://schemas.microsoft.com/office/drawing/2014/main" id="{B7DF958B-9470-46DF-B134-EAF609F5B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2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9352" name="Picture@5C\QPendientes@" descr="@5C\QPendientes@">
          <a:extLst>
            <a:ext uri="{FF2B5EF4-FFF2-40B4-BE49-F238E27FC236}">
              <a16:creationId xmlns:a16="http://schemas.microsoft.com/office/drawing/2014/main" id="{626649F6-110F-4B7F-8AB6-E5CB5F532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4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9353" name="Picture@5C\QPendientes@" descr="@5C\QPendientes@">
          <a:extLst>
            <a:ext uri="{FF2B5EF4-FFF2-40B4-BE49-F238E27FC236}">
              <a16:creationId xmlns:a16="http://schemas.microsoft.com/office/drawing/2014/main" id="{07CED269-487D-4B21-A77C-3349CB0B11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6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9354" name="Picture@5C\QPendientes@" descr="@5C\QPendientes@">
          <a:extLst>
            <a:ext uri="{FF2B5EF4-FFF2-40B4-BE49-F238E27FC236}">
              <a16:creationId xmlns:a16="http://schemas.microsoft.com/office/drawing/2014/main" id="{28F20047-F8AC-4BAC-9E90-049A6F626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8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9355" name="Picture@5C\QPendientes@" descr="@5C\QPendientes@">
          <a:extLst>
            <a:ext uri="{FF2B5EF4-FFF2-40B4-BE49-F238E27FC236}">
              <a16:creationId xmlns:a16="http://schemas.microsoft.com/office/drawing/2014/main" id="{DBAF5D8A-F59B-4479-A563-6EF48B594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0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9356" name="Picture@5C\QPendientes@" descr="@5C\QPendientes@">
          <a:extLst>
            <a:ext uri="{FF2B5EF4-FFF2-40B4-BE49-F238E27FC236}">
              <a16:creationId xmlns:a16="http://schemas.microsoft.com/office/drawing/2014/main" id="{5C49CB72-4E1C-4426-AEB2-84FE64ACEA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2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9357" name="Picture@5C\QPendientes@" descr="@5C\QPendientes@">
          <a:extLst>
            <a:ext uri="{FF2B5EF4-FFF2-40B4-BE49-F238E27FC236}">
              <a16:creationId xmlns:a16="http://schemas.microsoft.com/office/drawing/2014/main" id="{6AD0D708-4441-4D34-8BF6-D7ED93C80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3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9358" name="Picture@5C\QPendientes@" descr="@5C\QPendientes@">
          <a:extLst>
            <a:ext uri="{FF2B5EF4-FFF2-40B4-BE49-F238E27FC236}">
              <a16:creationId xmlns:a16="http://schemas.microsoft.com/office/drawing/2014/main" id="{D2AE6BC6-49A6-4992-98CB-1D954DD38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5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9359" name="Picture@5C\QPendientes@" descr="@5C\QPendientes@">
          <a:extLst>
            <a:ext uri="{FF2B5EF4-FFF2-40B4-BE49-F238E27FC236}">
              <a16:creationId xmlns:a16="http://schemas.microsoft.com/office/drawing/2014/main" id="{0B188B88-C910-4091-8C28-C2CDF31A1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9360" name="Picture@5C\QPendientes@" descr="@5C\QPendientes@">
          <a:extLst>
            <a:ext uri="{FF2B5EF4-FFF2-40B4-BE49-F238E27FC236}">
              <a16:creationId xmlns:a16="http://schemas.microsoft.com/office/drawing/2014/main" id="{E65EF4A7-7B70-4A79-B2B8-F882FA52D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9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9361" name="Picture@5C\QPendientes@" descr="@5C\QPendientes@">
          <a:extLst>
            <a:ext uri="{FF2B5EF4-FFF2-40B4-BE49-F238E27FC236}">
              <a16:creationId xmlns:a16="http://schemas.microsoft.com/office/drawing/2014/main" id="{A632E9AE-7855-4E69-81A7-364BD2896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1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9362" name="Picture@5C\QPendientes@" descr="@5C\QPendientes@">
          <a:extLst>
            <a:ext uri="{FF2B5EF4-FFF2-40B4-BE49-F238E27FC236}">
              <a16:creationId xmlns:a16="http://schemas.microsoft.com/office/drawing/2014/main" id="{27E6D7D8-D394-4FC4-82E3-EB6D809A6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3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9363" name="Picture@5C\QPendientes@" descr="@5C\QPendientes@">
          <a:extLst>
            <a:ext uri="{FF2B5EF4-FFF2-40B4-BE49-F238E27FC236}">
              <a16:creationId xmlns:a16="http://schemas.microsoft.com/office/drawing/2014/main" id="{FD2E4027-0890-4BD4-B546-238995ABD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4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9364" name="Picture@5C\QPendientes@" descr="@5C\QPendientes@">
          <a:extLst>
            <a:ext uri="{FF2B5EF4-FFF2-40B4-BE49-F238E27FC236}">
              <a16:creationId xmlns:a16="http://schemas.microsoft.com/office/drawing/2014/main" id="{AA771398-6DAF-46C2-AEEE-B9C00160E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6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9365" name="Picture@5C\QPendientes@" descr="@5C\QPendientes@">
          <a:extLst>
            <a:ext uri="{FF2B5EF4-FFF2-40B4-BE49-F238E27FC236}">
              <a16:creationId xmlns:a16="http://schemas.microsoft.com/office/drawing/2014/main" id="{39294B8E-26E0-40C9-9A3F-50C242DD2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8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9366" name="Picture@5C\QPendientes@" descr="@5C\QPendientes@">
          <a:extLst>
            <a:ext uri="{FF2B5EF4-FFF2-40B4-BE49-F238E27FC236}">
              <a16:creationId xmlns:a16="http://schemas.microsoft.com/office/drawing/2014/main" id="{C449E2EF-6D70-4836-A49C-DFA7089A01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0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9367" name="Picture@5C\QPendientes@" descr="@5C\QPendientes@">
          <a:extLst>
            <a:ext uri="{FF2B5EF4-FFF2-40B4-BE49-F238E27FC236}">
              <a16:creationId xmlns:a16="http://schemas.microsoft.com/office/drawing/2014/main" id="{B3ABCF00-DB62-46FF-8AA4-41C1793BA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2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9368" name="Picture@5C\QPendientes@" descr="@5C\QPendientes@">
          <a:extLst>
            <a:ext uri="{FF2B5EF4-FFF2-40B4-BE49-F238E27FC236}">
              <a16:creationId xmlns:a16="http://schemas.microsoft.com/office/drawing/2014/main" id="{04011F22-33D6-430F-86A5-CF5E64D83A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3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9369" name="Picture@5C\QPendientes@" descr="@5C\QPendientes@">
          <a:extLst>
            <a:ext uri="{FF2B5EF4-FFF2-40B4-BE49-F238E27FC236}">
              <a16:creationId xmlns:a16="http://schemas.microsoft.com/office/drawing/2014/main" id="{BF5E155F-AAD7-4E53-A98D-4A0471C92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9370" name="Picture@5C\QPendientes@" descr="@5C\QPendientes@">
          <a:extLst>
            <a:ext uri="{FF2B5EF4-FFF2-40B4-BE49-F238E27FC236}">
              <a16:creationId xmlns:a16="http://schemas.microsoft.com/office/drawing/2014/main" id="{EFAB81F4-0DB5-4FF6-9199-64A2D5A7E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7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9371" name="Picture@5C\QPendientes@" descr="@5C\QPendientes@">
          <a:extLst>
            <a:ext uri="{FF2B5EF4-FFF2-40B4-BE49-F238E27FC236}">
              <a16:creationId xmlns:a16="http://schemas.microsoft.com/office/drawing/2014/main" id="{E6F391FA-B392-44E1-9CC3-D4B906D17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9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9372" name="Picture@5C\QPendientes@" descr="@5C\QPendientes@">
          <a:extLst>
            <a:ext uri="{FF2B5EF4-FFF2-40B4-BE49-F238E27FC236}">
              <a16:creationId xmlns:a16="http://schemas.microsoft.com/office/drawing/2014/main" id="{2D6D83A0-58C7-47D1-826D-0DAFCA02C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1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9373" name="Picture@5C\QPendientes@" descr="@5C\QPendientes@">
          <a:extLst>
            <a:ext uri="{FF2B5EF4-FFF2-40B4-BE49-F238E27FC236}">
              <a16:creationId xmlns:a16="http://schemas.microsoft.com/office/drawing/2014/main" id="{363238E5-7699-42FF-94E4-BE844969CB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3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9374" name="Picture@5C\QPendientes@" descr="@5C\QPendientes@">
          <a:extLst>
            <a:ext uri="{FF2B5EF4-FFF2-40B4-BE49-F238E27FC236}">
              <a16:creationId xmlns:a16="http://schemas.microsoft.com/office/drawing/2014/main" id="{7B7FA7BB-CBD2-401C-B4B6-8D124A1C3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4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9375" name="Picture@5C\QPendientes@" descr="@5C\QPendientes@">
          <a:extLst>
            <a:ext uri="{FF2B5EF4-FFF2-40B4-BE49-F238E27FC236}">
              <a16:creationId xmlns:a16="http://schemas.microsoft.com/office/drawing/2014/main" id="{F0F0D0B5-3129-40EB-B03F-416FB1792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6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9376" name="Picture@5C\QPendientes@" descr="@5C\QPendientes@">
          <a:extLst>
            <a:ext uri="{FF2B5EF4-FFF2-40B4-BE49-F238E27FC236}">
              <a16:creationId xmlns:a16="http://schemas.microsoft.com/office/drawing/2014/main" id="{925D8F21-2638-4D16-8A6F-C92CBFD60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8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9377" name="Picture@5C\QPendientes@" descr="@5C\QPendientes@">
          <a:extLst>
            <a:ext uri="{FF2B5EF4-FFF2-40B4-BE49-F238E27FC236}">
              <a16:creationId xmlns:a16="http://schemas.microsoft.com/office/drawing/2014/main" id="{610C5833-70CF-47F4-BFB6-AECF94446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0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9378" name="Picture@5C\QPendientes@" descr="@5C\QPendientes@">
          <a:extLst>
            <a:ext uri="{FF2B5EF4-FFF2-40B4-BE49-F238E27FC236}">
              <a16:creationId xmlns:a16="http://schemas.microsoft.com/office/drawing/2014/main" id="{836FF32F-43D7-44FC-8041-F9C36AC72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2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9379" name="Picture@5C\QPendientes@" descr="@5C\QPendientes@">
          <a:extLst>
            <a:ext uri="{FF2B5EF4-FFF2-40B4-BE49-F238E27FC236}">
              <a16:creationId xmlns:a16="http://schemas.microsoft.com/office/drawing/2014/main" id="{4488A881-12F2-4BAF-923F-3AB840FFA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9380" name="Picture@5C\QPendientes@" descr="@5C\QPendientes@">
          <a:extLst>
            <a:ext uri="{FF2B5EF4-FFF2-40B4-BE49-F238E27FC236}">
              <a16:creationId xmlns:a16="http://schemas.microsoft.com/office/drawing/2014/main" id="{403F2795-B9B5-4DA8-AA97-CC9D98745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5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9381" name="Picture@5C\QPendientes@" descr="@5C\QPendientes@">
          <a:extLst>
            <a:ext uri="{FF2B5EF4-FFF2-40B4-BE49-F238E27FC236}">
              <a16:creationId xmlns:a16="http://schemas.microsoft.com/office/drawing/2014/main" id="{0C07446A-51FF-44B7-BF08-094406378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7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9382" name="Picture@5C\QPendientes@" descr="@5C\QPendientes@">
          <a:extLst>
            <a:ext uri="{FF2B5EF4-FFF2-40B4-BE49-F238E27FC236}">
              <a16:creationId xmlns:a16="http://schemas.microsoft.com/office/drawing/2014/main" id="{1AD44145-348E-415F-9A4A-1404C527C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9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9383" name="Picture@5C\QPendientes@" descr="@5C\QPendientes@">
          <a:extLst>
            <a:ext uri="{FF2B5EF4-FFF2-40B4-BE49-F238E27FC236}">
              <a16:creationId xmlns:a16="http://schemas.microsoft.com/office/drawing/2014/main" id="{49B74BC3-C74C-42B2-BFF8-7F5ADEF64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1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9384" name="Picture@5C\QPendientes@" descr="@5C\QPendientes@">
          <a:extLst>
            <a:ext uri="{FF2B5EF4-FFF2-40B4-BE49-F238E27FC236}">
              <a16:creationId xmlns:a16="http://schemas.microsoft.com/office/drawing/2014/main" id="{23D106D6-E0BC-4AD6-A076-E684193D4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3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9385" name="Picture@5C\QPendientes@" descr="@5C\QPendientes@">
          <a:extLst>
            <a:ext uri="{FF2B5EF4-FFF2-40B4-BE49-F238E27FC236}">
              <a16:creationId xmlns:a16="http://schemas.microsoft.com/office/drawing/2014/main" id="{8A0B0F80-43A0-44C9-ACBB-9D1E05E8A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5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9386" name="Picture@5C\QPendientes@" descr="@5C\QPendientes@">
          <a:extLst>
            <a:ext uri="{FF2B5EF4-FFF2-40B4-BE49-F238E27FC236}">
              <a16:creationId xmlns:a16="http://schemas.microsoft.com/office/drawing/2014/main" id="{369D5220-F8ED-4FB1-B38D-338F3A6B2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6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9387" name="Picture@5C\QPendientes@" descr="@5C\QPendientes@">
          <a:extLst>
            <a:ext uri="{FF2B5EF4-FFF2-40B4-BE49-F238E27FC236}">
              <a16:creationId xmlns:a16="http://schemas.microsoft.com/office/drawing/2014/main" id="{2059E722-BB00-494D-A173-594F22153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68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9388" name="Picture@5C\QPendientes@" descr="@5C\QPendientes@">
          <a:extLst>
            <a:ext uri="{FF2B5EF4-FFF2-40B4-BE49-F238E27FC236}">
              <a16:creationId xmlns:a16="http://schemas.microsoft.com/office/drawing/2014/main" id="{CB23981F-90E4-42C2-9839-428641F49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0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9389" name="Picture@5C\QPendientes@" descr="@5C\QPendientes@">
          <a:extLst>
            <a:ext uri="{FF2B5EF4-FFF2-40B4-BE49-F238E27FC236}">
              <a16:creationId xmlns:a16="http://schemas.microsoft.com/office/drawing/2014/main" id="{99CE8210-32B8-4E16-AFCE-B23DB8A01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9390" name="Picture@5C\QPendientes@" descr="@5C\QPendientes@">
          <a:extLst>
            <a:ext uri="{FF2B5EF4-FFF2-40B4-BE49-F238E27FC236}">
              <a16:creationId xmlns:a16="http://schemas.microsoft.com/office/drawing/2014/main" id="{82E9EB1D-0EF7-44CF-B7D2-3A0D33CE8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4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9391" name="Picture@5C\QPendientes@" descr="@5C\QPendientes@">
          <a:extLst>
            <a:ext uri="{FF2B5EF4-FFF2-40B4-BE49-F238E27FC236}">
              <a16:creationId xmlns:a16="http://schemas.microsoft.com/office/drawing/2014/main" id="{AD63E22C-5BDF-43BE-84A5-6FE9E4A79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6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9392" name="Picture@5C\QPendientes@" descr="@5C\QPendientes@">
          <a:extLst>
            <a:ext uri="{FF2B5EF4-FFF2-40B4-BE49-F238E27FC236}">
              <a16:creationId xmlns:a16="http://schemas.microsoft.com/office/drawing/2014/main" id="{7667B18B-8E21-4F1E-884A-1ACED7EC7A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7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9393" name="Picture@5C\QPendientes@" descr="@5C\QPendientes@">
          <a:extLst>
            <a:ext uri="{FF2B5EF4-FFF2-40B4-BE49-F238E27FC236}">
              <a16:creationId xmlns:a16="http://schemas.microsoft.com/office/drawing/2014/main" id="{ED0D1714-DE22-46C3-8220-960C84024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9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9394" name="Picture@5C\QPendientes@" descr="@5C\QPendientes@">
          <a:extLst>
            <a:ext uri="{FF2B5EF4-FFF2-40B4-BE49-F238E27FC236}">
              <a16:creationId xmlns:a16="http://schemas.microsoft.com/office/drawing/2014/main" id="{A09E92AD-43BC-4835-A239-ABDE39A3D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1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9395" name="Picture@5C\QPendientes@" descr="@5C\QPendientes@">
          <a:extLst>
            <a:ext uri="{FF2B5EF4-FFF2-40B4-BE49-F238E27FC236}">
              <a16:creationId xmlns:a16="http://schemas.microsoft.com/office/drawing/2014/main" id="{987D87C0-FEBF-447F-BFA3-E0E341C29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3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9396" name="Picture@5C\QPendientes@" descr="@5C\QPendientes@">
          <a:extLst>
            <a:ext uri="{FF2B5EF4-FFF2-40B4-BE49-F238E27FC236}">
              <a16:creationId xmlns:a16="http://schemas.microsoft.com/office/drawing/2014/main" id="{E3197E7F-7DBD-4D6A-9D39-2AA4D897E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5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9397" name="Picture@5C\QPendientes@" descr="@5C\QPendientes@">
          <a:extLst>
            <a:ext uri="{FF2B5EF4-FFF2-40B4-BE49-F238E27FC236}">
              <a16:creationId xmlns:a16="http://schemas.microsoft.com/office/drawing/2014/main" id="{87850B34-873A-4F28-9888-AA43A5B83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7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9398" name="Picture@5C\QPendientes@" descr="@5C\QPendientes@">
          <a:extLst>
            <a:ext uri="{FF2B5EF4-FFF2-40B4-BE49-F238E27FC236}">
              <a16:creationId xmlns:a16="http://schemas.microsoft.com/office/drawing/2014/main" id="{F8E55422-B8BB-4D04-94B8-3641C072A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88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9399" name="Picture@5C\QPendientes@" descr="@5C\QPendientes@">
          <a:extLst>
            <a:ext uri="{FF2B5EF4-FFF2-40B4-BE49-F238E27FC236}">
              <a16:creationId xmlns:a16="http://schemas.microsoft.com/office/drawing/2014/main" id="{BC86B543-6D9A-4006-B6EB-2E5CB6B4E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9400" name="Picture@5C\QPendientes@" descr="@5C\QPendientes@">
          <a:extLst>
            <a:ext uri="{FF2B5EF4-FFF2-40B4-BE49-F238E27FC236}">
              <a16:creationId xmlns:a16="http://schemas.microsoft.com/office/drawing/2014/main" id="{25CD2C6B-48D8-4463-8ABB-DD8142503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2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9401" name="Picture@5C\QPendientes@" descr="@5C\QPendientes@">
          <a:extLst>
            <a:ext uri="{FF2B5EF4-FFF2-40B4-BE49-F238E27FC236}">
              <a16:creationId xmlns:a16="http://schemas.microsoft.com/office/drawing/2014/main" id="{A8889E86-0CA0-453C-8CE3-3C2BF1320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4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9402" name="Picture@5C\QPendientes@" descr="@5C\QPendientes@">
          <a:extLst>
            <a:ext uri="{FF2B5EF4-FFF2-40B4-BE49-F238E27FC236}">
              <a16:creationId xmlns:a16="http://schemas.microsoft.com/office/drawing/2014/main" id="{52CBB172-4BED-4902-BD02-037CA3D66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6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9403" name="Picture@5C\QPendientes@" descr="@5C\QPendientes@">
          <a:extLst>
            <a:ext uri="{FF2B5EF4-FFF2-40B4-BE49-F238E27FC236}">
              <a16:creationId xmlns:a16="http://schemas.microsoft.com/office/drawing/2014/main" id="{22DEB378-266E-4674-AB81-D834CB1C4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7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9404" name="Picture@5C\QPendientes@" descr="@5C\QPendientes@">
          <a:extLst>
            <a:ext uri="{FF2B5EF4-FFF2-40B4-BE49-F238E27FC236}">
              <a16:creationId xmlns:a16="http://schemas.microsoft.com/office/drawing/2014/main" id="{E07C7968-B995-42DD-AF6C-10E5DC213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9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9405" name="Picture@5C\QPendientes@" descr="@5C\QPendientes@">
          <a:extLst>
            <a:ext uri="{FF2B5EF4-FFF2-40B4-BE49-F238E27FC236}">
              <a16:creationId xmlns:a16="http://schemas.microsoft.com/office/drawing/2014/main" id="{0CC92FA6-5B74-4ECD-8FEC-BB1023CFD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1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9406" name="Picture@5C\QPendientes@" descr="@5C\QPendientes@">
          <a:extLst>
            <a:ext uri="{FF2B5EF4-FFF2-40B4-BE49-F238E27FC236}">
              <a16:creationId xmlns:a16="http://schemas.microsoft.com/office/drawing/2014/main" id="{E6A21579-A2FD-4064-92B3-F61DC5294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3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9407" name="Picture@5C\QPendientes@" descr="@5C\QPendientes@">
          <a:extLst>
            <a:ext uri="{FF2B5EF4-FFF2-40B4-BE49-F238E27FC236}">
              <a16:creationId xmlns:a16="http://schemas.microsoft.com/office/drawing/2014/main" id="{B9DCABD6-9483-4308-B9F3-026365E27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5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9408" name="Picture@5C\QPendientes@" descr="@5C\QPendientes@">
          <a:extLst>
            <a:ext uri="{FF2B5EF4-FFF2-40B4-BE49-F238E27FC236}">
              <a16:creationId xmlns:a16="http://schemas.microsoft.com/office/drawing/2014/main" id="{D5798EC5-F964-4946-B7EC-A2187B08F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7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9409" name="Picture@5C\QPendientes@" descr="@5C\QPendientes@">
          <a:extLst>
            <a:ext uri="{FF2B5EF4-FFF2-40B4-BE49-F238E27FC236}">
              <a16:creationId xmlns:a16="http://schemas.microsoft.com/office/drawing/2014/main" id="{D344384C-77AA-4439-81D4-9DBD9B3A4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9410" name="Picture@5C\QPendientes@" descr="@5C\QPendientes@">
          <a:extLst>
            <a:ext uri="{FF2B5EF4-FFF2-40B4-BE49-F238E27FC236}">
              <a16:creationId xmlns:a16="http://schemas.microsoft.com/office/drawing/2014/main" id="{F701E8AC-C5BC-4E9F-865D-5E9536400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0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9411" name="Picture@5C\QPendientes@" descr="@5C\QPendientes@">
          <a:extLst>
            <a:ext uri="{FF2B5EF4-FFF2-40B4-BE49-F238E27FC236}">
              <a16:creationId xmlns:a16="http://schemas.microsoft.com/office/drawing/2014/main" id="{6CFB0096-90EC-49E7-9115-540A629A3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2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9412" name="Picture@5C\QPendientes@" descr="@5C\QPendientes@">
          <a:extLst>
            <a:ext uri="{FF2B5EF4-FFF2-40B4-BE49-F238E27FC236}">
              <a16:creationId xmlns:a16="http://schemas.microsoft.com/office/drawing/2014/main" id="{8F2DFC63-FC6B-47F9-99B2-DD3A90164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4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9413" name="Picture@5C\QPendientes@" descr="@5C\QPendientes@">
          <a:extLst>
            <a:ext uri="{FF2B5EF4-FFF2-40B4-BE49-F238E27FC236}">
              <a16:creationId xmlns:a16="http://schemas.microsoft.com/office/drawing/2014/main" id="{CF5C083E-4519-4D81-9AB9-32F18D2C7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6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9414" name="Picture@5C\QPendientes@" descr="@5C\QPendientes@">
          <a:extLst>
            <a:ext uri="{FF2B5EF4-FFF2-40B4-BE49-F238E27FC236}">
              <a16:creationId xmlns:a16="http://schemas.microsoft.com/office/drawing/2014/main" id="{EB13CB1E-D6DF-4389-96F1-58E6B56379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8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9415" name="Picture@5C\QPendientes@" descr="@5C\QPendientes@">
          <a:extLst>
            <a:ext uri="{FF2B5EF4-FFF2-40B4-BE49-F238E27FC236}">
              <a16:creationId xmlns:a16="http://schemas.microsoft.com/office/drawing/2014/main" id="{28E27C12-608F-4B7E-9DB4-BC2171AB5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9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9416" name="Picture@5C\QPendientes@" descr="@5C\QPendientes@">
          <a:extLst>
            <a:ext uri="{FF2B5EF4-FFF2-40B4-BE49-F238E27FC236}">
              <a16:creationId xmlns:a16="http://schemas.microsoft.com/office/drawing/2014/main" id="{6428A38B-0DDC-4846-8BC7-39E58AA53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1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9417" name="Picture@5C\QPendientes@" descr="@5C\QPendientes@">
          <a:extLst>
            <a:ext uri="{FF2B5EF4-FFF2-40B4-BE49-F238E27FC236}">
              <a16:creationId xmlns:a16="http://schemas.microsoft.com/office/drawing/2014/main" id="{76B05E1E-CE35-49E0-8B42-346AD8FBD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3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9418" name="Picture@5C\QPendientes@" descr="@5C\QPendientes@">
          <a:extLst>
            <a:ext uri="{FF2B5EF4-FFF2-40B4-BE49-F238E27FC236}">
              <a16:creationId xmlns:a16="http://schemas.microsoft.com/office/drawing/2014/main" id="{1A05A5A4-C742-47EF-B5B3-4E385C801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5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9419" name="Picture@5C\QPendientes@" descr="@5C\QPendientes@">
          <a:extLst>
            <a:ext uri="{FF2B5EF4-FFF2-40B4-BE49-F238E27FC236}">
              <a16:creationId xmlns:a16="http://schemas.microsoft.com/office/drawing/2014/main" id="{6EAB9136-5EF6-4113-9905-C7A63B622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9420" name="Picture@5C\QPendientes@" descr="@5C\QPendientes@">
          <a:extLst>
            <a:ext uri="{FF2B5EF4-FFF2-40B4-BE49-F238E27FC236}">
              <a16:creationId xmlns:a16="http://schemas.microsoft.com/office/drawing/2014/main" id="{0FB71D13-A220-4DB9-9CF4-ED1AB18C19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9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9421" name="Picture@5C\QPendientes@" descr="@5C\QPendientes@">
          <a:extLst>
            <a:ext uri="{FF2B5EF4-FFF2-40B4-BE49-F238E27FC236}">
              <a16:creationId xmlns:a16="http://schemas.microsoft.com/office/drawing/2014/main" id="{46B8A8EB-C832-47A2-A32B-95B436BAB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0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9422" name="Picture@5C\QPendientes@" descr="@5C\QPendientes@">
          <a:extLst>
            <a:ext uri="{FF2B5EF4-FFF2-40B4-BE49-F238E27FC236}">
              <a16:creationId xmlns:a16="http://schemas.microsoft.com/office/drawing/2014/main" id="{0389922B-3DBC-4470-8E55-70671E562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2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9423" name="Picture@5C\QPendientes@" descr="@5C\QPendientes@">
          <a:extLst>
            <a:ext uri="{FF2B5EF4-FFF2-40B4-BE49-F238E27FC236}">
              <a16:creationId xmlns:a16="http://schemas.microsoft.com/office/drawing/2014/main" id="{2D8FD328-4F56-4788-BC8E-B56E82226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4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9424" name="Picture@5C\QPendientes@" descr="@5C\QPendientes@">
          <a:extLst>
            <a:ext uri="{FF2B5EF4-FFF2-40B4-BE49-F238E27FC236}">
              <a16:creationId xmlns:a16="http://schemas.microsoft.com/office/drawing/2014/main" id="{7669C361-1914-42D2-AC49-501629BEE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6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9425" name="Picture@5C\QPendientes@" descr="@5C\QPendientes@">
          <a:extLst>
            <a:ext uri="{FF2B5EF4-FFF2-40B4-BE49-F238E27FC236}">
              <a16:creationId xmlns:a16="http://schemas.microsoft.com/office/drawing/2014/main" id="{D125855A-EC20-46DA-A19E-E3F8A903E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8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9426" name="Picture@5C\QPendientes@" descr="@5C\QPendientes@">
          <a:extLst>
            <a:ext uri="{FF2B5EF4-FFF2-40B4-BE49-F238E27FC236}">
              <a16:creationId xmlns:a16="http://schemas.microsoft.com/office/drawing/2014/main" id="{0379B9CC-CB6F-4665-9264-ECDD0726B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0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9427" name="Picture@5C\QPendientes@" descr="@5C\QPendientes@">
          <a:extLst>
            <a:ext uri="{FF2B5EF4-FFF2-40B4-BE49-F238E27FC236}">
              <a16:creationId xmlns:a16="http://schemas.microsoft.com/office/drawing/2014/main" id="{3EE9BD8E-892D-4887-9342-A3864E7EF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1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9428" name="Picture@5C\QPendientes@" descr="@5C\QPendientes@">
          <a:extLst>
            <a:ext uri="{FF2B5EF4-FFF2-40B4-BE49-F238E27FC236}">
              <a16:creationId xmlns:a16="http://schemas.microsoft.com/office/drawing/2014/main" id="{8B6DFCD8-9235-403B-A461-9DC051AB0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3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9429" name="Picture@5C\QPendientes@" descr="@5C\QPendientes@">
          <a:extLst>
            <a:ext uri="{FF2B5EF4-FFF2-40B4-BE49-F238E27FC236}">
              <a16:creationId xmlns:a16="http://schemas.microsoft.com/office/drawing/2014/main" id="{6221870B-8F29-42ED-BD3B-D9C98C5EC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9430" name="Picture@5C\QPendientes@" descr="@5C\QPendientes@">
          <a:extLst>
            <a:ext uri="{FF2B5EF4-FFF2-40B4-BE49-F238E27FC236}">
              <a16:creationId xmlns:a16="http://schemas.microsoft.com/office/drawing/2014/main" id="{59DF8812-099E-49B3-8D95-ECD5B40F7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7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9431" name="Picture@5C\QPendientes@" descr="@5C\QPendientes@">
          <a:extLst>
            <a:ext uri="{FF2B5EF4-FFF2-40B4-BE49-F238E27FC236}">
              <a16:creationId xmlns:a16="http://schemas.microsoft.com/office/drawing/2014/main" id="{A8340DE1-FABE-4382-9786-40A211B8D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9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9432" name="Picture@5C\QPendientes@" descr="@5C\QPendientes@">
          <a:extLst>
            <a:ext uri="{FF2B5EF4-FFF2-40B4-BE49-F238E27FC236}">
              <a16:creationId xmlns:a16="http://schemas.microsoft.com/office/drawing/2014/main" id="{D8125536-79B3-4E56-B182-0964B3DDA7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1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9433" name="Picture@5C\QPendientes@" descr="@5C\QPendientes@">
          <a:extLst>
            <a:ext uri="{FF2B5EF4-FFF2-40B4-BE49-F238E27FC236}">
              <a16:creationId xmlns:a16="http://schemas.microsoft.com/office/drawing/2014/main" id="{03A86CEE-EF65-4B83-A2FB-7FC8340A3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2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9434" name="Picture@5C\QPendientes@" descr="@5C\QPendientes@">
          <a:extLst>
            <a:ext uri="{FF2B5EF4-FFF2-40B4-BE49-F238E27FC236}">
              <a16:creationId xmlns:a16="http://schemas.microsoft.com/office/drawing/2014/main" id="{998DE241-1C06-4FA1-986D-CF3669689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4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9435" name="Picture@5C\QPendientes@" descr="@5C\QPendientes@">
          <a:extLst>
            <a:ext uri="{FF2B5EF4-FFF2-40B4-BE49-F238E27FC236}">
              <a16:creationId xmlns:a16="http://schemas.microsoft.com/office/drawing/2014/main" id="{00F2D56C-BF10-4E5E-9DD2-FA4B4E303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6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9436" name="Picture@5C\QPendientes@" descr="@5C\QPendientes@">
          <a:extLst>
            <a:ext uri="{FF2B5EF4-FFF2-40B4-BE49-F238E27FC236}">
              <a16:creationId xmlns:a16="http://schemas.microsoft.com/office/drawing/2014/main" id="{AF3CE922-BA2B-49BC-AB6D-D07421F40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58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9437" name="Picture@5C\QPendientes@" descr="@5C\QPendientes@">
          <a:extLst>
            <a:ext uri="{FF2B5EF4-FFF2-40B4-BE49-F238E27FC236}">
              <a16:creationId xmlns:a16="http://schemas.microsoft.com/office/drawing/2014/main" id="{DA622EA0-486F-4BAF-AEA4-23D4673F1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0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9438" name="Picture@5C\QPendientes@" descr="@5C\QPendientes@">
          <a:extLst>
            <a:ext uri="{FF2B5EF4-FFF2-40B4-BE49-F238E27FC236}">
              <a16:creationId xmlns:a16="http://schemas.microsoft.com/office/drawing/2014/main" id="{C96262A3-235B-4E00-AEBD-543D1EA0AB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1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9439" name="Picture@5C\QPendientes@" descr="@5C\QPendientes@">
          <a:extLst>
            <a:ext uri="{FF2B5EF4-FFF2-40B4-BE49-F238E27FC236}">
              <a16:creationId xmlns:a16="http://schemas.microsoft.com/office/drawing/2014/main" id="{CEE14962-5788-4DBE-A5C3-C10412919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9440" name="Picture@5C\QPendientes@" descr="@5C\QPendientes@">
          <a:extLst>
            <a:ext uri="{FF2B5EF4-FFF2-40B4-BE49-F238E27FC236}">
              <a16:creationId xmlns:a16="http://schemas.microsoft.com/office/drawing/2014/main" id="{A64E224E-692A-451C-BF89-DA27BF6EEE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5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9441" name="Picture@5C\QPendientes@" descr="@5C\QPendientes@">
          <a:extLst>
            <a:ext uri="{FF2B5EF4-FFF2-40B4-BE49-F238E27FC236}">
              <a16:creationId xmlns:a16="http://schemas.microsoft.com/office/drawing/2014/main" id="{A01D59EE-FD87-4A64-9864-9E2FA0D22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7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9442" name="Picture@5C\QPendientes@" descr="@5C\QPendientes@">
          <a:extLst>
            <a:ext uri="{FF2B5EF4-FFF2-40B4-BE49-F238E27FC236}">
              <a16:creationId xmlns:a16="http://schemas.microsoft.com/office/drawing/2014/main" id="{7F87E779-08EF-48C0-9C79-E1C2E4BE1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9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9443" name="Picture@5C\QPendientes@" descr="@5C\QPendientes@">
          <a:extLst>
            <a:ext uri="{FF2B5EF4-FFF2-40B4-BE49-F238E27FC236}">
              <a16:creationId xmlns:a16="http://schemas.microsoft.com/office/drawing/2014/main" id="{EC62F281-D35C-4C55-AF8D-2BEC16EDD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1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9444" name="Picture@5C\QPendientes@" descr="@5C\QPendientes@">
          <a:extLst>
            <a:ext uri="{FF2B5EF4-FFF2-40B4-BE49-F238E27FC236}">
              <a16:creationId xmlns:a16="http://schemas.microsoft.com/office/drawing/2014/main" id="{B6225556-76B0-4D54-A934-5B06694C5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2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9445" name="Picture@5C\QPendientes@" descr="@5C\QPendientes@">
          <a:extLst>
            <a:ext uri="{FF2B5EF4-FFF2-40B4-BE49-F238E27FC236}">
              <a16:creationId xmlns:a16="http://schemas.microsoft.com/office/drawing/2014/main" id="{68856D64-4C9F-4B9C-8466-C8ECC1644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4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9446" name="Picture@5C\QPendientes@" descr="@5C\QPendientes@">
          <a:extLst>
            <a:ext uri="{FF2B5EF4-FFF2-40B4-BE49-F238E27FC236}">
              <a16:creationId xmlns:a16="http://schemas.microsoft.com/office/drawing/2014/main" id="{F41F92C3-8F73-42C7-B464-3FA4B9E9C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6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9447" name="Picture@5C\QPendientes@" descr="@5C\QPendientes@">
          <a:extLst>
            <a:ext uri="{FF2B5EF4-FFF2-40B4-BE49-F238E27FC236}">
              <a16:creationId xmlns:a16="http://schemas.microsoft.com/office/drawing/2014/main" id="{FE782E59-77AC-47E4-A08C-8AE476CA8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78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9448" name="Picture@5C\QPendientes@" descr="@5C\QPendientes@">
          <a:extLst>
            <a:ext uri="{FF2B5EF4-FFF2-40B4-BE49-F238E27FC236}">
              <a16:creationId xmlns:a16="http://schemas.microsoft.com/office/drawing/2014/main" id="{7B9B8060-EA89-448C-B30D-086FA847D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0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9449" name="Picture@5C\QPendientes@" descr="@5C\QPendientes@">
          <a:extLst>
            <a:ext uri="{FF2B5EF4-FFF2-40B4-BE49-F238E27FC236}">
              <a16:creationId xmlns:a16="http://schemas.microsoft.com/office/drawing/2014/main" id="{78E71E9C-2621-4807-B786-BA03210C5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9450" name="Picture@5C\QPendientes@" descr="@5C\QPendientes@">
          <a:extLst>
            <a:ext uri="{FF2B5EF4-FFF2-40B4-BE49-F238E27FC236}">
              <a16:creationId xmlns:a16="http://schemas.microsoft.com/office/drawing/2014/main" id="{350E6ED9-52E0-4711-B5F5-204F0DED9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3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9451" name="Picture@5C\QPendientes@" descr="@5C\QPendientes@">
          <a:extLst>
            <a:ext uri="{FF2B5EF4-FFF2-40B4-BE49-F238E27FC236}">
              <a16:creationId xmlns:a16="http://schemas.microsoft.com/office/drawing/2014/main" id="{C97B0AFB-ECEA-4F17-B595-9B209E85C9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5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9452" name="Picture@5C\QPendientes@" descr="@5C\QPendientes@">
          <a:extLst>
            <a:ext uri="{FF2B5EF4-FFF2-40B4-BE49-F238E27FC236}">
              <a16:creationId xmlns:a16="http://schemas.microsoft.com/office/drawing/2014/main" id="{0CB988FA-5652-4E26-967B-CB797D9FC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7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9453" name="Picture@5C\QPendientes@" descr="@5C\QPendientes@">
          <a:extLst>
            <a:ext uri="{FF2B5EF4-FFF2-40B4-BE49-F238E27FC236}">
              <a16:creationId xmlns:a16="http://schemas.microsoft.com/office/drawing/2014/main" id="{9AC3B65E-E7D2-4E25-AFE2-87DA546F6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9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9454" name="Picture@5C\QPendientes@" descr="@5C\QPendientes@">
          <a:extLst>
            <a:ext uri="{FF2B5EF4-FFF2-40B4-BE49-F238E27FC236}">
              <a16:creationId xmlns:a16="http://schemas.microsoft.com/office/drawing/2014/main" id="{CB82CECD-7B5C-490B-AFB7-520C4A856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1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9455" name="Picture@5C\QPendientes@" descr="@5C\QPendientes@">
          <a:extLst>
            <a:ext uri="{FF2B5EF4-FFF2-40B4-BE49-F238E27FC236}">
              <a16:creationId xmlns:a16="http://schemas.microsoft.com/office/drawing/2014/main" id="{8A7ECD62-8D7E-4D49-8E1A-6C0DC8B8D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3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9456" name="Picture@5C\QPendientes@" descr="@5C\QPendientes@">
          <a:extLst>
            <a:ext uri="{FF2B5EF4-FFF2-40B4-BE49-F238E27FC236}">
              <a16:creationId xmlns:a16="http://schemas.microsoft.com/office/drawing/2014/main" id="{EFB54E5C-0FFB-4CA9-ABEB-0EDA8C536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4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9457" name="Picture@5C\QPendientes@" descr="@5C\QPendientes@">
          <a:extLst>
            <a:ext uri="{FF2B5EF4-FFF2-40B4-BE49-F238E27FC236}">
              <a16:creationId xmlns:a16="http://schemas.microsoft.com/office/drawing/2014/main" id="{514D79F5-DB80-4C21-94FF-2A3AE9C93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6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9458" name="Picture@5C\QPendientes@" descr="@5C\QPendientes@">
          <a:extLst>
            <a:ext uri="{FF2B5EF4-FFF2-40B4-BE49-F238E27FC236}">
              <a16:creationId xmlns:a16="http://schemas.microsoft.com/office/drawing/2014/main" id="{EDA6C6CE-0C93-49AD-BFCB-3B0D64E4D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98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9459" name="Picture@5C\QPendientes@" descr="@5C\QPendientes@">
          <a:extLst>
            <a:ext uri="{FF2B5EF4-FFF2-40B4-BE49-F238E27FC236}">
              <a16:creationId xmlns:a16="http://schemas.microsoft.com/office/drawing/2014/main" id="{C457806C-ABC2-4725-AD25-2B62AC5EC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9460" name="Picture@5C\QPendientes@" descr="@5C\QPendientes@">
          <a:extLst>
            <a:ext uri="{FF2B5EF4-FFF2-40B4-BE49-F238E27FC236}">
              <a16:creationId xmlns:a16="http://schemas.microsoft.com/office/drawing/2014/main" id="{0A853008-C1CC-45EF-93BB-46F7EEF6D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2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9461" name="Picture@5C\QPendientes@" descr="@5C\QPendientes@">
          <a:extLst>
            <a:ext uri="{FF2B5EF4-FFF2-40B4-BE49-F238E27FC236}">
              <a16:creationId xmlns:a16="http://schemas.microsoft.com/office/drawing/2014/main" id="{A8E0BED3-52E5-4926-8425-7B34EA7DD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4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9462" name="Picture@5C\QPendientes@" descr="@5C\QPendientes@">
          <a:extLst>
            <a:ext uri="{FF2B5EF4-FFF2-40B4-BE49-F238E27FC236}">
              <a16:creationId xmlns:a16="http://schemas.microsoft.com/office/drawing/2014/main" id="{A3571350-801B-4920-BC31-E62D8FCF5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5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9463" name="Picture@5C\QPendientes@" descr="@5C\QPendientes@">
          <a:extLst>
            <a:ext uri="{FF2B5EF4-FFF2-40B4-BE49-F238E27FC236}">
              <a16:creationId xmlns:a16="http://schemas.microsoft.com/office/drawing/2014/main" id="{B7EA2131-CC3E-4E26-81C4-DB858E418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7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9464" name="Picture@5C\QPendientes@" descr="@5C\QPendientes@">
          <a:extLst>
            <a:ext uri="{FF2B5EF4-FFF2-40B4-BE49-F238E27FC236}">
              <a16:creationId xmlns:a16="http://schemas.microsoft.com/office/drawing/2014/main" id="{4991DE8C-47ED-4755-BB5C-489BE02CD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9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9465" name="Picture@5C\QPendientes@" descr="@5C\QPendientes@">
          <a:extLst>
            <a:ext uri="{FF2B5EF4-FFF2-40B4-BE49-F238E27FC236}">
              <a16:creationId xmlns:a16="http://schemas.microsoft.com/office/drawing/2014/main" id="{21405E13-D13B-4829-9C1E-52780091C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1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9466" name="Picture@5C\QPendientes@" descr="@5C\QPendientes@">
          <a:extLst>
            <a:ext uri="{FF2B5EF4-FFF2-40B4-BE49-F238E27FC236}">
              <a16:creationId xmlns:a16="http://schemas.microsoft.com/office/drawing/2014/main" id="{636C4C33-928A-4AC9-84DB-6AF15026E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3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9467" name="Picture@5C\QPendientes@" descr="@5C\QPendientes@">
          <a:extLst>
            <a:ext uri="{FF2B5EF4-FFF2-40B4-BE49-F238E27FC236}">
              <a16:creationId xmlns:a16="http://schemas.microsoft.com/office/drawing/2014/main" id="{5B028A9E-87CE-4DC1-B188-8702C4122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5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9468" name="Picture@5C\QPendientes@" descr="@5C\QPendientes@">
          <a:extLst>
            <a:ext uri="{FF2B5EF4-FFF2-40B4-BE49-F238E27FC236}">
              <a16:creationId xmlns:a16="http://schemas.microsoft.com/office/drawing/2014/main" id="{F7C22C13-F05B-4356-B958-4DCCE6F4A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6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9469" name="Picture@5C\QPendientes@" descr="@5C\QPendientes@">
          <a:extLst>
            <a:ext uri="{FF2B5EF4-FFF2-40B4-BE49-F238E27FC236}">
              <a16:creationId xmlns:a16="http://schemas.microsoft.com/office/drawing/2014/main" id="{54D447FF-6D94-400C-A0F5-BA5A4FE8F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9470" name="Picture@5C\QPendientes@" descr="@5C\QPendientes@">
          <a:extLst>
            <a:ext uri="{FF2B5EF4-FFF2-40B4-BE49-F238E27FC236}">
              <a16:creationId xmlns:a16="http://schemas.microsoft.com/office/drawing/2014/main" id="{C615D1CE-F07E-4F87-833A-98061B4D0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0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9471" name="Picture@5C\QPendientes@" descr="@5C\QPendientes@">
          <a:extLst>
            <a:ext uri="{FF2B5EF4-FFF2-40B4-BE49-F238E27FC236}">
              <a16:creationId xmlns:a16="http://schemas.microsoft.com/office/drawing/2014/main" id="{8057CFF7-27D1-4456-B1D2-5FC670C45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2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9472" name="Picture@5C\QPendientes@" descr="@5C\QPendientes@">
          <a:extLst>
            <a:ext uri="{FF2B5EF4-FFF2-40B4-BE49-F238E27FC236}">
              <a16:creationId xmlns:a16="http://schemas.microsoft.com/office/drawing/2014/main" id="{0F5F1F7F-9FF6-426B-85C2-9EF7ADD10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4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9473" name="Picture@5C\QPendientes@" descr="@5C\QPendientes@">
          <a:extLst>
            <a:ext uri="{FF2B5EF4-FFF2-40B4-BE49-F238E27FC236}">
              <a16:creationId xmlns:a16="http://schemas.microsoft.com/office/drawing/2014/main" id="{3CD45F35-9E9C-4449-9809-E5BACCC4E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6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9474" name="Picture@5C\QPendientes@" descr="@5C\QPendientes@">
          <a:extLst>
            <a:ext uri="{FF2B5EF4-FFF2-40B4-BE49-F238E27FC236}">
              <a16:creationId xmlns:a16="http://schemas.microsoft.com/office/drawing/2014/main" id="{BDB4ED16-14CB-4F9E-9208-45C4FC1046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7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9475" name="Picture@5C\QPendientes@" descr="@5C\QPendientes@">
          <a:extLst>
            <a:ext uri="{FF2B5EF4-FFF2-40B4-BE49-F238E27FC236}">
              <a16:creationId xmlns:a16="http://schemas.microsoft.com/office/drawing/2014/main" id="{4B9E7FCD-7FBC-49B7-85D2-1C11B51E7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9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9476" name="Picture@5C\QPendientes@" descr="@5C\QPendientes@">
          <a:extLst>
            <a:ext uri="{FF2B5EF4-FFF2-40B4-BE49-F238E27FC236}">
              <a16:creationId xmlns:a16="http://schemas.microsoft.com/office/drawing/2014/main" id="{E55F7623-FC59-49ED-AF26-039DBD373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1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9477" name="Picture@5C\QPendientes@" descr="@5C\QPendientes@">
          <a:extLst>
            <a:ext uri="{FF2B5EF4-FFF2-40B4-BE49-F238E27FC236}">
              <a16:creationId xmlns:a16="http://schemas.microsoft.com/office/drawing/2014/main" id="{87D0358F-F707-4B71-BA82-89DA88013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3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9478" name="Picture@5C\QPendientes@" descr="@5C\QPendientes@">
          <a:extLst>
            <a:ext uri="{FF2B5EF4-FFF2-40B4-BE49-F238E27FC236}">
              <a16:creationId xmlns:a16="http://schemas.microsoft.com/office/drawing/2014/main" id="{FAD52B99-E966-4637-8908-69CB9DB12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5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9479" name="Picture@5C\QPendientes@" descr="@5C\QPendientes@">
          <a:extLst>
            <a:ext uri="{FF2B5EF4-FFF2-40B4-BE49-F238E27FC236}">
              <a16:creationId xmlns:a16="http://schemas.microsoft.com/office/drawing/2014/main" id="{6727A077-FC7A-4E22-AC29-D38AFC052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9480" name="Picture@5C\QPendientes@" descr="@5C\QPendientes@">
          <a:extLst>
            <a:ext uri="{FF2B5EF4-FFF2-40B4-BE49-F238E27FC236}">
              <a16:creationId xmlns:a16="http://schemas.microsoft.com/office/drawing/2014/main" id="{29BB89E2-B70E-4088-8D7A-43F0F1C70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8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9481" name="Picture@5C\QPendientes@" descr="@5C\QPendientes@">
          <a:extLst>
            <a:ext uri="{FF2B5EF4-FFF2-40B4-BE49-F238E27FC236}">
              <a16:creationId xmlns:a16="http://schemas.microsoft.com/office/drawing/2014/main" id="{15BAA1FD-E5C0-4054-B7D6-6F909414D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0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9482" name="Picture@5C\QPendientes@" descr="@5C\QPendientes@">
          <a:extLst>
            <a:ext uri="{FF2B5EF4-FFF2-40B4-BE49-F238E27FC236}">
              <a16:creationId xmlns:a16="http://schemas.microsoft.com/office/drawing/2014/main" id="{11158A3C-7D58-4CA7-AFFB-0EAB9EF03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2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9483" name="Picture@5C\QPendientes@" descr="@5C\QPendientes@">
          <a:extLst>
            <a:ext uri="{FF2B5EF4-FFF2-40B4-BE49-F238E27FC236}">
              <a16:creationId xmlns:a16="http://schemas.microsoft.com/office/drawing/2014/main" id="{33A31EA3-1A81-47DD-B657-DB26756D5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4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9484" name="Picture@5C\QPendientes@" descr="@5C\QPendientes@">
          <a:extLst>
            <a:ext uri="{FF2B5EF4-FFF2-40B4-BE49-F238E27FC236}">
              <a16:creationId xmlns:a16="http://schemas.microsoft.com/office/drawing/2014/main" id="{2DB6B8AC-D464-4F31-A263-E89322CD9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6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9485" name="Picture@5C\QPendientes@" descr="@5C\QPendientes@">
          <a:extLst>
            <a:ext uri="{FF2B5EF4-FFF2-40B4-BE49-F238E27FC236}">
              <a16:creationId xmlns:a16="http://schemas.microsoft.com/office/drawing/2014/main" id="{2C056168-A616-45EF-8763-B00F05D35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7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9486" name="Picture@5C\QPendientes@" descr="@5C\QPendientes@">
          <a:extLst>
            <a:ext uri="{FF2B5EF4-FFF2-40B4-BE49-F238E27FC236}">
              <a16:creationId xmlns:a16="http://schemas.microsoft.com/office/drawing/2014/main" id="{DF267B1D-2308-460A-A7D9-6718C7085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49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9487" name="Picture@5C\QPendientes@" descr="@5C\QPendientes@">
          <a:extLst>
            <a:ext uri="{FF2B5EF4-FFF2-40B4-BE49-F238E27FC236}">
              <a16:creationId xmlns:a16="http://schemas.microsoft.com/office/drawing/2014/main" id="{76E42382-77DB-4743-AD0B-4310C0C87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1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9488" name="Picture@5C\QPendientes@" descr="@5C\QPendientes@">
          <a:extLst>
            <a:ext uri="{FF2B5EF4-FFF2-40B4-BE49-F238E27FC236}">
              <a16:creationId xmlns:a16="http://schemas.microsoft.com/office/drawing/2014/main" id="{21F96025-2CC8-46F6-8C12-BE2D0C082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3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9489" name="Picture@5C\QPendientes@" descr="@5C\QPendientes@">
          <a:extLst>
            <a:ext uri="{FF2B5EF4-FFF2-40B4-BE49-F238E27FC236}">
              <a16:creationId xmlns:a16="http://schemas.microsoft.com/office/drawing/2014/main" id="{909C757B-A0B0-4405-84CC-E7851091C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9490" name="Picture@5C\QPendientes@" descr="@5C\QPendientes@">
          <a:extLst>
            <a:ext uri="{FF2B5EF4-FFF2-40B4-BE49-F238E27FC236}">
              <a16:creationId xmlns:a16="http://schemas.microsoft.com/office/drawing/2014/main" id="{863EE7A0-F889-4159-A0CD-D7CE64249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7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9491" name="Picture@5C\QPendientes@" descr="@5C\QPendientes@">
          <a:extLst>
            <a:ext uri="{FF2B5EF4-FFF2-40B4-BE49-F238E27FC236}">
              <a16:creationId xmlns:a16="http://schemas.microsoft.com/office/drawing/2014/main" id="{455F3550-BE26-4E97-ABA6-FF524CCB6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8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9492" name="Picture@5C\QPendientes@" descr="@5C\QPendientes@">
          <a:extLst>
            <a:ext uri="{FF2B5EF4-FFF2-40B4-BE49-F238E27FC236}">
              <a16:creationId xmlns:a16="http://schemas.microsoft.com/office/drawing/2014/main" id="{516E7BAF-2BCC-4B93-8021-63039F9B2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0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9493" name="Picture@5C\QPendientes@" descr="@5C\QPendientes@">
          <a:extLst>
            <a:ext uri="{FF2B5EF4-FFF2-40B4-BE49-F238E27FC236}">
              <a16:creationId xmlns:a16="http://schemas.microsoft.com/office/drawing/2014/main" id="{08997D85-F822-4BFF-A6AB-4BD5E1AC1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2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9494" name="Picture@5C\QPendientes@" descr="@5C\QPendientes@">
          <a:extLst>
            <a:ext uri="{FF2B5EF4-FFF2-40B4-BE49-F238E27FC236}">
              <a16:creationId xmlns:a16="http://schemas.microsoft.com/office/drawing/2014/main" id="{800B52DB-9520-4FB1-9818-260C0ECA7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4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9495" name="Picture@5C\QPendientes@" descr="@5C\QPendientes@">
          <a:extLst>
            <a:ext uri="{FF2B5EF4-FFF2-40B4-BE49-F238E27FC236}">
              <a16:creationId xmlns:a16="http://schemas.microsoft.com/office/drawing/2014/main" id="{9521208A-3D9E-4863-B545-4526A96F5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6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9496" name="Picture@5C\QPendientes@" descr="@5C\QPendientes@">
          <a:extLst>
            <a:ext uri="{FF2B5EF4-FFF2-40B4-BE49-F238E27FC236}">
              <a16:creationId xmlns:a16="http://schemas.microsoft.com/office/drawing/2014/main" id="{32BB76D1-2831-4A51-9F3C-35AAB3449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8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9497" name="Picture@5C\QPendientes@" descr="@5C\QPendientes@">
          <a:extLst>
            <a:ext uri="{FF2B5EF4-FFF2-40B4-BE49-F238E27FC236}">
              <a16:creationId xmlns:a16="http://schemas.microsoft.com/office/drawing/2014/main" id="{59E53EC5-7E1B-4C5A-BE36-B8844DB49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69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9498" name="Picture@5C\QPendientes@" descr="@5C\QPendientes@">
          <a:extLst>
            <a:ext uri="{FF2B5EF4-FFF2-40B4-BE49-F238E27FC236}">
              <a16:creationId xmlns:a16="http://schemas.microsoft.com/office/drawing/2014/main" id="{2AD50338-2F87-45CE-BA29-97EDE08B3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1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9499" name="Picture@5C\QPendientes@" descr="@5C\QPendientes@">
          <a:extLst>
            <a:ext uri="{FF2B5EF4-FFF2-40B4-BE49-F238E27FC236}">
              <a16:creationId xmlns:a16="http://schemas.microsoft.com/office/drawing/2014/main" id="{B1C9DCEF-68AC-4F32-B7F0-D94FA56EC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9500" name="Picture@5C\QPendientes@" descr="@5C\QPendientes@">
          <a:extLst>
            <a:ext uri="{FF2B5EF4-FFF2-40B4-BE49-F238E27FC236}">
              <a16:creationId xmlns:a16="http://schemas.microsoft.com/office/drawing/2014/main" id="{896F1E9C-3DBE-4A19-ADE5-3F1F0872E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5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9501" name="Picture@5C\QPendientes@" descr="@5C\QPendientes@">
          <a:extLst>
            <a:ext uri="{FF2B5EF4-FFF2-40B4-BE49-F238E27FC236}">
              <a16:creationId xmlns:a16="http://schemas.microsoft.com/office/drawing/2014/main" id="{C44EEA99-AC6B-4ACF-8C5C-57FD43680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7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9502" name="Picture@5C\QPendientes@" descr="@5C\QPendientes@">
          <a:extLst>
            <a:ext uri="{FF2B5EF4-FFF2-40B4-BE49-F238E27FC236}">
              <a16:creationId xmlns:a16="http://schemas.microsoft.com/office/drawing/2014/main" id="{793BA0AA-6025-493D-A3E4-F47F15F1B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9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9503" name="Picture@5C\QPendientes@" descr="@5C\QPendientes@">
          <a:extLst>
            <a:ext uri="{FF2B5EF4-FFF2-40B4-BE49-F238E27FC236}">
              <a16:creationId xmlns:a16="http://schemas.microsoft.com/office/drawing/2014/main" id="{E5B6E32E-7DB1-40C1-B14E-6C1356F6A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0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9504" name="Picture@5C\QPendientes@" descr="@5C\QPendientes@">
          <a:extLst>
            <a:ext uri="{FF2B5EF4-FFF2-40B4-BE49-F238E27FC236}">
              <a16:creationId xmlns:a16="http://schemas.microsoft.com/office/drawing/2014/main" id="{F8C03491-59A9-48CC-A59E-427CC67BB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2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9505" name="Picture@5C\QPendientes@" descr="@5C\QPendientes@">
          <a:extLst>
            <a:ext uri="{FF2B5EF4-FFF2-40B4-BE49-F238E27FC236}">
              <a16:creationId xmlns:a16="http://schemas.microsoft.com/office/drawing/2014/main" id="{5D2BC81F-85F9-47B2-9418-268A68D5A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4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9506" name="Picture@5C\QPendientes@" descr="@5C\QPendientes@">
          <a:extLst>
            <a:ext uri="{FF2B5EF4-FFF2-40B4-BE49-F238E27FC236}">
              <a16:creationId xmlns:a16="http://schemas.microsoft.com/office/drawing/2014/main" id="{5525DD73-F376-4AF1-8336-D6C5B4924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6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9507" name="Picture@5C\QPendientes@" descr="@5C\QPendientes@">
          <a:extLst>
            <a:ext uri="{FF2B5EF4-FFF2-40B4-BE49-F238E27FC236}">
              <a16:creationId xmlns:a16="http://schemas.microsoft.com/office/drawing/2014/main" id="{033CFB2D-2C01-482A-AA57-3C13E45ED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88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9508" name="Picture@5C\QPendientes@" descr="@5C\QPendientes@">
          <a:extLst>
            <a:ext uri="{FF2B5EF4-FFF2-40B4-BE49-F238E27FC236}">
              <a16:creationId xmlns:a16="http://schemas.microsoft.com/office/drawing/2014/main" id="{567ABE0D-0F62-4B8E-A811-7D3504C2AF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0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9509" name="Picture@5C\QPendientes@" descr="@5C\QPendientes@">
          <a:extLst>
            <a:ext uri="{FF2B5EF4-FFF2-40B4-BE49-F238E27FC236}">
              <a16:creationId xmlns:a16="http://schemas.microsoft.com/office/drawing/2014/main" id="{0C01223E-6B40-4B87-A546-ED7E70222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9510" name="Picture@5C\QPendientes@" descr="@5C\QPendientes@">
          <a:extLst>
            <a:ext uri="{FF2B5EF4-FFF2-40B4-BE49-F238E27FC236}">
              <a16:creationId xmlns:a16="http://schemas.microsoft.com/office/drawing/2014/main" id="{4D58D90C-A50D-49EC-AD1F-B60A5022A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3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9511" name="Picture@5C\QPendientes@" descr="@5C\QPendientes@">
          <a:extLst>
            <a:ext uri="{FF2B5EF4-FFF2-40B4-BE49-F238E27FC236}">
              <a16:creationId xmlns:a16="http://schemas.microsoft.com/office/drawing/2014/main" id="{0C687903-0ACC-4BCB-B3BA-250899EEC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5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9512" name="Picture@5C\QPendientes@" descr="@5C\QPendientes@">
          <a:extLst>
            <a:ext uri="{FF2B5EF4-FFF2-40B4-BE49-F238E27FC236}">
              <a16:creationId xmlns:a16="http://schemas.microsoft.com/office/drawing/2014/main" id="{77231DF2-F6F5-4143-9EDB-5C980B098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7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9513" name="Picture@5C\QPendientes@" descr="@5C\QPendientes@">
          <a:extLst>
            <a:ext uri="{FF2B5EF4-FFF2-40B4-BE49-F238E27FC236}">
              <a16:creationId xmlns:a16="http://schemas.microsoft.com/office/drawing/2014/main" id="{A5926B25-8202-447E-8248-8680F1CEF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9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9514" name="Picture@5C\QPendientes@" descr="@5C\QPendientes@">
          <a:extLst>
            <a:ext uri="{FF2B5EF4-FFF2-40B4-BE49-F238E27FC236}">
              <a16:creationId xmlns:a16="http://schemas.microsoft.com/office/drawing/2014/main" id="{193D96D5-9DA3-4C84-A794-08D37F994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0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9515" name="Picture@5C\QPendientes@" descr="@5C\QPendientes@">
          <a:extLst>
            <a:ext uri="{FF2B5EF4-FFF2-40B4-BE49-F238E27FC236}">
              <a16:creationId xmlns:a16="http://schemas.microsoft.com/office/drawing/2014/main" id="{5EA06DA8-827A-4EB6-9C8D-CF79307B5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2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9516" name="Picture@5C\QPendientes@" descr="@5C\QPendientes@">
          <a:extLst>
            <a:ext uri="{FF2B5EF4-FFF2-40B4-BE49-F238E27FC236}">
              <a16:creationId xmlns:a16="http://schemas.microsoft.com/office/drawing/2014/main" id="{4D19696B-3152-4A5B-98D6-800CAF917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4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9517" name="Picture@5C\QPendientes@" descr="@5C\QPendientes@">
          <a:extLst>
            <a:ext uri="{FF2B5EF4-FFF2-40B4-BE49-F238E27FC236}">
              <a16:creationId xmlns:a16="http://schemas.microsoft.com/office/drawing/2014/main" id="{44C4A89D-602C-43C1-86C4-02EC00D63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6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9518" name="Picture@5C\QPendientes@" descr="@5C\QPendientes@">
          <a:extLst>
            <a:ext uri="{FF2B5EF4-FFF2-40B4-BE49-F238E27FC236}">
              <a16:creationId xmlns:a16="http://schemas.microsoft.com/office/drawing/2014/main" id="{F12A0C26-C77C-4A46-AAB4-D1A2E3ADA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08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9519" name="Picture@5C\QPendientes@" descr="@5C\QPendientes@">
          <a:extLst>
            <a:ext uri="{FF2B5EF4-FFF2-40B4-BE49-F238E27FC236}">
              <a16:creationId xmlns:a16="http://schemas.microsoft.com/office/drawing/2014/main" id="{DA209B33-25DC-4B0B-B68F-A551B4DC1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9520" name="Picture@5C\QPendientes@" descr="@5C\QPendientes@">
          <a:extLst>
            <a:ext uri="{FF2B5EF4-FFF2-40B4-BE49-F238E27FC236}">
              <a16:creationId xmlns:a16="http://schemas.microsoft.com/office/drawing/2014/main" id="{57543EDE-6A16-4946-ADEC-B3FE730DD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1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9521" name="Picture@5C\QPendientes@" descr="@5C\QPendientes@">
          <a:extLst>
            <a:ext uri="{FF2B5EF4-FFF2-40B4-BE49-F238E27FC236}">
              <a16:creationId xmlns:a16="http://schemas.microsoft.com/office/drawing/2014/main" id="{1CCCA235-2267-4EDD-A114-22201970F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3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9522" name="Picture@5C\QPendientes@" descr="@5C\QPendientes@">
          <a:extLst>
            <a:ext uri="{FF2B5EF4-FFF2-40B4-BE49-F238E27FC236}">
              <a16:creationId xmlns:a16="http://schemas.microsoft.com/office/drawing/2014/main" id="{5F433C0B-1FC8-4716-9981-C917BE4CD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5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9523" name="Picture@5C\QPendientes@" descr="@5C\QPendientes@">
          <a:extLst>
            <a:ext uri="{FF2B5EF4-FFF2-40B4-BE49-F238E27FC236}">
              <a16:creationId xmlns:a16="http://schemas.microsoft.com/office/drawing/2014/main" id="{B02901D3-418E-4656-95AD-11CEA4EB0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7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9524" name="Picture@5C\QPendientes@" descr="@5C\QPendientes@">
          <a:extLst>
            <a:ext uri="{FF2B5EF4-FFF2-40B4-BE49-F238E27FC236}">
              <a16:creationId xmlns:a16="http://schemas.microsoft.com/office/drawing/2014/main" id="{68CDD793-D73B-495A-8E68-FB4984C38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9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9525" name="Picture@5C\QPendientes@" descr="@5C\QPendientes@">
          <a:extLst>
            <a:ext uri="{FF2B5EF4-FFF2-40B4-BE49-F238E27FC236}">
              <a16:creationId xmlns:a16="http://schemas.microsoft.com/office/drawing/2014/main" id="{0E8B7F01-5333-4888-9764-E6A129A5A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1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9526" name="Picture@5C\QPendientes@" descr="@5C\QPendientes@">
          <a:extLst>
            <a:ext uri="{FF2B5EF4-FFF2-40B4-BE49-F238E27FC236}">
              <a16:creationId xmlns:a16="http://schemas.microsoft.com/office/drawing/2014/main" id="{F3C54841-8B4A-48BF-8AA3-3E746C08E9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2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9527" name="Picture@5C\QPendientes@" descr="@5C\QPendientes@">
          <a:extLst>
            <a:ext uri="{FF2B5EF4-FFF2-40B4-BE49-F238E27FC236}">
              <a16:creationId xmlns:a16="http://schemas.microsoft.com/office/drawing/2014/main" id="{B5CCA90F-6D38-404A-AA93-4569A23850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4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9528" name="Picture@5C\QPendientes@" descr="@5C\QPendientes@">
          <a:extLst>
            <a:ext uri="{FF2B5EF4-FFF2-40B4-BE49-F238E27FC236}">
              <a16:creationId xmlns:a16="http://schemas.microsoft.com/office/drawing/2014/main" id="{95622F4F-7469-44BB-88A6-06C1143CC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6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9529" name="Picture@5C\QPendientes@" descr="@5C\QPendientes@">
          <a:extLst>
            <a:ext uri="{FF2B5EF4-FFF2-40B4-BE49-F238E27FC236}">
              <a16:creationId xmlns:a16="http://schemas.microsoft.com/office/drawing/2014/main" id="{6550753B-D5DF-4842-8F54-2F6E78C6B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9530" name="Picture@5C\QPendientes@" descr="@5C\QPendientes@">
          <a:extLst>
            <a:ext uri="{FF2B5EF4-FFF2-40B4-BE49-F238E27FC236}">
              <a16:creationId xmlns:a16="http://schemas.microsoft.com/office/drawing/2014/main" id="{471D46C3-2319-4386-BAAD-09877C5EC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0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9531" name="Picture@5C\QPendientes@" descr="@5C\QPendientes@">
          <a:extLst>
            <a:ext uri="{FF2B5EF4-FFF2-40B4-BE49-F238E27FC236}">
              <a16:creationId xmlns:a16="http://schemas.microsoft.com/office/drawing/2014/main" id="{5903BBA2-2B94-4994-9E1F-8BCFD899C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2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9532" name="Picture@5C\QPendientes@" descr="@5C\QPendientes@">
          <a:extLst>
            <a:ext uri="{FF2B5EF4-FFF2-40B4-BE49-F238E27FC236}">
              <a16:creationId xmlns:a16="http://schemas.microsoft.com/office/drawing/2014/main" id="{08EC8029-2173-4B1F-96F4-E9621E34E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3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9533" name="Picture@5C\QPendientes@" descr="@5C\QPendientes@">
          <a:extLst>
            <a:ext uri="{FF2B5EF4-FFF2-40B4-BE49-F238E27FC236}">
              <a16:creationId xmlns:a16="http://schemas.microsoft.com/office/drawing/2014/main" id="{80D2A604-C7DA-44D3-8961-4E26EE34EB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5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9534" name="Picture@5C\QPendientes@" descr="@5C\QPendientes@">
          <a:extLst>
            <a:ext uri="{FF2B5EF4-FFF2-40B4-BE49-F238E27FC236}">
              <a16:creationId xmlns:a16="http://schemas.microsoft.com/office/drawing/2014/main" id="{B667C8FB-64F4-45F6-81D7-66B4CE5CC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7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9535" name="Picture@5C\QPendientes@" descr="@5C\QPendientes@">
          <a:extLst>
            <a:ext uri="{FF2B5EF4-FFF2-40B4-BE49-F238E27FC236}">
              <a16:creationId xmlns:a16="http://schemas.microsoft.com/office/drawing/2014/main" id="{CA8C98E3-4FD6-4AAB-A189-96F7E3AC35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39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9536" name="Picture@5C\QPendientes@" descr="@5C\QPendientes@">
          <a:extLst>
            <a:ext uri="{FF2B5EF4-FFF2-40B4-BE49-F238E27FC236}">
              <a16:creationId xmlns:a16="http://schemas.microsoft.com/office/drawing/2014/main" id="{D70F2B14-F70B-4622-9EAC-B76126D96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1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9537" name="Picture@5C\QPendientes@" descr="@5C\QPendientes@">
          <a:extLst>
            <a:ext uri="{FF2B5EF4-FFF2-40B4-BE49-F238E27FC236}">
              <a16:creationId xmlns:a16="http://schemas.microsoft.com/office/drawing/2014/main" id="{6119BB48-3C0D-4A8E-A809-0D9FDABDA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3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9538" name="Picture@5C\QPendientes@" descr="@5C\QPendientes@">
          <a:extLst>
            <a:ext uri="{FF2B5EF4-FFF2-40B4-BE49-F238E27FC236}">
              <a16:creationId xmlns:a16="http://schemas.microsoft.com/office/drawing/2014/main" id="{76173D5B-52C9-4C5E-B194-B7A6C8503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4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9539" name="Picture@5C\QPendientes@" descr="@5C\QPendientes@">
          <a:extLst>
            <a:ext uri="{FF2B5EF4-FFF2-40B4-BE49-F238E27FC236}">
              <a16:creationId xmlns:a16="http://schemas.microsoft.com/office/drawing/2014/main" id="{17708A0D-3ADE-40B4-9ABF-AA9D33ADB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9540" name="Picture@5C\QPendientes@" descr="@5C\QPendientes@">
          <a:extLst>
            <a:ext uri="{FF2B5EF4-FFF2-40B4-BE49-F238E27FC236}">
              <a16:creationId xmlns:a16="http://schemas.microsoft.com/office/drawing/2014/main" id="{D660A996-949C-4F72-A0A7-F3C762BE6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8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9541" name="Picture@5C\QPendientes@" descr="@5C\QPendientes@">
          <a:extLst>
            <a:ext uri="{FF2B5EF4-FFF2-40B4-BE49-F238E27FC236}">
              <a16:creationId xmlns:a16="http://schemas.microsoft.com/office/drawing/2014/main" id="{50152674-7C37-4DA6-9A85-35366F90C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0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9542" name="Picture@5C\QPendientes@" descr="@5C\QPendientes@">
          <a:extLst>
            <a:ext uri="{FF2B5EF4-FFF2-40B4-BE49-F238E27FC236}">
              <a16:creationId xmlns:a16="http://schemas.microsoft.com/office/drawing/2014/main" id="{B0450250-D971-45D9-91B8-C31A8D8E6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2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9543" name="Picture@5C\QPendientes@" descr="@5C\QPendientes@">
          <a:extLst>
            <a:ext uri="{FF2B5EF4-FFF2-40B4-BE49-F238E27FC236}">
              <a16:creationId xmlns:a16="http://schemas.microsoft.com/office/drawing/2014/main" id="{76FC8CD4-CCEB-4743-A6D2-20D50562E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4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9544" name="Picture@5C\QPendientes@" descr="@5C\QPendientes@">
          <a:extLst>
            <a:ext uri="{FF2B5EF4-FFF2-40B4-BE49-F238E27FC236}">
              <a16:creationId xmlns:a16="http://schemas.microsoft.com/office/drawing/2014/main" id="{F8DC90E8-C154-4C0C-9F28-FAD954C55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5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9545" name="Picture@5C\QPendientes@" descr="@5C\QPendientes@">
          <a:extLst>
            <a:ext uri="{FF2B5EF4-FFF2-40B4-BE49-F238E27FC236}">
              <a16:creationId xmlns:a16="http://schemas.microsoft.com/office/drawing/2014/main" id="{0BD2A402-E018-4056-9C90-E119FDBB2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7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9546" name="Picture@5C\QPendientes@" descr="@5C\QPendientes@">
          <a:extLst>
            <a:ext uri="{FF2B5EF4-FFF2-40B4-BE49-F238E27FC236}">
              <a16:creationId xmlns:a16="http://schemas.microsoft.com/office/drawing/2014/main" id="{2177AEB6-3F95-4998-95DE-643A3660FE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59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9547" name="Picture@5C\QPendientes@" descr="@5C\QPendientes@">
          <a:extLst>
            <a:ext uri="{FF2B5EF4-FFF2-40B4-BE49-F238E27FC236}">
              <a16:creationId xmlns:a16="http://schemas.microsoft.com/office/drawing/2014/main" id="{24CE8BC4-82D6-4347-BE3B-11C1F1508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1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9548" name="Picture@5C\QPendientes@" descr="@5C\QPendientes@">
          <a:extLst>
            <a:ext uri="{FF2B5EF4-FFF2-40B4-BE49-F238E27FC236}">
              <a16:creationId xmlns:a16="http://schemas.microsoft.com/office/drawing/2014/main" id="{B7E9B448-6CF7-478E-A0AC-092367A27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3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9549" name="Picture@5C\QPendientes@" descr="@5C\QPendientes@">
          <a:extLst>
            <a:ext uri="{FF2B5EF4-FFF2-40B4-BE49-F238E27FC236}">
              <a16:creationId xmlns:a16="http://schemas.microsoft.com/office/drawing/2014/main" id="{ECC76FB0-B680-446A-9A03-AB3250381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9550" name="Picture@5C\QPendientes@" descr="@5C\QPendientes@">
          <a:extLst>
            <a:ext uri="{FF2B5EF4-FFF2-40B4-BE49-F238E27FC236}">
              <a16:creationId xmlns:a16="http://schemas.microsoft.com/office/drawing/2014/main" id="{42D780A8-C8FF-4135-8CF5-2C4EB565E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6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9551" name="Picture@5C\QPendientes@" descr="@5C\QPendientes@">
          <a:extLst>
            <a:ext uri="{FF2B5EF4-FFF2-40B4-BE49-F238E27FC236}">
              <a16:creationId xmlns:a16="http://schemas.microsoft.com/office/drawing/2014/main" id="{87324584-CA56-48ED-993D-BC39742EF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8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9552" name="Picture@5C\QPendientes@" descr="@5C\QPendientes@">
          <a:extLst>
            <a:ext uri="{FF2B5EF4-FFF2-40B4-BE49-F238E27FC236}">
              <a16:creationId xmlns:a16="http://schemas.microsoft.com/office/drawing/2014/main" id="{2DA4817B-1F5D-49FA-8D90-57FA5CD71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0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9553" name="Picture@5C\QPendientes@" descr="@5C\QPendientes@">
          <a:extLst>
            <a:ext uri="{FF2B5EF4-FFF2-40B4-BE49-F238E27FC236}">
              <a16:creationId xmlns:a16="http://schemas.microsoft.com/office/drawing/2014/main" id="{A5FDFA42-1751-4B47-B391-0014AC2AA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2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9554" name="Picture@5C\QPendientes@" descr="@5C\QPendientes@">
          <a:extLst>
            <a:ext uri="{FF2B5EF4-FFF2-40B4-BE49-F238E27FC236}">
              <a16:creationId xmlns:a16="http://schemas.microsoft.com/office/drawing/2014/main" id="{0E16AEA0-9959-46C2-B39B-3BF6373AD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4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9555" name="Picture@5C\QPendientes@" descr="@5C\QPendientes@">
          <a:extLst>
            <a:ext uri="{FF2B5EF4-FFF2-40B4-BE49-F238E27FC236}">
              <a16:creationId xmlns:a16="http://schemas.microsoft.com/office/drawing/2014/main" id="{B98EC886-3561-43D7-BFAC-F4AF8C7E96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5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9556" name="Picture@5C\QPendientes@" descr="@5C\QPendientes@">
          <a:extLst>
            <a:ext uri="{FF2B5EF4-FFF2-40B4-BE49-F238E27FC236}">
              <a16:creationId xmlns:a16="http://schemas.microsoft.com/office/drawing/2014/main" id="{E3134F0D-7DF6-44C6-A828-E53985C36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7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9557" name="Picture@5C\QPendientes@" descr="@5C\QPendientes@">
          <a:extLst>
            <a:ext uri="{FF2B5EF4-FFF2-40B4-BE49-F238E27FC236}">
              <a16:creationId xmlns:a16="http://schemas.microsoft.com/office/drawing/2014/main" id="{E622DC86-2FE0-4BE9-AE7A-B9FA5F175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79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9558" name="Picture@5C\QPendientes@" descr="@5C\QPendientes@">
          <a:extLst>
            <a:ext uri="{FF2B5EF4-FFF2-40B4-BE49-F238E27FC236}">
              <a16:creationId xmlns:a16="http://schemas.microsoft.com/office/drawing/2014/main" id="{B2FCE4B2-95BC-4C6B-9DC3-084085E01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1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9559" name="Picture@5C\QPendientes@" descr="@5C\QPendientes@">
          <a:extLst>
            <a:ext uri="{FF2B5EF4-FFF2-40B4-BE49-F238E27FC236}">
              <a16:creationId xmlns:a16="http://schemas.microsoft.com/office/drawing/2014/main" id="{4FFFA466-4962-408F-96D9-73621E10F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9560" name="Picture@5C\QPendientes@" descr="@5C\QPendientes@">
          <a:extLst>
            <a:ext uri="{FF2B5EF4-FFF2-40B4-BE49-F238E27FC236}">
              <a16:creationId xmlns:a16="http://schemas.microsoft.com/office/drawing/2014/main" id="{CED56A84-CB87-48C2-91D0-F54737378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5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9561" name="Picture@5C\QPendientes@" descr="@5C\QPendientes@">
          <a:extLst>
            <a:ext uri="{FF2B5EF4-FFF2-40B4-BE49-F238E27FC236}">
              <a16:creationId xmlns:a16="http://schemas.microsoft.com/office/drawing/2014/main" id="{49136D68-7A3D-4D0A-8F2B-060B1CBE5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6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9562" name="Picture@5C\QPendientes@" descr="@5C\QPendientes@">
          <a:extLst>
            <a:ext uri="{FF2B5EF4-FFF2-40B4-BE49-F238E27FC236}">
              <a16:creationId xmlns:a16="http://schemas.microsoft.com/office/drawing/2014/main" id="{640429C2-BD39-4D48-8F91-F3BFA8571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8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9563" name="Picture@5C\QPendientes@" descr="@5C\QPendientes@">
          <a:extLst>
            <a:ext uri="{FF2B5EF4-FFF2-40B4-BE49-F238E27FC236}">
              <a16:creationId xmlns:a16="http://schemas.microsoft.com/office/drawing/2014/main" id="{2492F4FE-1D70-40F6-9C7B-0AE22BAB8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0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9564" name="Picture@5C\QPendientes@" descr="@5C\QPendientes@">
          <a:extLst>
            <a:ext uri="{FF2B5EF4-FFF2-40B4-BE49-F238E27FC236}">
              <a16:creationId xmlns:a16="http://schemas.microsoft.com/office/drawing/2014/main" id="{0AEED00D-4278-41DB-88FF-E9EFCCF8E3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2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9565" name="Picture@5C\QPendientes@" descr="@5C\QPendientes@">
          <a:extLst>
            <a:ext uri="{FF2B5EF4-FFF2-40B4-BE49-F238E27FC236}">
              <a16:creationId xmlns:a16="http://schemas.microsoft.com/office/drawing/2014/main" id="{D9BD468A-679C-4A36-9A8A-D9D9AD243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4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9566" name="Picture@5C\QPendientes@" descr="@5C\QPendientes@">
          <a:extLst>
            <a:ext uri="{FF2B5EF4-FFF2-40B4-BE49-F238E27FC236}">
              <a16:creationId xmlns:a16="http://schemas.microsoft.com/office/drawing/2014/main" id="{7D0C6718-6C35-4ACB-B688-3B707CE29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6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9567" name="Picture@5C\QPendientes@" descr="@5C\QPendientes@">
          <a:extLst>
            <a:ext uri="{FF2B5EF4-FFF2-40B4-BE49-F238E27FC236}">
              <a16:creationId xmlns:a16="http://schemas.microsoft.com/office/drawing/2014/main" id="{03DE1E33-A796-4E4B-8415-7976E4D19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7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9568" name="Picture@5C\QPendientes@" descr="@5C\QPendientes@">
          <a:extLst>
            <a:ext uri="{FF2B5EF4-FFF2-40B4-BE49-F238E27FC236}">
              <a16:creationId xmlns:a16="http://schemas.microsoft.com/office/drawing/2014/main" id="{4221EAF2-9901-439A-8D96-914D39C9C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99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9569" name="Picture@5C\QPendientes@" descr="@5C\QPendientes@">
          <a:extLst>
            <a:ext uri="{FF2B5EF4-FFF2-40B4-BE49-F238E27FC236}">
              <a16:creationId xmlns:a16="http://schemas.microsoft.com/office/drawing/2014/main" id="{A2246A93-C7FC-4B68-8B3B-BFEC10517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9570" name="Picture@5C\QPendientes@" descr="@5C\QPendientes@">
          <a:extLst>
            <a:ext uri="{FF2B5EF4-FFF2-40B4-BE49-F238E27FC236}">
              <a16:creationId xmlns:a16="http://schemas.microsoft.com/office/drawing/2014/main" id="{57180010-7DAE-49DC-9868-92881CE61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3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9571" name="Picture@5C\QPendientes@" descr="@5C\QPendientes@">
          <a:extLst>
            <a:ext uri="{FF2B5EF4-FFF2-40B4-BE49-F238E27FC236}">
              <a16:creationId xmlns:a16="http://schemas.microsoft.com/office/drawing/2014/main" id="{65037655-4E86-4608-8F59-04A646898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5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9572" name="Picture@5C\QPendientes@" descr="@5C\QPendientes@">
          <a:extLst>
            <a:ext uri="{FF2B5EF4-FFF2-40B4-BE49-F238E27FC236}">
              <a16:creationId xmlns:a16="http://schemas.microsoft.com/office/drawing/2014/main" id="{F7AB932A-8B7E-4865-814A-99778C629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7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9573" name="Picture@5C\QPendientes@" descr="@5C\QPendientes@">
          <a:extLst>
            <a:ext uri="{FF2B5EF4-FFF2-40B4-BE49-F238E27FC236}">
              <a16:creationId xmlns:a16="http://schemas.microsoft.com/office/drawing/2014/main" id="{A4E541E4-ECA5-4A8B-A355-B08F7063E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8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9574" name="Picture@5C\QPendientes@" descr="@5C\QPendientes@">
          <a:extLst>
            <a:ext uri="{FF2B5EF4-FFF2-40B4-BE49-F238E27FC236}">
              <a16:creationId xmlns:a16="http://schemas.microsoft.com/office/drawing/2014/main" id="{E7339A7A-29E6-406D-968D-C3122055F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0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9575" name="Picture@5C\QPendientes@" descr="@5C\QPendientes@">
          <a:extLst>
            <a:ext uri="{FF2B5EF4-FFF2-40B4-BE49-F238E27FC236}">
              <a16:creationId xmlns:a16="http://schemas.microsoft.com/office/drawing/2014/main" id="{935D619F-6566-401F-8B8D-B2396877C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2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9576" name="Picture@5C\QPendientes@" descr="@5C\QPendientes@">
          <a:extLst>
            <a:ext uri="{FF2B5EF4-FFF2-40B4-BE49-F238E27FC236}">
              <a16:creationId xmlns:a16="http://schemas.microsoft.com/office/drawing/2014/main" id="{5538E27A-EFB4-4330-BC24-67DE09228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4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9577" name="Picture@5C\QPendientes@" descr="@5C\QPendientes@">
          <a:extLst>
            <a:ext uri="{FF2B5EF4-FFF2-40B4-BE49-F238E27FC236}">
              <a16:creationId xmlns:a16="http://schemas.microsoft.com/office/drawing/2014/main" id="{5141FDCA-0DDE-43CF-B7E4-77C0F1BF9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6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9578" name="Picture@5C\QPendientes@" descr="@5C\QPendientes@">
          <a:extLst>
            <a:ext uri="{FF2B5EF4-FFF2-40B4-BE49-F238E27FC236}">
              <a16:creationId xmlns:a16="http://schemas.microsoft.com/office/drawing/2014/main" id="{6B1CDB4E-FAB8-4F96-8B59-141CEF0D2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8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9579" name="Picture@5C\QPendientes@" descr="@5C\QPendientes@">
          <a:extLst>
            <a:ext uri="{FF2B5EF4-FFF2-40B4-BE49-F238E27FC236}">
              <a16:creationId xmlns:a16="http://schemas.microsoft.com/office/drawing/2014/main" id="{CE08940C-B687-4433-81AD-8A28CD35C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9580" name="Picture@5C\QPendientes@" descr="@5C\QPendientes@">
          <a:extLst>
            <a:ext uri="{FF2B5EF4-FFF2-40B4-BE49-F238E27FC236}">
              <a16:creationId xmlns:a16="http://schemas.microsoft.com/office/drawing/2014/main" id="{28DB41A4-326B-4EFA-B178-68B6FAA30E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1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9581" name="Picture@5C\QPendientes@" descr="@5C\QPendientes@">
          <a:extLst>
            <a:ext uri="{FF2B5EF4-FFF2-40B4-BE49-F238E27FC236}">
              <a16:creationId xmlns:a16="http://schemas.microsoft.com/office/drawing/2014/main" id="{319E3752-B86A-439A-8DBF-E9B215EAA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3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9582" name="Picture@5C\QPendientes@" descr="@5C\QPendientes@">
          <a:extLst>
            <a:ext uri="{FF2B5EF4-FFF2-40B4-BE49-F238E27FC236}">
              <a16:creationId xmlns:a16="http://schemas.microsoft.com/office/drawing/2014/main" id="{FB101F72-C9BC-4CF3-8FFA-45CE19DF4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5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9583" name="Picture@5C\QPendientes@" descr="@5C\QPendientes@">
          <a:extLst>
            <a:ext uri="{FF2B5EF4-FFF2-40B4-BE49-F238E27FC236}">
              <a16:creationId xmlns:a16="http://schemas.microsoft.com/office/drawing/2014/main" id="{E3AB5CA1-01AF-498E-9C7A-120B6BBAC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7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9584" name="Picture@5C\QPendientes@" descr="@5C\QPendientes@">
          <a:extLst>
            <a:ext uri="{FF2B5EF4-FFF2-40B4-BE49-F238E27FC236}">
              <a16:creationId xmlns:a16="http://schemas.microsoft.com/office/drawing/2014/main" id="{039191A8-0545-46B0-BD0B-13C3776C3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9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9585" name="Picture@5C\QPendientes@" descr="@5C\QPendientes@">
          <a:extLst>
            <a:ext uri="{FF2B5EF4-FFF2-40B4-BE49-F238E27FC236}">
              <a16:creationId xmlns:a16="http://schemas.microsoft.com/office/drawing/2014/main" id="{58434CE7-2562-471E-8365-E103234CB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0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9586" name="Picture@5C\QPendientes@" descr="@5C\QPendientes@">
          <a:extLst>
            <a:ext uri="{FF2B5EF4-FFF2-40B4-BE49-F238E27FC236}">
              <a16:creationId xmlns:a16="http://schemas.microsoft.com/office/drawing/2014/main" id="{EE0D9A7A-6A4E-442B-9BFA-0903E23E47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2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9587" name="Picture@5C\QPendientes@" descr="@5C\QPendientes@">
          <a:extLst>
            <a:ext uri="{FF2B5EF4-FFF2-40B4-BE49-F238E27FC236}">
              <a16:creationId xmlns:a16="http://schemas.microsoft.com/office/drawing/2014/main" id="{6DBAEAD5-5173-43AE-98C4-9A093F0AC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4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9588" name="Picture@5C\QPendientes@" descr="@5C\QPendientes@">
          <a:extLst>
            <a:ext uri="{FF2B5EF4-FFF2-40B4-BE49-F238E27FC236}">
              <a16:creationId xmlns:a16="http://schemas.microsoft.com/office/drawing/2014/main" id="{6B9765A6-25E5-440C-84ED-BF5C34AC4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6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9589" name="Picture@5C\QPendientes@" descr="@5C\QPendientes@">
          <a:extLst>
            <a:ext uri="{FF2B5EF4-FFF2-40B4-BE49-F238E27FC236}">
              <a16:creationId xmlns:a16="http://schemas.microsoft.com/office/drawing/2014/main" id="{F27D1660-A043-44B8-B6D8-387907B4E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9590" name="Picture@5C\QPendientes@" descr="@5C\QPendientes@">
          <a:extLst>
            <a:ext uri="{FF2B5EF4-FFF2-40B4-BE49-F238E27FC236}">
              <a16:creationId xmlns:a16="http://schemas.microsoft.com/office/drawing/2014/main" id="{611FCDD3-E2D8-4EDF-9AC0-C334F808B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9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9591" name="Picture@5C\QPendientes@" descr="@5C\QPendientes@">
          <a:extLst>
            <a:ext uri="{FF2B5EF4-FFF2-40B4-BE49-F238E27FC236}">
              <a16:creationId xmlns:a16="http://schemas.microsoft.com/office/drawing/2014/main" id="{08D94DA8-0718-43BB-8D3E-43B42ED2A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1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9592" name="Picture@5C\QPendientes@" descr="@5C\QPendientes@">
          <a:extLst>
            <a:ext uri="{FF2B5EF4-FFF2-40B4-BE49-F238E27FC236}">
              <a16:creationId xmlns:a16="http://schemas.microsoft.com/office/drawing/2014/main" id="{5880BAA8-3E5B-43FE-BCA8-DA2BEE221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3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9593" name="Picture@5C\QPendientes@" descr="@5C\QPendientes@">
          <a:extLst>
            <a:ext uri="{FF2B5EF4-FFF2-40B4-BE49-F238E27FC236}">
              <a16:creationId xmlns:a16="http://schemas.microsoft.com/office/drawing/2014/main" id="{5B7B4F81-4E1B-4402-82B7-9CAD40351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5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9594" name="Picture@5C\QPendientes@" descr="@5C\QPendientes@">
          <a:extLst>
            <a:ext uri="{FF2B5EF4-FFF2-40B4-BE49-F238E27FC236}">
              <a16:creationId xmlns:a16="http://schemas.microsoft.com/office/drawing/2014/main" id="{0C485212-4A13-49D4-B0B5-DE4BD26F8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7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9595" name="Picture@5C\QPendientes@" descr="@5C\QPendientes@">
          <a:extLst>
            <a:ext uri="{FF2B5EF4-FFF2-40B4-BE49-F238E27FC236}">
              <a16:creationId xmlns:a16="http://schemas.microsoft.com/office/drawing/2014/main" id="{5BFF8D2E-2054-49A3-A4DE-6533FA2E2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49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9596" name="Picture@5C\QPendientes@" descr="@5C\QPendientes@">
          <a:extLst>
            <a:ext uri="{FF2B5EF4-FFF2-40B4-BE49-F238E27FC236}">
              <a16:creationId xmlns:a16="http://schemas.microsoft.com/office/drawing/2014/main" id="{65888158-95B6-44B8-AD53-49025DD27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0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9597" name="Picture@5C\QPendientes@" descr="@5C\QPendientes@">
          <a:extLst>
            <a:ext uri="{FF2B5EF4-FFF2-40B4-BE49-F238E27FC236}">
              <a16:creationId xmlns:a16="http://schemas.microsoft.com/office/drawing/2014/main" id="{29D4C7B6-41F1-4775-B8E6-EF12314BA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2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9598" name="Picture@5C\QPendientes@" descr="@5C\QPendientes@">
          <a:extLst>
            <a:ext uri="{FF2B5EF4-FFF2-40B4-BE49-F238E27FC236}">
              <a16:creationId xmlns:a16="http://schemas.microsoft.com/office/drawing/2014/main" id="{2628218F-2B29-4D93-B584-4B1C36A18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4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9599" name="Picture@5C\QPendientes@" descr="@5C\QPendientes@">
          <a:extLst>
            <a:ext uri="{FF2B5EF4-FFF2-40B4-BE49-F238E27FC236}">
              <a16:creationId xmlns:a16="http://schemas.microsoft.com/office/drawing/2014/main" id="{3A83FE79-AEAA-48D0-8153-13B89B28A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9600" name="Picture@5C\QPendientes@" descr="@5C\QPendientes@">
          <a:extLst>
            <a:ext uri="{FF2B5EF4-FFF2-40B4-BE49-F238E27FC236}">
              <a16:creationId xmlns:a16="http://schemas.microsoft.com/office/drawing/2014/main" id="{5BCCEA76-814B-4328-8A88-24FC44FC4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8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9601" name="Picture@5C\QPendientes@" descr="@5C\QPendientes@">
          <a:extLst>
            <a:ext uri="{FF2B5EF4-FFF2-40B4-BE49-F238E27FC236}">
              <a16:creationId xmlns:a16="http://schemas.microsoft.com/office/drawing/2014/main" id="{5B893D30-DAAF-4046-A5FC-5DF2D848F7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0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9602" name="Picture@5C\QPendientes@" descr="@5C\QPendientes@">
          <a:extLst>
            <a:ext uri="{FF2B5EF4-FFF2-40B4-BE49-F238E27FC236}">
              <a16:creationId xmlns:a16="http://schemas.microsoft.com/office/drawing/2014/main" id="{D61993BF-767B-42E5-9997-B9178C580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1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9603" name="Picture@5C\QPendientes@" descr="@5C\QPendientes@">
          <a:extLst>
            <a:ext uri="{FF2B5EF4-FFF2-40B4-BE49-F238E27FC236}">
              <a16:creationId xmlns:a16="http://schemas.microsoft.com/office/drawing/2014/main" id="{E0602C48-85A1-448E-A1B1-EB05EA9EC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3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9604" name="Picture@5C\QPendientes@" descr="@5C\QPendientes@">
          <a:extLst>
            <a:ext uri="{FF2B5EF4-FFF2-40B4-BE49-F238E27FC236}">
              <a16:creationId xmlns:a16="http://schemas.microsoft.com/office/drawing/2014/main" id="{3667CDFA-293A-4B04-95A0-14E06CF047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5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9605" name="Picture@5C\QPendientes@" descr="@5C\QPendientes@">
          <a:extLst>
            <a:ext uri="{FF2B5EF4-FFF2-40B4-BE49-F238E27FC236}">
              <a16:creationId xmlns:a16="http://schemas.microsoft.com/office/drawing/2014/main" id="{3854A8F1-AEAA-4D08-A269-3C52E41C6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7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9606" name="Picture@5C\QPendientes@" descr="@5C\QPendientes@">
          <a:extLst>
            <a:ext uri="{FF2B5EF4-FFF2-40B4-BE49-F238E27FC236}">
              <a16:creationId xmlns:a16="http://schemas.microsoft.com/office/drawing/2014/main" id="{9302BD49-4DC2-4489-BED3-0C4DD813E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69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9607" name="Picture@5C\QPendientes@" descr="@5C\QPendientes@">
          <a:extLst>
            <a:ext uri="{FF2B5EF4-FFF2-40B4-BE49-F238E27FC236}">
              <a16:creationId xmlns:a16="http://schemas.microsoft.com/office/drawing/2014/main" id="{07905BD9-0056-4BEF-8829-822864BAF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1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9608" name="Picture@5C\QPendientes@" descr="@5C\QPendientes@">
          <a:extLst>
            <a:ext uri="{FF2B5EF4-FFF2-40B4-BE49-F238E27FC236}">
              <a16:creationId xmlns:a16="http://schemas.microsoft.com/office/drawing/2014/main" id="{6D8E5EC9-CAFD-479D-AE6A-097D6CD5F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2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9609" name="Picture@5C\QPendientes@" descr="@5C\QPendientes@">
          <a:extLst>
            <a:ext uri="{FF2B5EF4-FFF2-40B4-BE49-F238E27FC236}">
              <a16:creationId xmlns:a16="http://schemas.microsoft.com/office/drawing/2014/main" id="{7499A638-C8BA-42EB-B72E-4CE1A93C0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9610" name="Picture@5C\QPendientes@" descr="@5C\QPendientes@">
          <a:extLst>
            <a:ext uri="{FF2B5EF4-FFF2-40B4-BE49-F238E27FC236}">
              <a16:creationId xmlns:a16="http://schemas.microsoft.com/office/drawing/2014/main" id="{B7DE893C-FE1A-417A-8AC2-C87B55B5F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6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9611" name="Picture@5C\QPendientes@" descr="@5C\QPendientes@">
          <a:extLst>
            <a:ext uri="{FF2B5EF4-FFF2-40B4-BE49-F238E27FC236}">
              <a16:creationId xmlns:a16="http://schemas.microsoft.com/office/drawing/2014/main" id="{65803B2D-AF54-4511-B5F9-579BB54E8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8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9612" name="Picture@5C\QPendientes@" descr="@5C\QPendientes@">
          <a:extLst>
            <a:ext uri="{FF2B5EF4-FFF2-40B4-BE49-F238E27FC236}">
              <a16:creationId xmlns:a16="http://schemas.microsoft.com/office/drawing/2014/main" id="{9EB42EF2-540B-47AA-9BF4-C07508A67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0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9613" name="Picture@5C\QPendientes@" descr="@5C\QPendientes@">
          <a:extLst>
            <a:ext uri="{FF2B5EF4-FFF2-40B4-BE49-F238E27FC236}">
              <a16:creationId xmlns:a16="http://schemas.microsoft.com/office/drawing/2014/main" id="{977B8A09-4FE4-439B-89B7-A917EC8EA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2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9614" name="Picture@5C\QPendientes@" descr="@5C\QPendientes@">
          <a:extLst>
            <a:ext uri="{FF2B5EF4-FFF2-40B4-BE49-F238E27FC236}">
              <a16:creationId xmlns:a16="http://schemas.microsoft.com/office/drawing/2014/main" id="{A4760636-118B-4C9F-A36C-5515EA32C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3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9615" name="Picture@5C\QPendientes@" descr="@5C\QPendientes@">
          <a:extLst>
            <a:ext uri="{FF2B5EF4-FFF2-40B4-BE49-F238E27FC236}">
              <a16:creationId xmlns:a16="http://schemas.microsoft.com/office/drawing/2014/main" id="{D9E63D41-B3AD-450A-94DB-3870FD021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5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9616" name="Picture@5C\QPendientes@" descr="@5C\QPendientes@">
          <a:extLst>
            <a:ext uri="{FF2B5EF4-FFF2-40B4-BE49-F238E27FC236}">
              <a16:creationId xmlns:a16="http://schemas.microsoft.com/office/drawing/2014/main" id="{B0C77E29-CE26-4F96-9050-CC5E1BD43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7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9617" name="Picture@5C\QPendientes@" descr="@5C\QPendientes@">
          <a:extLst>
            <a:ext uri="{FF2B5EF4-FFF2-40B4-BE49-F238E27FC236}">
              <a16:creationId xmlns:a16="http://schemas.microsoft.com/office/drawing/2014/main" id="{BC3F6728-6E9C-4EB1-8B29-493745302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89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9618" name="Picture@5C\QPendientes@" descr="@5C\QPendientes@">
          <a:extLst>
            <a:ext uri="{FF2B5EF4-FFF2-40B4-BE49-F238E27FC236}">
              <a16:creationId xmlns:a16="http://schemas.microsoft.com/office/drawing/2014/main" id="{8181A1B6-B8C8-4A63-8578-5D1A3A0A4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1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9619" name="Picture@5C\QPendientes@" descr="@5C\QPendientes@">
          <a:extLst>
            <a:ext uri="{FF2B5EF4-FFF2-40B4-BE49-F238E27FC236}">
              <a16:creationId xmlns:a16="http://schemas.microsoft.com/office/drawing/2014/main" id="{0E13D115-3831-4CAF-9639-BDA9073AF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9620" name="Picture@5C\QPendientes@" descr="@5C\QPendientes@">
          <a:extLst>
            <a:ext uri="{FF2B5EF4-FFF2-40B4-BE49-F238E27FC236}">
              <a16:creationId xmlns:a16="http://schemas.microsoft.com/office/drawing/2014/main" id="{BD30B173-C6CA-453F-8FF5-E4CDB8F1F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4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9621" name="Picture@5C\QPendientes@" descr="@5C\QPendientes@">
          <a:extLst>
            <a:ext uri="{FF2B5EF4-FFF2-40B4-BE49-F238E27FC236}">
              <a16:creationId xmlns:a16="http://schemas.microsoft.com/office/drawing/2014/main" id="{1B6EAF06-BD1E-46D8-A96F-1F21FB9B5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6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9622" name="Picture@5C\QPendientes@" descr="@5C\QPendientes@">
          <a:extLst>
            <a:ext uri="{FF2B5EF4-FFF2-40B4-BE49-F238E27FC236}">
              <a16:creationId xmlns:a16="http://schemas.microsoft.com/office/drawing/2014/main" id="{D4D20FD3-E154-4149-A61D-407F99B77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8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9623" name="Picture@5C\QPendientes@" descr="@5C\QPendientes@">
          <a:extLst>
            <a:ext uri="{FF2B5EF4-FFF2-40B4-BE49-F238E27FC236}">
              <a16:creationId xmlns:a16="http://schemas.microsoft.com/office/drawing/2014/main" id="{7A9CC69E-E599-412F-BC6A-5A7EACEAB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0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9624" name="Picture@5C\QPendientes@" descr="@5C\QPendientes@">
          <a:extLst>
            <a:ext uri="{FF2B5EF4-FFF2-40B4-BE49-F238E27FC236}">
              <a16:creationId xmlns:a16="http://schemas.microsoft.com/office/drawing/2014/main" id="{E06BD727-E233-4DD7-B280-F5554FF3BB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2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9625" name="Picture@5C\QPendientes@" descr="@5C\QPendientes@">
          <a:extLst>
            <a:ext uri="{FF2B5EF4-FFF2-40B4-BE49-F238E27FC236}">
              <a16:creationId xmlns:a16="http://schemas.microsoft.com/office/drawing/2014/main" id="{77BEDC42-A26E-417B-A21C-6D726A393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3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9626" name="Picture@5C\QPendientes@" descr="@5C\QPendientes@">
          <a:extLst>
            <a:ext uri="{FF2B5EF4-FFF2-40B4-BE49-F238E27FC236}">
              <a16:creationId xmlns:a16="http://schemas.microsoft.com/office/drawing/2014/main" id="{81C2FB8F-834A-417A-A71F-6D15FF2B0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5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9627" name="Picture@5C\QPendientes@" descr="@5C\QPendientes@">
          <a:extLst>
            <a:ext uri="{FF2B5EF4-FFF2-40B4-BE49-F238E27FC236}">
              <a16:creationId xmlns:a16="http://schemas.microsoft.com/office/drawing/2014/main" id="{12C780D2-6825-4302-9DE1-64E8E0F72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7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9628" name="Picture@5C\QPendientes@" descr="@5C\QPendientes@">
          <a:extLst>
            <a:ext uri="{FF2B5EF4-FFF2-40B4-BE49-F238E27FC236}">
              <a16:creationId xmlns:a16="http://schemas.microsoft.com/office/drawing/2014/main" id="{BAB3633B-5A34-4474-A92C-79D2D1126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09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9629" name="Picture@5C\QPendientes@" descr="@5C\QPendientes@">
          <a:extLst>
            <a:ext uri="{FF2B5EF4-FFF2-40B4-BE49-F238E27FC236}">
              <a16:creationId xmlns:a16="http://schemas.microsoft.com/office/drawing/2014/main" id="{28C9A7D7-80AF-49B2-95C6-DFC87721C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9630" name="Picture@5C\QPendientes@" descr="@5C\QPendientes@">
          <a:extLst>
            <a:ext uri="{FF2B5EF4-FFF2-40B4-BE49-F238E27FC236}">
              <a16:creationId xmlns:a16="http://schemas.microsoft.com/office/drawing/2014/main" id="{E6642BB6-4B7B-4C20-9E82-52DB50B9E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3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9631" name="Picture@5C\QPendientes@" descr="@5C\QPendientes@">
          <a:extLst>
            <a:ext uri="{FF2B5EF4-FFF2-40B4-BE49-F238E27FC236}">
              <a16:creationId xmlns:a16="http://schemas.microsoft.com/office/drawing/2014/main" id="{3824A3D2-092E-4831-8DDC-A64D4D8BC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4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9632" name="Picture@5C\QPendientes@" descr="@5C\QPendientes@">
          <a:extLst>
            <a:ext uri="{FF2B5EF4-FFF2-40B4-BE49-F238E27FC236}">
              <a16:creationId xmlns:a16="http://schemas.microsoft.com/office/drawing/2014/main" id="{ADC55E10-5A41-4CEB-B6D9-528917023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6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9633" name="Picture@5C\QPendientes@" descr="@5C\QPendientes@">
          <a:extLst>
            <a:ext uri="{FF2B5EF4-FFF2-40B4-BE49-F238E27FC236}">
              <a16:creationId xmlns:a16="http://schemas.microsoft.com/office/drawing/2014/main" id="{D7B0B9A7-5998-4D2F-8C60-783C85E5D3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8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9634" name="Picture@5C\QPendientes@" descr="@5C\QPendientes@">
          <a:extLst>
            <a:ext uri="{FF2B5EF4-FFF2-40B4-BE49-F238E27FC236}">
              <a16:creationId xmlns:a16="http://schemas.microsoft.com/office/drawing/2014/main" id="{E8AD416D-8631-4F66-AA97-ED3B3A3F9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0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9635" name="Picture@5C\QPendientes@" descr="@5C\QPendientes@">
          <a:extLst>
            <a:ext uri="{FF2B5EF4-FFF2-40B4-BE49-F238E27FC236}">
              <a16:creationId xmlns:a16="http://schemas.microsoft.com/office/drawing/2014/main" id="{628E35DB-8463-477C-87B4-64341DF37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2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9636" name="Picture@5C\QPendientes@" descr="@5C\QPendientes@">
          <a:extLst>
            <a:ext uri="{FF2B5EF4-FFF2-40B4-BE49-F238E27FC236}">
              <a16:creationId xmlns:a16="http://schemas.microsoft.com/office/drawing/2014/main" id="{C46648FA-C1F0-4935-9DDB-A8D343874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4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9637" name="Picture@5C\QPendientes@" descr="@5C\QPendientes@">
          <a:extLst>
            <a:ext uri="{FF2B5EF4-FFF2-40B4-BE49-F238E27FC236}">
              <a16:creationId xmlns:a16="http://schemas.microsoft.com/office/drawing/2014/main" id="{1E5C52FE-BD3E-4925-8861-AC192CCFC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5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9638" name="Picture@5C\QPendientes@" descr="@5C\QPendientes@">
          <a:extLst>
            <a:ext uri="{FF2B5EF4-FFF2-40B4-BE49-F238E27FC236}">
              <a16:creationId xmlns:a16="http://schemas.microsoft.com/office/drawing/2014/main" id="{97E7D2D1-771A-4CDC-81CC-0E2C56CD5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7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9639" name="Picture@5C\QPendientes@" descr="@5C\QPendientes@">
          <a:extLst>
            <a:ext uri="{FF2B5EF4-FFF2-40B4-BE49-F238E27FC236}">
              <a16:creationId xmlns:a16="http://schemas.microsoft.com/office/drawing/2014/main" id="{22A40B04-B8F1-4F0F-9AF3-A1238CF80E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9640" name="Picture@5C\QPendientes@" descr="@5C\QPendientes@">
          <a:extLst>
            <a:ext uri="{FF2B5EF4-FFF2-40B4-BE49-F238E27FC236}">
              <a16:creationId xmlns:a16="http://schemas.microsoft.com/office/drawing/2014/main" id="{99485BF6-3070-429C-954A-83316CCA2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1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9641" name="Picture@5C\QPendientes@" descr="@5C\QPendientes@">
          <a:extLst>
            <a:ext uri="{FF2B5EF4-FFF2-40B4-BE49-F238E27FC236}">
              <a16:creationId xmlns:a16="http://schemas.microsoft.com/office/drawing/2014/main" id="{2150797A-C16E-430D-8B91-AC715DF64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3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9642" name="Picture@5C\QPendientes@" descr="@5C\QPendientes@">
          <a:extLst>
            <a:ext uri="{FF2B5EF4-FFF2-40B4-BE49-F238E27FC236}">
              <a16:creationId xmlns:a16="http://schemas.microsoft.com/office/drawing/2014/main" id="{D4F0E216-BD02-4693-82F8-EB26D9287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5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9643" name="Picture@5C\QPendientes@" descr="@5C\QPendientes@">
          <a:extLst>
            <a:ext uri="{FF2B5EF4-FFF2-40B4-BE49-F238E27FC236}">
              <a16:creationId xmlns:a16="http://schemas.microsoft.com/office/drawing/2014/main" id="{67DF6D27-9131-4BD4-9744-5CE694AD7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6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9644" name="Picture@5C\QPendientes@" descr="@5C\QPendientes@">
          <a:extLst>
            <a:ext uri="{FF2B5EF4-FFF2-40B4-BE49-F238E27FC236}">
              <a16:creationId xmlns:a16="http://schemas.microsoft.com/office/drawing/2014/main" id="{5CC2A12A-7F9F-48D6-A408-86CCBC5BC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38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9645" name="Picture@5C\QPendientes@" descr="@5C\QPendientes@">
          <a:extLst>
            <a:ext uri="{FF2B5EF4-FFF2-40B4-BE49-F238E27FC236}">
              <a16:creationId xmlns:a16="http://schemas.microsoft.com/office/drawing/2014/main" id="{A9FEE107-84F8-4E4B-9837-EA895387E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0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9646" name="Picture@5C\QPendientes@" descr="@5C\QPendientes@">
          <a:extLst>
            <a:ext uri="{FF2B5EF4-FFF2-40B4-BE49-F238E27FC236}">
              <a16:creationId xmlns:a16="http://schemas.microsoft.com/office/drawing/2014/main" id="{5B834FE0-909C-4D14-8C4F-21EC724B6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2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9647" name="Picture@5C\QPendientes@" descr="@5C\QPendientes@">
          <a:extLst>
            <a:ext uri="{FF2B5EF4-FFF2-40B4-BE49-F238E27FC236}">
              <a16:creationId xmlns:a16="http://schemas.microsoft.com/office/drawing/2014/main" id="{0D02369F-9BDF-46F1-91A2-0D52CD1AF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4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9648" name="Picture@5C\QPendientes@" descr="@5C\QPendientes@">
          <a:extLst>
            <a:ext uri="{FF2B5EF4-FFF2-40B4-BE49-F238E27FC236}">
              <a16:creationId xmlns:a16="http://schemas.microsoft.com/office/drawing/2014/main" id="{8AC2C47E-7091-4EDD-A6B4-FF4E211B5A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6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9649" name="Picture@5C\QPendientes@" descr="@5C\QPendientes@">
          <a:extLst>
            <a:ext uri="{FF2B5EF4-FFF2-40B4-BE49-F238E27FC236}">
              <a16:creationId xmlns:a16="http://schemas.microsoft.com/office/drawing/2014/main" id="{CE0672BA-806F-44AD-8068-C4E431574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9650" name="Picture@5C\QPendientes@" descr="@5C\QPendientes@">
          <a:extLst>
            <a:ext uri="{FF2B5EF4-FFF2-40B4-BE49-F238E27FC236}">
              <a16:creationId xmlns:a16="http://schemas.microsoft.com/office/drawing/2014/main" id="{CFB006C5-C20F-4B36-89BB-C066F5E26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9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9651" name="Picture@5C\QPendientes@" descr="@5C\QPendientes@">
          <a:extLst>
            <a:ext uri="{FF2B5EF4-FFF2-40B4-BE49-F238E27FC236}">
              <a16:creationId xmlns:a16="http://schemas.microsoft.com/office/drawing/2014/main" id="{3FF865C8-E2B5-426D-9EE9-D80B979D9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1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9652" name="Picture@5C\QPendientes@" descr="@5C\QPendientes@">
          <a:extLst>
            <a:ext uri="{FF2B5EF4-FFF2-40B4-BE49-F238E27FC236}">
              <a16:creationId xmlns:a16="http://schemas.microsoft.com/office/drawing/2014/main" id="{DF11E554-D1CA-4B41-BDF1-566FA4D4E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3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9653" name="Picture@5C\QPendientes@" descr="@5C\QPendientes@">
          <a:extLst>
            <a:ext uri="{FF2B5EF4-FFF2-40B4-BE49-F238E27FC236}">
              <a16:creationId xmlns:a16="http://schemas.microsoft.com/office/drawing/2014/main" id="{099A5A0C-CC5B-43AB-8EF4-89BB30B6A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5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9654" name="Picture@5C\QPendientes@" descr="@5C\QPendientes@">
          <a:extLst>
            <a:ext uri="{FF2B5EF4-FFF2-40B4-BE49-F238E27FC236}">
              <a16:creationId xmlns:a16="http://schemas.microsoft.com/office/drawing/2014/main" id="{675B8025-B3B6-4C92-880F-494B08CB2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7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9655" name="Picture@5C\QPendientes@" descr="@5C\QPendientes@">
          <a:extLst>
            <a:ext uri="{FF2B5EF4-FFF2-40B4-BE49-F238E27FC236}">
              <a16:creationId xmlns:a16="http://schemas.microsoft.com/office/drawing/2014/main" id="{D1D9D298-B815-4111-9AEF-0EC9C87F7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58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9656" name="Picture@5C\QPendientes@" descr="@5C\QPendientes@">
          <a:extLst>
            <a:ext uri="{FF2B5EF4-FFF2-40B4-BE49-F238E27FC236}">
              <a16:creationId xmlns:a16="http://schemas.microsoft.com/office/drawing/2014/main" id="{6624C279-B40E-4AC8-A56C-B3E5B52F0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0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9657" name="Picture@5C\QPendientes@" descr="@5C\QPendientes@">
          <a:extLst>
            <a:ext uri="{FF2B5EF4-FFF2-40B4-BE49-F238E27FC236}">
              <a16:creationId xmlns:a16="http://schemas.microsoft.com/office/drawing/2014/main" id="{BA81EC1C-2E58-448A-B93A-3794DAD5E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2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9658" name="Picture@5C\QPendientes@" descr="@5C\QPendientes@">
          <a:extLst>
            <a:ext uri="{FF2B5EF4-FFF2-40B4-BE49-F238E27FC236}">
              <a16:creationId xmlns:a16="http://schemas.microsoft.com/office/drawing/2014/main" id="{7AC219EC-FCF7-49FC-8389-7FAC33330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4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9659" name="Picture@5C\QPendientes@" descr="@5C\QPendientes@">
          <a:extLst>
            <a:ext uri="{FF2B5EF4-FFF2-40B4-BE49-F238E27FC236}">
              <a16:creationId xmlns:a16="http://schemas.microsoft.com/office/drawing/2014/main" id="{196F999A-A9A8-4F38-95FF-C80C3F171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9660" name="Picture@5C\QPendientes@" descr="@5C\QPendientes@">
          <a:extLst>
            <a:ext uri="{FF2B5EF4-FFF2-40B4-BE49-F238E27FC236}">
              <a16:creationId xmlns:a16="http://schemas.microsoft.com/office/drawing/2014/main" id="{30B7BC97-7CC9-4776-9496-28D1C9130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7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9661" name="Picture@5C\QPendientes@" descr="@5C\QPendientes@">
          <a:extLst>
            <a:ext uri="{FF2B5EF4-FFF2-40B4-BE49-F238E27FC236}">
              <a16:creationId xmlns:a16="http://schemas.microsoft.com/office/drawing/2014/main" id="{CF82C42C-C552-412B-B365-5B3DD2AB8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9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9662" name="Picture@5C\QPendientes@" descr="@5C\QPendientes@">
          <a:extLst>
            <a:ext uri="{FF2B5EF4-FFF2-40B4-BE49-F238E27FC236}">
              <a16:creationId xmlns:a16="http://schemas.microsoft.com/office/drawing/2014/main" id="{6C845790-47D8-4C36-8A79-B60FC700A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1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9663" name="Picture@5C\QPendientes@" descr="@5C\QPendientes@">
          <a:extLst>
            <a:ext uri="{FF2B5EF4-FFF2-40B4-BE49-F238E27FC236}">
              <a16:creationId xmlns:a16="http://schemas.microsoft.com/office/drawing/2014/main" id="{8BFA085C-753E-47CF-94FF-16E75C454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3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9664" name="Picture@5C\QPendientes@" descr="@5C\QPendientes@">
          <a:extLst>
            <a:ext uri="{FF2B5EF4-FFF2-40B4-BE49-F238E27FC236}">
              <a16:creationId xmlns:a16="http://schemas.microsoft.com/office/drawing/2014/main" id="{F7122B35-F0B9-43B2-949D-C65AF037E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5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9665" name="Picture@5C\QPendientes@" descr="@5C\QPendientes@">
          <a:extLst>
            <a:ext uri="{FF2B5EF4-FFF2-40B4-BE49-F238E27FC236}">
              <a16:creationId xmlns:a16="http://schemas.microsoft.com/office/drawing/2014/main" id="{23057AD2-4E23-48BD-81BE-067E95F10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7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9666" name="Picture@5C\QPendientes@" descr="@5C\QPendientes@">
          <a:extLst>
            <a:ext uri="{FF2B5EF4-FFF2-40B4-BE49-F238E27FC236}">
              <a16:creationId xmlns:a16="http://schemas.microsoft.com/office/drawing/2014/main" id="{BDFAC56F-99D7-4C07-8DCD-09C172CDE9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78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9667" name="Picture@5C\QPendientes@" descr="@5C\QPendientes@">
          <a:extLst>
            <a:ext uri="{FF2B5EF4-FFF2-40B4-BE49-F238E27FC236}">
              <a16:creationId xmlns:a16="http://schemas.microsoft.com/office/drawing/2014/main" id="{600F39EF-738D-4C31-9461-F715C3F75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0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9668" name="Picture@5C\QPendientes@" descr="@5C\QPendientes@">
          <a:extLst>
            <a:ext uri="{FF2B5EF4-FFF2-40B4-BE49-F238E27FC236}">
              <a16:creationId xmlns:a16="http://schemas.microsoft.com/office/drawing/2014/main" id="{C41C78BD-787B-491D-B9D3-5AF2B84E7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2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9669" name="Picture@5C\QPendientes@" descr="@5C\QPendientes@">
          <a:extLst>
            <a:ext uri="{FF2B5EF4-FFF2-40B4-BE49-F238E27FC236}">
              <a16:creationId xmlns:a16="http://schemas.microsoft.com/office/drawing/2014/main" id="{6B9A4C17-ACBE-4162-BC12-9A48E3455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9670" name="Picture@5C\QPendientes@" descr="@5C\QPendientes@">
          <a:extLst>
            <a:ext uri="{FF2B5EF4-FFF2-40B4-BE49-F238E27FC236}">
              <a16:creationId xmlns:a16="http://schemas.microsoft.com/office/drawing/2014/main" id="{AD845FE6-8217-4B40-970D-0BC67C226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6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9671" name="Picture@5C\QPendientes@" descr="@5C\QPendientes@">
          <a:extLst>
            <a:ext uri="{FF2B5EF4-FFF2-40B4-BE49-F238E27FC236}">
              <a16:creationId xmlns:a16="http://schemas.microsoft.com/office/drawing/2014/main" id="{5FC04AD9-7888-432F-8B2B-767653E1D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8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9672" name="Picture@5C\QPendientes@" descr="@5C\QPendientes@">
          <a:extLst>
            <a:ext uri="{FF2B5EF4-FFF2-40B4-BE49-F238E27FC236}">
              <a16:creationId xmlns:a16="http://schemas.microsoft.com/office/drawing/2014/main" id="{3229CCF7-18DB-4D44-8B8C-2D01D426C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9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9673" name="Picture@5C\QPendientes@" descr="@5C\QPendientes@">
          <a:extLst>
            <a:ext uri="{FF2B5EF4-FFF2-40B4-BE49-F238E27FC236}">
              <a16:creationId xmlns:a16="http://schemas.microsoft.com/office/drawing/2014/main" id="{F258D81B-949E-4506-AAF2-F8E8F3BEC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1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9674" name="Picture@5C\QPendientes@" descr="@5C\QPendientes@">
          <a:extLst>
            <a:ext uri="{FF2B5EF4-FFF2-40B4-BE49-F238E27FC236}">
              <a16:creationId xmlns:a16="http://schemas.microsoft.com/office/drawing/2014/main" id="{63C9AD37-31EB-4FF3-A3F7-87ECEAC1B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3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9675" name="Picture@5C\QPendientes@" descr="@5C\QPendientes@">
          <a:extLst>
            <a:ext uri="{FF2B5EF4-FFF2-40B4-BE49-F238E27FC236}">
              <a16:creationId xmlns:a16="http://schemas.microsoft.com/office/drawing/2014/main" id="{EE720096-14F4-4F3A-B33B-848AE405D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5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9676" name="Picture@5C\QPendientes@" descr="@5C\QPendientes@">
          <a:extLst>
            <a:ext uri="{FF2B5EF4-FFF2-40B4-BE49-F238E27FC236}">
              <a16:creationId xmlns:a16="http://schemas.microsoft.com/office/drawing/2014/main" id="{089AAAEE-8DCA-4F95-AB82-919A02C04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7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9677" name="Picture@5C\QPendientes@" descr="@5C\QPendientes@">
          <a:extLst>
            <a:ext uri="{FF2B5EF4-FFF2-40B4-BE49-F238E27FC236}">
              <a16:creationId xmlns:a16="http://schemas.microsoft.com/office/drawing/2014/main" id="{04161748-DCF5-4214-98EE-C24D4BBA8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99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9678" name="Picture@5C\QPendientes@" descr="@5C\QPendientes@">
          <a:extLst>
            <a:ext uri="{FF2B5EF4-FFF2-40B4-BE49-F238E27FC236}">
              <a16:creationId xmlns:a16="http://schemas.microsoft.com/office/drawing/2014/main" id="{F29C473E-439E-4A91-8C71-C868E3EC1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0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9679" name="Picture@5C\QPendientes@" descr="@5C\QPendientes@">
          <a:extLst>
            <a:ext uri="{FF2B5EF4-FFF2-40B4-BE49-F238E27FC236}">
              <a16:creationId xmlns:a16="http://schemas.microsoft.com/office/drawing/2014/main" id="{1D7A808E-2198-4368-8E1D-8A043575B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9680" name="Picture@5C\QPendientes@" descr="@5C\QPendientes@">
          <a:extLst>
            <a:ext uri="{FF2B5EF4-FFF2-40B4-BE49-F238E27FC236}">
              <a16:creationId xmlns:a16="http://schemas.microsoft.com/office/drawing/2014/main" id="{1C9D4599-8596-448F-923F-018E7209E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4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9681" name="Picture@5C\QPendientes@" descr="@5C\QPendientes@">
          <a:extLst>
            <a:ext uri="{FF2B5EF4-FFF2-40B4-BE49-F238E27FC236}">
              <a16:creationId xmlns:a16="http://schemas.microsoft.com/office/drawing/2014/main" id="{9D90C2C3-27CB-4900-B1A7-D8A653F66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6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9682" name="Picture@5C\QPendientes@" descr="@5C\QPendientes@">
          <a:extLst>
            <a:ext uri="{FF2B5EF4-FFF2-40B4-BE49-F238E27FC236}">
              <a16:creationId xmlns:a16="http://schemas.microsoft.com/office/drawing/2014/main" id="{9E7C9C06-11F5-4653-8ACF-39AD1CFF8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8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9683" name="Picture@5C\QPendientes@" descr="@5C\QPendientes@">
          <a:extLst>
            <a:ext uri="{FF2B5EF4-FFF2-40B4-BE49-F238E27FC236}">
              <a16:creationId xmlns:a16="http://schemas.microsoft.com/office/drawing/2014/main" id="{2D095ADB-792B-435B-8C31-7A8AAB66F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0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9684" name="Picture@5C\QPendientes@" descr="@5C\QPendientes@">
          <a:extLst>
            <a:ext uri="{FF2B5EF4-FFF2-40B4-BE49-F238E27FC236}">
              <a16:creationId xmlns:a16="http://schemas.microsoft.com/office/drawing/2014/main" id="{346594BF-7208-4F77-BCCE-472D56053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1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9685" name="Picture@5C\QPendientes@" descr="@5C\QPendientes@">
          <a:extLst>
            <a:ext uri="{FF2B5EF4-FFF2-40B4-BE49-F238E27FC236}">
              <a16:creationId xmlns:a16="http://schemas.microsoft.com/office/drawing/2014/main" id="{F44DF2D6-45AF-4E47-AF9C-BA8E1F96E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3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9686" name="Picture@5C\QPendientes@" descr="@5C\QPendientes@">
          <a:extLst>
            <a:ext uri="{FF2B5EF4-FFF2-40B4-BE49-F238E27FC236}">
              <a16:creationId xmlns:a16="http://schemas.microsoft.com/office/drawing/2014/main" id="{B15DDFC9-7067-4024-9E75-D69E934E1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5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9687" name="Picture@5C\QPendientes@" descr="@5C\QPendientes@">
          <a:extLst>
            <a:ext uri="{FF2B5EF4-FFF2-40B4-BE49-F238E27FC236}">
              <a16:creationId xmlns:a16="http://schemas.microsoft.com/office/drawing/2014/main" id="{944688FD-20CB-4414-8E98-97D5CB8EE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7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9688" name="Picture@5C\QPendientes@" descr="@5C\QPendientes@">
          <a:extLst>
            <a:ext uri="{FF2B5EF4-FFF2-40B4-BE49-F238E27FC236}">
              <a16:creationId xmlns:a16="http://schemas.microsoft.com/office/drawing/2014/main" id="{285583CE-8E1F-4B04-9D4C-70EB9831F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9689" name="Picture@5C\QPendientes@" descr="@5C\QPendientes@">
          <a:extLst>
            <a:ext uri="{FF2B5EF4-FFF2-40B4-BE49-F238E27FC236}">
              <a16:creationId xmlns:a16="http://schemas.microsoft.com/office/drawing/2014/main" id="{B149327A-88EE-4D6F-9095-65E64F0DC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9690" name="Picture@5C\QPendientes@" descr="@5C\QPendientes@">
          <a:extLst>
            <a:ext uri="{FF2B5EF4-FFF2-40B4-BE49-F238E27FC236}">
              <a16:creationId xmlns:a16="http://schemas.microsoft.com/office/drawing/2014/main" id="{5E811EC4-56D6-41C3-B82C-5D6AB245C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2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9691" name="Picture@5C\QPendientes@" descr="@5C\QPendientes@">
          <a:extLst>
            <a:ext uri="{FF2B5EF4-FFF2-40B4-BE49-F238E27FC236}">
              <a16:creationId xmlns:a16="http://schemas.microsoft.com/office/drawing/2014/main" id="{8972BE2E-EB61-4442-BC5C-BC4ECC8B4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4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9692" name="Picture@5C\QPendientes@" descr="@5C\QPendientes@">
          <a:extLst>
            <a:ext uri="{FF2B5EF4-FFF2-40B4-BE49-F238E27FC236}">
              <a16:creationId xmlns:a16="http://schemas.microsoft.com/office/drawing/2014/main" id="{6EBB2597-0AEB-49E6-8D54-BE9A32F401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6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9693" name="Picture@5C\QPendientes@" descr="@5C\QPendientes@">
          <a:extLst>
            <a:ext uri="{FF2B5EF4-FFF2-40B4-BE49-F238E27FC236}">
              <a16:creationId xmlns:a16="http://schemas.microsoft.com/office/drawing/2014/main" id="{D029B8A7-E6FF-4D65-A77E-5995C7134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8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9694" name="Picture@5C\QPendientes@" descr="@5C\QPendientes@">
          <a:extLst>
            <a:ext uri="{FF2B5EF4-FFF2-40B4-BE49-F238E27FC236}">
              <a16:creationId xmlns:a16="http://schemas.microsoft.com/office/drawing/2014/main" id="{8B60E25C-0DB2-4FF0-B88F-9B6BBC041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0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9695" name="Picture@5C\QPendientes@" descr="@5C\QPendientes@">
          <a:extLst>
            <a:ext uri="{FF2B5EF4-FFF2-40B4-BE49-F238E27FC236}">
              <a16:creationId xmlns:a16="http://schemas.microsoft.com/office/drawing/2014/main" id="{45581B77-6065-4C67-AE26-A08876D37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1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9696" name="Picture@5C\QPendientes@" descr="@5C\QPendientes@">
          <a:extLst>
            <a:ext uri="{FF2B5EF4-FFF2-40B4-BE49-F238E27FC236}">
              <a16:creationId xmlns:a16="http://schemas.microsoft.com/office/drawing/2014/main" id="{F86FAF2B-41A0-493D-8D4B-229231507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3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9697" name="Picture@5C\QPendientes@" descr="@5C\QPendientes@">
          <a:extLst>
            <a:ext uri="{FF2B5EF4-FFF2-40B4-BE49-F238E27FC236}">
              <a16:creationId xmlns:a16="http://schemas.microsoft.com/office/drawing/2014/main" id="{4CC2A312-0010-4999-937D-D54D21E23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5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9698" name="Picture@5C\QPendientes@" descr="@5C\QPendientes@">
          <a:extLst>
            <a:ext uri="{FF2B5EF4-FFF2-40B4-BE49-F238E27FC236}">
              <a16:creationId xmlns:a16="http://schemas.microsoft.com/office/drawing/2014/main" id="{49569CF9-A456-4226-BD56-C70501CE5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7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9699" name="Picture@5C\QPendientes@" descr="@5C\QPendientes@">
          <a:extLst>
            <a:ext uri="{FF2B5EF4-FFF2-40B4-BE49-F238E27FC236}">
              <a16:creationId xmlns:a16="http://schemas.microsoft.com/office/drawing/2014/main" id="{A7AEF8D3-5002-4596-8979-55CE7CBAE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9700" name="Picture@5C\QPendientes@" descr="@5C\QPendientes@">
          <a:extLst>
            <a:ext uri="{FF2B5EF4-FFF2-40B4-BE49-F238E27FC236}">
              <a16:creationId xmlns:a16="http://schemas.microsoft.com/office/drawing/2014/main" id="{AF37427A-2C34-4DFB-B91A-ADE4F9421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1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9701" name="Picture@5C\QPendientes@" descr="@5C\QPendientes@">
          <a:extLst>
            <a:ext uri="{FF2B5EF4-FFF2-40B4-BE49-F238E27FC236}">
              <a16:creationId xmlns:a16="http://schemas.microsoft.com/office/drawing/2014/main" id="{F1E07EFC-150B-4457-9069-6850412BF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2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9702" name="Picture@5C\QPendientes@" descr="@5C\QPendientes@">
          <a:extLst>
            <a:ext uri="{FF2B5EF4-FFF2-40B4-BE49-F238E27FC236}">
              <a16:creationId xmlns:a16="http://schemas.microsoft.com/office/drawing/2014/main" id="{FBE7003C-23F4-43D2-B7C0-6D53AD923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4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9703" name="Picture@5C\QPendientes@" descr="@5C\QPendientes@">
          <a:extLst>
            <a:ext uri="{FF2B5EF4-FFF2-40B4-BE49-F238E27FC236}">
              <a16:creationId xmlns:a16="http://schemas.microsoft.com/office/drawing/2014/main" id="{7A846141-A1C7-4BA9-8981-770925668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6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9704" name="Picture@5C\QPendientes@" descr="@5C\QPendientes@">
          <a:extLst>
            <a:ext uri="{FF2B5EF4-FFF2-40B4-BE49-F238E27FC236}">
              <a16:creationId xmlns:a16="http://schemas.microsoft.com/office/drawing/2014/main" id="{6F8708F2-6675-4060-94C1-A8C92A9FE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48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9705" name="Picture@5C\QPendientes@" descr="@5C\QPendientes@">
          <a:extLst>
            <a:ext uri="{FF2B5EF4-FFF2-40B4-BE49-F238E27FC236}">
              <a16:creationId xmlns:a16="http://schemas.microsoft.com/office/drawing/2014/main" id="{4007099C-C0D0-468F-88C6-D2716BFC2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0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9706" name="Picture@5C\QPendientes@" descr="@5C\QPendientes@">
          <a:extLst>
            <a:ext uri="{FF2B5EF4-FFF2-40B4-BE49-F238E27FC236}">
              <a16:creationId xmlns:a16="http://schemas.microsoft.com/office/drawing/2014/main" id="{EA144110-2F45-4A77-A165-4B08C6E06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2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9707" name="Picture@5C\QPendientes@" descr="@5C\QPendientes@">
          <a:extLst>
            <a:ext uri="{FF2B5EF4-FFF2-40B4-BE49-F238E27FC236}">
              <a16:creationId xmlns:a16="http://schemas.microsoft.com/office/drawing/2014/main" id="{69DC9DE0-B8CB-4092-9A43-EC4E5EE58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3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9708" name="Picture@5C\QPendientes@" descr="@5C\QPendientes@">
          <a:extLst>
            <a:ext uri="{FF2B5EF4-FFF2-40B4-BE49-F238E27FC236}">
              <a16:creationId xmlns:a16="http://schemas.microsoft.com/office/drawing/2014/main" id="{8761FB5B-8637-4E25-8AF8-0C9FF79DA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5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9709" name="Picture@5C\QPendientes@" descr="@5C\QPendientes@">
          <a:extLst>
            <a:ext uri="{FF2B5EF4-FFF2-40B4-BE49-F238E27FC236}">
              <a16:creationId xmlns:a16="http://schemas.microsoft.com/office/drawing/2014/main" id="{C57D5CD0-F16D-4A64-9A78-543EDA82C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9710" name="Picture@5C\QPendientes@" descr="@5C\QPendientes@">
          <a:extLst>
            <a:ext uri="{FF2B5EF4-FFF2-40B4-BE49-F238E27FC236}">
              <a16:creationId xmlns:a16="http://schemas.microsoft.com/office/drawing/2014/main" id="{DA128657-FAC7-49E6-A55E-DEC7F7118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9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9711" name="Picture@5C\QPendientes@" descr="@5C\QPendientes@">
          <a:extLst>
            <a:ext uri="{FF2B5EF4-FFF2-40B4-BE49-F238E27FC236}">
              <a16:creationId xmlns:a16="http://schemas.microsoft.com/office/drawing/2014/main" id="{7ABA2E52-D79D-474B-AE0F-C04AB2EA0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1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9712" name="Picture@5C\QPendientes@" descr="@5C\QPendientes@">
          <a:extLst>
            <a:ext uri="{FF2B5EF4-FFF2-40B4-BE49-F238E27FC236}">
              <a16:creationId xmlns:a16="http://schemas.microsoft.com/office/drawing/2014/main" id="{B27E4617-12A8-44B8-A6DB-DD9466514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3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9713" name="Picture@5C\QPendientes@" descr="@5C\QPendientes@">
          <a:extLst>
            <a:ext uri="{FF2B5EF4-FFF2-40B4-BE49-F238E27FC236}">
              <a16:creationId xmlns:a16="http://schemas.microsoft.com/office/drawing/2014/main" id="{A89B33C8-4B8A-447D-9B63-EA01DE41E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4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9714" name="Picture@5C\QPendientes@" descr="@5C\QPendientes@">
          <a:extLst>
            <a:ext uri="{FF2B5EF4-FFF2-40B4-BE49-F238E27FC236}">
              <a16:creationId xmlns:a16="http://schemas.microsoft.com/office/drawing/2014/main" id="{AEC00DDD-8A3A-4EBD-9C4D-8D59E549A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6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9715" name="Picture@5C\QPendientes@" descr="@5C\QPendientes@">
          <a:extLst>
            <a:ext uri="{FF2B5EF4-FFF2-40B4-BE49-F238E27FC236}">
              <a16:creationId xmlns:a16="http://schemas.microsoft.com/office/drawing/2014/main" id="{387B4AE8-4678-47CE-81D0-354DFDF85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68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9716" name="Picture@5C\QPendientes@" descr="@5C\QPendientes@">
          <a:extLst>
            <a:ext uri="{FF2B5EF4-FFF2-40B4-BE49-F238E27FC236}">
              <a16:creationId xmlns:a16="http://schemas.microsoft.com/office/drawing/2014/main" id="{FD32CB11-1867-4756-A5BE-FCC42B6CC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0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9717" name="Picture@5C\QPendientes@" descr="@5C\QPendientes@">
          <a:extLst>
            <a:ext uri="{FF2B5EF4-FFF2-40B4-BE49-F238E27FC236}">
              <a16:creationId xmlns:a16="http://schemas.microsoft.com/office/drawing/2014/main" id="{287570BB-50B1-4408-BD42-98F0688F4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2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9718" name="Picture@5C\QPendientes@" descr="@5C\QPendientes@">
          <a:extLst>
            <a:ext uri="{FF2B5EF4-FFF2-40B4-BE49-F238E27FC236}">
              <a16:creationId xmlns:a16="http://schemas.microsoft.com/office/drawing/2014/main" id="{C010C8C0-8B8C-4A8E-B804-460AACA8A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4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9719" name="Picture@5C\QPendientes@" descr="@5C\QPendientes@">
          <a:extLst>
            <a:ext uri="{FF2B5EF4-FFF2-40B4-BE49-F238E27FC236}">
              <a16:creationId xmlns:a16="http://schemas.microsoft.com/office/drawing/2014/main" id="{0542F665-093E-4DA6-8EA5-A871BEF59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9720" name="Picture@5C\QPendientes@" descr="@5C\QPendientes@">
          <a:extLst>
            <a:ext uri="{FF2B5EF4-FFF2-40B4-BE49-F238E27FC236}">
              <a16:creationId xmlns:a16="http://schemas.microsoft.com/office/drawing/2014/main" id="{821912A6-33B4-4EE1-BCB8-C6C7282C9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7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9721" name="Picture@5C\QPendientes@" descr="@5C\QPendientes@">
          <a:extLst>
            <a:ext uri="{FF2B5EF4-FFF2-40B4-BE49-F238E27FC236}">
              <a16:creationId xmlns:a16="http://schemas.microsoft.com/office/drawing/2014/main" id="{80F6D978-D7D0-4772-B56F-28D7FA631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9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9722" name="Picture@5C\QPendientes@" descr="@5C\QPendientes@">
          <a:extLst>
            <a:ext uri="{FF2B5EF4-FFF2-40B4-BE49-F238E27FC236}">
              <a16:creationId xmlns:a16="http://schemas.microsoft.com/office/drawing/2014/main" id="{F5810A86-2525-4D42-BFD9-265B46AD0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1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9723" name="Picture@5C\QPendientes@" descr="@5C\QPendientes@">
          <a:extLst>
            <a:ext uri="{FF2B5EF4-FFF2-40B4-BE49-F238E27FC236}">
              <a16:creationId xmlns:a16="http://schemas.microsoft.com/office/drawing/2014/main" id="{48764C6C-157A-4A3D-AB3E-68EE3ACD9B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3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9724" name="Picture@5C\QPendientes@" descr="@5C\QPendientes@">
          <a:extLst>
            <a:ext uri="{FF2B5EF4-FFF2-40B4-BE49-F238E27FC236}">
              <a16:creationId xmlns:a16="http://schemas.microsoft.com/office/drawing/2014/main" id="{D3E41BB0-0362-4780-9D54-BC81DF5FB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5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9725" name="Picture@5C\QPendientes@" descr="@5C\QPendientes@">
          <a:extLst>
            <a:ext uri="{FF2B5EF4-FFF2-40B4-BE49-F238E27FC236}">
              <a16:creationId xmlns:a16="http://schemas.microsoft.com/office/drawing/2014/main" id="{2EB72125-F225-4EE8-8850-A5AD4CFBF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6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9726" name="Picture@5C\QPendientes@" descr="@5C\QPendientes@">
          <a:extLst>
            <a:ext uri="{FF2B5EF4-FFF2-40B4-BE49-F238E27FC236}">
              <a16:creationId xmlns:a16="http://schemas.microsoft.com/office/drawing/2014/main" id="{F074160F-2F6A-4677-A7F8-B861C7BD5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88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9727" name="Picture@5C\QPendientes@" descr="@5C\QPendientes@">
          <a:extLst>
            <a:ext uri="{FF2B5EF4-FFF2-40B4-BE49-F238E27FC236}">
              <a16:creationId xmlns:a16="http://schemas.microsoft.com/office/drawing/2014/main" id="{DAC4AEED-6FDF-45A4-A3D6-2F45BDC02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0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9728" name="Picture@5C\QPendientes@" descr="@5C\QPendientes@">
          <a:extLst>
            <a:ext uri="{FF2B5EF4-FFF2-40B4-BE49-F238E27FC236}">
              <a16:creationId xmlns:a16="http://schemas.microsoft.com/office/drawing/2014/main" id="{171BE293-BC26-4199-8998-ADF4BC742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2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9729" name="Picture@5C\QPendientes@" descr="@5C\QPendientes@">
          <a:extLst>
            <a:ext uri="{FF2B5EF4-FFF2-40B4-BE49-F238E27FC236}">
              <a16:creationId xmlns:a16="http://schemas.microsoft.com/office/drawing/2014/main" id="{FA4DABB6-82BC-42DF-863D-D63A67C88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9730" name="Picture@5C\QPendientes@" descr="@5C\QPendientes@">
          <a:extLst>
            <a:ext uri="{FF2B5EF4-FFF2-40B4-BE49-F238E27FC236}">
              <a16:creationId xmlns:a16="http://schemas.microsoft.com/office/drawing/2014/main" id="{3B01269A-8AB2-46BC-B951-507B8C56E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6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9731" name="Picture@5C\QPendientes@" descr="@5C\QPendientes@">
          <a:extLst>
            <a:ext uri="{FF2B5EF4-FFF2-40B4-BE49-F238E27FC236}">
              <a16:creationId xmlns:a16="http://schemas.microsoft.com/office/drawing/2014/main" id="{F887C76C-781C-4347-8361-A0D700048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7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9732" name="Picture@5C\QPendientes@" descr="@5C\QPendientes@">
          <a:extLst>
            <a:ext uri="{FF2B5EF4-FFF2-40B4-BE49-F238E27FC236}">
              <a16:creationId xmlns:a16="http://schemas.microsoft.com/office/drawing/2014/main" id="{8D92ED8C-9F6E-44E5-B3CE-0608AC3D6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9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9733" name="Picture@5C\QPendientes@" descr="@5C\QPendientes@">
          <a:extLst>
            <a:ext uri="{FF2B5EF4-FFF2-40B4-BE49-F238E27FC236}">
              <a16:creationId xmlns:a16="http://schemas.microsoft.com/office/drawing/2014/main" id="{D7C0B4D3-FC54-45FB-9110-44010E7832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1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9734" name="Picture@5C\QPendientes@" descr="@5C\QPendientes@">
          <a:extLst>
            <a:ext uri="{FF2B5EF4-FFF2-40B4-BE49-F238E27FC236}">
              <a16:creationId xmlns:a16="http://schemas.microsoft.com/office/drawing/2014/main" id="{2AD3CA4E-263A-4CA8-AA64-0AC6BD347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3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9735" name="Picture@5C\QPendientes@" descr="@5C\QPendientes@">
          <a:extLst>
            <a:ext uri="{FF2B5EF4-FFF2-40B4-BE49-F238E27FC236}">
              <a16:creationId xmlns:a16="http://schemas.microsoft.com/office/drawing/2014/main" id="{61619BE3-CAFD-4A98-B454-0872C4FCD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5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9736" name="Picture@5C\QPendientes@" descr="@5C\QPendientes@">
          <a:extLst>
            <a:ext uri="{FF2B5EF4-FFF2-40B4-BE49-F238E27FC236}">
              <a16:creationId xmlns:a16="http://schemas.microsoft.com/office/drawing/2014/main" id="{37B581D1-ED6F-4CF3-8F2A-F511A322B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6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9737" name="Picture@5C\QPendientes@" descr="@5C\QPendientes@">
          <a:extLst>
            <a:ext uri="{FF2B5EF4-FFF2-40B4-BE49-F238E27FC236}">
              <a16:creationId xmlns:a16="http://schemas.microsoft.com/office/drawing/2014/main" id="{E7977240-C078-4183-BC97-85C372B08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8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9738" name="Picture@5C\QPendientes@" descr="@5C\QPendientes@">
          <a:extLst>
            <a:ext uri="{FF2B5EF4-FFF2-40B4-BE49-F238E27FC236}">
              <a16:creationId xmlns:a16="http://schemas.microsoft.com/office/drawing/2014/main" id="{7A0B547F-BEB5-4297-AAA0-B895561B5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0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9739" name="Picture@5C\QPendientes@" descr="@5C\QPendientes@">
          <a:extLst>
            <a:ext uri="{FF2B5EF4-FFF2-40B4-BE49-F238E27FC236}">
              <a16:creationId xmlns:a16="http://schemas.microsoft.com/office/drawing/2014/main" id="{0B37D0AA-4C5A-4EC3-9B6E-2C92F38B7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9740" name="Picture@5C\QPendientes@" descr="@5C\QPendientes@">
          <a:extLst>
            <a:ext uri="{FF2B5EF4-FFF2-40B4-BE49-F238E27FC236}">
              <a16:creationId xmlns:a16="http://schemas.microsoft.com/office/drawing/2014/main" id="{D65F3E4C-D857-4DF9-92B8-3323B6D88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4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9741" name="Picture@5C\QPendientes@" descr="@5C\QPendientes@">
          <a:extLst>
            <a:ext uri="{FF2B5EF4-FFF2-40B4-BE49-F238E27FC236}">
              <a16:creationId xmlns:a16="http://schemas.microsoft.com/office/drawing/2014/main" id="{A6E3BC11-1097-4AD0-B875-039B2509C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6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9742" name="Picture@5C\QPendientes@" descr="@5C\QPendientes@">
          <a:extLst>
            <a:ext uri="{FF2B5EF4-FFF2-40B4-BE49-F238E27FC236}">
              <a16:creationId xmlns:a16="http://schemas.microsoft.com/office/drawing/2014/main" id="{8DB65FED-DC18-4191-A76E-FC0EA0A82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7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9743" name="Picture@5C\QPendientes@" descr="@5C\QPendientes@">
          <a:extLst>
            <a:ext uri="{FF2B5EF4-FFF2-40B4-BE49-F238E27FC236}">
              <a16:creationId xmlns:a16="http://schemas.microsoft.com/office/drawing/2014/main" id="{6EE67961-36D0-4A26-B1D1-3E45E5818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9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9744" name="Picture@5C\QPendientes@" descr="@5C\QPendientes@">
          <a:extLst>
            <a:ext uri="{FF2B5EF4-FFF2-40B4-BE49-F238E27FC236}">
              <a16:creationId xmlns:a16="http://schemas.microsoft.com/office/drawing/2014/main" id="{B376C7C1-AD1F-4E03-8EBC-063C5E303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1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9745" name="Picture@5C\QPendientes@" descr="@5C\QPendientes@">
          <a:extLst>
            <a:ext uri="{FF2B5EF4-FFF2-40B4-BE49-F238E27FC236}">
              <a16:creationId xmlns:a16="http://schemas.microsoft.com/office/drawing/2014/main" id="{6516B598-F0E4-40CD-8364-FC3C0D47B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3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9746" name="Picture@5C\QPendientes@" descr="@5C\QPendientes@">
          <a:extLst>
            <a:ext uri="{FF2B5EF4-FFF2-40B4-BE49-F238E27FC236}">
              <a16:creationId xmlns:a16="http://schemas.microsoft.com/office/drawing/2014/main" id="{A74507D0-C283-4970-A4AA-99FAA5DD8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5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9747" name="Picture@5C\QPendientes@" descr="@5C\QPendientes@">
          <a:extLst>
            <a:ext uri="{FF2B5EF4-FFF2-40B4-BE49-F238E27FC236}">
              <a16:creationId xmlns:a16="http://schemas.microsoft.com/office/drawing/2014/main" id="{57208282-AD59-4740-A0AF-FBFC0FD29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7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9748" name="Picture@5C\QPendientes@" descr="@5C\QPendientes@">
          <a:extLst>
            <a:ext uri="{FF2B5EF4-FFF2-40B4-BE49-F238E27FC236}">
              <a16:creationId xmlns:a16="http://schemas.microsoft.com/office/drawing/2014/main" id="{FF0E1134-FAE7-414E-8B14-6FE1189C0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8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9749" name="Picture@5C\QPendientes@" descr="@5C\QPendientes@">
          <a:extLst>
            <a:ext uri="{FF2B5EF4-FFF2-40B4-BE49-F238E27FC236}">
              <a16:creationId xmlns:a16="http://schemas.microsoft.com/office/drawing/2014/main" id="{7C2945ED-8030-46A1-9793-8B3A8E314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9750" name="Picture@5C\QPendientes@" descr="@5C\QPendientes@">
          <a:extLst>
            <a:ext uri="{FF2B5EF4-FFF2-40B4-BE49-F238E27FC236}">
              <a16:creationId xmlns:a16="http://schemas.microsoft.com/office/drawing/2014/main" id="{4D23D286-4AB5-4EF0-8529-AE458D0D5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2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9751" name="Picture@5C\QPendientes@" descr="@5C\QPendientes@">
          <a:extLst>
            <a:ext uri="{FF2B5EF4-FFF2-40B4-BE49-F238E27FC236}">
              <a16:creationId xmlns:a16="http://schemas.microsoft.com/office/drawing/2014/main" id="{455590DB-D498-4F74-BCCE-EC6FD4632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4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9752" name="Picture@5C\QPendientes@" descr="@5C\QPendientes@">
          <a:extLst>
            <a:ext uri="{FF2B5EF4-FFF2-40B4-BE49-F238E27FC236}">
              <a16:creationId xmlns:a16="http://schemas.microsoft.com/office/drawing/2014/main" id="{21D0FCF9-A230-4884-A80B-8DF179715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6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9753" name="Picture@5C\QPendientes@" descr="@5C\QPendientes@">
          <a:extLst>
            <a:ext uri="{FF2B5EF4-FFF2-40B4-BE49-F238E27FC236}">
              <a16:creationId xmlns:a16="http://schemas.microsoft.com/office/drawing/2014/main" id="{AED887D8-A154-4F79-ADB2-2BB5AF645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8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9754" name="Picture@5C\QPendientes@" descr="@5C\QPendientes@">
          <a:extLst>
            <a:ext uri="{FF2B5EF4-FFF2-40B4-BE49-F238E27FC236}">
              <a16:creationId xmlns:a16="http://schemas.microsoft.com/office/drawing/2014/main" id="{976BED5E-0BA5-4B5F-9CB4-00056D9F5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9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9755" name="Picture@5C\QPendientes@" descr="@5C\QPendientes@">
          <a:extLst>
            <a:ext uri="{FF2B5EF4-FFF2-40B4-BE49-F238E27FC236}">
              <a16:creationId xmlns:a16="http://schemas.microsoft.com/office/drawing/2014/main" id="{4AE05234-499A-4DE8-8149-033CB9321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1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9756" name="Picture@5C\QPendientes@" descr="@5C\QPendientes@">
          <a:extLst>
            <a:ext uri="{FF2B5EF4-FFF2-40B4-BE49-F238E27FC236}">
              <a16:creationId xmlns:a16="http://schemas.microsoft.com/office/drawing/2014/main" id="{3C22B2CE-82C2-4E7C-87E6-9675FD3D3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3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9757" name="Picture@5C\QPendientes@" descr="@5C\QPendientes@">
          <a:extLst>
            <a:ext uri="{FF2B5EF4-FFF2-40B4-BE49-F238E27FC236}">
              <a16:creationId xmlns:a16="http://schemas.microsoft.com/office/drawing/2014/main" id="{E31C5246-61B8-41C3-8BB0-B2B70738E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5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9758" name="Picture@5C\QPendientes@" descr="@5C\QPendientes@">
          <a:extLst>
            <a:ext uri="{FF2B5EF4-FFF2-40B4-BE49-F238E27FC236}">
              <a16:creationId xmlns:a16="http://schemas.microsoft.com/office/drawing/2014/main" id="{50FAD514-EB42-4414-9B11-A64D9E4F3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7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9759" name="Picture@5C\QPendientes@" descr="@5C\QPendientes@">
          <a:extLst>
            <a:ext uri="{FF2B5EF4-FFF2-40B4-BE49-F238E27FC236}">
              <a16:creationId xmlns:a16="http://schemas.microsoft.com/office/drawing/2014/main" id="{B4C53C14-4F1B-4C53-9189-28383F49F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9760" name="Picture@5C\QPendientes@" descr="@5C\QPendientes@">
          <a:extLst>
            <a:ext uri="{FF2B5EF4-FFF2-40B4-BE49-F238E27FC236}">
              <a16:creationId xmlns:a16="http://schemas.microsoft.com/office/drawing/2014/main" id="{34464CB1-098D-4B17-A028-045E3F1D9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0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9761" name="Picture@5C\QPendientes@" descr="@5C\QPendientes@">
          <a:extLst>
            <a:ext uri="{FF2B5EF4-FFF2-40B4-BE49-F238E27FC236}">
              <a16:creationId xmlns:a16="http://schemas.microsoft.com/office/drawing/2014/main" id="{CB85BCB5-DC82-4E47-8D42-BACCD7BF8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2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9762" name="Picture@5C\QPendientes@" descr="@5C\QPendientes@">
          <a:extLst>
            <a:ext uri="{FF2B5EF4-FFF2-40B4-BE49-F238E27FC236}">
              <a16:creationId xmlns:a16="http://schemas.microsoft.com/office/drawing/2014/main" id="{B4B4C248-5351-4A18-B1EF-42544E6AD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4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9763" name="Picture@5C\QPendientes@" descr="@5C\QPendientes@">
          <a:extLst>
            <a:ext uri="{FF2B5EF4-FFF2-40B4-BE49-F238E27FC236}">
              <a16:creationId xmlns:a16="http://schemas.microsoft.com/office/drawing/2014/main" id="{2E6B82E2-F341-4C06-96F0-AFE30E0C7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6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9764" name="Picture@5C\QPendientes@" descr="@5C\QPendientes@">
          <a:extLst>
            <a:ext uri="{FF2B5EF4-FFF2-40B4-BE49-F238E27FC236}">
              <a16:creationId xmlns:a16="http://schemas.microsoft.com/office/drawing/2014/main" id="{04858AA3-E747-40DA-AEA0-E463C6E15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58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9765" name="Picture@5C\QPendientes@" descr="@5C\QPendientes@">
          <a:extLst>
            <a:ext uri="{FF2B5EF4-FFF2-40B4-BE49-F238E27FC236}">
              <a16:creationId xmlns:a16="http://schemas.microsoft.com/office/drawing/2014/main" id="{8BD27075-2020-4029-B163-EAF3456BC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0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9766" name="Picture@5C\QPendientes@" descr="@5C\QPendientes@">
          <a:extLst>
            <a:ext uri="{FF2B5EF4-FFF2-40B4-BE49-F238E27FC236}">
              <a16:creationId xmlns:a16="http://schemas.microsoft.com/office/drawing/2014/main" id="{58A4BE28-FB87-40D5-98C9-7C98895F8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1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9767" name="Picture@5C\QPendientes@" descr="@5C\QPendientes@">
          <a:extLst>
            <a:ext uri="{FF2B5EF4-FFF2-40B4-BE49-F238E27FC236}">
              <a16:creationId xmlns:a16="http://schemas.microsoft.com/office/drawing/2014/main" id="{42856328-AB47-4D5F-8C6D-EE120E943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3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9768" name="Picture@5C\QPendientes@" descr="@5C\QPendientes@">
          <a:extLst>
            <a:ext uri="{FF2B5EF4-FFF2-40B4-BE49-F238E27FC236}">
              <a16:creationId xmlns:a16="http://schemas.microsoft.com/office/drawing/2014/main" id="{C7BF8093-BAF8-40AB-892F-FBD06844F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5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9769" name="Picture@5C\QPendientes@" descr="@5C\QPendientes@">
          <a:extLst>
            <a:ext uri="{FF2B5EF4-FFF2-40B4-BE49-F238E27FC236}">
              <a16:creationId xmlns:a16="http://schemas.microsoft.com/office/drawing/2014/main" id="{D855A5F4-8732-4BDC-9330-2062860B1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9770" name="Picture@5C\QPendientes@" descr="@5C\QPendientes@">
          <a:extLst>
            <a:ext uri="{FF2B5EF4-FFF2-40B4-BE49-F238E27FC236}">
              <a16:creationId xmlns:a16="http://schemas.microsoft.com/office/drawing/2014/main" id="{8561D512-AD6B-4B66-964B-1A73DBBC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9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9771" name="Picture@5C\QPendientes@" descr="@5C\QPendientes@">
          <a:extLst>
            <a:ext uri="{FF2B5EF4-FFF2-40B4-BE49-F238E27FC236}">
              <a16:creationId xmlns:a16="http://schemas.microsoft.com/office/drawing/2014/main" id="{8733ECE7-A6D4-4C91-91C9-74DB6D7AF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0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9772" name="Picture@5C\QPendientes@" descr="@5C\QPendientes@">
          <a:extLst>
            <a:ext uri="{FF2B5EF4-FFF2-40B4-BE49-F238E27FC236}">
              <a16:creationId xmlns:a16="http://schemas.microsoft.com/office/drawing/2014/main" id="{CE58396B-4808-49EA-AFF0-473C140DA0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2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9773" name="Picture@5C\QPendientes@" descr="@5C\QPendientes@">
          <a:extLst>
            <a:ext uri="{FF2B5EF4-FFF2-40B4-BE49-F238E27FC236}">
              <a16:creationId xmlns:a16="http://schemas.microsoft.com/office/drawing/2014/main" id="{61E5217D-9035-43B7-B853-B78953933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4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9774" name="Picture@5C\QPendientes@" descr="@5C\QPendientes@">
          <a:extLst>
            <a:ext uri="{FF2B5EF4-FFF2-40B4-BE49-F238E27FC236}">
              <a16:creationId xmlns:a16="http://schemas.microsoft.com/office/drawing/2014/main" id="{5F6C7908-43D1-40F0-8A53-BF46B632B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6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9775" name="Picture@5C\QPendientes@" descr="@5C\QPendientes@">
          <a:extLst>
            <a:ext uri="{FF2B5EF4-FFF2-40B4-BE49-F238E27FC236}">
              <a16:creationId xmlns:a16="http://schemas.microsoft.com/office/drawing/2014/main" id="{3CD90C74-1A3E-4D2A-929B-89DD7CEF4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78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9776" name="Picture@5C\QPendientes@" descr="@5C\QPendientes@">
          <a:extLst>
            <a:ext uri="{FF2B5EF4-FFF2-40B4-BE49-F238E27FC236}">
              <a16:creationId xmlns:a16="http://schemas.microsoft.com/office/drawing/2014/main" id="{A0914F57-E4C4-451F-BF3C-E122D99F1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0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9777" name="Picture@5C\QPendientes@" descr="@5C\QPendientes@">
          <a:extLst>
            <a:ext uri="{FF2B5EF4-FFF2-40B4-BE49-F238E27FC236}">
              <a16:creationId xmlns:a16="http://schemas.microsoft.com/office/drawing/2014/main" id="{46F954E0-9822-45CB-B505-6034282BF6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1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9778" name="Picture@5C\QPendientes@" descr="@5C\QPendientes@">
          <a:extLst>
            <a:ext uri="{FF2B5EF4-FFF2-40B4-BE49-F238E27FC236}">
              <a16:creationId xmlns:a16="http://schemas.microsoft.com/office/drawing/2014/main" id="{A258C0D5-CD59-43CC-B4A6-0261C7FD5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3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9779" name="Picture@5C\QPendientes@" descr="@5C\QPendientes@">
          <a:extLst>
            <a:ext uri="{FF2B5EF4-FFF2-40B4-BE49-F238E27FC236}">
              <a16:creationId xmlns:a16="http://schemas.microsoft.com/office/drawing/2014/main" id="{31576CDE-98F8-4901-937B-33E52C8CC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9780" name="Picture@5C\QPendientes@" descr="@5C\QPendientes@">
          <a:extLst>
            <a:ext uri="{FF2B5EF4-FFF2-40B4-BE49-F238E27FC236}">
              <a16:creationId xmlns:a16="http://schemas.microsoft.com/office/drawing/2014/main" id="{D58C351A-8C0A-47E3-A9B6-1B37F25EB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7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9781" name="Picture@5C\QPendientes@" descr="@5C\QPendientes@">
          <a:extLst>
            <a:ext uri="{FF2B5EF4-FFF2-40B4-BE49-F238E27FC236}">
              <a16:creationId xmlns:a16="http://schemas.microsoft.com/office/drawing/2014/main" id="{358749EA-92B4-42A5-AB05-85E9A826E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9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9782" name="Picture@5C\QPendientes@" descr="@5C\QPendientes@">
          <a:extLst>
            <a:ext uri="{FF2B5EF4-FFF2-40B4-BE49-F238E27FC236}">
              <a16:creationId xmlns:a16="http://schemas.microsoft.com/office/drawing/2014/main" id="{3AFE6B6F-7AF9-4698-9114-13399D640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1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9783" name="Picture@5C\QPendientes@" descr="@5C\QPendientes@">
          <a:extLst>
            <a:ext uri="{FF2B5EF4-FFF2-40B4-BE49-F238E27FC236}">
              <a16:creationId xmlns:a16="http://schemas.microsoft.com/office/drawing/2014/main" id="{4C3E3C10-D13C-4DCC-9846-3FC6B7EB8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2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9784" name="Picture@5C\QPendientes@" descr="@5C\QPendientes@">
          <a:extLst>
            <a:ext uri="{FF2B5EF4-FFF2-40B4-BE49-F238E27FC236}">
              <a16:creationId xmlns:a16="http://schemas.microsoft.com/office/drawing/2014/main" id="{AAAF1822-6B0A-48BA-AAB7-6BA57607C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4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9785" name="Picture@5C\QPendientes@" descr="@5C\QPendientes@">
          <a:extLst>
            <a:ext uri="{FF2B5EF4-FFF2-40B4-BE49-F238E27FC236}">
              <a16:creationId xmlns:a16="http://schemas.microsoft.com/office/drawing/2014/main" id="{4C1FBC88-2696-4053-BBEB-AB26ADE64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6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9786" name="Picture@5C\QPendientes@" descr="@5C\QPendientes@">
          <a:extLst>
            <a:ext uri="{FF2B5EF4-FFF2-40B4-BE49-F238E27FC236}">
              <a16:creationId xmlns:a16="http://schemas.microsoft.com/office/drawing/2014/main" id="{1E9B81B9-3D2A-4F05-8DE2-9CF84EB51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98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9787" name="Picture@5C\QPendientes@" descr="@5C\QPendientes@">
          <a:extLst>
            <a:ext uri="{FF2B5EF4-FFF2-40B4-BE49-F238E27FC236}">
              <a16:creationId xmlns:a16="http://schemas.microsoft.com/office/drawing/2014/main" id="{F0045847-C875-41C9-BA99-838A04BC3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0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9788" name="Picture@5C\QPendientes@" descr="@5C\QPendientes@">
          <a:extLst>
            <a:ext uri="{FF2B5EF4-FFF2-40B4-BE49-F238E27FC236}">
              <a16:creationId xmlns:a16="http://schemas.microsoft.com/office/drawing/2014/main" id="{700C8577-7707-448D-8A94-D1285D773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2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9789" name="Picture@5C\QPendientes@" descr="@5C\QPendientes@">
          <a:extLst>
            <a:ext uri="{FF2B5EF4-FFF2-40B4-BE49-F238E27FC236}">
              <a16:creationId xmlns:a16="http://schemas.microsoft.com/office/drawing/2014/main" id="{CCC5172E-5CE8-471F-A793-5377C29D9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9790" name="Picture@5C\QPendientes@" descr="@5C\QPendientes@">
          <a:extLst>
            <a:ext uri="{FF2B5EF4-FFF2-40B4-BE49-F238E27FC236}">
              <a16:creationId xmlns:a16="http://schemas.microsoft.com/office/drawing/2014/main" id="{469ED1DE-4750-447D-A875-AAE19F04A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5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9791" name="Picture@5C\QPendientes@" descr="@5C\QPendientes@">
          <a:extLst>
            <a:ext uri="{FF2B5EF4-FFF2-40B4-BE49-F238E27FC236}">
              <a16:creationId xmlns:a16="http://schemas.microsoft.com/office/drawing/2014/main" id="{C82C86F5-5290-4AC4-B059-AAA99B0BC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7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9792" name="Picture@5C\QPendientes@" descr="@5C\QPendientes@">
          <a:extLst>
            <a:ext uri="{FF2B5EF4-FFF2-40B4-BE49-F238E27FC236}">
              <a16:creationId xmlns:a16="http://schemas.microsoft.com/office/drawing/2014/main" id="{312FC915-1D80-4519-B542-BAE05C15B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9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9793" name="Picture@5C\QPendientes@" descr="@5C\QPendientes@">
          <a:extLst>
            <a:ext uri="{FF2B5EF4-FFF2-40B4-BE49-F238E27FC236}">
              <a16:creationId xmlns:a16="http://schemas.microsoft.com/office/drawing/2014/main" id="{A70204D9-C2E3-43B9-8296-51DB5C981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1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9794" name="Picture@5C\QPendientes@" descr="@5C\QPendientes@">
          <a:extLst>
            <a:ext uri="{FF2B5EF4-FFF2-40B4-BE49-F238E27FC236}">
              <a16:creationId xmlns:a16="http://schemas.microsoft.com/office/drawing/2014/main" id="{6945D321-6BFE-4468-A325-68F609DAC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3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9795" name="Picture@5C\QPendientes@" descr="@5C\QPendientes@">
          <a:extLst>
            <a:ext uri="{FF2B5EF4-FFF2-40B4-BE49-F238E27FC236}">
              <a16:creationId xmlns:a16="http://schemas.microsoft.com/office/drawing/2014/main" id="{7A6C999F-7F0D-4F02-A3F8-447616A4B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4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9796" name="Picture@5C\QPendientes@" descr="@5C\QPendientes@">
          <a:extLst>
            <a:ext uri="{FF2B5EF4-FFF2-40B4-BE49-F238E27FC236}">
              <a16:creationId xmlns:a16="http://schemas.microsoft.com/office/drawing/2014/main" id="{11D0F7DE-A261-4F9F-A58F-9112A13F5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6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9797" name="Picture@5C\QPendientes@" descr="@5C\QPendientes@">
          <a:extLst>
            <a:ext uri="{FF2B5EF4-FFF2-40B4-BE49-F238E27FC236}">
              <a16:creationId xmlns:a16="http://schemas.microsoft.com/office/drawing/2014/main" id="{85A425C5-ED1B-410F-809A-8FDAC5E0A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8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9798" name="Picture@5C\QPendientes@" descr="@5C\QPendientes@">
          <a:extLst>
            <a:ext uri="{FF2B5EF4-FFF2-40B4-BE49-F238E27FC236}">
              <a16:creationId xmlns:a16="http://schemas.microsoft.com/office/drawing/2014/main" id="{B99DD5DD-6867-494A-B75C-31FF7317D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0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9799" name="Picture@5C\QPendientes@" descr="@5C\QPendientes@">
          <a:extLst>
            <a:ext uri="{FF2B5EF4-FFF2-40B4-BE49-F238E27FC236}">
              <a16:creationId xmlns:a16="http://schemas.microsoft.com/office/drawing/2014/main" id="{F409D42C-964C-40BD-8471-EB62F43B3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9800" name="Picture@5C\QPendientes@" descr="@5C\QPendientes@">
          <a:extLst>
            <a:ext uri="{FF2B5EF4-FFF2-40B4-BE49-F238E27FC236}">
              <a16:creationId xmlns:a16="http://schemas.microsoft.com/office/drawing/2014/main" id="{A4657DF0-10BC-4959-AC9F-19173EB5B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4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9801" name="Picture@5C\QPendientes@" descr="@5C\QPendientes@">
          <a:extLst>
            <a:ext uri="{FF2B5EF4-FFF2-40B4-BE49-F238E27FC236}">
              <a16:creationId xmlns:a16="http://schemas.microsoft.com/office/drawing/2014/main" id="{BFEEDD07-B8CC-4AA9-A525-A9ABA188D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5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9802" name="Picture@5C\QPendientes@" descr="@5C\QPendientes@">
          <a:extLst>
            <a:ext uri="{FF2B5EF4-FFF2-40B4-BE49-F238E27FC236}">
              <a16:creationId xmlns:a16="http://schemas.microsoft.com/office/drawing/2014/main" id="{3702C550-1F4D-4832-AB8D-E4CD6CDB6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7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9803" name="Picture@5C\QPendientes@" descr="@5C\QPendientes@">
          <a:extLst>
            <a:ext uri="{FF2B5EF4-FFF2-40B4-BE49-F238E27FC236}">
              <a16:creationId xmlns:a16="http://schemas.microsoft.com/office/drawing/2014/main" id="{A6DE8FB0-E73E-4636-9E18-5F38D8099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9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9804" name="Picture@5C\QPendientes@" descr="@5C\QPendientes@">
          <a:extLst>
            <a:ext uri="{FF2B5EF4-FFF2-40B4-BE49-F238E27FC236}">
              <a16:creationId xmlns:a16="http://schemas.microsoft.com/office/drawing/2014/main" id="{821E5C56-6BDB-40C2-9705-4F59D2E90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1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9805" name="Picture@5C\QPendientes@" descr="@5C\QPendientes@">
          <a:extLst>
            <a:ext uri="{FF2B5EF4-FFF2-40B4-BE49-F238E27FC236}">
              <a16:creationId xmlns:a16="http://schemas.microsoft.com/office/drawing/2014/main" id="{6430BA0F-36F7-41DE-B9AE-D9A6E2506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3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9806" name="Picture@5C\QPendientes@" descr="@5C\QPendientes@">
          <a:extLst>
            <a:ext uri="{FF2B5EF4-FFF2-40B4-BE49-F238E27FC236}">
              <a16:creationId xmlns:a16="http://schemas.microsoft.com/office/drawing/2014/main" id="{A61B5FDD-7E36-4C69-B3CF-BDF777617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4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9807" name="Picture@5C\QPendientes@" descr="@5C\QPendientes@">
          <a:extLst>
            <a:ext uri="{FF2B5EF4-FFF2-40B4-BE49-F238E27FC236}">
              <a16:creationId xmlns:a16="http://schemas.microsoft.com/office/drawing/2014/main" id="{3B18EA7B-4DFA-4DEA-8D9E-E605B977F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6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9808" name="Picture@5C\QPendientes@" descr="@5C\QPendientes@">
          <a:extLst>
            <a:ext uri="{FF2B5EF4-FFF2-40B4-BE49-F238E27FC236}">
              <a16:creationId xmlns:a16="http://schemas.microsoft.com/office/drawing/2014/main" id="{37094772-04FE-4DA6-A00F-04F70BF7E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8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9809" name="Picture@5C\QPendientes@" descr="@5C\QPendientes@">
          <a:extLst>
            <a:ext uri="{FF2B5EF4-FFF2-40B4-BE49-F238E27FC236}">
              <a16:creationId xmlns:a16="http://schemas.microsoft.com/office/drawing/2014/main" id="{688190CC-DB4C-46AF-A57C-0D7D763C9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9810" name="Picture@5C\QPendientes@" descr="@5C\QPendientes@">
          <a:extLst>
            <a:ext uri="{FF2B5EF4-FFF2-40B4-BE49-F238E27FC236}">
              <a16:creationId xmlns:a16="http://schemas.microsoft.com/office/drawing/2014/main" id="{A7F623A2-6D9E-4EE1-9151-C44216CB0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2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9811" name="Picture@5C\QPendientes@" descr="@5C\QPendientes@">
          <a:extLst>
            <a:ext uri="{FF2B5EF4-FFF2-40B4-BE49-F238E27FC236}">
              <a16:creationId xmlns:a16="http://schemas.microsoft.com/office/drawing/2014/main" id="{9A57CA57-8640-4E11-BF3D-30B5B43DC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4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9812" name="Picture@5C\QPendientes@" descr="@5C\QPendientes@">
          <a:extLst>
            <a:ext uri="{FF2B5EF4-FFF2-40B4-BE49-F238E27FC236}">
              <a16:creationId xmlns:a16="http://schemas.microsoft.com/office/drawing/2014/main" id="{54B214A6-8B09-4D61-B68C-AE457A684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5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9813" name="Picture@5C\QPendientes@" descr="@5C\QPendientes@">
          <a:extLst>
            <a:ext uri="{FF2B5EF4-FFF2-40B4-BE49-F238E27FC236}">
              <a16:creationId xmlns:a16="http://schemas.microsoft.com/office/drawing/2014/main" id="{DFBD9144-7B69-449C-B4A8-081D48421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7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9814" name="Picture@5C\QPendientes@" descr="@5C\QPendientes@">
          <a:extLst>
            <a:ext uri="{FF2B5EF4-FFF2-40B4-BE49-F238E27FC236}">
              <a16:creationId xmlns:a16="http://schemas.microsoft.com/office/drawing/2014/main" id="{3CDF9C0F-999B-4A75-BE8D-42739C041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9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9815" name="Picture@5C\QPendientes@" descr="@5C\QPendientes@">
          <a:extLst>
            <a:ext uri="{FF2B5EF4-FFF2-40B4-BE49-F238E27FC236}">
              <a16:creationId xmlns:a16="http://schemas.microsoft.com/office/drawing/2014/main" id="{6861E41A-3504-46D8-8DDE-F5544D41B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1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9816" name="Picture@5C\QPendientes@" descr="@5C\QPendientes@">
          <a:extLst>
            <a:ext uri="{FF2B5EF4-FFF2-40B4-BE49-F238E27FC236}">
              <a16:creationId xmlns:a16="http://schemas.microsoft.com/office/drawing/2014/main" id="{DBF78896-9CA5-4AB3-BDE8-9A4708010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3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9817" name="Picture@5C\QPendientes@" descr="@5C\QPendientes@">
          <a:extLst>
            <a:ext uri="{FF2B5EF4-FFF2-40B4-BE49-F238E27FC236}">
              <a16:creationId xmlns:a16="http://schemas.microsoft.com/office/drawing/2014/main" id="{3C779DC9-DD35-44B6-8108-249A75587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5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9818" name="Picture@5C\QPendientes@" descr="@5C\QPendientes@">
          <a:extLst>
            <a:ext uri="{FF2B5EF4-FFF2-40B4-BE49-F238E27FC236}">
              <a16:creationId xmlns:a16="http://schemas.microsoft.com/office/drawing/2014/main" id="{9CE2A4B8-5C50-4A21-9EC2-283E88A32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6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9819" name="Picture@5C\QPendientes@" descr="@5C\QPendientes@">
          <a:extLst>
            <a:ext uri="{FF2B5EF4-FFF2-40B4-BE49-F238E27FC236}">
              <a16:creationId xmlns:a16="http://schemas.microsoft.com/office/drawing/2014/main" id="{21CB1D83-9BBC-4B13-A4F1-6BEB63141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9820" name="Picture@5C\QPendientes@" descr="@5C\QPendientes@">
          <a:extLst>
            <a:ext uri="{FF2B5EF4-FFF2-40B4-BE49-F238E27FC236}">
              <a16:creationId xmlns:a16="http://schemas.microsoft.com/office/drawing/2014/main" id="{CCFA807E-2B65-4B3F-9818-160B466D8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0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9821" name="Picture@5C\QPendientes@" descr="@5C\QPendientes@">
          <a:extLst>
            <a:ext uri="{FF2B5EF4-FFF2-40B4-BE49-F238E27FC236}">
              <a16:creationId xmlns:a16="http://schemas.microsoft.com/office/drawing/2014/main" id="{47962838-ADF3-4DE6-B14A-B28CD9D65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2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9822" name="Picture@5C\QPendientes@" descr="@5C\QPendientes@">
          <a:extLst>
            <a:ext uri="{FF2B5EF4-FFF2-40B4-BE49-F238E27FC236}">
              <a16:creationId xmlns:a16="http://schemas.microsoft.com/office/drawing/2014/main" id="{3DBA964A-CE19-4CF3-BAC9-400F60EAE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4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9823" name="Picture@5C\QPendientes@" descr="@5C\QPendientes@">
          <a:extLst>
            <a:ext uri="{FF2B5EF4-FFF2-40B4-BE49-F238E27FC236}">
              <a16:creationId xmlns:a16="http://schemas.microsoft.com/office/drawing/2014/main" id="{C6FE54CA-DA18-47A5-8F13-6C21F7EBE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6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9824" name="Picture@5C\QPendientes@" descr="@5C\QPendientes@">
          <a:extLst>
            <a:ext uri="{FF2B5EF4-FFF2-40B4-BE49-F238E27FC236}">
              <a16:creationId xmlns:a16="http://schemas.microsoft.com/office/drawing/2014/main" id="{0D467ECD-AF45-4C34-84D2-28D6BC436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7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9825" name="Picture@5C\QPendientes@" descr="@5C\QPendientes@">
          <a:extLst>
            <a:ext uri="{FF2B5EF4-FFF2-40B4-BE49-F238E27FC236}">
              <a16:creationId xmlns:a16="http://schemas.microsoft.com/office/drawing/2014/main" id="{88BAB062-7EC5-4A0B-BEA7-670EF6385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69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9826" name="Picture@5C\QPendientes@" descr="@5C\QPendientes@">
          <a:extLst>
            <a:ext uri="{FF2B5EF4-FFF2-40B4-BE49-F238E27FC236}">
              <a16:creationId xmlns:a16="http://schemas.microsoft.com/office/drawing/2014/main" id="{49A97D84-2E44-48B6-A5FB-623BFB4EE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1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9827" name="Picture@5C\QPendientes@" descr="@5C\QPendientes@">
          <a:extLst>
            <a:ext uri="{FF2B5EF4-FFF2-40B4-BE49-F238E27FC236}">
              <a16:creationId xmlns:a16="http://schemas.microsoft.com/office/drawing/2014/main" id="{35DC86CA-FF59-4F8B-A762-F0F009A79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3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9828" name="Picture@5C\QPendientes@" descr="@5C\QPendientes@">
          <a:extLst>
            <a:ext uri="{FF2B5EF4-FFF2-40B4-BE49-F238E27FC236}">
              <a16:creationId xmlns:a16="http://schemas.microsoft.com/office/drawing/2014/main" id="{A03DCD06-7A00-4F76-809F-1E4716988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5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9829" name="Picture@5C\QPendientes@" descr="@5C\QPendientes@">
          <a:extLst>
            <a:ext uri="{FF2B5EF4-FFF2-40B4-BE49-F238E27FC236}">
              <a16:creationId xmlns:a16="http://schemas.microsoft.com/office/drawing/2014/main" id="{26287081-966D-4D47-9FF1-29B99E158F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9830" name="Picture@5C\QPendientes@" descr="@5C\QPendientes@">
          <a:extLst>
            <a:ext uri="{FF2B5EF4-FFF2-40B4-BE49-F238E27FC236}">
              <a16:creationId xmlns:a16="http://schemas.microsoft.com/office/drawing/2014/main" id="{A23241B4-3663-4BAA-8B2A-7A69C0E7C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8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9831" name="Picture@5C\QPendientes@" descr="@5C\QPendientes@">
          <a:extLst>
            <a:ext uri="{FF2B5EF4-FFF2-40B4-BE49-F238E27FC236}">
              <a16:creationId xmlns:a16="http://schemas.microsoft.com/office/drawing/2014/main" id="{87C60D13-00B0-4A38-B09E-EBEC40AC4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0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9832" name="Picture@5C\QPendientes@" descr="@5C\QPendientes@">
          <a:extLst>
            <a:ext uri="{FF2B5EF4-FFF2-40B4-BE49-F238E27FC236}">
              <a16:creationId xmlns:a16="http://schemas.microsoft.com/office/drawing/2014/main" id="{D259B8A9-CE07-4B56-AD03-AA2DB93BC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2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9833" name="Picture@5C\QPendientes@" descr="@5C\QPendientes@">
          <a:extLst>
            <a:ext uri="{FF2B5EF4-FFF2-40B4-BE49-F238E27FC236}">
              <a16:creationId xmlns:a16="http://schemas.microsoft.com/office/drawing/2014/main" id="{3F2C13BC-6FEA-458C-AFC5-AC7DA373D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4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9834" name="Picture@5C\QPendientes@" descr="@5C\QPendientes@">
          <a:extLst>
            <a:ext uri="{FF2B5EF4-FFF2-40B4-BE49-F238E27FC236}">
              <a16:creationId xmlns:a16="http://schemas.microsoft.com/office/drawing/2014/main" id="{E1913CAB-C261-455C-B416-04956D0FD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6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9835" name="Picture@5C\QPendientes@" descr="@5C\QPendientes@">
          <a:extLst>
            <a:ext uri="{FF2B5EF4-FFF2-40B4-BE49-F238E27FC236}">
              <a16:creationId xmlns:a16="http://schemas.microsoft.com/office/drawing/2014/main" id="{73BC6C26-AB05-4C6B-BB91-1F5420A8D0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8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9836" name="Picture@5C\QPendientes@" descr="@5C\QPendientes@">
          <a:extLst>
            <a:ext uri="{FF2B5EF4-FFF2-40B4-BE49-F238E27FC236}">
              <a16:creationId xmlns:a16="http://schemas.microsoft.com/office/drawing/2014/main" id="{FB571041-6776-43E3-BAD2-E13514360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89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9837" name="Picture@5C\QPendientes@" descr="@5C\QPendientes@">
          <a:extLst>
            <a:ext uri="{FF2B5EF4-FFF2-40B4-BE49-F238E27FC236}">
              <a16:creationId xmlns:a16="http://schemas.microsoft.com/office/drawing/2014/main" id="{1CA521FC-5E9D-46E6-886D-383E48482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1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9838" name="Picture@5C\QPendientes@" descr="@5C\QPendientes@">
          <a:extLst>
            <a:ext uri="{FF2B5EF4-FFF2-40B4-BE49-F238E27FC236}">
              <a16:creationId xmlns:a16="http://schemas.microsoft.com/office/drawing/2014/main" id="{EE0FC874-92CF-4139-AC65-ABD5FB0489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3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9839" name="Picture@5C\QPendientes@" descr="@5C\QPendientes@">
          <a:extLst>
            <a:ext uri="{FF2B5EF4-FFF2-40B4-BE49-F238E27FC236}">
              <a16:creationId xmlns:a16="http://schemas.microsoft.com/office/drawing/2014/main" id="{E08683D9-403C-488C-8EE3-325B73B67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9840" name="Picture@5C\QPendientes@" descr="@5C\QPendientes@">
          <a:extLst>
            <a:ext uri="{FF2B5EF4-FFF2-40B4-BE49-F238E27FC236}">
              <a16:creationId xmlns:a16="http://schemas.microsoft.com/office/drawing/2014/main" id="{73E4B3B9-2E0C-4356-8A29-D65A8AC14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7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9841" name="Picture@5C\QPendientes@" descr="@5C\QPendientes@">
          <a:extLst>
            <a:ext uri="{FF2B5EF4-FFF2-40B4-BE49-F238E27FC236}">
              <a16:creationId xmlns:a16="http://schemas.microsoft.com/office/drawing/2014/main" id="{3C1D9FBA-8152-4EF9-B326-418422A5C7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9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9842" name="Picture@5C\QPendientes@" descr="@5C\QPendientes@">
          <a:extLst>
            <a:ext uri="{FF2B5EF4-FFF2-40B4-BE49-F238E27FC236}">
              <a16:creationId xmlns:a16="http://schemas.microsoft.com/office/drawing/2014/main" id="{4D01321C-1DE0-45ED-B1AF-AB5F72555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0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9843" name="Picture@5C\QPendientes@" descr="@5C\QPendientes@">
          <a:extLst>
            <a:ext uri="{FF2B5EF4-FFF2-40B4-BE49-F238E27FC236}">
              <a16:creationId xmlns:a16="http://schemas.microsoft.com/office/drawing/2014/main" id="{235A35CE-CE3A-43F8-9542-8686FCDF1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2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9844" name="Picture@5C\QPendientes@" descr="@5C\QPendientes@">
          <a:extLst>
            <a:ext uri="{FF2B5EF4-FFF2-40B4-BE49-F238E27FC236}">
              <a16:creationId xmlns:a16="http://schemas.microsoft.com/office/drawing/2014/main" id="{EB80973C-7FD2-496A-93AB-8B274E7C0F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4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9845" name="Picture@5C\QPendientes@" descr="@5C\QPendientes@">
          <a:extLst>
            <a:ext uri="{FF2B5EF4-FFF2-40B4-BE49-F238E27FC236}">
              <a16:creationId xmlns:a16="http://schemas.microsoft.com/office/drawing/2014/main" id="{DCC5E0F9-C2F5-419B-A577-D5BC060FF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6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9846" name="Picture@5C\QPendientes@" descr="@5C\QPendientes@">
          <a:extLst>
            <a:ext uri="{FF2B5EF4-FFF2-40B4-BE49-F238E27FC236}">
              <a16:creationId xmlns:a16="http://schemas.microsoft.com/office/drawing/2014/main" id="{FF6658AD-8EE1-4C5B-92A1-AA612113F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8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9847" name="Picture@5C\QPendientes@" descr="@5C\QPendientes@">
          <a:extLst>
            <a:ext uri="{FF2B5EF4-FFF2-40B4-BE49-F238E27FC236}">
              <a16:creationId xmlns:a16="http://schemas.microsoft.com/office/drawing/2014/main" id="{829AF4FD-3D31-4129-BB70-EDE47A4F5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9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9848" name="Picture@5C\QPendientes@" descr="@5C\QPendientes@">
          <a:extLst>
            <a:ext uri="{FF2B5EF4-FFF2-40B4-BE49-F238E27FC236}">
              <a16:creationId xmlns:a16="http://schemas.microsoft.com/office/drawing/2014/main" id="{D9BB9ACA-F2C4-4442-94D9-C0A66A2736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1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9849" name="Picture@5C\QPendientes@" descr="@5C\QPendientes@">
          <a:extLst>
            <a:ext uri="{FF2B5EF4-FFF2-40B4-BE49-F238E27FC236}">
              <a16:creationId xmlns:a16="http://schemas.microsoft.com/office/drawing/2014/main" id="{B847CFA9-DCC9-449A-9F65-21B56BA7F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9850" name="Picture@5C\QPendientes@" descr="@5C\QPendientes@">
          <a:extLst>
            <a:ext uri="{FF2B5EF4-FFF2-40B4-BE49-F238E27FC236}">
              <a16:creationId xmlns:a16="http://schemas.microsoft.com/office/drawing/2014/main" id="{3751DA4A-C99E-4095-91A8-F0FA3CA0E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5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9851" name="Picture@5C\QPendientes@" descr="@5C\QPendientes@">
          <a:extLst>
            <a:ext uri="{FF2B5EF4-FFF2-40B4-BE49-F238E27FC236}">
              <a16:creationId xmlns:a16="http://schemas.microsoft.com/office/drawing/2014/main" id="{2AAE283E-BE5E-48C5-9958-D4FADE4CC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7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9852" name="Picture@5C\QPendientes@" descr="@5C\QPendientes@">
          <a:extLst>
            <a:ext uri="{FF2B5EF4-FFF2-40B4-BE49-F238E27FC236}">
              <a16:creationId xmlns:a16="http://schemas.microsoft.com/office/drawing/2014/main" id="{E790FA3C-B054-4502-8360-9F2A6C6DB7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9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9853" name="Picture@5C\QPendientes@" descr="@5C\QPendientes@">
          <a:extLst>
            <a:ext uri="{FF2B5EF4-FFF2-40B4-BE49-F238E27FC236}">
              <a16:creationId xmlns:a16="http://schemas.microsoft.com/office/drawing/2014/main" id="{D30F589F-A849-46E8-B0FE-18F4C7F9D4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0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9854" name="Picture@5C\QPendientes@" descr="@5C\QPendientes@">
          <a:extLst>
            <a:ext uri="{FF2B5EF4-FFF2-40B4-BE49-F238E27FC236}">
              <a16:creationId xmlns:a16="http://schemas.microsoft.com/office/drawing/2014/main" id="{47E1A086-7774-4D3B-8BDE-D27299189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2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9855" name="Picture@5C\QPendientes@" descr="@5C\QPendientes@">
          <a:extLst>
            <a:ext uri="{FF2B5EF4-FFF2-40B4-BE49-F238E27FC236}">
              <a16:creationId xmlns:a16="http://schemas.microsoft.com/office/drawing/2014/main" id="{33726D8F-3F93-4173-98B6-A63E0D28E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4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9856" name="Picture@5C\QPendientes@" descr="@5C\QPendientes@">
          <a:extLst>
            <a:ext uri="{FF2B5EF4-FFF2-40B4-BE49-F238E27FC236}">
              <a16:creationId xmlns:a16="http://schemas.microsoft.com/office/drawing/2014/main" id="{00A405E9-9EF6-468F-A40B-F6B814CC7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6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9857" name="Picture@5C\QPendientes@" descr="@5C\QPendientes@">
          <a:extLst>
            <a:ext uri="{FF2B5EF4-FFF2-40B4-BE49-F238E27FC236}">
              <a16:creationId xmlns:a16="http://schemas.microsoft.com/office/drawing/2014/main" id="{42E08438-7917-484F-AC3F-CE1F56479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8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9858" name="Picture@5C\QPendientes@" descr="@5C\QPendientes@">
          <a:extLst>
            <a:ext uri="{FF2B5EF4-FFF2-40B4-BE49-F238E27FC236}">
              <a16:creationId xmlns:a16="http://schemas.microsoft.com/office/drawing/2014/main" id="{987BFF3C-559C-4F2D-8B30-DCEC98474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0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9859" name="Picture@5C\QPendientes@" descr="@5C\QPendientes@">
          <a:extLst>
            <a:ext uri="{FF2B5EF4-FFF2-40B4-BE49-F238E27FC236}">
              <a16:creationId xmlns:a16="http://schemas.microsoft.com/office/drawing/2014/main" id="{620C2230-2F8A-4B75-8DE9-088E02DD7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9860" name="Picture@5C\QPendientes@" descr="@5C\QPendientes@">
          <a:extLst>
            <a:ext uri="{FF2B5EF4-FFF2-40B4-BE49-F238E27FC236}">
              <a16:creationId xmlns:a16="http://schemas.microsoft.com/office/drawing/2014/main" id="{2B280B72-70D2-487B-820C-591430196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3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9861" name="Picture@5C\QPendientes@" descr="@5C\QPendientes@">
          <a:extLst>
            <a:ext uri="{FF2B5EF4-FFF2-40B4-BE49-F238E27FC236}">
              <a16:creationId xmlns:a16="http://schemas.microsoft.com/office/drawing/2014/main" id="{9D9A9ECB-8F84-4675-9813-B354BF54AD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5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9862" name="Picture@5C\QPendientes@" descr="@5C\QPendientes@">
          <a:extLst>
            <a:ext uri="{FF2B5EF4-FFF2-40B4-BE49-F238E27FC236}">
              <a16:creationId xmlns:a16="http://schemas.microsoft.com/office/drawing/2014/main" id="{B0C53E68-E27E-4113-8679-3DB88FA87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7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9863" name="Picture@5C\QPendientes@" descr="@5C\QPendientes@">
          <a:extLst>
            <a:ext uri="{FF2B5EF4-FFF2-40B4-BE49-F238E27FC236}">
              <a16:creationId xmlns:a16="http://schemas.microsoft.com/office/drawing/2014/main" id="{5F1E29DC-3DAD-4A3E-A09A-FB8F24F66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9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9864" name="Picture@5C\QPendientes@" descr="@5C\QPendientes@">
          <a:extLst>
            <a:ext uri="{FF2B5EF4-FFF2-40B4-BE49-F238E27FC236}">
              <a16:creationId xmlns:a16="http://schemas.microsoft.com/office/drawing/2014/main" id="{B243094D-7C52-4371-870C-219B7EAC5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1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9865" name="Picture@5C\QPendientes@" descr="@5C\QPendientes@">
          <a:extLst>
            <a:ext uri="{FF2B5EF4-FFF2-40B4-BE49-F238E27FC236}">
              <a16:creationId xmlns:a16="http://schemas.microsoft.com/office/drawing/2014/main" id="{81EDB9E7-1BCF-4675-A2A2-4304683A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2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9866" name="Picture@5C\QPendientes@" descr="@5C\QPendientes@">
          <a:extLst>
            <a:ext uri="{FF2B5EF4-FFF2-40B4-BE49-F238E27FC236}">
              <a16:creationId xmlns:a16="http://schemas.microsoft.com/office/drawing/2014/main" id="{4366C12D-A74C-4286-8F52-15FAD452B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4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9867" name="Picture@5C\QPendientes@" descr="@5C\QPendientes@">
          <a:extLst>
            <a:ext uri="{FF2B5EF4-FFF2-40B4-BE49-F238E27FC236}">
              <a16:creationId xmlns:a16="http://schemas.microsoft.com/office/drawing/2014/main" id="{FA6573B2-EA20-4ED3-AA0F-3CC09CE45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6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9868" name="Picture@5C\QPendientes@" descr="@5C\QPendientes@">
          <a:extLst>
            <a:ext uri="{FF2B5EF4-FFF2-40B4-BE49-F238E27FC236}">
              <a16:creationId xmlns:a16="http://schemas.microsoft.com/office/drawing/2014/main" id="{FEC73DD5-31C1-4CC1-B522-C12DC78C5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8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9869" name="Picture@5C\QPendientes@" descr="@5C\QPendientes@">
          <a:extLst>
            <a:ext uri="{FF2B5EF4-FFF2-40B4-BE49-F238E27FC236}">
              <a16:creationId xmlns:a16="http://schemas.microsoft.com/office/drawing/2014/main" id="{49C15853-A3F6-4D56-B30F-263276591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9870" name="Picture@5C\QPendientes@" descr="@5C\QPendientes@">
          <a:extLst>
            <a:ext uri="{FF2B5EF4-FFF2-40B4-BE49-F238E27FC236}">
              <a16:creationId xmlns:a16="http://schemas.microsoft.com/office/drawing/2014/main" id="{5ED04ED6-0E04-48C0-B06F-D0082A79D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2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9871" name="Picture@5C\QPendientes@" descr="@5C\QPendientes@">
          <a:extLst>
            <a:ext uri="{FF2B5EF4-FFF2-40B4-BE49-F238E27FC236}">
              <a16:creationId xmlns:a16="http://schemas.microsoft.com/office/drawing/2014/main" id="{2C5481D7-6140-49CB-9659-E5FBB1954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3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9872" name="Picture@5C\QPendientes@" descr="@5C\QPendientes@">
          <a:extLst>
            <a:ext uri="{FF2B5EF4-FFF2-40B4-BE49-F238E27FC236}">
              <a16:creationId xmlns:a16="http://schemas.microsoft.com/office/drawing/2014/main" id="{AD382851-089F-4E28-9EA3-1B9A5BF68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5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9873" name="Picture@5C\QPendientes@" descr="@5C\QPendientes@">
          <a:extLst>
            <a:ext uri="{FF2B5EF4-FFF2-40B4-BE49-F238E27FC236}">
              <a16:creationId xmlns:a16="http://schemas.microsoft.com/office/drawing/2014/main" id="{1096EA10-ECBF-4747-937C-122868ED3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7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9874" name="Picture@5C\QPendientes@" descr="@5C\QPendientes@">
          <a:extLst>
            <a:ext uri="{FF2B5EF4-FFF2-40B4-BE49-F238E27FC236}">
              <a16:creationId xmlns:a16="http://schemas.microsoft.com/office/drawing/2014/main" id="{91EDAA30-425E-4084-8371-2626134D5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9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9875" name="Picture@5C\QPendientes@" descr="@5C\QPendientes@">
          <a:extLst>
            <a:ext uri="{FF2B5EF4-FFF2-40B4-BE49-F238E27FC236}">
              <a16:creationId xmlns:a16="http://schemas.microsoft.com/office/drawing/2014/main" id="{3A321256-3494-42FF-AFF4-A27247310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1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9876" name="Picture@5C\QPendientes@" descr="@5C\QPendientes@">
          <a:extLst>
            <a:ext uri="{FF2B5EF4-FFF2-40B4-BE49-F238E27FC236}">
              <a16:creationId xmlns:a16="http://schemas.microsoft.com/office/drawing/2014/main" id="{3F199106-E018-4F70-BAD8-865C6C4CD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3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9877" name="Picture@5C\QPendientes@" descr="@5C\QPendientes@">
          <a:extLst>
            <a:ext uri="{FF2B5EF4-FFF2-40B4-BE49-F238E27FC236}">
              <a16:creationId xmlns:a16="http://schemas.microsoft.com/office/drawing/2014/main" id="{0B710EF0-9668-4D19-A9CA-211021F13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4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9878" name="Picture@5C\QPendientes@" descr="@5C\QPendientes@">
          <a:extLst>
            <a:ext uri="{FF2B5EF4-FFF2-40B4-BE49-F238E27FC236}">
              <a16:creationId xmlns:a16="http://schemas.microsoft.com/office/drawing/2014/main" id="{5B6A1878-71FA-4826-B806-A157A46F2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6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9879" name="Picture@5C\QPendientes@" descr="@5C\QPendientes@">
          <a:extLst>
            <a:ext uri="{FF2B5EF4-FFF2-40B4-BE49-F238E27FC236}">
              <a16:creationId xmlns:a16="http://schemas.microsoft.com/office/drawing/2014/main" id="{34324B80-3F13-4F2F-959B-0340E1685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9880" name="Picture@5C\QPendientes@" descr="@5C\QPendientes@">
          <a:extLst>
            <a:ext uri="{FF2B5EF4-FFF2-40B4-BE49-F238E27FC236}">
              <a16:creationId xmlns:a16="http://schemas.microsoft.com/office/drawing/2014/main" id="{B07C96D2-A76D-4E22-A1B4-71577B29B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0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9881" name="Picture@5C\QPendientes@" descr="@5C\QPendientes@">
          <a:extLst>
            <a:ext uri="{FF2B5EF4-FFF2-40B4-BE49-F238E27FC236}">
              <a16:creationId xmlns:a16="http://schemas.microsoft.com/office/drawing/2014/main" id="{39851AD6-D55F-4F34-BE04-0AD9C7D1F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2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9882" name="Picture@5C\QPendientes@" descr="@5C\QPendientes@">
          <a:extLst>
            <a:ext uri="{FF2B5EF4-FFF2-40B4-BE49-F238E27FC236}">
              <a16:creationId xmlns:a16="http://schemas.microsoft.com/office/drawing/2014/main" id="{738F4CE7-66DB-4AB5-BB9F-582C2AF81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3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9883" name="Picture@5C\QPendientes@" descr="@5C\QPendientes@">
          <a:extLst>
            <a:ext uri="{FF2B5EF4-FFF2-40B4-BE49-F238E27FC236}">
              <a16:creationId xmlns:a16="http://schemas.microsoft.com/office/drawing/2014/main" id="{F7B16361-3F4C-4824-800C-5F442EAC2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5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9884" name="Picture@5C\QPendientes@" descr="@5C\QPendientes@">
          <a:extLst>
            <a:ext uri="{FF2B5EF4-FFF2-40B4-BE49-F238E27FC236}">
              <a16:creationId xmlns:a16="http://schemas.microsoft.com/office/drawing/2014/main" id="{74F5DF65-A1CA-44DC-AC1E-67335BC18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7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9885" name="Picture@5C\QPendientes@" descr="@5C\QPendientes@">
          <a:extLst>
            <a:ext uri="{FF2B5EF4-FFF2-40B4-BE49-F238E27FC236}">
              <a16:creationId xmlns:a16="http://schemas.microsoft.com/office/drawing/2014/main" id="{2DA98161-1DCA-48FC-B698-DD14B2357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79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9886" name="Picture@5C\QPendientes@" descr="@5C\QPendientes@">
          <a:extLst>
            <a:ext uri="{FF2B5EF4-FFF2-40B4-BE49-F238E27FC236}">
              <a16:creationId xmlns:a16="http://schemas.microsoft.com/office/drawing/2014/main" id="{51E0D889-D771-4887-92ED-3CC32463C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1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9887" name="Picture@5C\QPendientes@" descr="@5C\QPendientes@">
          <a:extLst>
            <a:ext uri="{FF2B5EF4-FFF2-40B4-BE49-F238E27FC236}">
              <a16:creationId xmlns:a16="http://schemas.microsoft.com/office/drawing/2014/main" id="{DD5750FE-4505-4EDA-8351-94F274A34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3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9888" name="Picture@5C\QPendientes@" descr="@5C\QPendientes@">
          <a:extLst>
            <a:ext uri="{FF2B5EF4-FFF2-40B4-BE49-F238E27FC236}">
              <a16:creationId xmlns:a16="http://schemas.microsoft.com/office/drawing/2014/main" id="{FFFFE8D9-4EFB-42C2-8574-0B02BC983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4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9889" name="Picture@5C\QPendientes@" descr="@5C\QPendientes@">
          <a:extLst>
            <a:ext uri="{FF2B5EF4-FFF2-40B4-BE49-F238E27FC236}">
              <a16:creationId xmlns:a16="http://schemas.microsoft.com/office/drawing/2014/main" id="{7CF05DA2-4195-4704-9C38-103F6CA4C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9890" name="Picture@5C\QPendientes@" descr="@5C\QPendientes@">
          <a:extLst>
            <a:ext uri="{FF2B5EF4-FFF2-40B4-BE49-F238E27FC236}">
              <a16:creationId xmlns:a16="http://schemas.microsoft.com/office/drawing/2014/main" id="{3CB45778-5877-451A-9FCE-4330FC9BA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8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9891" name="Picture@5C\QPendientes@" descr="@5C\QPendientes@">
          <a:extLst>
            <a:ext uri="{FF2B5EF4-FFF2-40B4-BE49-F238E27FC236}">
              <a16:creationId xmlns:a16="http://schemas.microsoft.com/office/drawing/2014/main" id="{EEE26176-0A8A-4579-BA5A-C0CD98574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0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9892" name="Picture@5C\QPendientes@" descr="@5C\QPendientes@">
          <a:extLst>
            <a:ext uri="{FF2B5EF4-FFF2-40B4-BE49-F238E27FC236}">
              <a16:creationId xmlns:a16="http://schemas.microsoft.com/office/drawing/2014/main" id="{196F48A3-9DBB-401E-A7D4-D5D0BCDCA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2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9893" name="Picture@5C\QPendientes@" descr="@5C\QPendientes@">
          <a:extLst>
            <a:ext uri="{FF2B5EF4-FFF2-40B4-BE49-F238E27FC236}">
              <a16:creationId xmlns:a16="http://schemas.microsoft.com/office/drawing/2014/main" id="{D77BFE68-4B9A-449E-A961-2448C247E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4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9894" name="Picture@5C\QPendientes@" descr="@5C\QPendientes@">
          <a:extLst>
            <a:ext uri="{FF2B5EF4-FFF2-40B4-BE49-F238E27FC236}">
              <a16:creationId xmlns:a16="http://schemas.microsoft.com/office/drawing/2014/main" id="{EBA39EAB-F681-48C5-AFA2-A53AA1553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5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9895" name="Picture@5C\QPendientes@" descr="@5C\QPendientes@">
          <a:extLst>
            <a:ext uri="{FF2B5EF4-FFF2-40B4-BE49-F238E27FC236}">
              <a16:creationId xmlns:a16="http://schemas.microsoft.com/office/drawing/2014/main" id="{420693DD-4A65-44B9-B84A-DACAFDBE6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7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9896" name="Picture@5C\QPendientes@" descr="@5C\QPendientes@">
          <a:extLst>
            <a:ext uri="{FF2B5EF4-FFF2-40B4-BE49-F238E27FC236}">
              <a16:creationId xmlns:a16="http://schemas.microsoft.com/office/drawing/2014/main" id="{CA210877-7578-47F6-BB29-BB706D33C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9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9897" name="Picture@5C\QPendientes@" descr="@5C\QPendientes@">
          <a:extLst>
            <a:ext uri="{FF2B5EF4-FFF2-40B4-BE49-F238E27FC236}">
              <a16:creationId xmlns:a16="http://schemas.microsoft.com/office/drawing/2014/main" id="{46E70812-7BD3-4192-A0DC-9805A69643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1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9898" name="Picture@5C\QPendientes@" descr="@5C\QPendientes@">
          <a:extLst>
            <a:ext uri="{FF2B5EF4-FFF2-40B4-BE49-F238E27FC236}">
              <a16:creationId xmlns:a16="http://schemas.microsoft.com/office/drawing/2014/main" id="{F7A3A540-7A5C-47DD-A148-CADF2F037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3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9899" name="Picture@5C\QPendientes@" descr="@5C\QPendientes@">
          <a:extLst>
            <a:ext uri="{FF2B5EF4-FFF2-40B4-BE49-F238E27FC236}">
              <a16:creationId xmlns:a16="http://schemas.microsoft.com/office/drawing/2014/main" id="{3A482269-B869-4E88-8877-A3B26EB9C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9900" name="Picture@5C\QPendientes@" descr="@5C\QPendientes@">
          <a:extLst>
            <a:ext uri="{FF2B5EF4-FFF2-40B4-BE49-F238E27FC236}">
              <a16:creationId xmlns:a16="http://schemas.microsoft.com/office/drawing/2014/main" id="{DEC15C8B-2C2F-4F28-8358-77B000163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6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9901" name="Picture@5C\QPendientes@" descr="@5C\QPendientes@">
          <a:extLst>
            <a:ext uri="{FF2B5EF4-FFF2-40B4-BE49-F238E27FC236}">
              <a16:creationId xmlns:a16="http://schemas.microsoft.com/office/drawing/2014/main" id="{1320452F-D8A1-4C88-95DE-798A16F34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8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9902" name="Picture@5C\QPendientes@" descr="@5C\QPendientes@">
          <a:extLst>
            <a:ext uri="{FF2B5EF4-FFF2-40B4-BE49-F238E27FC236}">
              <a16:creationId xmlns:a16="http://schemas.microsoft.com/office/drawing/2014/main" id="{62D8A213-E71A-44D7-910C-4AA1C31E2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0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9903" name="Picture@5C\QPendientes@" descr="@5C\QPendientes@">
          <a:extLst>
            <a:ext uri="{FF2B5EF4-FFF2-40B4-BE49-F238E27FC236}">
              <a16:creationId xmlns:a16="http://schemas.microsoft.com/office/drawing/2014/main" id="{7ADECB27-76EF-407E-9F47-E9E7A8B606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2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9904" name="Picture@5C\QPendientes@" descr="@5C\QPendientes@">
          <a:extLst>
            <a:ext uri="{FF2B5EF4-FFF2-40B4-BE49-F238E27FC236}">
              <a16:creationId xmlns:a16="http://schemas.microsoft.com/office/drawing/2014/main" id="{35F14693-D5BE-4B70-92F6-57DE9A935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4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9905" name="Picture@5C\QPendientes@" descr="@5C\QPendientes@">
          <a:extLst>
            <a:ext uri="{FF2B5EF4-FFF2-40B4-BE49-F238E27FC236}">
              <a16:creationId xmlns:a16="http://schemas.microsoft.com/office/drawing/2014/main" id="{7E4CE175-1FEE-452D-A34B-F18ED512C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6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9906" name="Picture@5C\QPendientes@" descr="@5C\QPendientes@">
          <a:extLst>
            <a:ext uri="{FF2B5EF4-FFF2-40B4-BE49-F238E27FC236}">
              <a16:creationId xmlns:a16="http://schemas.microsoft.com/office/drawing/2014/main" id="{672A7BC7-3270-43F0-8181-AD271496E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7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9907" name="Picture@5C\QPendientes@" descr="@5C\QPendientes@">
          <a:extLst>
            <a:ext uri="{FF2B5EF4-FFF2-40B4-BE49-F238E27FC236}">
              <a16:creationId xmlns:a16="http://schemas.microsoft.com/office/drawing/2014/main" id="{C0835F90-45A3-453B-81D3-AC0E1BEA5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9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9908" name="Picture@5C\QPendientes@" descr="@5C\QPendientes@">
          <a:extLst>
            <a:ext uri="{FF2B5EF4-FFF2-40B4-BE49-F238E27FC236}">
              <a16:creationId xmlns:a16="http://schemas.microsoft.com/office/drawing/2014/main" id="{522A99DD-1AEB-4C5C-BF25-B213DBC35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1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9909" name="Picture@5C\QPendientes@" descr="@5C\QPendientes@">
          <a:extLst>
            <a:ext uri="{FF2B5EF4-FFF2-40B4-BE49-F238E27FC236}">
              <a16:creationId xmlns:a16="http://schemas.microsoft.com/office/drawing/2014/main" id="{2FD25002-EEB5-4F5F-A312-16D5463F2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9910" name="Picture@5C\QPendientes@" descr="@5C\QPendientes@">
          <a:extLst>
            <a:ext uri="{FF2B5EF4-FFF2-40B4-BE49-F238E27FC236}">
              <a16:creationId xmlns:a16="http://schemas.microsoft.com/office/drawing/2014/main" id="{9EE7F862-AB46-4FAC-B885-BDD73FAC3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5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9911" name="Picture@5C\QPendientes@" descr="@5C\QPendientes@">
          <a:extLst>
            <a:ext uri="{FF2B5EF4-FFF2-40B4-BE49-F238E27FC236}">
              <a16:creationId xmlns:a16="http://schemas.microsoft.com/office/drawing/2014/main" id="{6FA7540E-024E-4D0F-94E9-E1ACCCC4B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7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9912" name="Picture@5C\QPendientes@" descr="@5C\QPendientes@">
          <a:extLst>
            <a:ext uri="{FF2B5EF4-FFF2-40B4-BE49-F238E27FC236}">
              <a16:creationId xmlns:a16="http://schemas.microsoft.com/office/drawing/2014/main" id="{6C03784F-1AE3-4A5D-8ADF-8636B11AA4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8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9913" name="Picture@5C\QPendientes@" descr="@5C\QPendientes@">
          <a:extLst>
            <a:ext uri="{FF2B5EF4-FFF2-40B4-BE49-F238E27FC236}">
              <a16:creationId xmlns:a16="http://schemas.microsoft.com/office/drawing/2014/main" id="{9080C8DD-9479-4BAA-A949-FBB83FBEB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0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9914" name="Picture@5C\QPendientes@" descr="@5C\QPendientes@">
          <a:extLst>
            <a:ext uri="{FF2B5EF4-FFF2-40B4-BE49-F238E27FC236}">
              <a16:creationId xmlns:a16="http://schemas.microsoft.com/office/drawing/2014/main" id="{AF964884-A2FB-45EF-B59D-C6BE21179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2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9915" name="Picture@5C\QPendientes@" descr="@5C\QPendientes@">
          <a:extLst>
            <a:ext uri="{FF2B5EF4-FFF2-40B4-BE49-F238E27FC236}">
              <a16:creationId xmlns:a16="http://schemas.microsoft.com/office/drawing/2014/main" id="{9AEA67F1-34A4-4F74-A082-3EBDB749E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4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9916" name="Picture@5C\QPendientes@" descr="@5C\QPendientes@">
          <a:extLst>
            <a:ext uri="{FF2B5EF4-FFF2-40B4-BE49-F238E27FC236}">
              <a16:creationId xmlns:a16="http://schemas.microsoft.com/office/drawing/2014/main" id="{8065D3A9-00AD-4A5B-8378-B29C6E559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6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9917" name="Picture@5C\QPendientes@" descr="@5C\QPendientes@">
          <a:extLst>
            <a:ext uri="{FF2B5EF4-FFF2-40B4-BE49-F238E27FC236}">
              <a16:creationId xmlns:a16="http://schemas.microsoft.com/office/drawing/2014/main" id="{467FE991-181C-4D57-87E2-CEC12EB3C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7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9918" name="Picture@5C\QPendientes@" descr="@5C\QPendientes@">
          <a:extLst>
            <a:ext uri="{FF2B5EF4-FFF2-40B4-BE49-F238E27FC236}">
              <a16:creationId xmlns:a16="http://schemas.microsoft.com/office/drawing/2014/main" id="{34EDD63E-F9E2-4461-9B62-A547154E9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9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9919" name="Picture@5C\QPendientes@" descr="@5C\QPendientes@">
          <a:extLst>
            <a:ext uri="{FF2B5EF4-FFF2-40B4-BE49-F238E27FC236}">
              <a16:creationId xmlns:a16="http://schemas.microsoft.com/office/drawing/2014/main" id="{0EAD8D0C-9286-4645-BF7E-EBBBF46A7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9920" name="Picture@5C\QPendientes@" descr="@5C\QPendientes@">
          <a:extLst>
            <a:ext uri="{FF2B5EF4-FFF2-40B4-BE49-F238E27FC236}">
              <a16:creationId xmlns:a16="http://schemas.microsoft.com/office/drawing/2014/main" id="{DC84BE75-043D-4E7E-9CE0-53B1892B5F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3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9921" name="Picture@5C\QPendientes@" descr="@5C\QPendientes@">
          <a:extLst>
            <a:ext uri="{FF2B5EF4-FFF2-40B4-BE49-F238E27FC236}">
              <a16:creationId xmlns:a16="http://schemas.microsoft.com/office/drawing/2014/main" id="{BE550C24-FC07-4062-81D4-3EF2012A9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5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9922" name="Picture@5C\QPendientes@" descr="@5C\QPendientes@">
          <a:extLst>
            <a:ext uri="{FF2B5EF4-FFF2-40B4-BE49-F238E27FC236}">
              <a16:creationId xmlns:a16="http://schemas.microsoft.com/office/drawing/2014/main" id="{3A575EA4-D71C-44C5-9950-9002CB3FC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7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9923" name="Picture@5C\QPendientes@" descr="@5C\QPendientes@">
          <a:extLst>
            <a:ext uri="{FF2B5EF4-FFF2-40B4-BE49-F238E27FC236}">
              <a16:creationId xmlns:a16="http://schemas.microsoft.com/office/drawing/2014/main" id="{70280A03-6FD3-4A1F-92B0-AF51DB8BF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8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9924" name="Picture@5C\QPendientes@" descr="@5C\QPendientes@">
          <a:extLst>
            <a:ext uri="{FF2B5EF4-FFF2-40B4-BE49-F238E27FC236}">
              <a16:creationId xmlns:a16="http://schemas.microsoft.com/office/drawing/2014/main" id="{004D0ECA-0A6B-485C-B608-7C26ACE13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0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9925" name="Picture@5C\QPendientes@" descr="@5C\QPendientes@">
          <a:extLst>
            <a:ext uri="{FF2B5EF4-FFF2-40B4-BE49-F238E27FC236}">
              <a16:creationId xmlns:a16="http://schemas.microsoft.com/office/drawing/2014/main" id="{E653AD93-8516-4DBE-9AA0-3508BDBD7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2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9926" name="Picture@5C\QPendientes@" descr="@5C\QPendientes@">
          <a:extLst>
            <a:ext uri="{FF2B5EF4-FFF2-40B4-BE49-F238E27FC236}">
              <a16:creationId xmlns:a16="http://schemas.microsoft.com/office/drawing/2014/main" id="{9FA98F62-0DC0-48E6-8B95-5CF0D18D3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4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9927" name="Picture@5C\QPendientes@" descr="@5C\QPendientes@">
          <a:extLst>
            <a:ext uri="{FF2B5EF4-FFF2-40B4-BE49-F238E27FC236}">
              <a16:creationId xmlns:a16="http://schemas.microsoft.com/office/drawing/2014/main" id="{DD682185-AF1F-4319-93B6-9FCEC28A52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6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9928" name="Picture@5C\QPendientes@" descr="@5C\QPendientes@">
          <a:extLst>
            <a:ext uri="{FF2B5EF4-FFF2-40B4-BE49-F238E27FC236}">
              <a16:creationId xmlns:a16="http://schemas.microsoft.com/office/drawing/2014/main" id="{07425F89-3684-4E60-8A9E-74D67DC9D3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8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9929" name="Picture@5C\QPendientes@" descr="@5C\QPendientes@">
          <a:extLst>
            <a:ext uri="{FF2B5EF4-FFF2-40B4-BE49-F238E27FC236}">
              <a16:creationId xmlns:a16="http://schemas.microsoft.com/office/drawing/2014/main" id="{91AC250D-F56C-4BD9-8553-1061A63F8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9930" name="Picture@5C\QPendientes@" descr="@5C\QPendientes@">
          <a:extLst>
            <a:ext uri="{FF2B5EF4-FFF2-40B4-BE49-F238E27FC236}">
              <a16:creationId xmlns:a16="http://schemas.microsoft.com/office/drawing/2014/main" id="{22022AB6-124F-4C01-A818-0B2FF599F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1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9931" name="Picture@5C\QPendientes@" descr="@5C\QPendientes@">
          <a:extLst>
            <a:ext uri="{FF2B5EF4-FFF2-40B4-BE49-F238E27FC236}">
              <a16:creationId xmlns:a16="http://schemas.microsoft.com/office/drawing/2014/main" id="{50D84B7C-8F6B-4E33-BEA5-6884D7DBD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3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9932" name="Picture@5C\QPendientes@" descr="@5C\QPendientes@">
          <a:extLst>
            <a:ext uri="{FF2B5EF4-FFF2-40B4-BE49-F238E27FC236}">
              <a16:creationId xmlns:a16="http://schemas.microsoft.com/office/drawing/2014/main" id="{908FE959-536D-43B7-BF1E-FAD4A18BA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5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9933" name="Picture@5C\QPendientes@" descr="@5C\QPendientes@">
          <a:extLst>
            <a:ext uri="{FF2B5EF4-FFF2-40B4-BE49-F238E27FC236}">
              <a16:creationId xmlns:a16="http://schemas.microsoft.com/office/drawing/2014/main" id="{AB087917-C2FA-4A46-8F5F-277700F68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7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9934" name="Picture@5C\QPendientes@" descr="@5C\QPendientes@">
          <a:extLst>
            <a:ext uri="{FF2B5EF4-FFF2-40B4-BE49-F238E27FC236}">
              <a16:creationId xmlns:a16="http://schemas.microsoft.com/office/drawing/2014/main" id="{3BC7ED8F-7051-446A-BEEB-02C9983A5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69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9935" name="Picture@5C\QPendientes@" descr="@5C\QPendientes@">
          <a:extLst>
            <a:ext uri="{FF2B5EF4-FFF2-40B4-BE49-F238E27FC236}">
              <a16:creationId xmlns:a16="http://schemas.microsoft.com/office/drawing/2014/main" id="{C903EC75-CD7B-41D5-BBBB-05E4EB700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0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9936" name="Picture@5C\QPendientes@" descr="@5C\QPendientes@">
          <a:extLst>
            <a:ext uri="{FF2B5EF4-FFF2-40B4-BE49-F238E27FC236}">
              <a16:creationId xmlns:a16="http://schemas.microsoft.com/office/drawing/2014/main" id="{B0A62D87-0268-4841-800E-CE8B9A2D2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2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9937" name="Picture@5C\QPendientes@" descr="@5C\QPendientes@">
          <a:extLst>
            <a:ext uri="{FF2B5EF4-FFF2-40B4-BE49-F238E27FC236}">
              <a16:creationId xmlns:a16="http://schemas.microsoft.com/office/drawing/2014/main" id="{53755767-01F1-4FBE-9C87-E312C78D4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4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9938" name="Picture@5C\QPendientes@" descr="@5C\QPendientes@">
          <a:extLst>
            <a:ext uri="{FF2B5EF4-FFF2-40B4-BE49-F238E27FC236}">
              <a16:creationId xmlns:a16="http://schemas.microsoft.com/office/drawing/2014/main" id="{14B92AB5-AB00-4F30-8E80-02766EF6F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6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9939" name="Picture@5C\QPendientes@" descr="@5C\QPendientes@">
          <a:extLst>
            <a:ext uri="{FF2B5EF4-FFF2-40B4-BE49-F238E27FC236}">
              <a16:creationId xmlns:a16="http://schemas.microsoft.com/office/drawing/2014/main" id="{00FEC113-875A-4B10-8859-62219B42E6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9940" name="Picture@5C\QPendientes@" descr="@5C\QPendientes@">
          <a:extLst>
            <a:ext uri="{FF2B5EF4-FFF2-40B4-BE49-F238E27FC236}">
              <a16:creationId xmlns:a16="http://schemas.microsoft.com/office/drawing/2014/main" id="{15AD4210-74F9-4E68-9582-71CDA0A10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0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9941" name="Picture@5C\QPendientes@" descr="@5C\QPendientes@">
          <a:extLst>
            <a:ext uri="{FF2B5EF4-FFF2-40B4-BE49-F238E27FC236}">
              <a16:creationId xmlns:a16="http://schemas.microsoft.com/office/drawing/2014/main" id="{857CFF0D-17A8-41BC-8D86-A4D1841B60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1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9942" name="Picture@5C\QPendientes@" descr="@5C\QPendientes@">
          <a:extLst>
            <a:ext uri="{FF2B5EF4-FFF2-40B4-BE49-F238E27FC236}">
              <a16:creationId xmlns:a16="http://schemas.microsoft.com/office/drawing/2014/main" id="{477BC3B8-F5D7-48FC-904F-EE197A16C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3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9943" name="Picture@5C\QPendientes@" descr="@5C\QPendientes@">
          <a:extLst>
            <a:ext uri="{FF2B5EF4-FFF2-40B4-BE49-F238E27FC236}">
              <a16:creationId xmlns:a16="http://schemas.microsoft.com/office/drawing/2014/main" id="{9D748D33-85D1-4F14-BD25-95236B6A72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5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9944" name="Picture@5C\QPendientes@" descr="@5C\QPendientes@">
          <a:extLst>
            <a:ext uri="{FF2B5EF4-FFF2-40B4-BE49-F238E27FC236}">
              <a16:creationId xmlns:a16="http://schemas.microsoft.com/office/drawing/2014/main" id="{CD50BBDE-FA19-4D6B-AFAA-9396B0357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7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9945" name="Picture@5C\QPendientes@" descr="@5C\QPendientes@">
          <a:extLst>
            <a:ext uri="{FF2B5EF4-FFF2-40B4-BE49-F238E27FC236}">
              <a16:creationId xmlns:a16="http://schemas.microsoft.com/office/drawing/2014/main" id="{AA7C1578-BDC8-4F7B-B3E8-7A1F2BD87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89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9946" name="Picture@5C\QPendientes@" descr="@5C\QPendientes@">
          <a:extLst>
            <a:ext uri="{FF2B5EF4-FFF2-40B4-BE49-F238E27FC236}">
              <a16:creationId xmlns:a16="http://schemas.microsoft.com/office/drawing/2014/main" id="{DA30A54A-9B5B-4FF7-9C91-698528D95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1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9947" name="Picture@5C\QPendientes@" descr="@5C\QPendientes@">
          <a:extLst>
            <a:ext uri="{FF2B5EF4-FFF2-40B4-BE49-F238E27FC236}">
              <a16:creationId xmlns:a16="http://schemas.microsoft.com/office/drawing/2014/main" id="{B51DDA26-BA6D-4F02-8E0F-0AE811E01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2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9948" name="Picture@5C\QPendientes@" descr="@5C\QPendientes@">
          <a:extLst>
            <a:ext uri="{FF2B5EF4-FFF2-40B4-BE49-F238E27FC236}">
              <a16:creationId xmlns:a16="http://schemas.microsoft.com/office/drawing/2014/main" id="{E8B9966C-4FC0-4555-A77C-E4C89117A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4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9949" name="Picture@5C\QPendientes@" descr="@5C\QPendientes@">
          <a:extLst>
            <a:ext uri="{FF2B5EF4-FFF2-40B4-BE49-F238E27FC236}">
              <a16:creationId xmlns:a16="http://schemas.microsoft.com/office/drawing/2014/main" id="{CF596690-87D7-4A61-8117-5BF49FF4F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9950" name="Picture@5C\QPendientes@" descr="@5C\QPendientes@">
          <a:extLst>
            <a:ext uri="{FF2B5EF4-FFF2-40B4-BE49-F238E27FC236}">
              <a16:creationId xmlns:a16="http://schemas.microsoft.com/office/drawing/2014/main" id="{39C2E3CF-9454-4F28-83CC-9795E2030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8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9951" name="Picture@5C\QPendientes@" descr="@5C\QPendientes@">
          <a:extLst>
            <a:ext uri="{FF2B5EF4-FFF2-40B4-BE49-F238E27FC236}">
              <a16:creationId xmlns:a16="http://schemas.microsoft.com/office/drawing/2014/main" id="{4F3EBEAD-4888-409E-AD0C-10B3F44EB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0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9952" name="Picture@5C\QPendientes@" descr="@5C\QPendientes@">
          <a:extLst>
            <a:ext uri="{FF2B5EF4-FFF2-40B4-BE49-F238E27FC236}">
              <a16:creationId xmlns:a16="http://schemas.microsoft.com/office/drawing/2014/main" id="{007D219B-7881-4121-B72D-19A96770E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1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9953" name="Picture@5C\QPendientes@" descr="@5C\QPendientes@">
          <a:extLst>
            <a:ext uri="{FF2B5EF4-FFF2-40B4-BE49-F238E27FC236}">
              <a16:creationId xmlns:a16="http://schemas.microsoft.com/office/drawing/2014/main" id="{63FF7D12-D616-4073-8336-3BA18CB52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3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9954" name="Picture@5C\QPendientes@" descr="@5C\QPendientes@">
          <a:extLst>
            <a:ext uri="{FF2B5EF4-FFF2-40B4-BE49-F238E27FC236}">
              <a16:creationId xmlns:a16="http://schemas.microsoft.com/office/drawing/2014/main" id="{C890F22F-A193-4CA8-8E4A-9F1488A5F7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5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9955" name="Picture@5C\QPendientes@" descr="@5C\QPendientes@">
          <a:extLst>
            <a:ext uri="{FF2B5EF4-FFF2-40B4-BE49-F238E27FC236}">
              <a16:creationId xmlns:a16="http://schemas.microsoft.com/office/drawing/2014/main" id="{3D3F80FD-1291-436A-83BA-6218E0DBA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7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9956" name="Picture@5C\QPendientes@" descr="@5C\QPendientes@">
          <a:extLst>
            <a:ext uri="{FF2B5EF4-FFF2-40B4-BE49-F238E27FC236}">
              <a16:creationId xmlns:a16="http://schemas.microsoft.com/office/drawing/2014/main" id="{9E359FAB-7FFE-4E9F-A133-86BA5C9AE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9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9957" name="Picture@5C\QPendientes@" descr="@5C\QPendientes@">
          <a:extLst>
            <a:ext uri="{FF2B5EF4-FFF2-40B4-BE49-F238E27FC236}">
              <a16:creationId xmlns:a16="http://schemas.microsoft.com/office/drawing/2014/main" id="{2C23CD33-BC4F-40A3-AEF4-AB25D968C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1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9958" name="Picture@5C\QPendientes@" descr="@5C\QPendientes@">
          <a:extLst>
            <a:ext uri="{FF2B5EF4-FFF2-40B4-BE49-F238E27FC236}">
              <a16:creationId xmlns:a16="http://schemas.microsoft.com/office/drawing/2014/main" id="{F2B505B7-6870-4399-86B3-3376EAD79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2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9959" name="Picture@5C\QPendientes@" descr="@5C\QPendientes@">
          <a:extLst>
            <a:ext uri="{FF2B5EF4-FFF2-40B4-BE49-F238E27FC236}">
              <a16:creationId xmlns:a16="http://schemas.microsoft.com/office/drawing/2014/main" id="{910DE88D-F6AF-4637-96FE-58A8572CF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9960" name="Picture@5C\QPendientes@" descr="@5C\QPendientes@">
          <a:extLst>
            <a:ext uri="{FF2B5EF4-FFF2-40B4-BE49-F238E27FC236}">
              <a16:creationId xmlns:a16="http://schemas.microsoft.com/office/drawing/2014/main" id="{B0336FA3-86FF-43CA-B337-FCD36246E7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6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9961" name="Picture@5C\QPendientes@" descr="@5C\QPendientes@">
          <a:extLst>
            <a:ext uri="{FF2B5EF4-FFF2-40B4-BE49-F238E27FC236}">
              <a16:creationId xmlns:a16="http://schemas.microsoft.com/office/drawing/2014/main" id="{A55A16A5-B731-484A-B99C-9D543B876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8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9962" name="Picture@5C\QPendientes@" descr="@5C\QPendientes@">
          <a:extLst>
            <a:ext uri="{FF2B5EF4-FFF2-40B4-BE49-F238E27FC236}">
              <a16:creationId xmlns:a16="http://schemas.microsoft.com/office/drawing/2014/main" id="{8ED09905-FB5A-4A0C-A16E-94A67A842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0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9963" name="Picture@5C\QPendientes@" descr="@5C\QPendientes@">
          <a:extLst>
            <a:ext uri="{FF2B5EF4-FFF2-40B4-BE49-F238E27FC236}">
              <a16:creationId xmlns:a16="http://schemas.microsoft.com/office/drawing/2014/main" id="{B5AEC270-991E-4E06-A20A-6542D606F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2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9964" name="Picture@5C\QPendientes@" descr="@5C\QPendientes@">
          <a:extLst>
            <a:ext uri="{FF2B5EF4-FFF2-40B4-BE49-F238E27FC236}">
              <a16:creationId xmlns:a16="http://schemas.microsoft.com/office/drawing/2014/main" id="{2F266A9C-F8AD-4146-9A8C-CB9811B5B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3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9965" name="Picture@5C\QPendientes@" descr="@5C\QPendientes@">
          <a:extLst>
            <a:ext uri="{FF2B5EF4-FFF2-40B4-BE49-F238E27FC236}">
              <a16:creationId xmlns:a16="http://schemas.microsoft.com/office/drawing/2014/main" id="{664E1C92-69B9-4083-B2F6-A08D9D619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5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9966" name="Picture@5C\QPendientes@" descr="@5C\QPendientes@">
          <a:extLst>
            <a:ext uri="{FF2B5EF4-FFF2-40B4-BE49-F238E27FC236}">
              <a16:creationId xmlns:a16="http://schemas.microsoft.com/office/drawing/2014/main" id="{04492CD3-8A8A-4E1E-8817-AA528B49D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7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9967" name="Picture@5C\QPendientes@" descr="@5C\QPendientes@">
          <a:extLst>
            <a:ext uri="{FF2B5EF4-FFF2-40B4-BE49-F238E27FC236}">
              <a16:creationId xmlns:a16="http://schemas.microsoft.com/office/drawing/2014/main" id="{D1BC095D-0DA9-4934-8025-D4FC7DE01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9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9968" name="Picture@5C\QPendientes@" descr="@5C\QPendientes@">
          <a:extLst>
            <a:ext uri="{FF2B5EF4-FFF2-40B4-BE49-F238E27FC236}">
              <a16:creationId xmlns:a16="http://schemas.microsoft.com/office/drawing/2014/main" id="{C32FDCB0-E35C-4097-B80D-E81976177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1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9969" name="Picture@5C\QPendientes@" descr="@5C\QPendientes@">
          <a:extLst>
            <a:ext uri="{FF2B5EF4-FFF2-40B4-BE49-F238E27FC236}">
              <a16:creationId xmlns:a16="http://schemas.microsoft.com/office/drawing/2014/main" id="{1E7E1D76-8E04-4C92-97E0-DD750E628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9970" name="Picture@5C\QPendientes@" descr="@5C\QPendientes@">
          <a:extLst>
            <a:ext uri="{FF2B5EF4-FFF2-40B4-BE49-F238E27FC236}">
              <a16:creationId xmlns:a16="http://schemas.microsoft.com/office/drawing/2014/main" id="{3C875FE0-E686-46A3-A4A1-3AE71FFF1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4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9971" name="Picture@5C\QPendientes@" descr="@5C\QPendientes@">
          <a:extLst>
            <a:ext uri="{FF2B5EF4-FFF2-40B4-BE49-F238E27FC236}">
              <a16:creationId xmlns:a16="http://schemas.microsoft.com/office/drawing/2014/main" id="{71DE512F-C60B-4438-9550-09582EDCB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6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9972" name="Picture@5C\QPendientes@" descr="@5C\QPendientes@">
          <a:extLst>
            <a:ext uri="{FF2B5EF4-FFF2-40B4-BE49-F238E27FC236}">
              <a16:creationId xmlns:a16="http://schemas.microsoft.com/office/drawing/2014/main" id="{34C7AF64-AF2A-43AF-AD82-481FAE874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8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9973" name="Picture@5C\QPendientes@" descr="@5C\QPendientes@">
          <a:extLst>
            <a:ext uri="{FF2B5EF4-FFF2-40B4-BE49-F238E27FC236}">
              <a16:creationId xmlns:a16="http://schemas.microsoft.com/office/drawing/2014/main" id="{78A6AECB-FC65-46E1-87A5-D9FAA8B9D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0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9974" name="Picture@5C\QPendientes@" descr="@5C\QPendientes@">
          <a:extLst>
            <a:ext uri="{FF2B5EF4-FFF2-40B4-BE49-F238E27FC236}">
              <a16:creationId xmlns:a16="http://schemas.microsoft.com/office/drawing/2014/main" id="{A6AFE90E-AE47-4C5E-BC3A-71B98F1E4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2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9975" name="Picture@5C\QPendientes@" descr="@5C\QPendientes@">
          <a:extLst>
            <a:ext uri="{FF2B5EF4-FFF2-40B4-BE49-F238E27FC236}">
              <a16:creationId xmlns:a16="http://schemas.microsoft.com/office/drawing/2014/main" id="{52C6EFE0-420B-4AAD-BEA0-3E144FE14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4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9976" name="Picture@5C\QPendientes@" descr="@5C\QPendientes@">
          <a:extLst>
            <a:ext uri="{FF2B5EF4-FFF2-40B4-BE49-F238E27FC236}">
              <a16:creationId xmlns:a16="http://schemas.microsoft.com/office/drawing/2014/main" id="{D293379A-B39A-4BCA-810E-6DF4DB4E6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5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9977" name="Picture@5C\QPendientes@" descr="@5C\QPendientes@">
          <a:extLst>
            <a:ext uri="{FF2B5EF4-FFF2-40B4-BE49-F238E27FC236}">
              <a16:creationId xmlns:a16="http://schemas.microsoft.com/office/drawing/2014/main" id="{36719AF2-AAFE-4353-B0B5-9C61B2849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7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9978" name="Picture@5C\QPendientes@" descr="@5C\QPendientes@">
          <a:extLst>
            <a:ext uri="{FF2B5EF4-FFF2-40B4-BE49-F238E27FC236}">
              <a16:creationId xmlns:a16="http://schemas.microsoft.com/office/drawing/2014/main" id="{7E5527F9-16C8-4184-B7A8-9E75CF17E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9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9979" name="Picture@5C\QPendientes@" descr="@5C\QPendientes@">
          <a:extLst>
            <a:ext uri="{FF2B5EF4-FFF2-40B4-BE49-F238E27FC236}">
              <a16:creationId xmlns:a16="http://schemas.microsoft.com/office/drawing/2014/main" id="{8B6B3F1F-98DC-4E5A-AFDA-977D8CD67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9980" name="Picture@5C\QPendientes@" descr="@5C\QPendientes@">
          <a:extLst>
            <a:ext uri="{FF2B5EF4-FFF2-40B4-BE49-F238E27FC236}">
              <a16:creationId xmlns:a16="http://schemas.microsoft.com/office/drawing/2014/main" id="{4F20E051-97A8-41AF-A629-E639D91ED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3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9981" name="Picture@5C\QPendientes@" descr="@5C\QPendientes@">
          <a:extLst>
            <a:ext uri="{FF2B5EF4-FFF2-40B4-BE49-F238E27FC236}">
              <a16:creationId xmlns:a16="http://schemas.microsoft.com/office/drawing/2014/main" id="{D92AD95F-D237-4632-9629-DA35ABEBC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5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9982" name="Picture@5C\QPendientes@" descr="@5C\QPendientes@">
          <a:extLst>
            <a:ext uri="{FF2B5EF4-FFF2-40B4-BE49-F238E27FC236}">
              <a16:creationId xmlns:a16="http://schemas.microsoft.com/office/drawing/2014/main" id="{7012A5C2-0965-43E4-A445-68B1BF0DD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6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9983" name="Picture@5C\QPendientes@" descr="@5C\QPendientes@">
          <a:extLst>
            <a:ext uri="{FF2B5EF4-FFF2-40B4-BE49-F238E27FC236}">
              <a16:creationId xmlns:a16="http://schemas.microsoft.com/office/drawing/2014/main" id="{F5891F7B-E799-4ED4-978B-6CB8BA51B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8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9984" name="Picture@5C\QPendientes@" descr="@5C\QPendientes@">
          <a:extLst>
            <a:ext uri="{FF2B5EF4-FFF2-40B4-BE49-F238E27FC236}">
              <a16:creationId xmlns:a16="http://schemas.microsoft.com/office/drawing/2014/main" id="{AC95C2D2-0C3A-41F0-AC7B-CC34B5DF0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0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9985" name="Picture@5C\QPendientes@" descr="@5C\QPendientes@">
          <a:extLst>
            <a:ext uri="{FF2B5EF4-FFF2-40B4-BE49-F238E27FC236}">
              <a16:creationId xmlns:a16="http://schemas.microsoft.com/office/drawing/2014/main" id="{2B4BD937-C59F-4608-99F4-123F4299B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2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9986" name="Picture@5C\QPendientes@" descr="@5C\QPendientes@">
          <a:extLst>
            <a:ext uri="{FF2B5EF4-FFF2-40B4-BE49-F238E27FC236}">
              <a16:creationId xmlns:a16="http://schemas.microsoft.com/office/drawing/2014/main" id="{ABFB8A79-A330-42F6-B7B7-0D2C90F02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4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9987" name="Picture@5C\QPendientes@" descr="@5C\QPendientes@">
          <a:extLst>
            <a:ext uri="{FF2B5EF4-FFF2-40B4-BE49-F238E27FC236}">
              <a16:creationId xmlns:a16="http://schemas.microsoft.com/office/drawing/2014/main" id="{6A34AD7D-A9CD-4B2C-9519-983C2E7C0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6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9988" name="Picture@5C\QPendientes@" descr="@5C\QPendientes@">
          <a:extLst>
            <a:ext uri="{FF2B5EF4-FFF2-40B4-BE49-F238E27FC236}">
              <a16:creationId xmlns:a16="http://schemas.microsoft.com/office/drawing/2014/main" id="{E3F23AFE-811A-4CA2-834C-6638DCDFE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7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9989" name="Picture@5C\QPendientes@" descr="@5C\QPendientes@">
          <a:extLst>
            <a:ext uri="{FF2B5EF4-FFF2-40B4-BE49-F238E27FC236}">
              <a16:creationId xmlns:a16="http://schemas.microsoft.com/office/drawing/2014/main" id="{77D2904C-6ADB-4022-9D8B-C9861AE0FD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9990" name="Picture@5C\QPendientes@" descr="@5C\QPendientes@">
          <a:extLst>
            <a:ext uri="{FF2B5EF4-FFF2-40B4-BE49-F238E27FC236}">
              <a16:creationId xmlns:a16="http://schemas.microsoft.com/office/drawing/2014/main" id="{760C9048-2D08-4511-8BC3-199E557CF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1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9991" name="Picture@5C\QPendientes@" descr="@5C\QPendientes@">
          <a:extLst>
            <a:ext uri="{FF2B5EF4-FFF2-40B4-BE49-F238E27FC236}">
              <a16:creationId xmlns:a16="http://schemas.microsoft.com/office/drawing/2014/main" id="{8F0057FC-9466-4ECD-A57B-681C4EF94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3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9992" name="Picture@5C\QPendientes@" descr="@5C\QPendientes@">
          <a:extLst>
            <a:ext uri="{FF2B5EF4-FFF2-40B4-BE49-F238E27FC236}">
              <a16:creationId xmlns:a16="http://schemas.microsoft.com/office/drawing/2014/main" id="{C3797970-6793-4B73-9697-EE0A4C548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5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9993" name="Picture@5C\QPendientes@" descr="@5C\QPendientes@">
          <a:extLst>
            <a:ext uri="{FF2B5EF4-FFF2-40B4-BE49-F238E27FC236}">
              <a16:creationId xmlns:a16="http://schemas.microsoft.com/office/drawing/2014/main" id="{CA19EA22-EF96-4A68-A506-7E62CB8F2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6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9994" name="Picture@5C\QPendientes@" descr="@5C\QPendientes@">
          <a:extLst>
            <a:ext uri="{FF2B5EF4-FFF2-40B4-BE49-F238E27FC236}">
              <a16:creationId xmlns:a16="http://schemas.microsoft.com/office/drawing/2014/main" id="{4EA8C30C-60BB-43D5-9F70-895E19E6F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78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9995" name="Picture@5C\QPendientes@" descr="@5C\QPendientes@">
          <a:extLst>
            <a:ext uri="{FF2B5EF4-FFF2-40B4-BE49-F238E27FC236}">
              <a16:creationId xmlns:a16="http://schemas.microsoft.com/office/drawing/2014/main" id="{626EA2C3-1DCE-448F-909B-6BC91C75C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0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9996" name="Picture@5C\QPendientes@" descr="@5C\QPendientes@">
          <a:extLst>
            <a:ext uri="{FF2B5EF4-FFF2-40B4-BE49-F238E27FC236}">
              <a16:creationId xmlns:a16="http://schemas.microsoft.com/office/drawing/2014/main" id="{9EDF2D97-0944-49F6-AA6D-DE4C94C9E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2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9997" name="Picture@5C\QPendientes@" descr="@5C\QPendientes@">
          <a:extLst>
            <a:ext uri="{FF2B5EF4-FFF2-40B4-BE49-F238E27FC236}">
              <a16:creationId xmlns:a16="http://schemas.microsoft.com/office/drawing/2014/main" id="{A5FBE18A-E0D9-4954-8572-2BEA333640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4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9998" name="Picture@5C\QPendientes@" descr="@5C\QPendientes@">
          <a:extLst>
            <a:ext uri="{FF2B5EF4-FFF2-40B4-BE49-F238E27FC236}">
              <a16:creationId xmlns:a16="http://schemas.microsoft.com/office/drawing/2014/main" id="{C8B28542-A02F-4EEC-9E96-A5B961432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6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9999" name="Picture@5C\QPendientes@" descr="@5C\QPendientes@">
          <a:extLst>
            <a:ext uri="{FF2B5EF4-FFF2-40B4-BE49-F238E27FC236}">
              <a16:creationId xmlns:a16="http://schemas.microsoft.com/office/drawing/2014/main" id="{B74FF378-D61F-44D8-BFDB-71BAE9A223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10000" name="Picture@5C\QPendientes@" descr="@5C\QPendientes@">
          <a:extLst>
            <a:ext uri="{FF2B5EF4-FFF2-40B4-BE49-F238E27FC236}">
              <a16:creationId xmlns:a16="http://schemas.microsoft.com/office/drawing/2014/main" id="{6A26083E-BFD8-4404-846A-C8C380D50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9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10001" name="Picture@5C\QPendientes@" descr="@5C\QPendientes@">
          <a:extLst>
            <a:ext uri="{FF2B5EF4-FFF2-40B4-BE49-F238E27FC236}">
              <a16:creationId xmlns:a16="http://schemas.microsoft.com/office/drawing/2014/main" id="{7ABEF047-E57B-4AD6-AFFA-4C91CC018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1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10002" name="Picture@5C\QPendientes@" descr="@5C\QPendientes@">
          <a:extLst>
            <a:ext uri="{FF2B5EF4-FFF2-40B4-BE49-F238E27FC236}">
              <a16:creationId xmlns:a16="http://schemas.microsoft.com/office/drawing/2014/main" id="{B397182D-5A2F-4BB8-B8DB-63E6B62DE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3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10003" name="Picture@5C\QPendientes@" descr="@5C\QPendientes@">
          <a:extLst>
            <a:ext uri="{FF2B5EF4-FFF2-40B4-BE49-F238E27FC236}">
              <a16:creationId xmlns:a16="http://schemas.microsoft.com/office/drawing/2014/main" id="{CF07757B-3311-4517-BA3D-DD67E236E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5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10004" name="Picture@5C\QPendientes@" descr="@5C\QPendientes@">
          <a:extLst>
            <a:ext uri="{FF2B5EF4-FFF2-40B4-BE49-F238E27FC236}">
              <a16:creationId xmlns:a16="http://schemas.microsoft.com/office/drawing/2014/main" id="{FA24C2CD-D187-427E-8E0C-6360ED39D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7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10005" name="Picture@5C\QPendientes@" descr="@5C\QPendientes@">
          <a:extLst>
            <a:ext uri="{FF2B5EF4-FFF2-40B4-BE49-F238E27FC236}">
              <a16:creationId xmlns:a16="http://schemas.microsoft.com/office/drawing/2014/main" id="{6596AF03-5710-4533-AFA0-C5D29EAF7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8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10006" name="Picture@5C\QPendientes@" descr="@5C\QPendientes@">
          <a:extLst>
            <a:ext uri="{FF2B5EF4-FFF2-40B4-BE49-F238E27FC236}">
              <a16:creationId xmlns:a16="http://schemas.microsoft.com/office/drawing/2014/main" id="{7BBBD89D-FF31-4A50-A176-10F7E33F4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0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10007" name="Picture@5C\QPendientes@" descr="@5C\QPendientes@">
          <a:extLst>
            <a:ext uri="{FF2B5EF4-FFF2-40B4-BE49-F238E27FC236}">
              <a16:creationId xmlns:a16="http://schemas.microsoft.com/office/drawing/2014/main" id="{633C599C-92CA-42B3-8343-3ADDA4D23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2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10008" name="Picture@5C\QPendientes@" descr="@5C\QPendientes@">
          <a:extLst>
            <a:ext uri="{FF2B5EF4-FFF2-40B4-BE49-F238E27FC236}">
              <a16:creationId xmlns:a16="http://schemas.microsoft.com/office/drawing/2014/main" id="{060734E1-CD55-4AE0-A681-45F2C299B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4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10009" name="Picture@5C\QPendientes@" descr="@5C\QPendientes@">
          <a:extLst>
            <a:ext uri="{FF2B5EF4-FFF2-40B4-BE49-F238E27FC236}">
              <a16:creationId xmlns:a16="http://schemas.microsoft.com/office/drawing/2014/main" id="{FC8136D6-3413-4698-A19B-730C7FAC2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10010" name="Picture@5C\QPendientes@" descr="@5C\QPendientes@">
          <a:extLst>
            <a:ext uri="{FF2B5EF4-FFF2-40B4-BE49-F238E27FC236}">
              <a16:creationId xmlns:a16="http://schemas.microsoft.com/office/drawing/2014/main" id="{23ADF8A6-6A77-4185-8F46-0ABE59ABC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8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10011" name="Picture@5C\QPendientes@" descr="@5C\QPendientes@">
          <a:extLst>
            <a:ext uri="{FF2B5EF4-FFF2-40B4-BE49-F238E27FC236}">
              <a16:creationId xmlns:a16="http://schemas.microsoft.com/office/drawing/2014/main" id="{4516C3BE-BB67-44A6-A3ED-F375AF17D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9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10012" name="Picture@5C\QPendientes@" descr="@5C\QPendientes@">
          <a:extLst>
            <a:ext uri="{FF2B5EF4-FFF2-40B4-BE49-F238E27FC236}">
              <a16:creationId xmlns:a16="http://schemas.microsoft.com/office/drawing/2014/main" id="{0DE42199-8234-4164-9265-78AF19881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1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10013" name="Picture@5C\QPendientes@" descr="@5C\QPendientes@">
          <a:extLst>
            <a:ext uri="{FF2B5EF4-FFF2-40B4-BE49-F238E27FC236}">
              <a16:creationId xmlns:a16="http://schemas.microsoft.com/office/drawing/2014/main" id="{9A92B76F-1CD4-4D29-BD85-5028F3AB0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3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10014" name="Picture@5C\QPendientes@" descr="@5C\QPendientes@">
          <a:extLst>
            <a:ext uri="{FF2B5EF4-FFF2-40B4-BE49-F238E27FC236}">
              <a16:creationId xmlns:a16="http://schemas.microsoft.com/office/drawing/2014/main" id="{177E52CE-6DA3-4AF4-8534-BA455A20A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5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10015" name="Picture@5C\QPendientes@" descr="@5C\QPendientes@">
          <a:extLst>
            <a:ext uri="{FF2B5EF4-FFF2-40B4-BE49-F238E27FC236}">
              <a16:creationId xmlns:a16="http://schemas.microsoft.com/office/drawing/2014/main" id="{6F84BA99-FB3E-4D37-BCB2-1157E8DB5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7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10016" name="Picture@5C\QPendientes@" descr="@5C\QPendientes@">
          <a:extLst>
            <a:ext uri="{FF2B5EF4-FFF2-40B4-BE49-F238E27FC236}">
              <a16:creationId xmlns:a16="http://schemas.microsoft.com/office/drawing/2014/main" id="{531FC1FB-0E8A-4EFA-9EFF-8C59782E5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9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10017" name="Picture@5C\QPendientes@" descr="@5C\QPendientes@">
          <a:extLst>
            <a:ext uri="{FF2B5EF4-FFF2-40B4-BE49-F238E27FC236}">
              <a16:creationId xmlns:a16="http://schemas.microsoft.com/office/drawing/2014/main" id="{F1D9FAFE-6CC3-44AE-B0F7-A312426BA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0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10018" name="Picture@5C\QPendientes@" descr="@5C\QPendientes@">
          <a:extLst>
            <a:ext uri="{FF2B5EF4-FFF2-40B4-BE49-F238E27FC236}">
              <a16:creationId xmlns:a16="http://schemas.microsoft.com/office/drawing/2014/main" id="{C8268F3B-BA8F-4C78-959A-5B16A257C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2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10019" name="Picture@5C\QPendientes@" descr="@5C\QPendientes@">
          <a:extLst>
            <a:ext uri="{FF2B5EF4-FFF2-40B4-BE49-F238E27FC236}">
              <a16:creationId xmlns:a16="http://schemas.microsoft.com/office/drawing/2014/main" id="{C9A56618-15A2-4597-B81B-35E007225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10020" name="Picture@5C\QPendientes@" descr="@5C\QPendientes@">
          <a:extLst>
            <a:ext uri="{FF2B5EF4-FFF2-40B4-BE49-F238E27FC236}">
              <a16:creationId xmlns:a16="http://schemas.microsoft.com/office/drawing/2014/main" id="{46AA3737-413D-42DF-B70C-05D418BE0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6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10021" name="Picture@5C\QPendientes@" descr="@5C\QPendientes@">
          <a:extLst>
            <a:ext uri="{FF2B5EF4-FFF2-40B4-BE49-F238E27FC236}">
              <a16:creationId xmlns:a16="http://schemas.microsoft.com/office/drawing/2014/main" id="{C11FDDEE-BA3A-4EC1-A885-FC35C9570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8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10022" name="Picture@5C\QPendientes@" descr="@5C\QPendientes@">
          <a:extLst>
            <a:ext uri="{FF2B5EF4-FFF2-40B4-BE49-F238E27FC236}">
              <a16:creationId xmlns:a16="http://schemas.microsoft.com/office/drawing/2014/main" id="{6075C7CC-593E-42F2-A37A-5FB586611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0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10023" name="Picture@5C\QPendientes@" descr="@5C\QPendientes@">
          <a:extLst>
            <a:ext uri="{FF2B5EF4-FFF2-40B4-BE49-F238E27FC236}">
              <a16:creationId xmlns:a16="http://schemas.microsoft.com/office/drawing/2014/main" id="{C5DE008D-2902-484F-83B7-AB01E6A22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1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10024" name="Picture@5C\QPendientes@" descr="@5C\QPendientes@">
          <a:extLst>
            <a:ext uri="{FF2B5EF4-FFF2-40B4-BE49-F238E27FC236}">
              <a16:creationId xmlns:a16="http://schemas.microsoft.com/office/drawing/2014/main" id="{F851ECEA-4CB5-42AE-A30D-4ECCE4EED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3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10025" name="Picture@5C\QPendientes@" descr="@5C\QPendientes@">
          <a:extLst>
            <a:ext uri="{FF2B5EF4-FFF2-40B4-BE49-F238E27FC236}">
              <a16:creationId xmlns:a16="http://schemas.microsoft.com/office/drawing/2014/main" id="{A6ABF587-7A2C-4D6B-B5F5-F306E6CD2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5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10026" name="Picture@5C\QPendientes@" descr="@5C\QPendientes@">
          <a:extLst>
            <a:ext uri="{FF2B5EF4-FFF2-40B4-BE49-F238E27FC236}">
              <a16:creationId xmlns:a16="http://schemas.microsoft.com/office/drawing/2014/main" id="{09EAFC12-BFE9-4CC7-9815-FBB1EC6D1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7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10027" name="Picture@5C\QPendientes@" descr="@5C\QPendientes@">
          <a:extLst>
            <a:ext uri="{FF2B5EF4-FFF2-40B4-BE49-F238E27FC236}">
              <a16:creationId xmlns:a16="http://schemas.microsoft.com/office/drawing/2014/main" id="{1F460CF0-29AE-4BAB-95C6-3326B1B4D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9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10028" name="Picture@5C\QPendientes@" descr="@5C\QPendientes@">
          <a:extLst>
            <a:ext uri="{FF2B5EF4-FFF2-40B4-BE49-F238E27FC236}">
              <a16:creationId xmlns:a16="http://schemas.microsoft.com/office/drawing/2014/main" id="{A08A2FD8-853A-4795-B7A0-16E973A19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0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10029" name="Picture@5C\QPendientes@" descr="@5C\QPendientes@">
          <a:extLst>
            <a:ext uri="{FF2B5EF4-FFF2-40B4-BE49-F238E27FC236}">
              <a16:creationId xmlns:a16="http://schemas.microsoft.com/office/drawing/2014/main" id="{5B8F36BD-6B82-474B-AE70-08BEADCEC1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10030" name="Picture@5C\QPendientes@" descr="@5C\QPendientes@">
          <a:extLst>
            <a:ext uri="{FF2B5EF4-FFF2-40B4-BE49-F238E27FC236}">
              <a16:creationId xmlns:a16="http://schemas.microsoft.com/office/drawing/2014/main" id="{87A60573-BAD2-4E0E-88A4-F9C40EDEB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4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10031" name="Picture@5C\QPendientes@" descr="@5C\QPendientes@">
          <a:extLst>
            <a:ext uri="{FF2B5EF4-FFF2-40B4-BE49-F238E27FC236}">
              <a16:creationId xmlns:a16="http://schemas.microsoft.com/office/drawing/2014/main" id="{122475A8-207E-452E-9C1C-D09C50313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6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10032" name="Picture@5C\QPendientes@" descr="@5C\QPendientes@">
          <a:extLst>
            <a:ext uri="{FF2B5EF4-FFF2-40B4-BE49-F238E27FC236}">
              <a16:creationId xmlns:a16="http://schemas.microsoft.com/office/drawing/2014/main" id="{E97AF613-3385-487B-B02C-538B766B5A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8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10033" name="Picture@5C\QPendientes@" descr="@5C\QPendientes@">
          <a:extLst>
            <a:ext uri="{FF2B5EF4-FFF2-40B4-BE49-F238E27FC236}">
              <a16:creationId xmlns:a16="http://schemas.microsoft.com/office/drawing/2014/main" id="{4AE577B6-6953-4080-8287-43DA14F3C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0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10034" name="Picture@5C\QPendientes@" descr="@5C\QPendientes@">
          <a:extLst>
            <a:ext uri="{FF2B5EF4-FFF2-40B4-BE49-F238E27FC236}">
              <a16:creationId xmlns:a16="http://schemas.microsoft.com/office/drawing/2014/main" id="{FA7F7569-81BE-4A55-9DEC-DE652FA3E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1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10035" name="Picture@5C\QPendientes@" descr="@5C\QPendientes@">
          <a:extLst>
            <a:ext uri="{FF2B5EF4-FFF2-40B4-BE49-F238E27FC236}">
              <a16:creationId xmlns:a16="http://schemas.microsoft.com/office/drawing/2014/main" id="{81F35FDD-DD7A-4EBD-8A1E-C370443CF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3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10036" name="Picture@5C\QPendientes@" descr="@5C\QPendientes@">
          <a:extLst>
            <a:ext uri="{FF2B5EF4-FFF2-40B4-BE49-F238E27FC236}">
              <a16:creationId xmlns:a16="http://schemas.microsoft.com/office/drawing/2014/main" id="{82FC0516-0389-46BC-89AF-485138AF8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5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10037" name="Picture@5C\QPendientes@" descr="@5C\QPendientes@">
          <a:extLst>
            <a:ext uri="{FF2B5EF4-FFF2-40B4-BE49-F238E27FC236}">
              <a16:creationId xmlns:a16="http://schemas.microsoft.com/office/drawing/2014/main" id="{B0BC40B3-CF86-4623-B7DE-E380723A10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7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10038" name="Picture@5C\QPendientes@" descr="@5C\QPendientes@">
          <a:extLst>
            <a:ext uri="{FF2B5EF4-FFF2-40B4-BE49-F238E27FC236}">
              <a16:creationId xmlns:a16="http://schemas.microsoft.com/office/drawing/2014/main" id="{E428ACC3-DD4F-4220-A93E-2EFAD4DC9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9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10039" name="Picture@5C\QPendientes@" descr="@5C\QPendientes@">
          <a:extLst>
            <a:ext uri="{FF2B5EF4-FFF2-40B4-BE49-F238E27FC236}">
              <a16:creationId xmlns:a16="http://schemas.microsoft.com/office/drawing/2014/main" id="{988AC8C3-2699-408E-A69A-F2B6CB0A1A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10040" name="Picture@5C\QPendientes@" descr="@5C\QPendientes@">
          <a:extLst>
            <a:ext uri="{FF2B5EF4-FFF2-40B4-BE49-F238E27FC236}">
              <a16:creationId xmlns:a16="http://schemas.microsoft.com/office/drawing/2014/main" id="{09C4D49B-2972-44F8-969D-BBC900958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2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10041" name="Picture@5C\QPendientes@" descr="@5C\QPendientes@">
          <a:extLst>
            <a:ext uri="{FF2B5EF4-FFF2-40B4-BE49-F238E27FC236}">
              <a16:creationId xmlns:a16="http://schemas.microsoft.com/office/drawing/2014/main" id="{52EB89FB-772E-4221-82DE-98A3C4A27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4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10042" name="Picture@5C\QPendientes@" descr="@5C\QPendientes@">
          <a:extLst>
            <a:ext uri="{FF2B5EF4-FFF2-40B4-BE49-F238E27FC236}">
              <a16:creationId xmlns:a16="http://schemas.microsoft.com/office/drawing/2014/main" id="{86AF6C80-FA9C-4E66-AEF3-F5B366391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6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10043" name="Picture@5C\QPendientes@" descr="@5C\QPendientes@">
          <a:extLst>
            <a:ext uri="{FF2B5EF4-FFF2-40B4-BE49-F238E27FC236}">
              <a16:creationId xmlns:a16="http://schemas.microsoft.com/office/drawing/2014/main" id="{492B1E86-D315-47E2-AF19-488FC1BB6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8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10044" name="Picture@5C\QPendientes@" descr="@5C\QPendientes@">
          <a:extLst>
            <a:ext uri="{FF2B5EF4-FFF2-40B4-BE49-F238E27FC236}">
              <a16:creationId xmlns:a16="http://schemas.microsoft.com/office/drawing/2014/main" id="{E285E42D-04AE-476F-941C-CA4B682BF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0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10045" name="Picture@5C\QPendientes@" descr="@5C\QPendientes@">
          <a:extLst>
            <a:ext uri="{FF2B5EF4-FFF2-40B4-BE49-F238E27FC236}">
              <a16:creationId xmlns:a16="http://schemas.microsoft.com/office/drawing/2014/main" id="{A9221485-0C12-44C7-B90B-F8744B258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2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10046" name="Picture@5C\QPendientes@" descr="@5C\QPendientes@">
          <a:extLst>
            <a:ext uri="{FF2B5EF4-FFF2-40B4-BE49-F238E27FC236}">
              <a16:creationId xmlns:a16="http://schemas.microsoft.com/office/drawing/2014/main" id="{DFB94F1A-708B-4131-99FF-BE98F6D3B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3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10047" name="Picture@5C\QPendientes@" descr="@5C\QPendientes@">
          <a:extLst>
            <a:ext uri="{FF2B5EF4-FFF2-40B4-BE49-F238E27FC236}">
              <a16:creationId xmlns:a16="http://schemas.microsoft.com/office/drawing/2014/main" id="{F390489E-956D-4BF9-9386-8E14B9BAE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5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10048" name="Picture@5C\QPendientes@" descr="@5C\QPendientes@">
          <a:extLst>
            <a:ext uri="{FF2B5EF4-FFF2-40B4-BE49-F238E27FC236}">
              <a16:creationId xmlns:a16="http://schemas.microsoft.com/office/drawing/2014/main" id="{52D7F459-F6E8-4BE8-AD42-976356F19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7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10049" name="Picture@5C\QPendientes@" descr="@5C\QPendientes@">
          <a:extLst>
            <a:ext uri="{FF2B5EF4-FFF2-40B4-BE49-F238E27FC236}">
              <a16:creationId xmlns:a16="http://schemas.microsoft.com/office/drawing/2014/main" id="{EF362F21-093D-4836-8EF8-C97C04C5A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10050" name="Picture@5C\QPendientes@" descr="@5C\QPendientes@">
          <a:extLst>
            <a:ext uri="{FF2B5EF4-FFF2-40B4-BE49-F238E27FC236}">
              <a16:creationId xmlns:a16="http://schemas.microsoft.com/office/drawing/2014/main" id="{D85AF537-FB18-4B7D-B742-FFE29D1C2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1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10051" name="Picture@5C\QPendientes@" descr="@5C\QPendientes@">
          <a:extLst>
            <a:ext uri="{FF2B5EF4-FFF2-40B4-BE49-F238E27FC236}">
              <a16:creationId xmlns:a16="http://schemas.microsoft.com/office/drawing/2014/main" id="{B5E8ACFA-9782-4FC8-A064-C50DFA06AF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3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10052" name="Picture@5C\QPendientes@" descr="@5C\QPendientes@">
          <a:extLst>
            <a:ext uri="{FF2B5EF4-FFF2-40B4-BE49-F238E27FC236}">
              <a16:creationId xmlns:a16="http://schemas.microsoft.com/office/drawing/2014/main" id="{D393EB23-9079-41D7-BBFC-0627999ED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4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10053" name="Picture@5C\QPendientes@" descr="@5C\QPendientes@">
          <a:extLst>
            <a:ext uri="{FF2B5EF4-FFF2-40B4-BE49-F238E27FC236}">
              <a16:creationId xmlns:a16="http://schemas.microsoft.com/office/drawing/2014/main" id="{840AAC40-DDB6-4DB9-923E-C0DAD6E4D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6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10054" name="Picture@5C\QPendientes@" descr="@5C\QPendientes@">
          <a:extLst>
            <a:ext uri="{FF2B5EF4-FFF2-40B4-BE49-F238E27FC236}">
              <a16:creationId xmlns:a16="http://schemas.microsoft.com/office/drawing/2014/main" id="{F9CE0CCF-9E9E-4563-B2B9-7B3527E7B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8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10055" name="Picture@5C\QPendientes@" descr="@5C\QPendientes@">
          <a:extLst>
            <a:ext uri="{FF2B5EF4-FFF2-40B4-BE49-F238E27FC236}">
              <a16:creationId xmlns:a16="http://schemas.microsoft.com/office/drawing/2014/main" id="{6A20DAB9-0D6E-4844-B3E0-BC2FBFE56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0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10056" name="Picture@5C\QPendientes@" descr="@5C\QPendientes@">
          <a:extLst>
            <a:ext uri="{FF2B5EF4-FFF2-40B4-BE49-F238E27FC236}">
              <a16:creationId xmlns:a16="http://schemas.microsoft.com/office/drawing/2014/main" id="{1B6F4A6A-2FC9-4F1E-840B-8AD40CBA8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2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10057" name="Picture@5C\QPendientes@" descr="@5C\QPendientes@">
          <a:extLst>
            <a:ext uri="{FF2B5EF4-FFF2-40B4-BE49-F238E27FC236}">
              <a16:creationId xmlns:a16="http://schemas.microsoft.com/office/drawing/2014/main" id="{F7179271-A580-47C9-B3BD-B1BC12BA3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4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10058" name="Picture@5C\QPendientes@" descr="@5C\QPendientes@">
          <a:extLst>
            <a:ext uri="{FF2B5EF4-FFF2-40B4-BE49-F238E27FC236}">
              <a16:creationId xmlns:a16="http://schemas.microsoft.com/office/drawing/2014/main" id="{919232E8-2B5B-440A-83A7-A399FD48A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5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10059" name="Picture@5C\QPendientes@" descr="@5C\QPendientes@">
          <a:extLst>
            <a:ext uri="{FF2B5EF4-FFF2-40B4-BE49-F238E27FC236}">
              <a16:creationId xmlns:a16="http://schemas.microsoft.com/office/drawing/2014/main" id="{648B59F4-B51E-4F71-91BA-7CB2252BB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10060" name="Picture@5C\QPendientes@" descr="@5C\QPendientes@">
          <a:extLst>
            <a:ext uri="{FF2B5EF4-FFF2-40B4-BE49-F238E27FC236}">
              <a16:creationId xmlns:a16="http://schemas.microsoft.com/office/drawing/2014/main" id="{FDB181F8-404B-4D37-BD94-92B5BF3F4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9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10061" name="Picture@5C\QPendientes@" descr="@5C\QPendientes@">
          <a:extLst>
            <a:ext uri="{FF2B5EF4-FFF2-40B4-BE49-F238E27FC236}">
              <a16:creationId xmlns:a16="http://schemas.microsoft.com/office/drawing/2014/main" id="{364980F4-090A-42A6-99E3-6B77279E9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1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10062" name="Picture@5C\QPendientes@" descr="@5C\QPendientes@">
          <a:extLst>
            <a:ext uri="{FF2B5EF4-FFF2-40B4-BE49-F238E27FC236}">
              <a16:creationId xmlns:a16="http://schemas.microsoft.com/office/drawing/2014/main" id="{83ABB03F-1F06-4CB0-B553-812740C17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3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10063" name="Picture@5C\QPendientes@" descr="@5C\QPendientes@">
          <a:extLst>
            <a:ext uri="{FF2B5EF4-FFF2-40B4-BE49-F238E27FC236}">
              <a16:creationId xmlns:a16="http://schemas.microsoft.com/office/drawing/2014/main" id="{4743743C-59DF-4BF5-B00C-8C8692D60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4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10064" name="Picture@5C\QPendientes@" descr="@5C\QPendientes@">
          <a:extLst>
            <a:ext uri="{FF2B5EF4-FFF2-40B4-BE49-F238E27FC236}">
              <a16:creationId xmlns:a16="http://schemas.microsoft.com/office/drawing/2014/main" id="{6C06FBF4-0255-4A39-9996-F7710BAD0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6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10065" name="Picture@5C\QPendientes@" descr="@5C\QPendientes@">
          <a:extLst>
            <a:ext uri="{FF2B5EF4-FFF2-40B4-BE49-F238E27FC236}">
              <a16:creationId xmlns:a16="http://schemas.microsoft.com/office/drawing/2014/main" id="{925C3A37-9F60-4E0A-9ABD-172E995DD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8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10066" name="Picture@5C\QPendientes@" descr="@5C\QPendientes@">
          <a:extLst>
            <a:ext uri="{FF2B5EF4-FFF2-40B4-BE49-F238E27FC236}">
              <a16:creationId xmlns:a16="http://schemas.microsoft.com/office/drawing/2014/main" id="{B2FE5826-E09E-442D-BB6E-B37B9D41D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0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10067" name="Picture@5C\QPendientes@" descr="@5C\QPendientes@">
          <a:extLst>
            <a:ext uri="{FF2B5EF4-FFF2-40B4-BE49-F238E27FC236}">
              <a16:creationId xmlns:a16="http://schemas.microsoft.com/office/drawing/2014/main" id="{8ADF86A0-8842-4026-A172-4B14E16CF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2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10068" name="Picture@5C\QPendientes@" descr="@5C\QPendientes@">
          <a:extLst>
            <a:ext uri="{FF2B5EF4-FFF2-40B4-BE49-F238E27FC236}">
              <a16:creationId xmlns:a16="http://schemas.microsoft.com/office/drawing/2014/main" id="{0816CBD3-8145-4852-AB2D-4EF0FB720F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4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10069" name="Picture@5C\QPendientes@" descr="@5C\QPendientes@">
          <a:extLst>
            <a:ext uri="{FF2B5EF4-FFF2-40B4-BE49-F238E27FC236}">
              <a16:creationId xmlns:a16="http://schemas.microsoft.com/office/drawing/2014/main" id="{2A89298D-AAF8-45E3-8069-A759B206E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10070" name="Picture@5C\QPendientes@" descr="@5C\QPendientes@">
          <a:extLst>
            <a:ext uri="{FF2B5EF4-FFF2-40B4-BE49-F238E27FC236}">
              <a16:creationId xmlns:a16="http://schemas.microsoft.com/office/drawing/2014/main" id="{9EE510CF-7BD8-4B15-8DA5-114230849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7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10071" name="Picture@5C\QPendientes@" descr="@5C\QPendientes@">
          <a:extLst>
            <a:ext uri="{FF2B5EF4-FFF2-40B4-BE49-F238E27FC236}">
              <a16:creationId xmlns:a16="http://schemas.microsoft.com/office/drawing/2014/main" id="{4221A1D7-C86F-499B-9A15-3E21FDCC0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9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10072" name="Picture@5C\QPendientes@" descr="@5C\QPendientes@">
          <a:extLst>
            <a:ext uri="{FF2B5EF4-FFF2-40B4-BE49-F238E27FC236}">
              <a16:creationId xmlns:a16="http://schemas.microsoft.com/office/drawing/2014/main" id="{5490A390-2978-4315-9BE3-BB642A909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1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10073" name="Picture@5C\QPendientes@" descr="@5C\QPendientes@">
          <a:extLst>
            <a:ext uri="{FF2B5EF4-FFF2-40B4-BE49-F238E27FC236}">
              <a16:creationId xmlns:a16="http://schemas.microsoft.com/office/drawing/2014/main" id="{94D0B5DC-1B57-4472-BD5D-C4B1D0F5D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3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10074" name="Picture@5C\QPendientes@" descr="@5C\QPendientes@">
          <a:extLst>
            <a:ext uri="{FF2B5EF4-FFF2-40B4-BE49-F238E27FC236}">
              <a16:creationId xmlns:a16="http://schemas.microsoft.com/office/drawing/2014/main" id="{972D0FD0-CC62-4F9A-AD6D-B3FA5EA70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5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10075" name="Picture@5C\QPendientes@" descr="@5C\QPendientes@">
          <a:extLst>
            <a:ext uri="{FF2B5EF4-FFF2-40B4-BE49-F238E27FC236}">
              <a16:creationId xmlns:a16="http://schemas.microsoft.com/office/drawing/2014/main" id="{1004AF11-FE6D-4819-9118-7B02E971A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6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10076" name="Picture@5C\QPendientes@" descr="@5C\QPendientes@">
          <a:extLst>
            <a:ext uri="{FF2B5EF4-FFF2-40B4-BE49-F238E27FC236}">
              <a16:creationId xmlns:a16="http://schemas.microsoft.com/office/drawing/2014/main" id="{2D062DCB-0A7C-4CD6-B654-1B1846378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8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10077" name="Picture@5C\QPendientes@" descr="@5C\QPendientes@">
          <a:extLst>
            <a:ext uri="{FF2B5EF4-FFF2-40B4-BE49-F238E27FC236}">
              <a16:creationId xmlns:a16="http://schemas.microsoft.com/office/drawing/2014/main" id="{82E72378-D490-447B-ADAC-591CDF903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0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10078" name="Picture@5C\QPendientes@" descr="@5C\QPendientes@">
          <a:extLst>
            <a:ext uri="{FF2B5EF4-FFF2-40B4-BE49-F238E27FC236}">
              <a16:creationId xmlns:a16="http://schemas.microsoft.com/office/drawing/2014/main" id="{8AC4C3F7-68D2-4821-AE56-74C68989B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2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10079" name="Picture@5C\QPendientes@" descr="@5C\QPendientes@">
          <a:extLst>
            <a:ext uri="{FF2B5EF4-FFF2-40B4-BE49-F238E27FC236}">
              <a16:creationId xmlns:a16="http://schemas.microsoft.com/office/drawing/2014/main" id="{8C1655B5-0400-4EDB-8509-87432A70A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10080" name="Picture@5C\QPendientes@" descr="@5C\QPendientes@">
          <a:extLst>
            <a:ext uri="{FF2B5EF4-FFF2-40B4-BE49-F238E27FC236}">
              <a16:creationId xmlns:a16="http://schemas.microsoft.com/office/drawing/2014/main" id="{BC92DD75-DE8E-48DD-A845-826E34E21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6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10081" name="Picture@5C\QPendientes@" descr="@5C\QPendientes@">
          <a:extLst>
            <a:ext uri="{FF2B5EF4-FFF2-40B4-BE49-F238E27FC236}">
              <a16:creationId xmlns:a16="http://schemas.microsoft.com/office/drawing/2014/main" id="{1D792CCE-615A-44B2-96FB-488833581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7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10082" name="Picture@5C\QPendientes@" descr="@5C\QPendientes@">
          <a:extLst>
            <a:ext uri="{FF2B5EF4-FFF2-40B4-BE49-F238E27FC236}">
              <a16:creationId xmlns:a16="http://schemas.microsoft.com/office/drawing/2014/main" id="{9AEF42F0-4C49-4BED-979D-DBFA4701EC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9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10083" name="Picture@5C\QPendientes@" descr="@5C\QPendientes@">
          <a:extLst>
            <a:ext uri="{FF2B5EF4-FFF2-40B4-BE49-F238E27FC236}">
              <a16:creationId xmlns:a16="http://schemas.microsoft.com/office/drawing/2014/main" id="{FF8A9E1F-410B-43ED-8EC6-207DFF9B8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1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10084" name="Picture@5C\QPendientes@" descr="@5C\QPendientes@">
          <a:extLst>
            <a:ext uri="{FF2B5EF4-FFF2-40B4-BE49-F238E27FC236}">
              <a16:creationId xmlns:a16="http://schemas.microsoft.com/office/drawing/2014/main" id="{99A5129A-3505-488D-ADFC-C4FFADF36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3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10085" name="Picture@5C\QPendientes@" descr="@5C\QPendientes@">
          <a:extLst>
            <a:ext uri="{FF2B5EF4-FFF2-40B4-BE49-F238E27FC236}">
              <a16:creationId xmlns:a16="http://schemas.microsoft.com/office/drawing/2014/main" id="{D39A1086-1A63-416B-AD73-191ED3193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5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10086" name="Picture@5C\QPendientes@" descr="@5C\QPendientes@">
          <a:extLst>
            <a:ext uri="{FF2B5EF4-FFF2-40B4-BE49-F238E27FC236}">
              <a16:creationId xmlns:a16="http://schemas.microsoft.com/office/drawing/2014/main" id="{4D4870D6-CBFC-4D6D-981C-2D6269E0A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7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10087" name="Picture@5C\QPendientes@" descr="@5C\QPendientes@">
          <a:extLst>
            <a:ext uri="{FF2B5EF4-FFF2-40B4-BE49-F238E27FC236}">
              <a16:creationId xmlns:a16="http://schemas.microsoft.com/office/drawing/2014/main" id="{7C4ACA6A-F21E-488D-AECF-875605098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8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10088" name="Picture@5C\QPendientes@" descr="@5C\QPendientes@">
          <a:extLst>
            <a:ext uri="{FF2B5EF4-FFF2-40B4-BE49-F238E27FC236}">
              <a16:creationId xmlns:a16="http://schemas.microsoft.com/office/drawing/2014/main" id="{F76C0C83-0E37-4465-B325-93F257B4B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0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10089" name="Picture@5C\QPendientes@" descr="@5C\QPendientes@">
          <a:extLst>
            <a:ext uri="{FF2B5EF4-FFF2-40B4-BE49-F238E27FC236}">
              <a16:creationId xmlns:a16="http://schemas.microsoft.com/office/drawing/2014/main" id="{65D41A35-1EA3-4E45-8DC6-972870248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10090" name="Picture@5C\QPendientes@" descr="@5C\QPendientes@">
          <a:extLst>
            <a:ext uri="{FF2B5EF4-FFF2-40B4-BE49-F238E27FC236}">
              <a16:creationId xmlns:a16="http://schemas.microsoft.com/office/drawing/2014/main" id="{B66A7E23-05C6-47FE-B07A-65704806B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4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10091" name="Picture@5C\QPendientes@" descr="@5C\QPendientes@">
          <a:extLst>
            <a:ext uri="{FF2B5EF4-FFF2-40B4-BE49-F238E27FC236}">
              <a16:creationId xmlns:a16="http://schemas.microsoft.com/office/drawing/2014/main" id="{7CCB4B56-DFE9-4ABA-B046-DFCC68242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6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10092" name="Picture@5C\QPendientes@" descr="@5C\QPendientes@">
          <a:extLst>
            <a:ext uri="{FF2B5EF4-FFF2-40B4-BE49-F238E27FC236}">
              <a16:creationId xmlns:a16="http://schemas.microsoft.com/office/drawing/2014/main" id="{D2393C1D-BC25-46A6-9EA5-B5EDF9B51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8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10093" name="Picture@5C\QPendientes@" descr="@5C\QPendientes@">
          <a:extLst>
            <a:ext uri="{FF2B5EF4-FFF2-40B4-BE49-F238E27FC236}">
              <a16:creationId xmlns:a16="http://schemas.microsoft.com/office/drawing/2014/main" id="{D04D07C6-F83C-4178-AF53-BAD797FA2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9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10094" name="Picture@5C\QPendientes@" descr="@5C\QPendientes@">
          <a:extLst>
            <a:ext uri="{FF2B5EF4-FFF2-40B4-BE49-F238E27FC236}">
              <a16:creationId xmlns:a16="http://schemas.microsoft.com/office/drawing/2014/main" id="{A53F94B9-F27F-4B21-8162-78F1AE55D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1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10095" name="Picture@5C\QPendientes@" descr="@5C\QPendientes@">
          <a:extLst>
            <a:ext uri="{FF2B5EF4-FFF2-40B4-BE49-F238E27FC236}">
              <a16:creationId xmlns:a16="http://schemas.microsoft.com/office/drawing/2014/main" id="{2D481ADD-673E-4611-B32A-6EE201257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3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10096" name="Picture@5C\QPendientes@" descr="@5C\QPendientes@">
          <a:extLst>
            <a:ext uri="{FF2B5EF4-FFF2-40B4-BE49-F238E27FC236}">
              <a16:creationId xmlns:a16="http://schemas.microsoft.com/office/drawing/2014/main" id="{237018BF-B311-423E-A0C8-1BE86E050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5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10097" name="Picture@5C\QPendientes@" descr="@5C\QPendientes@">
          <a:extLst>
            <a:ext uri="{FF2B5EF4-FFF2-40B4-BE49-F238E27FC236}">
              <a16:creationId xmlns:a16="http://schemas.microsoft.com/office/drawing/2014/main" id="{5E83B461-2679-4A22-BE25-EBF534EC1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7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10098" name="Picture@5C\QPendientes@" descr="@5C\QPendientes@">
          <a:extLst>
            <a:ext uri="{FF2B5EF4-FFF2-40B4-BE49-F238E27FC236}">
              <a16:creationId xmlns:a16="http://schemas.microsoft.com/office/drawing/2014/main" id="{9FBA59BB-379B-4124-A45C-1F972279D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9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10099" name="Picture@5C\QPendientes@" descr="@5C\QPendientes@">
          <a:extLst>
            <a:ext uri="{FF2B5EF4-FFF2-40B4-BE49-F238E27FC236}">
              <a16:creationId xmlns:a16="http://schemas.microsoft.com/office/drawing/2014/main" id="{AD679D61-38A6-47E4-A811-5865CBD04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10100" name="Picture@5C\QPendientes@" descr="@5C\QPendientes@">
          <a:extLst>
            <a:ext uri="{FF2B5EF4-FFF2-40B4-BE49-F238E27FC236}">
              <a16:creationId xmlns:a16="http://schemas.microsoft.com/office/drawing/2014/main" id="{E7687DDA-80AB-4804-93EB-3D267320D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2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10101" name="Picture@5C\QPendientes@" descr="@5C\QPendientes@">
          <a:extLst>
            <a:ext uri="{FF2B5EF4-FFF2-40B4-BE49-F238E27FC236}">
              <a16:creationId xmlns:a16="http://schemas.microsoft.com/office/drawing/2014/main" id="{F7134CA5-B80C-4898-BE84-8C35971013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4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10102" name="Picture@5C\QPendientes@" descr="@5C\QPendientes@">
          <a:extLst>
            <a:ext uri="{FF2B5EF4-FFF2-40B4-BE49-F238E27FC236}">
              <a16:creationId xmlns:a16="http://schemas.microsoft.com/office/drawing/2014/main" id="{12551685-A42D-4A92-9937-D839BE52C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6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10103" name="Picture@5C\QPendientes@" descr="@5C\QPendientes@">
          <a:extLst>
            <a:ext uri="{FF2B5EF4-FFF2-40B4-BE49-F238E27FC236}">
              <a16:creationId xmlns:a16="http://schemas.microsoft.com/office/drawing/2014/main" id="{5C211D76-B590-4B12-8E89-4D17BC667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8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10104" name="Picture@5C\QPendientes@" descr="@5C\QPendientes@">
          <a:extLst>
            <a:ext uri="{FF2B5EF4-FFF2-40B4-BE49-F238E27FC236}">
              <a16:creationId xmlns:a16="http://schemas.microsoft.com/office/drawing/2014/main" id="{2CA14734-86AA-4E1A-88ED-59FD3E04B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9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10105" name="Picture@5C\QPendientes@" descr="@5C\QPendientes@">
          <a:extLst>
            <a:ext uri="{FF2B5EF4-FFF2-40B4-BE49-F238E27FC236}">
              <a16:creationId xmlns:a16="http://schemas.microsoft.com/office/drawing/2014/main" id="{01692645-48A5-4CA9-92D6-8B787ED45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1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10106" name="Picture@5C\QPendientes@" descr="@5C\QPendientes@">
          <a:extLst>
            <a:ext uri="{FF2B5EF4-FFF2-40B4-BE49-F238E27FC236}">
              <a16:creationId xmlns:a16="http://schemas.microsoft.com/office/drawing/2014/main" id="{85A3935E-DD88-4F9F-9ABA-EDF23CD27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3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10107" name="Picture@5C\QPendientes@" descr="@5C\QPendientes@">
          <a:extLst>
            <a:ext uri="{FF2B5EF4-FFF2-40B4-BE49-F238E27FC236}">
              <a16:creationId xmlns:a16="http://schemas.microsoft.com/office/drawing/2014/main" id="{149C2519-FC3E-4BDD-A187-5AFD8DAEF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5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10108" name="Picture@5C\QPendientes@" descr="@5C\QPendientes@">
          <a:extLst>
            <a:ext uri="{FF2B5EF4-FFF2-40B4-BE49-F238E27FC236}">
              <a16:creationId xmlns:a16="http://schemas.microsoft.com/office/drawing/2014/main" id="{D14ACA8D-AAA4-4230-9F2C-89337688A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7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10109" name="Picture@5C\QPendientes@" descr="@5C\QPendientes@">
          <a:extLst>
            <a:ext uri="{FF2B5EF4-FFF2-40B4-BE49-F238E27FC236}">
              <a16:creationId xmlns:a16="http://schemas.microsoft.com/office/drawing/2014/main" id="{BA2BD767-E9D2-4692-8284-E68321836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10110" name="Picture@5C\QPendientes@" descr="@5C\QPendientes@">
          <a:extLst>
            <a:ext uri="{FF2B5EF4-FFF2-40B4-BE49-F238E27FC236}">
              <a16:creationId xmlns:a16="http://schemas.microsoft.com/office/drawing/2014/main" id="{028A75B2-21C9-496D-8CE3-794115B85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0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10111" name="Picture@5C\QPendientes@" descr="@5C\QPendientes@">
          <a:extLst>
            <a:ext uri="{FF2B5EF4-FFF2-40B4-BE49-F238E27FC236}">
              <a16:creationId xmlns:a16="http://schemas.microsoft.com/office/drawing/2014/main" id="{B2444216-01B0-4A8C-866B-5A8AA783D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2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10112" name="Picture@5C\QPendientes@" descr="@5C\QPendientes@">
          <a:extLst>
            <a:ext uri="{FF2B5EF4-FFF2-40B4-BE49-F238E27FC236}">
              <a16:creationId xmlns:a16="http://schemas.microsoft.com/office/drawing/2014/main" id="{A4557CC1-442A-4A8E-A784-026CDDA94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4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10113" name="Picture@5C\QPendientes@" descr="@5C\QPendientes@">
          <a:extLst>
            <a:ext uri="{FF2B5EF4-FFF2-40B4-BE49-F238E27FC236}">
              <a16:creationId xmlns:a16="http://schemas.microsoft.com/office/drawing/2014/main" id="{AC9F7F41-BB59-4896-8DCE-40FA9FC9E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6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10114" name="Picture@5C\QPendientes@" descr="@5C\QPendientes@">
          <a:extLst>
            <a:ext uri="{FF2B5EF4-FFF2-40B4-BE49-F238E27FC236}">
              <a16:creationId xmlns:a16="http://schemas.microsoft.com/office/drawing/2014/main" id="{48FD83B8-682C-4499-966C-9BA5DD6EE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8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10115" name="Picture@5C\QPendientes@" descr="@5C\QPendientes@">
          <a:extLst>
            <a:ext uri="{FF2B5EF4-FFF2-40B4-BE49-F238E27FC236}">
              <a16:creationId xmlns:a16="http://schemas.microsoft.com/office/drawing/2014/main" id="{7F6487EC-CB3E-41E4-9C8E-D42F63741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0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10116" name="Picture@5C\QPendientes@" descr="@5C\QPendientes@">
          <a:extLst>
            <a:ext uri="{FF2B5EF4-FFF2-40B4-BE49-F238E27FC236}">
              <a16:creationId xmlns:a16="http://schemas.microsoft.com/office/drawing/2014/main" id="{090CCF94-B2CE-4FAB-9933-61AAE1DA6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1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10117" name="Picture@5C\QPendientes@" descr="@5C\QPendientes@">
          <a:extLst>
            <a:ext uri="{FF2B5EF4-FFF2-40B4-BE49-F238E27FC236}">
              <a16:creationId xmlns:a16="http://schemas.microsoft.com/office/drawing/2014/main" id="{373675FD-2F3B-4E86-A3D7-4023B7662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3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10118" name="Picture@5C\QPendientes@" descr="@5C\QPendientes@">
          <a:extLst>
            <a:ext uri="{FF2B5EF4-FFF2-40B4-BE49-F238E27FC236}">
              <a16:creationId xmlns:a16="http://schemas.microsoft.com/office/drawing/2014/main" id="{3BBBC260-2293-4312-A28B-381BF4C83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5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10119" name="Picture@5C\QPendientes@" descr="@5C\QPendientes@">
          <a:extLst>
            <a:ext uri="{FF2B5EF4-FFF2-40B4-BE49-F238E27FC236}">
              <a16:creationId xmlns:a16="http://schemas.microsoft.com/office/drawing/2014/main" id="{6064D9CD-7111-4641-916C-66BBF335F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10120" name="Picture@5C\QPendientes@" descr="@5C\QPendientes@">
          <a:extLst>
            <a:ext uri="{FF2B5EF4-FFF2-40B4-BE49-F238E27FC236}">
              <a16:creationId xmlns:a16="http://schemas.microsoft.com/office/drawing/2014/main" id="{96848D5E-5921-4100-90E4-6C0A6DD9B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9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10121" name="Picture@5C\QPendientes@" descr="@5C\QPendientes@">
          <a:extLst>
            <a:ext uri="{FF2B5EF4-FFF2-40B4-BE49-F238E27FC236}">
              <a16:creationId xmlns:a16="http://schemas.microsoft.com/office/drawing/2014/main" id="{0BE2D75D-668A-4D2F-A433-12E4F37F5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1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10122" name="Picture@5C\QPendientes@" descr="@5C\QPendientes@">
          <a:extLst>
            <a:ext uri="{FF2B5EF4-FFF2-40B4-BE49-F238E27FC236}">
              <a16:creationId xmlns:a16="http://schemas.microsoft.com/office/drawing/2014/main" id="{91259000-427C-4FF7-A4C2-0365D0475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2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10123" name="Picture@5C\QPendientes@" descr="@5C\QPendientes@">
          <a:extLst>
            <a:ext uri="{FF2B5EF4-FFF2-40B4-BE49-F238E27FC236}">
              <a16:creationId xmlns:a16="http://schemas.microsoft.com/office/drawing/2014/main" id="{43F9550C-F3F8-49D9-A232-9754C2C97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4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10124" name="Picture@5C\QPendientes@" descr="@5C\QPendientes@">
          <a:extLst>
            <a:ext uri="{FF2B5EF4-FFF2-40B4-BE49-F238E27FC236}">
              <a16:creationId xmlns:a16="http://schemas.microsoft.com/office/drawing/2014/main" id="{EAA5B998-620F-4324-9FBD-6A40EA06C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6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10125" name="Picture@5C\QPendientes@" descr="@5C\QPendientes@">
          <a:extLst>
            <a:ext uri="{FF2B5EF4-FFF2-40B4-BE49-F238E27FC236}">
              <a16:creationId xmlns:a16="http://schemas.microsoft.com/office/drawing/2014/main" id="{747537B0-18A2-4927-83C7-0E0663AC1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8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10126" name="Picture@5C\QPendientes@" descr="@5C\QPendientes@">
          <a:extLst>
            <a:ext uri="{FF2B5EF4-FFF2-40B4-BE49-F238E27FC236}">
              <a16:creationId xmlns:a16="http://schemas.microsoft.com/office/drawing/2014/main" id="{C0EC0298-6BC8-4AD8-B5DD-5F623F609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0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10127" name="Picture@5C\QPendientes@" descr="@5C\QPendientes@">
          <a:extLst>
            <a:ext uri="{FF2B5EF4-FFF2-40B4-BE49-F238E27FC236}">
              <a16:creationId xmlns:a16="http://schemas.microsoft.com/office/drawing/2014/main" id="{B7C97BEC-F540-4A1B-BB9A-330EF04C1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2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10128" name="Picture@5C\QPendientes@" descr="@5C\QPendientes@">
          <a:extLst>
            <a:ext uri="{FF2B5EF4-FFF2-40B4-BE49-F238E27FC236}">
              <a16:creationId xmlns:a16="http://schemas.microsoft.com/office/drawing/2014/main" id="{5D8F090E-D346-40A6-BEDD-E177139D2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3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10129" name="Picture@5C\QPendientes@" descr="@5C\QPendientes@">
          <a:extLst>
            <a:ext uri="{FF2B5EF4-FFF2-40B4-BE49-F238E27FC236}">
              <a16:creationId xmlns:a16="http://schemas.microsoft.com/office/drawing/2014/main" id="{3FE8D917-DB8B-4FBB-8593-83F46CACF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10130" name="Picture@5C\QPendientes@" descr="@5C\QPendientes@">
          <a:extLst>
            <a:ext uri="{FF2B5EF4-FFF2-40B4-BE49-F238E27FC236}">
              <a16:creationId xmlns:a16="http://schemas.microsoft.com/office/drawing/2014/main" id="{7EDDD2CF-CAC9-4B79-A2F7-097CAF5E6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7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10131" name="Picture@5C\QPendientes@" descr="@5C\QPendientes@">
          <a:extLst>
            <a:ext uri="{FF2B5EF4-FFF2-40B4-BE49-F238E27FC236}">
              <a16:creationId xmlns:a16="http://schemas.microsoft.com/office/drawing/2014/main" id="{DB036AB8-B8FB-45FC-9F3E-9C5E30F72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9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10132" name="Picture@5C\QPendientes@" descr="@5C\QPendientes@">
          <a:extLst>
            <a:ext uri="{FF2B5EF4-FFF2-40B4-BE49-F238E27FC236}">
              <a16:creationId xmlns:a16="http://schemas.microsoft.com/office/drawing/2014/main" id="{354B0A71-9129-4E05-A092-611E57631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1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10133" name="Picture@5C\QPendientes@" descr="@5C\QPendientes@">
          <a:extLst>
            <a:ext uri="{FF2B5EF4-FFF2-40B4-BE49-F238E27FC236}">
              <a16:creationId xmlns:a16="http://schemas.microsoft.com/office/drawing/2014/main" id="{9398C7D0-F2BC-4F2B-9F70-C528C7E90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3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10134" name="Picture@5C\QPendientes@" descr="@5C\QPendientes@">
          <a:extLst>
            <a:ext uri="{FF2B5EF4-FFF2-40B4-BE49-F238E27FC236}">
              <a16:creationId xmlns:a16="http://schemas.microsoft.com/office/drawing/2014/main" id="{4B0E6721-2BE5-4029-984B-3949FBEAA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4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10135" name="Picture@5C\QPendientes@" descr="@5C\QPendientes@">
          <a:extLst>
            <a:ext uri="{FF2B5EF4-FFF2-40B4-BE49-F238E27FC236}">
              <a16:creationId xmlns:a16="http://schemas.microsoft.com/office/drawing/2014/main" id="{6C932C1E-3255-443F-99FF-AB7AF11E0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6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10136" name="Picture@5C\QPendientes@" descr="@5C\QPendientes@">
          <a:extLst>
            <a:ext uri="{FF2B5EF4-FFF2-40B4-BE49-F238E27FC236}">
              <a16:creationId xmlns:a16="http://schemas.microsoft.com/office/drawing/2014/main" id="{D99A7AD6-3ED6-4E1D-9A6D-B54D21CF4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8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10137" name="Picture@5C\QPendientes@" descr="@5C\QPendientes@">
          <a:extLst>
            <a:ext uri="{FF2B5EF4-FFF2-40B4-BE49-F238E27FC236}">
              <a16:creationId xmlns:a16="http://schemas.microsoft.com/office/drawing/2014/main" id="{CD4F06D1-6248-4179-AFCC-98AD16D55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0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10138" name="Picture@5C\QPendientes@" descr="@5C\QPendientes@">
          <a:extLst>
            <a:ext uri="{FF2B5EF4-FFF2-40B4-BE49-F238E27FC236}">
              <a16:creationId xmlns:a16="http://schemas.microsoft.com/office/drawing/2014/main" id="{E717D10D-C1A0-4564-B9F0-67D0843326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2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10139" name="Picture@5C\QPendientes@" descr="@5C\QPendientes@">
          <a:extLst>
            <a:ext uri="{FF2B5EF4-FFF2-40B4-BE49-F238E27FC236}">
              <a16:creationId xmlns:a16="http://schemas.microsoft.com/office/drawing/2014/main" id="{81BF331D-9890-4F88-B781-0BCC78F08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10140" name="Picture@5C\QPendientes@" descr="@5C\QPendientes@">
          <a:extLst>
            <a:ext uri="{FF2B5EF4-FFF2-40B4-BE49-F238E27FC236}">
              <a16:creationId xmlns:a16="http://schemas.microsoft.com/office/drawing/2014/main" id="{5F1EE5D6-ED96-455D-A40C-B2BC9B326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5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10141" name="Picture@5C\QPendientes@" descr="@5C\QPendientes@">
          <a:extLst>
            <a:ext uri="{FF2B5EF4-FFF2-40B4-BE49-F238E27FC236}">
              <a16:creationId xmlns:a16="http://schemas.microsoft.com/office/drawing/2014/main" id="{BBAC827B-E80C-4DF2-B88C-F7F9A1F40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7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10142" name="Picture@5C\QPendientes@" descr="@5C\QPendientes@">
          <a:extLst>
            <a:ext uri="{FF2B5EF4-FFF2-40B4-BE49-F238E27FC236}">
              <a16:creationId xmlns:a16="http://schemas.microsoft.com/office/drawing/2014/main" id="{618DF2A4-B45E-4411-946D-EAD28A215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9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10143" name="Picture@5C\QPendientes@" descr="@5C\QPendientes@">
          <a:extLst>
            <a:ext uri="{FF2B5EF4-FFF2-40B4-BE49-F238E27FC236}">
              <a16:creationId xmlns:a16="http://schemas.microsoft.com/office/drawing/2014/main" id="{4494BD7E-FC47-446A-BE2B-97BEA22A6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1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10144" name="Picture@5C\QPendientes@" descr="@5C\QPendientes@">
          <a:extLst>
            <a:ext uri="{FF2B5EF4-FFF2-40B4-BE49-F238E27FC236}">
              <a16:creationId xmlns:a16="http://schemas.microsoft.com/office/drawing/2014/main" id="{0BFC5FA1-AD22-44DC-B9CB-2240808EF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3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10145" name="Picture@5C\QPendientes@" descr="@5C\QPendientes@">
          <a:extLst>
            <a:ext uri="{FF2B5EF4-FFF2-40B4-BE49-F238E27FC236}">
              <a16:creationId xmlns:a16="http://schemas.microsoft.com/office/drawing/2014/main" id="{4C4769A7-5ABC-42FB-8839-71A546E3E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4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10146" name="Picture@5C\QPendientes@" descr="@5C\QPendientes@">
          <a:extLst>
            <a:ext uri="{FF2B5EF4-FFF2-40B4-BE49-F238E27FC236}">
              <a16:creationId xmlns:a16="http://schemas.microsoft.com/office/drawing/2014/main" id="{A7ECF39B-CF39-42CA-BCBA-BB7FF1822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6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10147" name="Picture@5C\QPendientes@" descr="@5C\QPendientes@">
          <a:extLst>
            <a:ext uri="{FF2B5EF4-FFF2-40B4-BE49-F238E27FC236}">
              <a16:creationId xmlns:a16="http://schemas.microsoft.com/office/drawing/2014/main" id="{BEBAC409-7EDF-4B01-9656-2D87D9059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8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10148" name="Picture@5C\QPendientes@" descr="@5C\QPendientes@">
          <a:extLst>
            <a:ext uri="{FF2B5EF4-FFF2-40B4-BE49-F238E27FC236}">
              <a16:creationId xmlns:a16="http://schemas.microsoft.com/office/drawing/2014/main" id="{D184C7EF-BB64-462C-81D4-2CDEE98F3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0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10149" name="Picture@5C\QPendientes@" descr="@5C\QPendientes@">
          <a:extLst>
            <a:ext uri="{FF2B5EF4-FFF2-40B4-BE49-F238E27FC236}">
              <a16:creationId xmlns:a16="http://schemas.microsoft.com/office/drawing/2014/main" id="{CB392779-DDED-48C7-8EB8-018CEEADC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10150" name="Picture@5C\QPendientes@" descr="@5C\QPendientes@">
          <a:extLst>
            <a:ext uri="{FF2B5EF4-FFF2-40B4-BE49-F238E27FC236}">
              <a16:creationId xmlns:a16="http://schemas.microsoft.com/office/drawing/2014/main" id="{6A6E6724-A6FA-4742-8651-54820D096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4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10151" name="Picture@5C\QPendientes@" descr="@5C\QPendientes@">
          <a:extLst>
            <a:ext uri="{FF2B5EF4-FFF2-40B4-BE49-F238E27FC236}">
              <a16:creationId xmlns:a16="http://schemas.microsoft.com/office/drawing/2014/main" id="{024AA4C2-0613-454A-95E0-7EA942EC4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5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10152" name="Picture@5C\QPendientes@" descr="@5C\QPendientes@">
          <a:extLst>
            <a:ext uri="{FF2B5EF4-FFF2-40B4-BE49-F238E27FC236}">
              <a16:creationId xmlns:a16="http://schemas.microsoft.com/office/drawing/2014/main" id="{B1B28C71-083E-43CD-8368-824C3CE50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7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10153" name="Picture@5C\QPendientes@" descr="@5C\QPendientes@">
          <a:extLst>
            <a:ext uri="{FF2B5EF4-FFF2-40B4-BE49-F238E27FC236}">
              <a16:creationId xmlns:a16="http://schemas.microsoft.com/office/drawing/2014/main" id="{271CB91B-DCAB-4D86-89EB-DB3C897E0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9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10154" name="Picture@5C\QPendientes@" descr="@5C\QPendientes@">
          <a:extLst>
            <a:ext uri="{FF2B5EF4-FFF2-40B4-BE49-F238E27FC236}">
              <a16:creationId xmlns:a16="http://schemas.microsoft.com/office/drawing/2014/main" id="{88A49981-5A81-43B9-B999-8EDCB1C02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1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10155" name="Picture@5C\QPendientes@" descr="@5C\QPendientes@">
          <a:extLst>
            <a:ext uri="{FF2B5EF4-FFF2-40B4-BE49-F238E27FC236}">
              <a16:creationId xmlns:a16="http://schemas.microsoft.com/office/drawing/2014/main" id="{B64212E3-3C71-4C07-BB77-AD79C452D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3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10156" name="Picture@5C\QPendientes@" descr="@5C\QPendientes@">
          <a:extLst>
            <a:ext uri="{FF2B5EF4-FFF2-40B4-BE49-F238E27FC236}">
              <a16:creationId xmlns:a16="http://schemas.microsoft.com/office/drawing/2014/main" id="{8F206BDF-24FF-40F0-B155-45EBA01DE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5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10157" name="Picture@5C\QPendientes@" descr="@5C\QPendientes@">
          <a:extLst>
            <a:ext uri="{FF2B5EF4-FFF2-40B4-BE49-F238E27FC236}">
              <a16:creationId xmlns:a16="http://schemas.microsoft.com/office/drawing/2014/main" id="{770D3879-572C-4B8C-A716-EECA73F07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6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10158" name="Picture@5C\QPendientes@" descr="@5C\QPendientes@">
          <a:extLst>
            <a:ext uri="{FF2B5EF4-FFF2-40B4-BE49-F238E27FC236}">
              <a16:creationId xmlns:a16="http://schemas.microsoft.com/office/drawing/2014/main" id="{2606FA7F-6B90-4A42-B95C-246F7B82A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8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10159" name="Picture@5C\QPendientes@" descr="@5C\QPendientes@">
          <a:extLst>
            <a:ext uri="{FF2B5EF4-FFF2-40B4-BE49-F238E27FC236}">
              <a16:creationId xmlns:a16="http://schemas.microsoft.com/office/drawing/2014/main" id="{9BCF6B53-2D0B-4CB3-8384-FF35EB5AA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10160" name="Picture@5C\QPendientes@" descr="@5C\QPendientes@">
          <a:extLst>
            <a:ext uri="{FF2B5EF4-FFF2-40B4-BE49-F238E27FC236}">
              <a16:creationId xmlns:a16="http://schemas.microsoft.com/office/drawing/2014/main" id="{9B21C071-6282-48A1-89E2-C2CBF8DCE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2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10161" name="Picture@5C\QPendientes@" descr="@5C\QPendientes@">
          <a:extLst>
            <a:ext uri="{FF2B5EF4-FFF2-40B4-BE49-F238E27FC236}">
              <a16:creationId xmlns:a16="http://schemas.microsoft.com/office/drawing/2014/main" id="{39D79918-BEEC-45D5-B917-BB2EDB46A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4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10162" name="Picture@5C\QPendientes@" descr="@5C\QPendientes@">
          <a:extLst>
            <a:ext uri="{FF2B5EF4-FFF2-40B4-BE49-F238E27FC236}">
              <a16:creationId xmlns:a16="http://schemas.microsoft.com/office/drawing/2014/main" id="{4B23798C-A587-4407-A41D-CE00664DF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6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10163" name="Picture@5C\QPendientes@" descr="@5C\QPendientes@">
          <a:extLst>
            <a:ext uri="{FF2B5EF4-FFF2-40B4-BE49-F238E27FC236}">
              <a16:creationId xmlns:a16="http://schemas.microsoft.com/office/drawing/2014/main" id="{7D0FCE80-32DB-4C5B-8C0A-27176CD2B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7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10164" name="Picture@5C\QPendientes@" descr="@5C\QPendientes@">
          <a:extLst>
            <a:ext uri="{FF2B5EF4-FFF2-40B4-BE49-F238E27FC236}">
              <a16:creationId xmlns:a16="http://schemas.microsoft.com/office/drawing/2014/main" id="{92CC68D5-1A7F-4707-B448-16B56A4FB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9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10165" name="Picture@5C\QPendientes@" descr="@5C\QPendientes@">
          <a:extLst>
            <a:ext uri="{FF2B5EF4-FFF2-40B4-BE49-F238E27FC236}">
              <a16:creationId xmlns:a16="http://schemas.microsoft.com/office/drawing/2014/main" id="{8CF97FDD-38C6-48EF-94E5-F0B2B5CD9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1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10166" name="Picture@5C\QPendientes@" descr="@5C\QPendientes@">
          <a:extLst>
            <a:ext uri="{FF2B5EF4-FFF2-40B4-BE49-F238E27FC236}">
              <a16:creationId xmlns:a16="http://schemas.microsoft.com/office/drawing/2014/main" id="{DEDC86B4-858A-4A95-A645-B470BAE4C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3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10167" name="Picture@5C\QPendientes@" descr="@5C\QPendientes@">
          <a:extLst>
            <a:ext uri="{FF2B5EF4-FFF2-40B4-BE49-F238E27FC236}">
              <a16:creationId xmlns:a16="http://schemas.microsoft.com/office/drawing/2014/main" id="{96BE413E-489B-47B8-87B2-73B9E8E35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5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10168" name="Picture@5C\QPendientes@" descr="@5C\QPendientes@">
          <a:extLst>
            <a:ext uri="{FF2B5EF4-FFF2-40B4-BE49-F238E27FC236}">
              <a16:creationId xmlns:a16="http://schemas.microsoft.com/office/drawing/2014/main" id="{50EC15D1-914D-4D9B-9C0B-F20DFC552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7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10169" name="Picture@5C\QPendientes@" descr="@5C\QPendientes@">
          <a:extLst>
            <a:ext uri="{FF2B5EF4-FFF2-40B4-BE49-F238E27FC236}">
              <a16:creationId xmlns:a16="http://schemas.microsoft.com/office/drawing/2014/main" id="{BBCA2BC3-E54A-407C-AA8D-FED538340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10170" name="Picture@5C\QPendientes@" descr="@5C\QPendientes@">
          <a:extLst>
            <a:ext uri="{FF2B5EF4-FFF2-40B4-BE49-F238E27FC236}">
              <a16:creationId xmlns:a16="http://schemas.microsoft.com/office/drawing/2014/main" id="{99CAB330-549D-4085-A997-357E2510F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0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10171" name="Picture@5C\QPendientes@" descr="@5C\QPendientes@">
          <a:extLst>
            <a:ext uri="{FF2B5EF4-FFF2-40B4-BE49-F238E27FC236}">
              <a16:creationId xmlns:a16="http://schemas.microsoft.com/office/drawing/2014/main" id="{9B180355-DA52-4ECE-A1EB-238A9A5B1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2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10172" name="Picture@5C\QPendientes@" descr="@5C\QPendientes@">
          <a:extLst>
            <a:ext uri="{FF2B5EF4-FFF2-40B4-BE49-F238E27FC236}">
              <a16:creationId xmlns:a16="http://schemas.microsoft.com/office/drawing/2014/main" id="{2E861EAE-801F-45A4-8099-05C06E75C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4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10173" name="Picture@5C\QPendientes@" descr="@5C\QPendientes@">
          <a:extLst>
            <a:ext uri="{FF2B5EF4-FFF2-40B4-BE49-F238E27FC236}">
              <a16:creationId xmlns:a16="http://schemas.microsoft.com/office/drawing/2014/main" id="{F9A9E25C-09F1-41D1-B319-E2782F408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6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10174" name="Picture@5C\QPendientes@" descr="@5C\QPendientes@">
          <a:extLst>
            <a:ext uri="{FF2B5EF4-FFF2-40B4-BE49-F238E27FC236}">
              <a16:creationId xmlns:a16="http://schemas.microsoft.com/office/drawing/2014/main" id="{3EA11DEC-30BC-4C59-9810-369F0D524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7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10175" name="Picture@5C\QPendientes@" descr="@5C\QPendientes@">
          <a:extLst>
            <a:ext uri="{FF2B5EF4-FFF2-40B4-BE49-F238E27FC236}">
              <a16:creationId xmlns:a16="http://schemas.microsoft.com/office/drawing/2014/main" id="{38833378-731A-4C69-92C1-ECC5415AB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9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10176" name="Picture@5C\QPendientes@" descr="@5C\QPendientes@">
          <a:extLst>
            <a:ext uri="{FF2B5EF4-FFF2-40B4-BE49-F238E27FC236}">
              <a16:creationId xmlns:a16="http://schemas.microsoft.com/office/drawing/2014/main" id="{C62CD14F-727E-4475-BB81-C4D5B8601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1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10177" name="Picture@5C\QPendientes@" descr="@5C\QPendientes@">
          <a:extLst>
            <a:ext uri="{FF2B5EF4-FFF2-40B4-BE49-F238E27FC236}">
              <a16:creationId xmlns:a16="http://schemas.microsoft.com/office/drawing/2014/main" id="{EC187CD6-6C38-4636-A1DF-D515CF5432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3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10178" name="Picture@5C\QPendientes@" descr="@5C\QPendientes@">
          <a:extLst>
            <a:ext uri="{FF2B5EF4-FFF2-40B4-BE49-F238E27FC236}">
              <a16:creationId xmlns:a16="http://schemas.microsoft.com/office/drawing/2014/main" id="{6F995786-DF19-49F4-8A91-71672686A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5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10179" name="Picture@5C\QPendientes@" descr="@5C\QPendientes@">
          <a:extLst>
            <a:ext uri="{FF2B5EF4-FFF2-40B4-BE49-F238E27FC236}">
              <a16:creationId xmlns:a16="http://schemas.microsoft.com/office/drawing/2014/main" id="{71BBE4BB-12DC-4433-97F8-ED4A7858C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10180" name="Picture@5C\QPendientes@" descr="@5C\QPendientes@">
          <a:extLst>
            <a:ext uri="{FF2B5EF4-FFF2-40B4-BE49-F238E27FC236}">
              <a16:creationId xmlns:a16="http://schemas.microsoft.com/office/drawing/2014/main" id="{95E0BD30-3369-42AA-AF2F-A1207B4FC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8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10181" name="Picture@5C\QPendientes@" descr="@5C\QPendientes@">
          <a:extLst>
            <a:ext uri="{FF2B5EF4-FFF2-40B4-BE49-F238E27FC236}">
              <a16:creationId xmlns:a16="http://schemas.microsoft.com/office/drawing/2014/main" id="{09DD7CFA-C405-4717-B413-3D183C76A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0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10182" name="Picture@5C\QPendientes@" descr="@5C\QPendientes@">
          <a:extLst>
            <a:ext uri="{FF2B5EF4-FFF2-40B4-BE49-F238E27FC236}">
              <a16:creationId xmlns:a16="http://schemas.microsoft.com/office/drawing/2014/main" id="{8A6DA2F4-E208-459F-81FD-4972354C5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2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10183" name="Picture@5C\QPendientes@" descr="@5C\QPendientes@">
          <a:extLst>
            <a:ext uri="{FF2B5EF4-FFF2-40B4-BE49-F238E27FC236}">
              <a16:creationId xmlns:a16="http://schemas.microsoft.com/office/drawing/2014/main" id="{32DCEC48-4843-459B-AD40-41AF186AC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4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10184" name="Picture@5C\QPendientes@" descr="@5C\QPendientes@">
          <a:extLst>
            <a:ext uri="{FF2B5EF4-FFF2-40B4-BE49-F238E27FC236}">
              <a16:creationId xmlns:a16="http://schemas.microsoft.com/office/drawing/2014/main" id="{C48C43B9-F351-403A-8370-52D38A086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6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10185" name="Picture@5C\QPendientes@" descr="@5C\QPendientes@">
          <a:extLst>
            <a:ext uri="{FF2B5EF4-FFF2-40B4-BE49-F238E27FC236}">
              <a16:creationId xmlns:a16="http://schemas.microsoft.com/office/drawing/2014/main" id="{13B16200-8C10-4FBE-A2D3-53E4F5EA3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8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10186" name="Picture@5C\QPendientes@" descr="@5C\QPendientes@">
          <a:extLst>
            <a:ext uri="{FF2B5EF4-FFF2-40B4-BE49-F238E27FC236}">
              <a16:creationId xmlns:a16="http://schemas.microsoft.com/office/drawing/2014/main" id="{9A50FB56-3A67-4A97-9474-5409A63056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9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10187" name="Picture@5C\QPendientes@" descr="@5C\QPendientes@">
          <a:extLst>
            <a:ext uri="{FF2B5EF4-FFF2-40B4-BE49-F238E27FC236}">
              <a16:creationId xmlns:a16="http://schemas.microsoft.com/office/drawing/2014/main" id="{62A19704-F706-4665-A6C4-167A86EFC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1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10188" name="Picture@5C\QPendientes@" descr="@5C\QPendientes@">
          <a:extLst>
            <a:ext uri="{FF2B5EF4-FFF2-40B4-BE49-F238E27FC236}">
              <a16:creationId xmlns:a16="http://schemas.microsoft.com/office/drawing/2014/main" id="{2094CD51-5F8F-4190-AC5E-11D0DBD96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3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10189" name="Picture@5C\QPendientes@" descr="@5C\QPendientes@">
          <a:extLst>
            <a:ext uri="{FF2B5EF4-FFF2-40B4-BE49-F238E27FC236}">
              <a16:creationId xmlns:a16="http://schemas.microsoft.com/office/drawing/2014/main" id="{A5B4CF83-61C8-4F29-B00B-D9FBE5AEAA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10190" name="Picture@5C\QPendientes@" descr="@5C\QPendientes@">
          <a:extLst>
            <a:ext uri="{FF2B5EF4-FFF2-40B4-BE49-F238E27FC236}">
              <a16:creationId xmlns:a16="http://schemas.microsoft.com/office/drawing/2014/main" id="{8C4AAFC4-A32A-4857-B9EB-C23FE2882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7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10191" name="Picture@5C\QPendientes@" descr="@5C\QPendientes@">
          <a:extLst>
            <a:ext uri="{FF2B5EF4-FFF2-40B4-BE49-F238E27FC236}">
              <a16:creationId xmlns:a16="http://schemas.microsoft.com/office/drawing/2014/main" id="{082D32FE-49AE-4040-A275-1911F9310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9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10192" name="Picture@5C\QPendientes@" descr="@5C\QPendientes@">
          <a:extLst>
            <a:ext uri="{FF2B5EF4-FFF2-40B4-BE49-F238E27FC236}">
              <a16:creationId xmlns:a16="http://schemas.microsoft.com/office/drawing/2014/main" id="{20212539-5D94-48DE-AC36-AF038E87C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0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10193" name="Picture@5C\QPendientes@" descr="@5C\QPendientes@">
          <a:extLst>
            <a:ext uri="{FF2B5EF4-FFF2-40B4-BE49-F238E27FC236}">
              <a16:creationId xmlns:a16="http://schemas.microsoft.com/office/drawing/2014/main" id="{3102CD46-00C5-4675-9FF6-86846E66EB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2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10194" name="Picture@5C\QPendientes@" descr="@5C\QPendientes@">
          <a:extLst>
            <a:ext uri="{FF2B5EF4-FFF2-40B4-BE49-F238E27FC236}">
              <a16:creationId xmlns:a16="http://schemas.microsoft.com/office/drawing/2014/main" id="{A4FC80B7-B62C-4647-A630-133A5420C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4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10195" name="Picture@5C\QPendientes@" descr="@5C\QPendientes@">
          <a:extLst>
            <a:ext uri="{FF2B5EF4-FFF2-40B4-BE49-F238E27FC236}">
              <a16:creationId xmlns:a16="http://schemas.microsoft.com/office/drawing/2014/main" id="{4D7875DE-7AF5-47FE-9A8F-ED70BC406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6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10196" name="Picture@5C\QPendientes@" descr="@5C\QPendientes@">
          <a:extLst>
            <a:ext uri="{FF2B5EF4-FFF2-40B4-BE49-F238E27FC236}">
              <a16:creationId xmlns:a16="http://schemas.microsoft.com/office/drawing/2014/main" id="{0005BA54-22E8-41CD-B048-1E4317A04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8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10197" name="Picture@5C\QPendientes@" descr="@5C\QPendientes@">
          <a:extLst>
            <a:ext uri="{FF2B5EF4-FFF2-40B4-BE49-F238E27FC236}">
              <a16:creationId xmlns:a16="http://schemas.microsoft.com/office/drawing/2014/main" id="{4A2C3EFB-A2A6-424E-B57A-6C9B4E393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0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10198" name="Picture@5C\QPendientes@" descr="@5C\QPendientes@">
          <a:extLst>
            <a:ext uri="{FF2B5EF4-FFF2-40B4-BE49-F238E27FC236}">
              <a16:creationId xmlns:a16="http://schemas.microsoft.com/office/drawing/2014/main" id="{7C0BDC1A-3C2D-4741-9A1A-77348D16D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1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10199" name="Picture@5C\QPendientes@" descr="@5C\QPendientes@">
          <a:extLst>
            <a:ext uri="{FF2B5EF4-FFF2-40B4-BE49-F238E27FC236}">
              <a16:creationId xmlns:a16="http://schemas.microsoft.com/office/drawing/2014/main" id="{DF94151C-BAB9-4341-9BCF-0F6826E38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10200" name="Picture@5C\QPendientes@" descr="@5C\QPendientes@">
          <a:extLst>
            <a:ext uri="{FF2B5EF4-FFF2-40B4-BE49-F238E27FC236}">
              <a16:creationId xmlns:a16="http://schemas.microsoft.com/office/drawing/2014/main" id="{D02D823B-FDFB-4AF3-A944-E90DA7103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5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10201" name="Picture@5C\QPendientes@" descr="@5C\QPendientes@">
          <a:extLst>
            <a:ext uri="{FF2B5EF4-FFF2-40B4-BE49-F238E27FC236}">
              <a16:creationId xmlns:a16="http://schemas.microsoft.com/office/drawing/2014/main" id="{C5C0E000-7473-4A90-ACB2-D037567A1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7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10202" name="Picture@5C\QPendientes@" descr="@5C\QPendientes@">
          <a:extLst>
            <a:ext uri="{FF2B5EF4-FFF2-40B4-BE49-F238E27FC236}">
              <a16:creationId xmlns:a16="http://schemas.microsoft.com/office/drawing/2014/main" id="{A95069F1-0F54-4E8D-9D3E-DE5285AEE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9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10203" name="Picture@5C\QPendientes@" descr="@5C\QPendientes@">
          <a:extLst>
            <a:ext uri="{FF2B5EF4-FFF2-40B4-BE49-F238E27FC236}">
              <a16:creationId xmlns:a16="http://schemas.microsoft.com/office/drawing/2014/main" id="{46F732BE-1A75-4A1F-B57E-35A9A0D63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1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10204" name="Picture@5C\QPendientes@" descr="@5C\QPendientes@">
          <a:extLst>
            <a:ext uri="{FF2B5EF4-FFF2-40B4-BE49-F238E27FC236}">
              <a16:creationId xmlns:a16="http://schemas.microsoft.com/office/drawing/2014/main" id="{314A8348-ED97-452E-8194-37983C352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2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10205" name="Picture@5C\QPendientes@" descr="@5C\QPendientes@">
          <a:extLst>
            <a:ext uri="{FF2B5EF4-FFF2-40B4-BE49-F238E27FC236}">
              <a16:creationId xmlns:a16="http://schemas.microsoft.com/office/drawing/2014/main" id="{8C716DD2-A332-4734-BBA0-39E4F720C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4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10206" name="Picture@5C\QPendientes@" descr="@5C\QPendientes@">
          <a:extLst>
            <a:ext uri="{FF2B5EF4-FFF2-40B4-BE49-F238E27FC236}">
              <a16:creationId xmlns:a16="http://schemas.microsoft.com/office/drawing/2014/main" id="{6A13B6C0-29B6-40D5-B058-14087FFF5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6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10207" name="Picture@5C\QPendientes@" descr="@5C\QPendientes@">
          <a:extLst>
            <a:ext uri="{FF2B5EF4-FFF2-40B4-BE49-F238E27FC236}">
              <a16:creationId xmlns:a16="http://schemas.microsoft.com/office/drawing/2014/main" id="{3C89FA58-8934-4483-A776-DEBF4C895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8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10208" name="Picture@5C\QPendientes@" descr="@5C\QPendientes@">
          <a:extLst>
            <a:ext uri="{FF2B5EF4-FFF2-40B4-BE49-F238E27FC236}">
              <a16:creationId xmlns:a16="http://schemas.microsoft.com/office/drawing/2014/main" id="{632ACDB4-E63B-49A8-94C9-26AA35436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0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10209" name="Picture@5C\QPendientes@" descr="@5C\QPendientes@">
          <a:extLst>
            <a:ext uri="{FF2B5EF4-FFF2-40B4-BE49-F238E27FC236}">
              <a16:creationId xmlns:a16="http://schemas.microsoft.com/office/drawing/2014/main" id="{4C637B53-0F37-4F2D-87A5-48B1E907C0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10210" name="Picture@5C\QPendientes@" descr="@5C\QPendientes@">
          <a:extLst>
            <a:ext uri="{FF2B5EF4-FFF2-40B4-BE49-F238E27FC236}">
              <a16:creationId xmlns:a16="http://schemas.microsoft.com/office/drawing/2014/main" id="{54F17FAC-B921-4797-9B66-780BA0DE8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3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10211" name="Picture@5C\QPendientes@" descr="@5C\QPendientes@">
          <a:extLst>
            <a:ext uri="{FF2B5EF4-FFF2-40B4-BE49-F238E27FC236}">
              <a16:creationId xmlns:a16="http://schemas.microsoft.com/office/drawing/2014/main" id="{F8899A0F-F878-42D7-9095-C19EDF142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5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10212" name="Picture@5C\QPendientes@" descr="@5C\QPendientes@">
          <a:extLst>
            <a:ext uri="{FF2B5EF4-FFF2-40B4-BE49-F238E27FC236}">
              <a16:creationId xmlns:a16="http://schemas.microsoft.com/office/drawing/2014/main" id="{E4509BA7-9841-4AC8-8037-7416316C3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7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10213" name="Picture@5C\QPendientes@" descr="@5C\QPendientes@">
          <a:extLst>
            <a:ext uri="{FF2B5EF4-FFF2-40B4-BE49-F238E27FC236}">
              <a16:creationId xmlns:a16="http://schemas.microsoft.com/office/drawing/2014/main" id="{E3E291AC-0FC4-425D-A283-E9772476D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9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10214" name="Picture@5C\QPendientes@" descr="@5C\QPendientes@">
          <a:extLst>
            <a:ext uri="{FF2B5EF4-FFF2-40B4-BE49-F238E27FC236}">
              <a16:creationId xmlns:a16="http://schemas.microsoft.com/office/drawing/2014/main" id="{5CF8D50C-4DE2-4CBB-B858-46CC9A7FE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1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10215" name="Picture@5C\QPendientes@" descr="@5C\QPendientes@">
          <a:extLst>
            <a:ext uri="{FF2B5EF4-FFF2-40B4-BE49-F238E27FC236}">
              <a16:creationId xmlns:a16="http://schemas.microsoft.com/office/drawing/2014/main" id="{4279D595-26A1-4A6C-8744-2AA8BBFD1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2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10216" name="Picture@5C\QPendientes@" descr="@5C\QPendientes@">
          <a:extLst>
            <a:ext uri="{FF2B5EF4-FFF2-40B4-BE49-F238E27FC236}">
              <a16:creationId xmlns:a16="http://schemas.microsoft.com/office/drawing/2014/main" id="{C99DAE5B-FF8B-4BD2-8658-EC754D9FC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4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10217" name="Picture@5C\QPendientes@" descr="@5C\QPendientes@">
          <a:extLst>
            <a:ext uri="{FF2B5EF4-FFF2-40B4-BE49-F238E27FC236}">
              <a16:creationId xmlns:a16="http://schemas.microsoft.com/office/drawing/2014/main" id="{C9C876B6-EF6E-4F34-9362-927B90399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6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10218" name="Picture@5C\QPendientes@" descr="@5C\QPendientes@">
          <a:extLst>
            <a:ext uri="{FF2B5EF4-FFF2-40B4-BE49-F238E27FC236}">
              <a16:creationId xmlns:a16="http://schemas.microsoft.com/office/drawing/2014/main" id="{AB4762EE-BB6D-4192-90F2-7B3270982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88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10219" name="Picture@5C\QPendientes@" descr="@5C\QPendientes@">
          <a:extLst>
            <a:ext uri="{FF2B5EF4-FFF2-40B4-BE49-F238E27FC236}">
              <a16:creationId xmlns:a16="http://schemas.microsoft.com/office/drawing/2014/main" id="{E4B1DB31-2861-4A5B-A4DE-AC6897DA5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10220" name="Picture@5C\QPendientes@" descr="@5C\QPendientes@">
          <a:extLst>
            <a:ext uri="{FF2B5EF4-FFF2-40B4-BE49-F238E27FC236}">
              <a16:creationId xmlns:a16="http://schemas.microsoft.com/office/drawing/2014/main" id="{662AF10B-F0A6-4569-9E29-D3D640190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2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10221" name="Picture@5C\QPendientes@" descr="@5C\QPendientes@">
          <a:extLst>
            <a:ext uri="{FF2B5EF4-FFF2-40B4-BE49-F238E27FC236}">
              <a16:creationId xmlns:a16="http://schemas.microsoft.com/office/drawing/2014/main" id="{F62155E3-4D79-4FF1-A468-5B20CFD03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3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10222" name="Picture@5C\QPendientes@" descr="@5C\QPendientes@">
          <a:extLst>
            <a:ext uri="{FF2B5EF4-FFF2-40B4-BE49-F238E27FC236}">
              <a16:creationId xmlns:a16="http://schemas.microsoft.com/office/drawing/2014/main" id="{B4AD5B01-6E05-4EC1-AF02-1B256A114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5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10223" name="Picture@5C\QPendientes@" descr="@5C\QPendientes@">
          <a:extLst>
            <a:ext uri="{FF2B5EF4-FFF2-40B4-BE49-F238E27FC236}">
              <a16:creationId xmlns:a16="http://schemas.microsoft.com/office/drawing/2014/main" id="{A3B74792-9109-4EF1-B0CD-E97043BD7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7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10224" name="Picture@5C\QPendientes@" descr="@5C\QPendientes@">
          <a:extLst>
            <a:ext uri="{FF2B5EF4-FFF2-40B4-BE49-F238E27FC236}">
              <a16:creationId xmlns:a16="http://schemas.microsoft.com/office/drawing/2014/main" id="{5F44A4AD-2340-4391-AB42-788C6460B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9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10225" name="Picture@5C\QPendientes@" descr="@5C\QPendientes@">
          <a:extLst>
            <a:ext uri="{FF2B5EF4-FFF2-40B4-BE49-F238E27FC236}">
              <a16:creationId xmlns:a16="http://schemas.microsoft.com/office/drawing/2014/main" id="{5C3E4008-429B-4FE4-BA64-6DCA6C261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1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10226" name="Picture@5C\QPendientes@" descr="@5C\QPendientes@">
          <a:extLst>
            <a:ext uri="{FF2B5EF4-FFF2-40B4-BE49-F238E27FC236}">
              <a16:creationId xmlns:a16="http://schemas.microsoft.com/office/drawing/2014/main" id="{4148B858-C77E-486D-95C9-1B5A0E6B1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3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10227" name="Picture@5C\QPendientes@" descr="@5C\QPendientes@">
          <a:extLst>
            <a:ext uri="{FF2B5EF4-FFF2-40B4-BE49-F238E27FC236}">
              <a16:creationId xmlns:a16="http://schemas.microsoft.com/office/drawing/2014/main" id="{A50EF366-23C5-496E-82C5-F7BC60510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4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10228" name="Picture@5C\QPendientes@" descr="@5C\QPendientes@">
          <a:extLst>
            <a:ext uri="{FF2B5EF4-FFF2-40B4-BE49-F238E27FC236}">
              <a16:creationId xmlns:a16="http://schemas.microsoft.com/office/drawing/2014/main" id="{3997A648-B655-430E-A08A-029C6DDF9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6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10229" name="Picture@5C\QPendientes@" descr="@5C\QPendientes@">
          <a:extLst>
            <a:ext uri="{FF2B5EF4-FFF2-40B4-BE49-F238E27FC236}">
              <a16:creationId xmlns:a16="http://schemas.microsoft.com/office/drawing/2014/main" id="{AA0CEC64-0CEA-4AFC-B3EF-3509BD69C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10230" name="Picture@5C\QPendientes@" descr="@5C\QPendientes@">
          <a:extLst>
            <a:ext uri="{FF2B5EF4-FFF2-40B4-BE49-F238E27FC236}">
              <a16:creationId xmlns:a16="http://schemas.microsoft.com/office/drawing/2014/main" id="{D80A5065-18E3-4CD3-9ED5-5A6407A931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0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10231" name="Picture@5C\QPendientes@" descr="@5C\QPendientes@">
          <a:extLst>
            <a:ext uri="{FF2B5EF4-FFF2-40B4-BE49-F238E27FC236}">
              <a16:creationId xmlns:a16="http://schemas.microsoft.com/office/drawing/2014/main" id="{F9912403-804A-40F6-B967-7E11B0E68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2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10232" name="Picture@5C\QPendientes@" descr="@5C\QPendientes@">
          <a:extLst>
            <a:ext uri="{FF2B5EF4-FFF2-40B4-BE49-F238E27FC236}">
              <a16:creationId xmlns:a16="http://schemas.microsoft.com/office/drawing/2014/main" id="{2348D2FD-A5D3-431A-88CA-94EFB0241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4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10233" name="Picture@5C\QPendientes@" descr="@5C\QPendientes@">
          <a:extLst>
            <a:ext uri="{FF2B5EF4-FFF2-40B4-BE49-F238E27FC236}">
              <a16:creationId xmlns:a16="http://schemas.microsoft.com/office/drawing/2014/main" id="{4394116A-99A6-4F4D-A5A6-F169677F4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5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2525</xdr:row>
      <xdr:rowOff>0</xdr:rowOff>
    </xdr:from>
    <xdr:to>
      <xdr:col>0</xdr:col>
      <xdr:colOff>171450</xdr:colOff>
      <xdr:row>2525</xdr:row>
      <xdr:rowOff>133350</xdr:rowOff>
    </xdr:to>
    <xdr:pic>
      <xdr:nvPicPr>
        <xdr:cNvPr id="10234" name="Picture@5C\QPendientes@" descr="@5C\QPendientes@">
          <a:extLst>
            <a:ext uri="{FF2B5EF4-FFF2-40B4-BE49-F238E27FC236}">
              <a16:creationId xmlns:a16="http://schemas.microsoft.com/office/drawing/2014/main" id="{7628A915-CDE3-4D73-9D09-3DB523AFA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7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133350</xdr:rowOff>
    </xdr:to>
    <xdr:pic>
      <xdr:nvPicPr>
        <xdr:cNvPr id="10235" name="Picture@5C\QPendientes@" descr="@5C\QPendientes@">
          <a:extLst>
            <a:ext uri="{FF2B5EF4-FFF2-40B4-BE49-F238E27FC236}">
              <a16:creationId xmlns:a16="http://schemas.microsoft.com/office/drawing/2014/main" id="{1519CCF7-1450-489D-BF1B-9BFADCBD47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9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133350</xdr:rowOff>
    </xdr:to>
    <xdr:pic>
      <xdr:nvPicPr>
        <xdr:cNvPr id="10236" name="Picture@5C\QPendientes@" descr="@5C\QPendientes@">
          <a:extLst>
            <a:ext uri="{FF2B5EF4-FFF2-40B4-BE49-F238E27FC236}">
              <a16:creationId xmlns:a16="http://schemas.microsoft.com/office/drawing/2014/main" id="{9C201E25-3596-448E-8E40-DCC7D925B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1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133350</xdr:rowOff>
    </xdr:to>
    <xdr:pic>
      <xdr:nvPicPr>
        <xdr:cNvPr id="10237" name="Picture@5C\QPendientes@" descr="@5C\QPendientes@">
          <a:extLst>
            <a:ext uri="{FF2B5EF4-FFF2-40B4-BE49-F238E27FC236}">
              <a16:creationId xmlns:a16="http://schemas.microsoft.com/office/drawing/2014/main" id="{F0128D61-8A58-4F41-958A-77620DCC5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3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2529</xdr:row>
      <xdr:rowOff>0</xdr:rowOff>
    </xdr:from>
    <xdr:to>
      <xdr:col>0</xdr:col>
      <xdr:colOff>171450</xdr:colOff>
      <xdr:row>2529</xdr:row>
      <xdr:rowOff>133350</xdr:rowOff>
    </xdr:to>
    <xdr:pic>
      <xdr:nvPicPr>
        <xdr:cNvPr id="10238" name="Picture@5C\QPendientes@" descr="@5C\QPendientes@">
          <a:extLst>
            <a:ext uri="{FF2B5EF4-FFF2-40B4-BE49-F238E27FC236}">
              <a16:creationId xmlns:a16="http://schemas.microsoft.com/office/drawing/2014/main" id="{ED1883A5-9D3F-4186-A15A-D81536B57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5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2530</xdr:row>
      <xdr:rowOff>0</xdr:rowOff>
    </xdr:from>
    <xdr:to>
      <xdr:col>0</xdr:col>
      <xdr:colOff>171450</xdr:colOff>
      <xdr:row>2530</xdr:row>
      <xdr:rowOff>133350</xdr:rowOff>
    </xdr:to>
    <xdr:pic>
      <xdr:nvPicPr>
        <xdr:cNvPr id="10239" name="Picture@5C\QPendientes@" descr="@5C\QPendientes@">
          <a:extLst>
            <a:ext uri="{FF2B5EF4-FFF2-40B4-BE49-F238E27FC236}">
              <a16:creationId xmlns:a16="http://schemas.microsoft.com/office/drawing/2014/main" id="{8C8B3EE4-411B-4169-85B6-BCB903FB9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133350</xdr:rowOff>
    </xdr:to>
    <xdr:pic>
      <xdr:nvPicPr>
        <xdr:cNvPr id="10240" name="Picture@5C\QPendientes@" descr="@5C\QPendientes@">
          <a:extLst>
            <a:ext uri="{FF2B5EF4-FFF2-40B4-BE49-F238E27FC236}">
              <a16:creationId xmlns:a16="http://schemas.microsoft.com/office/drawing/2014/main" id="{11F336B3-7AD0-4530-AF3B-50D141F64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8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133350</xdr:rowOff>
    </xdr:to>
    <xdr:pic>
      <xdr:nvPicPr>
        <xdr:cNvPr id="10241" name="Picture@5C\QPendientes@" descr="@5C\QPendientes@">
          <a:extLst>
            <a:ext uri="{FF2B5EF4-FFF2-40B4-BE49-F238E27FC236}">
              <a16:creationId xmlns:a16="http://schemas.microsoft.com/office/drawing/2014/main" id="{29F2A07B-2702-4434-95B6-B0F637C7E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0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133350</xdr:rowOff>
    </xdr:to>
    <xdr:pic>
      <xdr:nvPicPr>
        <xdr:cNvPr id="10242" name="Picture@5C\QPendientes@" descr="@5C\QPendientes@">
          <a:extLst>
            <a:ext uri="{FF2B5EF4-FFF2-40B4-BE49-F238E27FC236}">
              <a16:creationId xmlns:a16="http://schemas.microsoft.com/office/drawing/2014/main" id="{75ECE295-BD48-40A4-B13F-FB4D08B1BC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2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133350</xdr:rowOff>
    </xdr:to>
    <xdr:pic>
      <xdr:nvPicPr>
        <xdr:cNvPr id="10243" name="Picture@5C\QPendientes@" descr="@5C\QPendientes@">
          <a:extLst>
            <a:ext uri="{FF2B5EF4-FFF2-40B4-BE49-F238E27FC236}">
              <a16:creationId xmlns:a16="http://schemas.microsoft.com/office/drawing/2014/main" id="{469F4B15-B279-45DD-BD7F-9EA58E331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4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2535</xdr:row>
      <xdr:rowOff>0</xdr:rowOff>
    </xdr:from>
    <xdr:to>
      <xdr:col>0</xdr:col>
      <xdr:colOff>171450</xdr:colOff>
      <xdr:row>2535</xdr:row>
      <xdr:rowOff>133350</xdr:rowOff>
    </xdr:to>
    <xdr:pic>
      <xdr:nvPicPr>
        <xdr:cNvPr id="10244" name="Picture@5C\QPendientes@" descr="@5C\QPendientes@">
          <a:extLst>
            <a:ext uri="{FF2B5EF4-FFF2-40B4-BE49-F238E27FC236}">
              <a16:creationId xmlns:a16="http://schemas.microsoft.com/office/drawing/2014/main" id="{525F9CCE-9790-472D-8282-4C0E9EB91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6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133350</xdr:rowOff>
    </xdr:to>
    <xdr:pic>
      <xdr:nvPicPr>
        <xdr:cNvPr id="10245" name="Picture@5C\QPendientes@" descr="@5C\QPendientes@">
          <a:extLst>
            <a:ext uri="{FF2B5EF4-FFF2-40B4-BE49-F238E27FC236}">
              <a16:creationId xmlns:a16="http://schemas.microsoft.com/office/drawing/2014/main" id="{05B16009-2F30-4F15-9CFE-085F7534B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7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133350</xdr:rowOff>
    </xdr:to>
    <xdr:pic>
      <xdr:nvPicPr>
        <xdr:cNvPr id="10246" name="Picture@5C\QPendientes@" descr="@5C\QPendientes@">
          <a:extLst>
            <a:ext uri="{FF2B5EF4-FFF2-40B4-BE49-F238E27FC236}">
              <a16:creationId xmlns:a16="http://schemas.microsoft.com/office/drawing/2014/main" id="{D3F810C2-4203-42C1-B51A-28163D7C8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9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133350</xdr:rowOff>
    </xdr:to>
    <xdr:pic>
      <xdr:nvPicPr>
        <xdr:cNvPr id="10247" name="Picture@5C\QPendientes@" descr="@5C\QPendientes@">
          <a:extLst>
            <a:ext uri="{FF2B5EF4-FFF2-40B4-BE49-F238E27FC236}">
              <a16:creationId xmlns:a16="http://schemas.microsoft.com/office/drawing/2014/main" id="{BBD55CFF-2A21-4E33-B16E-305F230E0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1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133350</xdr:rowOff>
    </xdr:to>
    <xdr:pic>
      <xdr:nvPicPr>
        <xdr:cNvPr id="10248" name="Picture@5C\QPendientes@" descr="@5C\QPendientes@">
          <a:extLst>
            <a:ext uri="{FF2B5EF4-FFF2-40B4-BE49-F238E27FC236}">
              <a16:creationId xmlns:a16="http://schemas.microsoft.com/office/drawing/2014/main" id="{7D815FB6-7770-4974-92C8-72A70DE92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3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133350</xdr:rowOff>
    </xdr:to>
    <xdr:pic>
      <xdr:nvPicPr>
        <xdr:cNvPr id="10249" name="Picture@5C\QPendientes@" descr="@5C\QPendientes@">
          <a:extLst>
            <a:ext uri="{FF2B5EF4-FFF2-40B4-BE49-F238E27FC236}">
              <a16:creationId xmlns:a16="http://schemas.microsoft.com/office/drawing/2014/main" id="{CA25171C-CF5E-4DB1-9D74-688D4BBBA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2541</xdr:row>
      <xdr:rowOff>0</xdr:rowOff>
    </xdr:from>
    <xdr:to>
      <xdr:col>0</xdr:col>
      <xdr:colOff>171450</xdr:colOff>
      <xdr:row>2541</xdr:row>
      <xdr:rowOff>133350</xdr:rowOff>
    </xdr:to>
    <xdr:pic>
      <xdr:nvPicPr>
        <xdr:cNvPr id="10250" name="Picture@5C\QPendientes@" descr="@5C\QPendientes@">
          <a:extLst>
            <a:ext uri="{FF2B5EF4-FFF2-40B4-BE49-F238E27FC236}">
              <a16:creationId xmlns:a16="http://schemas.microsoft.com/office/drawing/2014/main" id="{0F593025-F6B2-40BC-A6A3-90C11EE42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6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133350</xdr:rowOff>
    </xdr:to>
    <xdr:pic>
      <xdr:nvPicPr>
        <xdr:cNvPr id="10251" name="Picture@5C\QPendientes@" descr="@5C\QPendientes@">
          <a:extLst>
            <a:ext uri="{FF2B5EF4-FFF2-40B4-BE49-F238E27FC236}">
              <a16:creationId xmlns:a16="http://schemas.microsoft.com/office/drawing/2014/main" id="{00A58E0D-6932-4A58-9D97-F4F567273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8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133350</xdr:rowOff>
    </xdr:to>
    <xdr:pic>
      <xdr:nvPicPr>
        <xdr:cNvPr id="10252" name="Picture@5C\QPendientes@" descr="@5C\QPendientes@">
          <a:extLst>
            <a:ext uri="{FF2B5EF4-FFF2-40B4-BE49-F238E27FC236}">
              <a16:creationId xmlns:a16="http://schemas.microsoft.com/office/drawing/2014/main" id="{517002EA-7746-4AA7-91A8-D965B52B97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0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133350</xdr:rowOff>
    </xdr:to>
    <xdr:pic>
      <xdr:nvPicPr>
        <xdr:cNvPr id="10253" name="Picture@5C\QPendientes@" descr="@5C\QPendientes@">
          <a:extLst>
            <a:ext uri="{FF2B5EF4-FFF2-40B4-BE49-F238E27FC236}">
              <a16:creationId xmlns:a16="http://schemas.microsoft.com/office/drawing/2014/main" id="{EE5717CD-809C-46E3-9DB0-6CD098338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2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133350</xdr:rowOff>
    </xdr:to>
    <xdr:pic>
      <xdr:nvPicPr>
        <xdr:cNvPr id="10254" name="Picture@5C\QPendientes@" descr="@5C\QPendientes@">
          <a:extLst>
            <a:ext uri="{FF2B5EF4-FFF2-40B4-BE49-F238E27FC236}">
              <a16:creationId xmlns:a16="http://schemas.microsoft.com/office/drawing/2014/main" id="{EC54F882-E013-4779-A217-4EA472343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4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133350</xdr:rowOff>
    </xdr:to>
    <xdr:pic>
      <xdr:nvPicPr>
        <xdr:cNvPr id="10255" name="Picture@5C\QPendientes@" descr="@5C\QPendientes@">
          <a:extLst>
            <a:ext uri="{FF2B5EF4-FFF2-40B4-BE49-F238E27FC236}">
              <a16:creationId xmlns:a16="http://schemas.microsoft.com/office/drawing/2014/main" id="{9F37F9BF-E053-43D5-8823-0E87F72E9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6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2547</xdr:row>
      <xdr:rowOff>0</xdr:rowOff>
    </xdr:from>
    <xdr:to>
      <xdr:col>0</xdr:col>
      <xdr:colOff>171450</xdr:colOff>
      <xdr:row>2547</xdr:row>
      <xdr:rowOff>133350</xdr:rowOff>
    </xdr:to>
    <xdr:pic>
      <xdr:nvPicPr>
        <xdr:cNvPr id="10256" name="Picture@5C\QPendientes@" descr="@5C\QPendientes@">
          <a:extLst>
            <a:ext uri="{FF2B5EF4-FFF2-40B4-BE49-F238E27FC236}">
              <a16:creationId xmlns:a16="http://schemas.microsoft.com/office/drawing/2014/main" id="{4A949050-B9D4-49B9-8FA6-75C3B9B95E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7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2548</xdr:row>
      <xdr:rowOff>0</xdr:rowOff>
    </xdr:from>
    <xdr:to>
      <xdr:col>0</xdr:col>
      <xdr:colOff>171450</xdr:colOff>
      <xdr:row>2548</xdr:row>
      <xdr:rowOff>133350</xdr:rowOff>
    </xdr:to>
    <xdr:pic>
      <xdr:nvPicPr>
        <xdr:cNvPr id="10257" name="Picture@5C\QPendientes@" descr="@5C\QPendientes@">
          <a:extLst>
            <a:ext uri="{FF2B5EF4-FFF2-40B4-BE49-F238E27FC236}">
              <a16:creationId xmlns:a16="http://schemas.microsoft.com/office/drawing/2014/main" id="{CA807C7F-B83A-4146-ABF4-BB6587A02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9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133350</xdr:rowOff>
    </xdr:to>
    <xdr:pic>
      <xdr:nvPicPr>
        <xdr:cNvPr id="10258" name="Picture@5C\QPendientes@" descr="@5C\QPendientes@">
          <a:extLst>
            <a:ext uri="{FF2B5EF4-FFF2-40B4-BE49-F238E27FC236}">
              <a16:creationId xmlns:a16="http://schemas.microsoft.com/office/drawing/2014/main" id="{A4D0D1F3-1E5A-4841-B0D9-3C775D6AC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1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133350</xdr:rowOff>
    </xdr:to>
    <xdr:pic>
      <xdr:nvPicPr>
        <xdr:cNvPr id="10259" name="Picture@5C\QPendientes@" descr="@5C\QPendientes@">
          <a:extLst>
            <a:ext uri="{FF2B5EF4-FFF2-40B4-BE49-F238E27FC236}">
              <a16:creationId xmlns:a16="http://schemas.microsoft.com/office/drawing/2014/main" id="{2E876283-D061-4FA7-A9B3-A0A9A900C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133350</xdr:rowOff>
    </xdr:to>
    <xdr:pic>
      <xdr:nvPicPr>
        <xdr:cNvPr id="10260" name="Picture@5C\QPendientes@" descr="@5C\QPendientes@">
          <a:extLst>
            <a:ext uri="{FF2B5EF4-FFF2-40B4-BE49-F238E27FC236}">
              <a16:creationId xmlns:a16="http://schemas.microsoft.com/office/drawing/2014/main" id="{BEC9FD03-679B-48F3-8227-2727142B67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5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133350</xdr:rowOff>
    </xdr:to>
    <xdr:pic>
      <xdr:nvPicPr>
        <xdr:cNvPr id="10261" name="Picture@5C\QPendientes@" descr="@5C\QPendientes@">
          <a:extLst>
            <a:ext uri="{FF2B5EF4-FFF2-40B4-BE49-F238E27FC236}">
              <a16:creationId xmlns:a16="http://schemas.microsoft.com/office/drawing/2014/main" id="{FBCA0B67-D309-408A-9922-DB9B7732C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7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133350</xdr:rowOff>
    </xdr:to>
    <xdr:pic>
      <xdr:nvPicPr>
        <xdr:cNvPr id="10262" name="Picture@5C\QPendientes@" descr="@5C\QPendientes@">
          <a:extLst>
            <a:ext uri="{FF2B5EF4-FFF2-40B4-BE49-F238E27FC236}">
              <a16:creationId xmlns:a16="http://schemas.microsoft.com/office/drawing/2014/main" id="{FAD186F2-D728-43C2-B79A-B397A2CEF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8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133350</xdr:rowOff>
    </xdr:to>
    <xdr:pic>
      <xdr:nvPicPr>
        <xdr:cNvPr id="10263" name="Picture@5C\QPendientes@" descr="@5C\QPendientes@">
          <a:extLst>
            <a:ext uri="{FF2B5EF4-FFF2-40B4-BE49-F238E27FC236}">
              <a16:creationId xmlns:a16="http://schemas.microsoft.com/office/drawing/2014/main" id="{E6B18C3D-A453-48A5-BCC0-3ACB34D51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70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133350</xdr:rowOff>
    </xdr:to>
    <xdr:pic>
      <xdr:nvPicPr>
        <xdr:cNvPr id="10264" name="Picture@5C\QPendientes@" descr="@5C\QPendientes@">
          <a:extLst>
            <a:ext uri="{FF2B5EF4-FFF2-40B4-BE49-F238E27FC236}">
              <a16:creationId xmlns:a16="http://schemas.microsoft.com/office/drawing/2014/main" id="{DCABD931-2834-46B3-8716-F3E17A0B0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72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2556</xdr:row>
      <xdr:rowOff>0</xdr:rowOff>
    </xdr:from>
    <xdr:to>
      <xdr:col>0</xdr:col>
      <xdr:colOff>171450</xdr:colOff>
      <xdr:row>2556</xdr:row>
      <xdr:rowOff>133350</xdr:rowOff>
    </xdr:to>
    <xdr:pic>
      <xdr:nvPicPr>
        <xdr:cNvPr id="10265" name="Picture@5C\QPendientes@" descr="@5C\QPendientes@">
          <a:extLst>
            <a:ext uri="{FF2B5EF4-FFF2-40B4-BE49-F238E27FC236}">
              <a16:creationId xmlns:a16="http://schemas.microsoft.com/office/drawing/2014/main" id="{217BB2A5-0D4D-4D97-83D2-7891352BA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74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133350</xdr:rowOff>
    </xdr:to>
    <xdr:pic>
      <xdr:nvPicPr>
        <xdr:cNvPr id="10266" name="Picture@5C\QPendientes@" descr="@5C\QPendientes@">
          <a:extLst>
            <a:ext uri="{FF2B5EF4-FFF2-40B4-BE49-F238E27FC236}">
              <a16:creationId xmlns:a16="http://schemas.microsoft.com/office/drawing/2014/main" id="{73035431-0AEE-4F7D-9A90-4C29072CA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76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133350</xdr:rowOff>
    </xdr:to>
    <xdr:pic>
      <xdr:nvPicPr>
        <xdr:cNvPr id="10267" name="Picture@5C\QPendientes@" descr="@5C\QPendientes@">
          <a:extLst>
            <a:ext uri="{FF2B5EF4-FFF2-40B4-BE49-F238E27FC236}">
              <a16:creationId xmlns:a16="http://schemas.microsoft.com/office/drawing/2014/main" id="{6F309847-A079-4D51-B3F9-F1A9DD560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78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133350</xdr:rowOff>
    </xdr:to>
    <xdr:pic>
      <xdr:nvPicPr>
        <xdr:cNvPr id="10268" name="Picture@5C\QPendientes@" descr="@5C\QPendientes@">
          <a:extLst>
            <a:ext uri="{FF2B5EF4-FFF2-40B4-BE49-F238E27FC236}">
              <a16:creationId xmlns:a16="http://schemas.microsoft.com/office/drawing/2014/main" id="{FEE4A8CD-E8F2-4C36-A15A-F5C881356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79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133350</xdr:rowOff>
    </xdr:to>
    <xdr:pic>
      <xdr:nvPicPr>
        <xdr:cNvPr id="10269" name="Picture@5C\QPendientes@" descr="@5C\QPendientes@">
          <a:extLst>
            <a:ext uri="{FF2B5EF4-FFF2-40B4-BE49-F238E27FC236}">
              <a16:creationId xmlns:a16="http://schemas.microsoft.com/office/drawing/2014/main" id="{3D7B8195-3FB6-4C6F-8EFB-59A5C7189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133350</xdr:rowOff>
    </xdr:to>
    <xdr:pic>
      <xdr:nvPicPr>
        <xdr:cNvPr id="10270" name="Picture@5C\QPendientes@" descr="@5C\QPendientes@">
          <a:extLst>
            <a:ext uri="{FF2B5EF4-FFF2-40B4-BE49-F238E27FC236}">
              <a16:creationId xmlns:a16="http://schemas.microsoft.com/office/drawing/2014/main" id="{491164BD-D97F-47ED-9881-DC1FCB8CA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3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133350</xdr:rowOff>
    </xdr:to>
    <xdr:pic>
      <xdr:nvPicPr>
        <xdr:cNvPr id="10271" name="Picture@5C\QPendientes@" descr="@5C\QPendientes@">
          <a:extLst>
            <a:ext uri="{FF2B5EF4-FFF2-40B4-BE49-F238E27FC236}">
              <a16:creationId xmlns:a16="http://schemas.microsoft.com/office/drawing/2014/main" id="{4D0C18B8-83E2-4B15-A074-F8D520234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5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133350</xdr:rowOff>
    </xdr:to>
    <xdr:pic>
      <xdr:nvPicPr>
        <xdr:cNvPr id="10272" name="Picture@5C\QPendientes@" descr="@5C\QPendientes@">
          <a:extLst>
            <a:ext uri="{FF2B5EF4-FFF2-40B4-BE49-F238E27FC236}">
              <a16:creationId xmlns:a16="http://schemas.microsoft.com/office/drawing/2014/main" id="{5189F595-3818-4B52-A4D8-EF2549E2E8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7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133350</xdr:rowOff>
    </xdr:to>
    <xdr:pic>
      <xdr:nvPicPr>
        <xdr:cNvPr id="10273" name="Picture@5C\QPendientes@" descr="@5C\QPendientes@">
          <a:extLst>
            <a:ext uri="{FF2B5EF4-FFF2-40B4-BE49-F238E27FC236}">
              <a16:creationId xmlns:a16="http://schemas.microsoft.com/office/drawing/2014/main" id="{B106457F-7A63-45D2-BE74-66EC90132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9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133350</xdr:rowOff>
    </xdr:to>
    <xdr:pic>
      <xdr:nvPicPr>
        <xdr:cNvPr id="10274" name="Picture@5C\QPendientes@" descr="@5C\QPendientes@">
          <a:extLst>
            <a:ext uri="{FF2B5EF4-FFF2-40B4-BE49-F238E27FC236}">
              <a16:creationId xmlns:a16="http://schemas.microsoft.com/office/drawing/2014/main" id="{42E6AEB2-E2C6-4D8C-AA81-45ABBD82D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90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133350</xdr:rowOff>
    </xdr:to>
    <xdr:pic>
      <xdr:nvPicPr>
        <xdr:cNvPr id="10275" name="Picture@5C\QPendientes@" descr="@5C\QPendientes@">
          <a:extLst>
            <a:ext uri="{FF2B5EF4-FFF2-40B4-BE49-F238E27FC236}">
              <a16:creationId xmlns:a16="http://schemas.microsoft.com/office/drawing/2014/main" id="{2D399B2B-3FB6-4998-B1EF-29EDB9A8A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92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133350</xdr:rowOff>
    </xdr:to>
    <xdr:pic>
      <xdr:nvPicPr>
        <xdr:cNvPr id="10276" name="Picture@5C\QPendientes@" descr="@5C\QPendientes@">
          <a:extLst>
            <a:ext uri="{FF2B5EF4-FFF2-40B4-BE49-F238E27FC236}">
              <a16:creationId xmlns:a16="http://schemas.microsoft.com/office/drawing/2014/main" id="{2589E7F6-2B3E-43C0-A2C5-6D78A07B6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94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133350</xdr:rowOff>
    </xdr:to>
    <xdr:pic>
      <xdr:nvPicPr>
        <xdr:cNvPr id="10277" name="Picture@5C\QPendientes@" descr="@5C\QPendientes@">
          <a:extLst>
            <a:ext uri="{FF2B5EF4-FFF2-40B4-BE49-F238E27FC236}">
              <a16:creationId xmlns:a16="http://schemas.microsoft.com/office/drawing/2014/main" id="{C7C703A3-11D8-4DF8-93F1-1AE27AD95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96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2569</xdr:row>
      <xdr:rowOff>0</xdr:rowOff>
    </xdr:from>
    <xdr:to>
      <xdr:col>0</xdr:col>
      <xdr:colOff>171450</xdr:colOff>
      <xdr:row>2569</xdr:row>
      <xdr:rowOff>133350</xdr:rowOff>
    </xdr:to>
    <xdr:pic>
      <xdr:nvPicPr>
        <xdr:cNvPr id="10278" name="Picture@5C\QPendientes@" descr="@5C\QPendientes@">
          <a:extLst>
            <a:ext uri="{FF2B5EF4-FFF2-40B4-BE49-F238E27FC236}">
              <a16:creationId xmlns:a16="http://schemas.microsoft.com/office/drawing/2014/main" id="{1C14CD29-3266-4C9B-AD21-B218FE9BD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98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133350</xdr:rowOff>
    </xdr:to>
    <xdr:pic>
      <xdr:nvPicPr>
        <xdr:cNvPr id="10279" name="Picture@5C\QPendientes@" descr="@5C\QPendientes@">
          <a:extLst>
            <a:ext uri="{FF2B5EF4-FFF2-40B4-BE49-F238E27FC236}">
              <a16:creationId xmlns:a16="http://schemas.microsoft.com/office/drawing/2014/main" id="{8C733989-6735-463C-9F69-BE483D3F7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133350</xdr:rowOff>
    </xdr:to>
    <xdr:pic>
      <xdr:nvPicPr>
        <xdr:cNvPr id="10280" name="Picture@5C\QPendientes@" descr="@5C\QPendientes@">
          <a:extLst>
            <a:ext uri="{FF2B5EF4-FFF2-40B4-BE49-F238E27FC236}">
              <a16:creationId xmlns:a16="http://schemas.microsoft.com/office/drawing/2014/main" id="{1ED3DCA6-CA32-49C5-A432-1E43920A6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1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133350</xdr:rowOff>
    </xdr:to>
    <xdr:pic>
      <xdr:nvPicPr>
        <xdr:cNvPr id="10281" name="Picture@5C\QPendientes@" descr="@5C\QPendientes@">
          <a:extLst>
            <a:ext uri="{FF2B5EF4-FFF2-40B4-BE49-F238E27FC236}">
              <a16:creationId xmlns:a16="http://schemas.microsoft.com/office/drawing/2014/main" id="{138864D9-0931-44EA-905E-C86C21E9C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3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133350</xdr:rowOff>
    </xdr:to>
    <xdr:pic>
      <xdr:nvPicPr>
        <xdr:cNvPr id="10282" name="Picture@5C\QPendientes@" descr="@5C\QPendientes@">
          <a:extLst>
            <a:ext uri="{FF2B5EF4-FFF2-40B4-BE49-F238E27FC236}">
              <a16:creationId xmlns:a16="http://schemas.microsoft.com/office/drawing/2014/main" id="{5E057CBC-408A-454F-9AA4-EC3D7154E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5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133350</xdr:rowOff>
    </xdr:to>
    <xdr:pic>
      <xdr:nvPicPr>
        <xdr:cNvPr id="10283" name="Picture@5C\QPendientes@" descr="@5C\QPendientes@">
          <a:extLst>
            <a:ext uri="{FF2B5EF4-FFF2-40B4-BE49-F238E27FC236}">
              <a16:creationId xmlns:a16="http://schemas.microsoft.com/office/drawing/2014/main" id="{19596523-7DCD-459D-B6F4-13FAAFA9B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7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133350</xdr:rowOff>
    </xdr:to>
    <xdr:pic>
      <xdr:nvPicPr>
        <xdr:cNvPr id="10284" name="Picture@5C\QPendientes@" descr="@5C\QPendientes@">
          <a:extLst>
            <a:ext uri="{FF2B5EF4-FFF2-40B4-BE49-F238E27FC236}">
              <a16:creationId xmlns:a16="http://schemas.microsoft.com/office/drawing/2014/main" id="{9F943FCD-51F4-4B10-9CB2-77AF4E582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9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133350</xdr:rowOff>
    </xdr:to>
    <xdr:pic>
      <xdr:nvPicPr>
        <xdr:cNvPr id="10285" name="Picture@5C\QPendientes@" descr="@5C\QPendientes@">
          <a:extLst>
            <a:ext uri="{FF2B5EF4-FFF2-40B4-BE49-F238E27FC236}">
              <a16:creationId xmlns:a16="http://schemas.microsoft.com/office/drawing/2014/main" id="{C80D4EFA-A5F8-461D-8D17-E7AF9AB67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0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133350</xdr:rowOff>
    </xdr:to>
    <xdr:pic>
      <xdr:nvPicPr>
        <xdr:cNvPr id="10286" name="Picture@5C\QPendientes@" descr="@5C\QPendientes@">
          <a:extLst>
            <a:ext uri="{FF2B5EF4-FFF2-40B4-BE49-F238E27FC236}">
              <a16:creationId xmlns:a16="http://schemas.microsoft.com/office/drawing/2014/main" id="{4F3D164A-B1C8-4BE8-B9B2-C66974C0E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2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133350</xdr:rowOff>
    </xdr:to>
    <xdr:pic>
      <xdr:nvPicPr>
        <xdr:cNvPr id="10287" name="Picture@5C\QPendientes@" descr="@5C\QPendientes@">
          <a:extLst>
            <a:ext uri="{FF2B5EF4-FFF2-40B4-BE49-F238E27FC236}">
              <a16:creationId xmlns:a16="http://schemas.microsoft.com/office/drawing/2014/main" id="{F845A657-B1E8-47DD-B4DA-F5FBD525A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4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133350</xdr:rowOff>
    </xdr:to>
    <xdr:pic>
      <xdr:nvPicPr>
        <xdr:cNvPr id="10288" name="Picture@5C\QPendientes@" descr="@5C\QPendientes@">
          <a:extLst>
            <a:ext uri="{FF2B5EF4-FFF2-40B4-BE49-F238E27FC236}">
              <a16:creationId xmlns:a16="http://schemas.microsoft.com/office/drawing/2014/main" id="{E8872364-6025-46E5-A907-50201D251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6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133350</xdr:rowOff>
    </xdr:to>
    <xdr:pic>
      <xdr:nvPicPr>
        <xdr:cNvPr id="10289" name="Picture@5C\QPendientes@" descr="@5C\QPendientes@">
          <a:extLst>
            <a:ext uri="{FF2B5EF4-FFF2-40B4-BE49-F238E27FC236}">
              <a16:creationId xmlns:a16="http://schemas.microsoft.com/office/drawing/2014/main" id="{65F6A589-C779-4053-A8F3-8E672D775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2581</xdr:row>
      <xdr:rowOff>0</xdr:rowOff>
    </xdr:from>
    <xdr:to>
      <xdr:col>0</xdr:col>
      <xdr:colOff>171450</xdr:colOff>
      <xdr:row>2581</xdr:row>
      <xdr:rowOff>133350</xdr:rowOff>
    </xdr:to>
    <xdr:pic>
      <xdr:nvPicPr>
        <xdr:cNvPr id="10290" name="Picture@5C\QPendientes@" descr="@5C\QPendientes@">
          <a:extLst>
            <a:ext uri="{FF2B5EF4-FFF2-40B4-BE49-F238E27FC236}">
              <a16:creationId xmlns:a16="http://schemas.microsoft.com/office/drawing/2014/main" id="{7028B496-8D76-4BC0-A0E9-DDD9C4877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0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133350</xdr:rowOff>
    </xdr:to>
    <xdr:pic>
      <xdr:nvPicPr>
        <xdr:cNvPr id="10291" name="Picture@5C\QPendientes@" descr="@5C\QPendientes@">
          <a:extLst>
            <a:ext uri="{FF2B5EF4-FFF2-40B4-BE49-F238E27FC236}">
              <a16:creationId xmlns:a16="http://schemas.microsoft.com/office/drawing/2014/main" id="{B4F4B66C-190A-4496-90C1-AA728224A9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1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133350</xdr:rowOff>
    </xdr:to>
    <xdr:pic>
      <xdr:nvPicPr>
        <xdr:cNvPr id="10292" name="Picture@5C\QPendientes@" descr="@5C\QPendientes@">
          <a:extLst>
            <a:ext uri="{FF2B5EF4-FFF2-40B4-BE49-F238E27FC236}">
              <a16:creationId xmlns:a16="http://schemas.microsoft.com/office/drawing/2014/main" id="{BD8DED43-085F-401E-815F-7E38300C1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3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133350</xdr:rowOff>
    </xdr:to>
    <xdr:pic>
      <xdr:nvPicPr>
        <xdr:cNvPr id="10293" name="Picture@5C\QPendientes@" descr="@5C\QPendientes@">
          <a:extLst>
            <a:ext uri="{FF2B5EF4-FFF2-40B4-BE49-F238E27FC236}">
              <a16:creationId xmlns:a16="http://schemas.microsoft.com/office/drawing/2014/main" id="{745659D6-C03A-4C8B-A4AC-E30F7BF28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5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133350</xdr:rowOff>
    </xdr:to>
    <xdr:pic>
      <xdr:nvPicPr>
        <xdr:cNvPr id="10294" name="Picture@5C\QPendientes@" descr="@5C\QPendientes@">
          <a:extLst>
            <a:ext uri="{FF2B5EF4-FFF2-40B4-BE49-F238E27FC236}">
              <a16:creationId xmlns:a16="http://schemas.microsoft.com/office/drawing/2014/main" id="{560665A2-CD91-4A2B-AB79-1CEA6FCEB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7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133350</xdr:rowOff>
    </xdr:to>
    <xdr:pic>
      <xdr:nvPicPr>
        <xdr:cNvPr id="10295" name="Picture@5C\QPendientes@" descr="@5C\QPendientes@">
          <a:extLst>
            <a:ext uri="{FF2B5EF4-FFF2-40B4-BE49-F238E27FC236}">
              <a16:creationId xmlns:a16="http://schemas.microsoft.com/office/drawing/2014/main" id="{768CFC14-FED6-4DBE-8A77-6DB23398E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9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133350</xdr:rowOff>
    </xdr:to>
    <xdr:pic>
      <xdr:nvPicPr>
        <xdr:cNvPr id="10296" name="Picture@5C\QPendientes@" descr="@5C\QPendientes@">
          <a:extLst>
            <a:ext uri="{FF2B5EF4-FFF2-40B4-BE49-F238E27FC236}">
              <a16:creationId xmlns:a16="http://schemas.microsoft.com/office/drawing/2014/main" id="{DD40F09A-E9AB-4C4C-A184-DC187E704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1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133350</xdr:rowOff>
    </xdr:to>
    <xdr:pic>
      <xdr:nvPicPr>
        <xdr:cNvPr id="10297" name="Picture@5C\QPendientes@" descr="@5C\QPendientes@">
          <a:extLst>
            <a:ext uri="{FF2B5EF4-FFF2-40B4-BE49-F238E27FC236}">
              <a16:creationId xmlns:a16="http://schemas.microsoft.com/office/drawing/2014/main" id="{34480FDE-67A7-45E9-9F3D-1B739CD38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2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133350</xdr:rowOff>
    </xdr:to>
    <xdr:pic>
      <xdr:nvPicPr>
        <xdr:cNvPr id="10298" name="Picture@5C\QPendientes@" descr="@5C\QPendientes@">
          <a:extLst>
            <a:ext uri="{FF2B5EF4-FFF2-40B4-BE49-F238E27FC236}">
              <a16:creationId xmlns:a16="http://schemas.microsoft.com/office/drawing/2014/main" id="{EAA8E6C3-4A8B-4132-A8CE-8AFB7DD9F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4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133350</xdr:rowOff>
    </xdr:to>
    <xdr:pic>
      <xdr:nvPicPr>
        <xdr:cNvPr id="10299" name="Picture@5C\QPendientes@" descr="@5C\QPendientes@">
          <a:extLst>
            <a:ext uri="{FF2B5EF4-FFF2-40B4-BE49-F238E27FC236}">
              <a16:creationId xmlns:a16="http://schemas.microsoft.com/office/drawing/2014/main" id="{F45CBFA2-78AD-4C0D-9759-E2151294F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133350</xdr:rowOff>
    </xdr:to>
    <xdr:pic>
      <xdr:nvPicPr>
        <xdr:cNvPr id="10300" name="Picture@5C\QPendientes@" descr="@5C\QPendientes@">
          <a:extLst>
            <a:ext uri="{FF2B5EF4-FFF2-40B4-BE49-F238E27FC236}">
              <a16:creationId xmlns:a16="http://schemas.microsoft.com/office/drawing/2014/main" id="{1E24F2A6-C641-4E79-B508-879238F75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8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133350</xdr:rowOff>
    </xdr:to>
    <xdr:pic>
      <xdr:nvPicPr>
        <xdr:cNvPr id="10301" name="Picture@5C\QPendientes@" descr="@5C\QPendientes@">
          <a:extLst>
            <a:ext uri="{FF2B5EF4-FFF2-40B4-BE49-F238E27FC236}">
              <a16:creationId xmlns:a16="http://schemas.microsoft.com/office/drawing/2014/main" id="{6444452D-F6E0-47A3-9345-5E35C29DC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0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133350</xdr:rowOff>
    </xdr:to>
    <xdr:pic>
      <xdr:nvPicPr>
        <xdr:cNvPr id="10302" name="Picture@5C\QPendientes@" descr="@5C\QPendientes@">
          <a:extLst>
            <a:ext uri="{FF2B5EF4-FFF2-40B4-BE49-F238E27FC236}">
              <a16:creationId xmlns:a16="http://schemas.microsoft.com/office/drawing/2014/main" id="{EBB79D85-C685-4608-8C10-B9DBCFAB5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2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133350</xdr:rowOff>
    </xdr:to>
    <xdr:pic>
      <xdr:nvPicPr>
        <xdr:cNvPr id="10303" name="Picture@5C\QPendientes@" descr="@5C\QPendientes@">
          <a:extLst>
            <a:ext uri="{FF2B5EF4-FFF2-40B4-BE49-F238E27FC236}">
              <a16:creationId xmlns:a16="http://schemas.microsoft.com/office/drawing/2014/main" id="{B697BB21-971F-4766-A963-A58B95A4E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3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133350</xdr:rowOff>
    </xdr:to>
    <xdr:pic>
      <xdr:nvPicPr>
        <xdr:cNvPr id="10304" name="Picture@5C\QPendientes@" descr="@5C\QPendientes@">
          <a:extLst>
            <a:ext uri="{FF2B5EF4-FFF2-40B4-BE49-F238E27FC236}">
              <a16:creationId xmlns:a16="http://schemas.microsoft.com/office/drawing/2014/main" id="{5B5D6CB2-AA1A-496C-95F0-C5807A5FE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5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133350</xdr:rowOff>
    </xdr:to>
    <xdr:pic>
      <xdr:nvPicPr>
        <xdr:cNvPr id="10305" name="Picture@5C\QPendientes@" descr="@5C\QPendientes@">
          <a:extLst>
            <a:ext uri="{FF2B5EF4-FFF2-40B4-BE49-F238E27FC236}">
              <a16:creationId xmlns:a16="http://schemas.microsoft.com/office/drawing/2014/main" id="{849B512B-B3E7-488F-ACEF-E5BA6ADCC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7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133350</xdr:rowOff>
    </xdr:to>
    <xdr:pic>
      <xdr:nvPicPr>
        <xdr:cNvPr id="10306" name="Picture@5C\QPendientes@" descr="@5C\QPendientes@">
          <a:extLst>
            <a:ext uri="{FF2B5EF4-FFF2-40B4-BE49-F238E27FC236}">
              <a16:creationId xmlns:a16="http://schemas.microsoft.com/office/drawing/2014/main" id="{95DE8143-F5EB-4047-BAAE-8B4192E92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9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133350</xdr:rowOff>
    </xdr:to>
    <xdr:pic>
      <xdr:nvPicPr>
        <xdr:cNvPr id="10307" name="Picture@5C\QPendientes@" descr="@5C\QPendientes@">
          <a:extLst>
            <a:ext uri="{FF2B5EF4-FFF2-40B4-BE49-F238E27FC236}">
              <a16:creationId xmlns:a16="http://schemas.microsoft.com/office/drawing/2014/main" id="{92ECFD5E-7DD7-4C3A-963A-79A1DEEAF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1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133350</xdr:rowOff>
    </xdr:to>
    <xdr:pic>
      <xdr:nvPicPr>
        <xdr:cNvPr id="10308" name="Picture@5C\QPendientes@" descr="@5C\QPendientes@">
          <a:extLst>
            <a:ext uri="{FF2B5EF4-FFF2-40B4-BE49-F238E27FC236}">
              <a16:creationId xmlns:a16="http://schemas.microsoft.com/office/drawing/2014/main" id="{9531B544-2F55-4030-AB6D-ABB6C084C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3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133350</xdr:rowOff>
    </xdr:to>
    <xdr:pic>
      <xdr:nvPicPr>
        <xdr:cNvPr id="10309" name="Picture@5C\QPendientes@" descr="@5C\QPendientes@">
          <a:extLst>
            <a:ext uri="{FF2B5EF4-FFF2-40B4-BE49-F238E27FC236}">
              <a16:creationId xmlns:a16="http://schemas.microsoft.com/office/drawing/2014/main" id="{E75723A3-0EA7-4E98-AAB6-26ECCAB94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133350</xdr:rowOff>
    </xdr:to>
    <xdr:pic>
      <xdr:nvPicPr>
        <xdr:cNvPr id="10310" name="Picture@5C\QPendientes@" descr="@5C\QPendientes@">
          <a:extLst>
            <a:ext uri="{FF2B5EF4-FFF2-40B4-BE49-F238E27FC236}">
              <a16:creationId xmlns:a16="http://schemas.microsoft.com/office/drawing/2014/main" id="{50BC53B0-8A3B-4587-89E1-AD716B741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6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133350</xdr:rowOff>
    </xdr:to>
    <xdr:pic>
      <xdr:nvPicPr>
        <xdr:cNvPr id="10311" name="Picture@5C\QPendientes@" descr="@5C\QPendientes@">
          <a:extLst>
            <a:ext uri="{FF2B5EF4-FFF2-40B4-BE49-F238E27FC236}">
              <a16:creationId xmlns:a16="http://schemas.microsoft.com/office/drawing/2014/main" id="{04B850A5-EDC9-4305-A4CA-66DEAA710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8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133350</xdr:rowOff>
    </xdr:to>
    <xdr:pic>
      <xdr:nvPicPr>
        <xdr:cNvPr id="10312" name="Picture@5C\QPendientes@" descr="@5C\QPendientes@">
          <a:extLst>
            <a:ext uri="{FF2B5EF4-FFF2-40B4-BE49-F238E27FC236}">
              <a16:creationId xmlns:a16="http://schemas.microsoft.com/office/drawing/2014/main" id="{F02D3FD9-5AC3-4B20-BCB1-2DAB6BB1B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60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2604</xdr:row>
      <xdr:rowOff>0</xdr:rowOff>
    </xdr:from>
    <xdr:to>
      <xdr:col>0</xdr:col>
      <xdr:colOff>171450</xdr:colOff>
      <xdr:row>2604</xdr:row>
      <xdr:rowOff>133350</xdr:rowOff>
    </xdr:to>
    <xdr:pic>
      <xdr:nvPicPr>
        <xdr:cNvPr id="10313" name="Picture@5C\QPendientes@" descr="@5C\QPendientes@">
          <a:extLst>
            <a:ext uri="{FF2B5EF4-FFF2-40B4-BE49-F238E27FC236}">
              <a16:creationId xmlns:a16="http://schemas.microsoft.com/office/drawing/2014/main" id="{F1FDD688-FF57-4BBC-B590-DDF309D70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62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133350</xdr:rowOff>
    </xdr:to>
    <xdr:pic>
      <xdr:nvPicPr>
        <xdr:cNvPr id="10314" name="Picture@5C\QPendientes@" descr="@5C\QPendientes@">
          <a:extLst>
            <a:ext uri="{FF2B5EF4-FFF2-40B4-BE49-F238E27FC236}">
              <a16:creationId xmlns:a16="http://schemas.microsoft.com/office/drawing/2014/main" id="{536CA472-0596-4D8A-9632-6010BEA104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64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133350</xdr:rowOff>
    </xdr:to>
    <xdr:pic>
      <xdr:nvPicPr>
        <xdr:cNvPr id="10315" name="Picture@5C\QPendientes@" descr="@5C\QPendientes@">
          <a:extLst>
            <a:ext uri="{FF2B5EF4-FFF2-40B4-BE49-F238E27FC236}">
              <a16:creationId xmlns:a16="http://schemas.microsoft.com/office/drawing/2014/main" id="{4B022C85-D7D5-42A8-A01A-D6CD8FD33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65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133350</xdr:rowOff>
    </xdr:to>
    <xdr:pic>
      <xdr:nvPicPr>
        <xdr:cNvPr id="10316" name="Picture@5C\QPendientes@" descr="@5C\QPendientes@">
          <a:extLst>
            <a:ext uri="{FF2B5EF4-FFF2-40B4-BE49-F238E27FC236}">
              <a16:creationId xmlns:a16="http://schemas.microsoft.com/office/drawing/2014/main" id="{702182E4-F31E-47DD-ACB5-60825D51D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67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133350</xdr:rowOff>
    </xdr:to>
    <xdr:pic>
      <xdr:nvPicPr>
        <xdr:cNvPr id="10317" name="Picture@5C\QPendientes@" descr="@5C\QPendientes@">
          <a:extLst>
            <a:ext uri="{FF2B5EF4-FFF2-40B4-BE49-F238E27FC236}">
              <a16:creationId xmlns:a16="http://schemas.microsoft.com/office/drawing/2014/main" id="{470A7FDB-92B4-422D-BF64-A52B55A20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69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2609</xdr:row>
      <xdr:rowOff>0</xdr:rowOff>
    </xdr:from>
    <xdr:to>
      <xdr:col>0</xdr:col>
      <xdr:colOff>171450</xdr:colOff>
      <xdr:row>2609</xdr:row>
      <xdr:rowOff>133350</xdr:rowOff>
    </xdr:to>
    <xdr:pic>
      <xdr:nvPicPr>
        <xdr:cNvPr id="10318" name="Picture@5C\QPendientes@" descr="@5C\QPendientes@">
          <a:extLst>
            <a:ext uri="{FF2B5EF4-FFF2-40B4-BE49-F238E27FC236}">
              <a16:creationId xmlns:a16="http://schemas.microsoft.com/office/drawing/2014/main" id="{5536B88E-64CE-431F-9DFF-CB1650CD7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1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133350</xdr:rowOff>
    </xdr:to>
    <xdr:pic>
      <xdr:nvPicPr>
        <xdr:cNvPr id="10319" name="Picture@5C\QPendientes@" descr="@5C\QPendientes@">
          <a:extLst>
            <a:ext uri="{FF2B5EF4-FFF2-40B4-BE49-F238E27FC236}">
              <a16:creationId xmlns:a16="http://schemas.microsoft.com/office/drawing/2014/main" id="{AC2F1940-014D-4682-A1AF-CEA4021AD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133350</xdr:rowOff>
    </xdr:to>
    <xdr:pic>
      <xdr:nvPicPr>
        <xdr:cNvPr id="10320" name="Picture@5C\QPendientes@" descr="@5C\QPendientes@">
          <a:extLst>
            <a:ext uri="{FF2B5EF4-FFF2-40B4-BE49-F238E27FC236}">
              <a16:creationId xmlns:a16="http://schemas.microsoft.com/office/drawing/2014/main" id="{0B8B1A21-3220-479C-BD11-620F27999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4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133350</xdr:rowOff>
    </xdr:to>
    <xdr:pic>
      <xdr:nvPicPr>
        <xdr:cNvPr id="10321" name="Picture@5C\QPendientes@" descr="@5C\QPendientes@">
          <a:extLst>
            <a:ext uri="{FF2B5EF4-FFF2-40B4-BE49-F238E27FC236}">
              <a16:creationId xmlns:a16="http://schemas.microsoft.com/office/drawing/2014/main" id="{59CE15A5-A39E-4FE9-87FF-F2914736D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6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133350</xdr:rowOff>
    </xdr:to>
    <xdr:pic>
      <xdr:nvPicPr>
        <xdr:cNvPr id="10322" name="Picture@5C\QPendientes@" descr="@5C\QPendientes@">
          <a:extLst>
            <a:ext uri="{FF2B5EF4-FFF2-40B4-BE49-F238E27FC236}">
              <a16:creationId xmlns:a16="http://schemas.microsoft.com/office/drawing/2014/main" id="{16025F9E-57DC-47F4-9757-190653E93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8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133350</xdr:rowOff>
    </xdr:to>
    <xdr:pic>
      <xdr:nvPicPr>
        <xdr:cNvPr id="10323" name="Picture@5C\QPendientes@" descr="@5C\QPendientes@">
          <a:extLst>
            <a:ext uri="{FF2B5EF4-FFF2-40B4-BE49-F238E27FC236}">
              <a16:creationId xmlns:a16="http://schemas.microsoft.com/office/drawing/2014/main" id="{1704684A-B289-452C-8CC9-2B35253A0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80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133350</xdr:rowOff>
    </xdr:to>
    <xdr:pic>
      <xdr:nvPicPr>
        <xdr:cNvPr id="10324" name="Picture@5C\QPendientes@" descr="@5C\QPendientes@">
          <a:extLst>
            <a:ext uri="{FF2B5EF4-FFF2-40B4-BE49-F238E27FC236}">
              <a16:creationId xmlns:a16="http://schemas.microsoft.com/office/drawing/2014/main" id="{9093AFDE-1BAC-4097-9C50-7DA053CA4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82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133350</xdr:rowOff>
    </xdr:to>
    <xdr:pic>
      <xdr:nvPicPr>
        <xdr:cNvPr id="10325" name="Picture@5C\QPendientes@" descr="@5C\QPendientes@">
          <a:extLst>
            <a:ext uri="{FF2B5EF4-FFF2-40B4-BE49-F238E27FC236}">
              <a16:creationId xmlns:a16="http://schemas.microsoft.com/office/drawing/2014/main" id="{67FDA245-85DC-4AE3-8446-076E0A14B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84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133350</xdr:rowOff>
    </xdr:to>
    <xdr:pic>
      <xdr:nvPicPr>
        <xdr:cNvPr id="10326" name="Picture@5C\QPendientes@" descr="@5C\QPendientes@">
          <a:extLst>
            <a:ext uri="{FF2B5EF4-FFF2-40B4-BE49-F238E27FC236}">
              <a16:creationId xmlns:a16="http://schemas.microsoft.com/office/drawing/2014/main" id="{4D2FCCA5-81B3-4373-BBBE-7FBB37A07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85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133350</xdr:rowOff>
    </xdr:to>
    <xdr:pic>
      <xdr:nvPicPr>
        <xdr:cNvPr id="10327" name="Picture@5C\QPendientes@" descr="@5C\QPendientes@">
          <a:extLst>
            <a:ext uri="{FF2B5EF4-FFF2-40B4-BE49-F238E27FC236}">
              <a16:creationId xmlns:a16="http://schemas.microsoft.com/office/drawing/2014/main" id="{1ACC2A13-A246-47D9-ADD7-5FECE944C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87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133350</xdr:rowOff>
    </xdr:to>
    <xdr:pic>
      <xdr:nvPicPr>
        <xdr:cNvPr id="10328" name="Picture@5C\QPendientes@" descr="@5C\QPendientes@">
          <a:extLst>
            <a:ext uri="{FF2B5EF4-FFF2-40B4-BE49-F238E27FC236}">
              <a16:creationId xmlns:a16="http://schemas.microsoft.com/office/drawing/2014/main" id="{0140F49A-789D-445D-9402-C87C11E6D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89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2620</xdr:row>
      <xdr:rowOff>0</xdr:rowOff>
    </xdr:from>
    <xdr:to>
      <xdr:col>0</xdr:col>
      <xdr:colOff>171450</xdr:colOff>
      <xdr:row>2620</xdr:row>
      <xdr:rowOff>133350</xdr:rowOff>
    </xdr:to>
    <xdr:pic>
      <xdr:nvPicPr>
        <xdr:cNvPr id="10329" name="Picture@5C\QPendientes@" descr="@5C\QPendientes@">
          <a:extLst>
            <a:ext uri="{FF2B5EF4-FFF2-40B4-BE49-F238E27FC236}">
              <a16:creationId xmlns:a16="http://schemas.microsoft.com/office/drawing/2014/main" id="{991BB3BF-6B91-48BE-A20B-7488D50E9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133350</xdr:rowOff>
    </xdr:to>
    <xdr:pic>
      <xdr:nvPicPr>
        <xdr:cNvPr id="10330" name="Picture@5C\QPendientes@" descr="@5C\QPendientes@">
          <a:extLst>
            <a:ext uri="{FF2B5EF4-FFF2-40B4-BE49-F238E27FC236}">
              <a16:creationId xmlns:a16="http://schemas.microsoft.com/office/drawing/2014/main" id="{F9B51483-D7A6-499A-B515-4A0060BC1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3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2622</xdr:row>
      <xdr:rowOff>0</xdr:rowOff>
    </xdr:from>
    <xdr:to>
      <xdr:col>0</xdr:col>
      <xdr:colOff>171450</xdr:colOff>
      <xdr:row>2622</xdr:row>
      <xdr:rowOff>133350</xdr:rowOff>
    </xdr:to>
    <xdr:pic>
      <xdr:nvPicPr>
        <xdr:cNvPr id="10331" name="Picture@5C\QPendientes@" descr="@5C\QPendientes@">
          <a:extLst>
            <a:ext uri="{FF2B5EF4-FFF2-40B4-BE49-F238E27FC236}">
              <a16:creationId xmlns:a16="http://schemas.microsoft.com/office/drawing/2014/main" id="{27FAE01F-F2AA-43D8-B432-309223FDD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5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133350</xdr:rowOff>
    </xdr:to>
    <xdr:pic>
      <xdr:nvPicPr>
        <xdr:cNvPr id="10332" name="Picture@5C\QPendientes@" descr="@5C\QPendientes@">
          <a:extLst>
            <a:ext uri="{FF2B5EF4-FFF2-40B4-BE49-F238E27FC236}">
              <a16:creationId xmlns:a16="http://schemas.microsoft.com/office/drawing/2014/main" id="{182CCB79-81C9-4D4B-86AA-56AC512BF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6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133350</xdr:rowOff>
    </xdr:to>
    <xdr:pic>
      <xdr:nvPicPr>
        <xdr:cNvPr id="10333" name="Picture@5C\QPendientes@" descr="@5C\QPendientes@">
          <a:extLst>
            <a:ext uri="{FF2B5EF4-FFF2-40B4-BE49-F238E27FC236}">
              <a16:creationId xmlns:a16="http://schemas.microsoft.com/office/drawing/2014/main" id="{BB436E90-E748-4740-BA6A-F826BC5D8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8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2625</xdr:row>
      <xdr:rowOff>0</xdr:rowOff>
    </xdr:from>
    <xdr:to>
      <xdr:col>0</xdr:col>
      <xdr:colOff>171450</xdr:colOff>
      <xdr:row>2625</xdr:row>
      <xdr:rowOff>133350</xdr:rowOff>
    </xdr:to>
    <xdr:pic>
      <xdr:nvPicPr>
        <xdr:cNvPr id="10334" name="Picture@5C\QPendientes@" descr="@5C\QPendientes@">
          <a:extLst>
            <a:ext uri="{FF2B5EF4-FFF2-40B4-BE49-F238E27FC236}">
              <a16:creationId xmlns:a16="http://schemas.microsoft.com/office/drawing/2014/main" id="{3D19BD6D-B8AA-4A1D-8873-B037918A3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0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133350</xdr:rowOff>
    </xdr:to>
    <xdr:pic>
      <xdr:nvPicPr>
        <xdr:cNvPr id="10335" name="Picture@5C\QPendientes@" descr="@5C\QPendientes@">
          <a:extLst>
            <a:ext uri="{FF2B5EF4-FFF2-40B4-BE49-F238E27FC236}">
              <a16:creationId xmlns:a16="http://schemas.microsoft.com/office/drawing/2014/main" id="{95DA4611-063E-455C-8482-D933D96A38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2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133350</xdr:rowOff>
    </xdr:to>
    <xdr:pic>
      <xdr:nvPicPr>
        <xdr:cNvPr id="10336" name="Picture@5C\QPendientes@" descr="@5C\QPendientes@">
          <a:extLst>
            <a:ext uri="{FF2B5EF4-FFF2-40B4-BE49-F238E27FC236}">
              <a16:creationId xmlns:a16="http://schemas.microsoft.com/office/drawing/2014/main" id="{5EDC4502-4F07-492B-A220-5B97C8691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4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133350</xdr:rowOff>
    </xdr:to>
    <xdr:pic>
      <xdr:nvPicPr>
        <xdr:cNvPr id="10337" name="Picture@5C\QPendientes@" descr="@5C\QPendientes@">
          <a:extLst>
            <a:ext uri="{FF2B5EF4-FFF2-40B4-BE49-F238E27FC236}">
              <a16:creationId xmlns:a16="http://schemas.microsoft.com/office/drawing/2014/main" id="{DCCB86C9-5F47-4B5C-9ADC-4A16437EF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6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133350</xdr:rowOff>
    </xdr:to>
    <xdr:pic>
      <xdr:nvPicPr>
        <xdr:cNvPr id="10338" name="Picture@5C\QPendientes@" descr="@5C\QPendientes@">
          <a:extLst>
            <a:ext uri="{FF2B5EF4-FFF2-40B4-BE49-F238E27FC236}">
              <a16:creationId xmlns:a16="http://schemas.microsoft.com/office/drawing/2014/main" id="{0694C502-E9E3-4792-8B9F-10BB081DF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7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133350</xdr:rowOff>
    </xdr:to>
    <xdr:pic>
      <xdr:nvPicPr>
        <xdr:cNvPr id="10339" name="Picture@5C\QPendientes@" descr="@5C\QPendientes@">
          <a:extLst>
            <a:ext uri="{FF2B5EF4-FFF2-40B4-BE49-F238E27FC236}">
              <a16:creationId xmlns:a16="http://schemas.microsoft.com/office/drawing/2014/main" id="{70EC1A94-16CC-458B-83B9-0FE77FF58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133350</xdr:rowOff>
    </xdr:to>
    <xdr:pic>
      <xdr:nvPicPr>
        <xdr:cNvPr id="10340" name="Picture@5C\QPendientes@" descr="@5C\QPendientes@">
          <a:extLst>
            <a:ext uri="{FF2B5EF4-FFF2-40B4-BE49-F238E27FC236}">
              <a16:creationId xmlns:a16="http://schemas.microsoft.com/office/drawing/2014/main" id="{0D1D96C8-1AD6-49FC-BEC3-F4C2DA7C1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1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133350</xdr:rowOff>
    </xdr:to>
    <xdr:pic>
      <xdr:nvPicPr>
        <xdr:cNvPr id="10341" name="Picture@5C\QPendientes@" descr="@5C\QPendientes@">
          <a:extLst>
            <a:ext uri="{FF2B5EF4-FFF2-40B4-BE49-F238E27FC236}">
              <a16:creationId xmlns:a16="http://schemas.microsoft.com/office/drawing/2014/main" id="{2AF02963-F3EC-4086-AEE3-DD060809F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3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133350</xdr:rowOff>
    </xdr:to>
    <xdr:pic>
      <xdr:nvPicPr>
        <xdr:cNvPr id="10342" name="Picture@5C\QPendientes@" descr="@5C\QPendientes@">
          <a:extLst>
            <a:ext uri="{FF2B5EF4-FFF2-40B4-BE49-F238E27FC236}">
              <a16:creationId xmlns:a16="http://schemas.microsoft.com/office/drawing/2014/main" id="{D285CFA1-A92F-4CB1-9E93-F97D025DA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5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133350</xdr:rowOff>
    </xdr:to>
    <xdr:pic>
      <xdr:nvPicPr>
        <xdr:cNvPr id="10343" name="Picture@5C\QPendientes@" descr="@5C\QPendientes@">
          <a:extLst>
            <a:ext uri="{FF2B5EF4-FFF2-40B4-BE49-F238E27FC236}">
              <a16:creationId xmlns:a16="http://schemas.microsoft.com/office/drawing/2014/main" id="{05C0B2A1-1DCD-4054-92A0-C32422E52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7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2635</xdr:row>
      <xdr:rowOff>0</xdr:rowOff>
    </xdr:from>
    <xdr:to>
      <xdr:col>0</xdr:col>
      <xdr:colOff>171450</xdr:colOff>
      <xdr:row>2635</xdr:row>
      <xdr:rowOff>133350</xdr:rowOff>
    </xdr:to>
    <xdr:pic>
      <xdr:nvPicPr>
        <xdr:cNvPr id="10344" name="Picture@5C\QPendientes@" descr="@5C\QPendientes@">
          <a:extLst>
            <a:ext uri="{FF2B5EF4-FFF2-40B4-BE49-F238E27FC236}">
              <a16:creationId xmlns:a16="http://schemas.microsoft.com/office/drawing/2014/main" id="{D9C08A93-316F-43E7-AB43-91E701FDE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8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2636</xdr:row>
      <xdr:rowOff>0</xdr:rowOff>
    </xdr:from>
    <xdr:to>
      <xdr:col>0</xdr:col>
      <xdr:colOff>171450</xdr:colOff>
      <xdr:row>2636</xdr:row>
      <xdr:rowOff>133350</xdr:rowOff>
    </xdr:to>
    <xdr:pic>
      <xdr:nvPicPr>
        <xdr:cNvPr id="10345" name="Picture@5C\QPendientes@" descr="@5C\QPendientes@">
          <a:extLst>
            <a:ext uri="{FF2B5EF4-FFF2-40B4-BE49-F238E27FC236}">
              <a16:creationId xmlns:a16="http://schemas.microsoft.com/office/drawing/2014/main" id="{D1178453-2AA9-4A3D-9C43-E85BDA7999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0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133350</xdr:rowOff>
    </xdr:to>
    <xdr:pic>
      <xdr:nvPicPr>
        <xdr:cNvPr id="10346" name="Picture@5C\QPendientes@" descr="@5C\QPendientes@">
          <a:extLst>
            <a:ext uri="{FF2B5EF4-FFF2-40B4-BE49-F238E27FC236}">
              <a16:creationId xmlns:a16="http://schemas.microsoft.com/office/drawing/2014/main" id="{E04663F0-FF75-4B30-8EC7-5F8C8D5C0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2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2638</xdr:row>
      <xdr:rowOff>0</xdr:rowOff>
    </xdr:from>
    <xdr:to>
      <xdr:col>0</xdr:col>
      <xdr:colOff>171450</xdr:colOff>
      <xdr:row>2638</xdr:row>
      <xdr:rowOff>133350</xdr:rowOff>
    </xdr:to>
    <xdr:pic>
      <xdr:nvPicPr>
        <xdr:cNvPr id="10347" name="Picture@5C\QPendientes@" descr="@5C\QPendientes@">
          <a:extLst>
            <a:ext uri="{FF2B5EF4-FFF2-40B4-BE49-F238E27FC236}">
              <a16:creationId xmlns:a16="http://schemas.microsoft.com/office/drawing/2014/main" id="{38A744C7-8BE5-4D41-B810-3B6F6BCF8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4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133350</xdr:rowOff>
    </xdr:to>
    <xdr:pic>
      <xdr:nvPicPr>
        <xdr:cNvPr id="10348" name="Picture@5C\QPendientes@" descr="@5C\QPendientes@">
          <a:extLst>
            <a:ext uri="{FF2B5EF4-FFF2-40B4-BE49-F238E27FC236}">
              <a16:creationId xmlns:a16="http://schemas.microsoft.com/office/drawing/2014/main" id="{6F7A070E-F1B2-4B14-A7D5-0B13FD103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6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2640</xdr:row>
      <xdr:rowOff>0</xdr:rowOff>
    </xdr:from>
    <xdr:to>
      <xdr:col>0</xdr:col>
      <xdr:colOff>171450</xdr:colOff>
      <xdr:row>2640</xdr:row>
      <xdr:rowOff>133350</xdr:rowOff>
    </xdr:to>
    <xdr:pic>
      <xdr:nvPicPr>
        <xdr:cNvPr id="10349" name="Picture@5C\QPendientes@" descr="@5C\QPendientes@">
          <a:extLst>
            <a:ext uri="{FF2B5EF4-FFF2-40B4-BE49-F238E27FC236}">
              <a16:creationId xmlns:a16="http://schemas.microsoft.com/office/drawing/2014/main" id="{2E6C2A82-ACAC-4E54-88B0-06E471EDA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133350</xdr:rowOff>
    </xdr:to>
    <xdr:pic>
      <xdr:nvPicPr>
        <xdr:cNvPr id="10350" name="Picture@5C\QPendientes@" descr="@5C\QPendientes@">
          <a:extLst>
            <a:ext uri="{FF2B5EF4-FFF2-40B4-BE49-F238E27FC236}">
              <a16:creationId xmlns:a16="http://schemas.microsoft.com/office/drawing/2014/main" id="{8DEEA232-2D29-4D9E-96A7-760D1FAB0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9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133350</xdr:rowOff>
    </xdr:to>
    <xdr:pic>
      <xdr:nvPicPr>
        <xdr:cNvPr id="10351" name="Picture@5C\QPendientes@" descr="@5C\QPendientes@">
          <a:extLst>
            <a:ext uri="{FF2B5EF4-FFF2-40B4-BE49-F238E27FC236}">
              <a16:creationId xmlns:a16="http://schemas.microsoft.com/office/drawing/2014/main" id="{DA9099B8-1405-416E-A428-5DE7ACC3E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1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133350</xdr:rowOff>
    </xdr:to>
    <xdr:pic>
      <xdr:nvPicPr>
        <xdr:cNvPr id="10352" name="Picture@5C\QPendientes@" descr="@5C\QPendientes@">
          <a:extLst>
            <a:ext uri="{FF2B5EF4-FFF2-40B4-BE49-F238E27FC236}">
              <a16:creationId xmlns:a16="http://schemas.microsoft.com/office/drawing/2014/main" id="{C7EDDCD5-1F0F-43BB-95E7-D5FC50A28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3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133350</xdr:rowOff>
    </xdr:to>
    <xdr:pic>
      <xdr:nvPicPr>
        <xdr:cNvPr id="10353" name="Picture@5C\QPendientes@" descr="@5C\QPendientes@">
          <a:extLst>
            <a:ext uri="{FF2B5EF4-FFF2-40B4-BE49-F238E27FC236}">
              <a16:creationId xmlns:a16="http://schemas.microsoft.com/office/drawing/2014/main" id="{AF9062B6-7056-46B3-AB47-35C6971C6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5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2645</xdr:row>
      <xdr:rowOff>0</xdr:rowOff>
    </xdr:from>
    <xdr:to>
      <xdr:col>0</xdr:col>
      <xdr:colOff>171450</xdr:colOff>
      <xdr:row>2645</xdr:row>
      <xdr:rowOff>133350</xdr:rowOff>
    </xdr:to>
    <xdr:pic>
      <xdr:nvPicPr>
        <xdr:cNvPr id="10354" name="Picture@5C\QPendientes@" descr="@5C\QPendientes@">
          <a:extLst>
            <a:ext uri="{FF2B5EF4-FFF2-40B4-BE49-F238E27FC236}">
              <a16:creationId xmlns:a16="http://schemas.microsoft.com/office/drawing/2014/main" id="{65263E80-C251-484F-96A0-B50737299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7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133350</xdr:rowOff>
    </xdr:to>
    <xdr:pic>
      <xdr:nvPicPr>
        <xdr:cNvPr id="10355" name="Picture@5C\QPendientes@" descr="@5C\QPendientes@">
          <a:extLst>
            <a:ext uri="{FF2B5EF4-FFF2-40B4-BE49-F238E27FC236}">
              <a16:creationId xmlns:a16="http://schemas.microsoft.com/office/drawing/2014/main" id="{6C092B23-0BB6-4D80-A100-4D02960F1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9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133350</xdr:rowOff>
    </xdr:to>
    <xdr:pic>
      <xdr:nvPicPr>
        <xdr:cNvPr id="10356" name="Picture@5C\QPendientes@" descr="@5C\QPendientes@">
          <a:extLst>
            <a:ext uri="{FF2B5EF4-FFF2-40B4-BE49-F238E27FC236}">
              <a16:creationId xmlns:a16="http://schemas.microsoft.com/office/drawing/2014/main" id="{68B4AB47-BCD7-42AD-A31D-679EAA2B6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0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133350</xdr:rowOff>
    </xdr:to>
    <xdr:pic>
      <xdr:nvPicPr>
        <xdr:cNvPr id="10357" name="Picture@5C\QPendientes@" descr="@5C\QPendientes@">
          <a:extLst>
            <a:ext uri="{FF2B5EF4-FFF2-40B4-BE49-F238E27FC236}">
              <a16:creationId xmlns:a16="http://schemas.microsoft.com/office/drawing/2014/main" id="{F618B957-CACA-41FB-8B9C-D6F099A09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2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133350</xdr:rowOff>
    </xdr:to>
    <xdr:pic>
      <xdr:nvPicPr>
        <xdr:cNvPr id="10358" name="Picture@5C\QPendientes@" descr="@5C\QPendientes@">
          <a:extLst>
            <a:ext uri="{FF2B5EF4-FFF2-40B4-BE49-F238E27FC236}">
              <a16:creationId xmlns:a16="http://schemas.microsoft.com/office/drawing/2014/main" id="{E0E5F744-BC58-418B-A992-9DD59E8E7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4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2650</xdr:row>
      <xdr:rowOff>0</xdr:rowOff>
    </xdr:from>
    <xdr:to>
      <xdr:col>0</xdr:col>
      <xdr:colOff>171450</xdr:colOff>
      <xdr:row>2650</xdr:row>
      <xdr:rowOff>133350</xdr:rowOff>
    </xdr:to>
    <xdr:pic>
      <xdr:nvPicPr>
        <xdr:cNvPr id="10359" name="Picture@5C\QPendientes@" descr="@5C\QPendientes@">
          <a:extLst>
            <a:ext uri="{FF2B5EF4-FFF2-40B4-BE49-F238E27FC236}">
              <a16:creationId xmlns:a16="http://schemas.microsoft.com/office/drawing/2014/main" id="{18BBD409-2407-4F84-B08F-EEC3F83F7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2651</xdr:row>
      <xdr:rowOff>0</xdr:rowOff>
    </xdr:from>
    <xdr:to>
      <xdr:col>0</xdr:col>
      <xdr:colOff>171450</xdr:colOff>
      <xdr:row>2651</xdr:row>
      <xdr:rowOff>133350</xdr:rowOff>
    </xdr:to>
    <xdr:pic>
      <xdr:nvPicPr>
        <xdr:cNvPr id="10360" name="Picture@5C\QPendientes@" descr="@5C\QPendientes@">
          <a:extLst>
            <a:ext uri="{FF2B5EF4-FFF2-40B4-BE49-F238E27FC236}">
              <a16:creationId xmlns:a16="http://schemas.microsoft.com/office/drawing/2014/main" id="{3C0CDA92-BF09-49E2-B15A-48EA128B7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8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133350</xdr:rowOff>
    </xdr:to>
    <xdr:pic>
      <xdr:nvPicPr>
        <xdr:cNvPr id="10361" name="Picture@5C\QPendientes@" descr="@5C\QPendientes@">
          <a:extLst>
            <a:ext uri="{FF2B5EF4-FFF2-40B4-BE49-F238E27FC236}">
              <a16:creationId xmlns:a16="http://schemas.microsoft.com/office/drawing/2014/main" id="{A497C50E-737E-42BC-A697-69C619BC0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9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133350</xdr:rowOff>
    </xdr:to>
    <xdr:pic>
      <xdr:nvPicPr>
        <xdr:cNvPr id="10362" name="Picture@5C\QPendientes@" descr="@5C\QPendientes@">
          <a:extLst>
            <a:ext uri="{FF2B5EF4-FFF2-40B4-BE49-F238E27FC236}">
              <a16:creationId xmlns:a16="http://schemas.microsoft.com/office/drawing/2014/main" id="{9B0B3BA4-0084-4D8C-AFA6-7B88ADBC7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1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133350</xdr:rowOff>
    </xdr:to>
    <xdr:pic>
      <xdr:nvPicPr>
        <xdr:cNvPr id="10363" name="Picture@5C\QPendientes@" descr="@5C\QPendientes@">
          <a:extLst>
            <a:ext uri="{FF2B5EF4-FFF2-40B4-BE49-F238E27FC236}">
              <a16:creationId xmlns:a16="http://schemas.microsoft.com/office/drawing/2014/main" id="{719C8EF6-0DA3-4011-9B8E-75A7C608E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3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133350</xdr:rowOff>
    </xdr:to>
    <xdr:pic>
      <xdr:nvPicPr>
        <xdr:cNvPr id="10364" name="Picture@5C\QPendientes@" descr="@5C\QPendientes@">
          <a:extLst>
            <a:ext uri="{FF2B5EF4-FFF2-40B4-BE49-F238E27FC236}">
              <a16:creationId xmlns:a16="http://schemas.microsoft.com/office/drawing/2014/main" id="{F2DB1EF1-E26A-4D3C-83C0-6A2107F08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5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133350</xdr:rowOff>
    </xdr:to>
    <xdr:pic>
      <xdr:nvPicPr>
        <xdr:cNvPr id="10365" name="Picture@5C\QPendientes@" descr="@5C\QPendientes@">
          <a:extLst>
            <a:ext uri="{FF2B5EF4-FFF2-40B4-BE49-F238E27FC236}">
              <a16:creationId xmlns:a16="http://schemas.microsoft.com/office/drawing/2014/main" id="{25A30C39-C554-465B-A4F5-E53B5ED34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7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133350</xdr:rowOff>
    </xdr:to>
    <xdr:pic>
      <xdr:nvPicPr>
        <xdr:cNvPr id="10366" name="Picture@5C\QPendientes@" descr="@5C\QPendientes@">
          <a:extLst>
            <a:ext uri="{FF2B5EF4-FFF2-40B4-BE49-F238E27FC236}">
              <a16:creationId xmlns:a16="http://schemas.microsoft.com/office/drawing/2014/main" id="{67D54BF9-7A5E-4FA9-93A8-B56FA2720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9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133350</xdr:rowOff>
    </xdr:to>
    <xdr:pic>
      <xdr:nvPicPr>
        <xdr:cNvPr id="10367" name="Picture@5C\QPendientes@" descr="@5C\QPendientes@">
          <a:extLst>
            <a:ext uri="{FF2B5EF4-FFF2-40B4-BE49-F238E27FC236}">
              <a16:creationId xmlns:a16="http://schemas.microsoft.com/office/drawing/2014/main" id="{9446505D-67EB-4F45-834F-09B712DA7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0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133350</xdr:rowOff>
    </xdr:to>
    <xdr:pic>
      <xdr:nvPicPr>
        <xdr:cNvPr id="10368" name="Picture@5C\QPendientes@" descr="@5C\QPendientes@">
          <a:extLst>
            <a:ext uri="{FF2B5EF4-FFF2-40B4-BE49-F238E27FC236}">
              <a16:creationId xmlns:a16="http://schemas.microsoft.com/office/drawing/2014/main" id="{A8CA4E34-D489-4075-BD93-369DC0426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2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133350</xdr:rowOff>
    </xdr:to>
    <xdr:pic>
      <xdr:nvPicPr>
        <xdr:cNvPr id="10369" name="Picture@5C\QPendientes@" descr="@5C\QPendientes@">
          <a:extLst>
            <a:ext uri="{FF2B5EF4-FFF2-40B4-BE49-F238E27FC236}">
              <a16:creationId xmlns:a16="http://schemas.microsoft.com/office/drawing/2014/main" id="{7C62BAC2-F92F-45A6-9EC6-56716349E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133350</xdr:rowOff>
    </xdr:to>
    <xdr:pic>
      <xdr:nvPicPr>
        <xdr:cNvPr id="10370" name="Picture@5C\QPendientes@" descr="@5C\QPendientes@">
          <a:extLst>
            <a:ext uri="{FF2B5EF4-FFF2-40B4-BE49-F238E27FC236}">
              <a16:creationId xmlns:a16="http://schemas.microsoft.com/office/drawing/2014/main" id="{7D7BF11A-1869-4CD8-9EFE-191876755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6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133350</xdr:rowOff>
    </xdr:to>
    <xdr:pic>
      <xdr:nvPicPr>
        <xdr:cNvPr id="10371" name="Picture@5C\QPendientes@" descr="@5C\QPendientes@">
          <a:extLst>
            <a:ext uri="{FF2B5EF4-FFF2-40B4-BE49-F238E27FC236}">
              <a16:creationId xmlns:a16="http://schemas.microsoft.com/office/drawing/2014/main" id="{0DF43F51-3EB8-4A6C-92E8-766A56067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8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2663</xdr:row>
      <xdr:rowOff>0</xdr:rowOff>
    </xdr:from>
    <xdr:to>
      <xdr:col>0</xdr:col>
      <xdr:colOff>171450</xdr:colOff>
      <xdr:row>2663</xdr:row>
      <xdr:rowOff>133350</xdr:rowOff>
    </xdr:to>
    <xdr:pic>
      <xdr:nvPicPr>
        <xdr:cNvPr id="10372" name="Picture@5C\QPendientes@" descr="@5C\QPendientes@">
          <a:extLst>
            <a:ext uri="{FF2B5EF4-FFF2-40B4-BE49-F238E27FC236}">
              <a16:creationId xmlns:a16="http://schemas.microsoft.com/office/drawing/2014/main" id="{D1C3EC4C-1880-4B04-A5CB-B989E4CFC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70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133350</xdr:rowOff>
    </xdr:to>
    <xdr:pic>
      <xdr:nvPicPr>
        <xdr:cNvPr id="10373" name="Picture@5C\QPendientes@" descr="@5C\QPendientes@">
          <a:extLst>
            <a:ext uri="{FF2B5EF4-FFF2-40B4-BE49-F238E27FC236}">
              <a16:creationId xmlns:a16="http://schemas.microsoft.com/office/drawing/2014/main" id="{623680DF-CA6F-4F89-992D-67C83A927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71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133350</xdr:rowOff>
    </xdr:to>
    <xdr:pic>
      <xdr:nvPicPr>
        <xdr:cNvPr id="10374" name="Picture@5C\QPendientes@" descr="@5C\QPendientes@">
          <a:extLst>
            <a:ext uri="{FF2B5EF4-FFF2-40B4-BE49-F238E27FC236}">
              <a16:creationId xmlns:a16="http://schemas.microsoft.com/office/drawing/2014/main" id="{A30BAE5F-AB9C-4D5D-9473-DE7EC934E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73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133350</xdr:rowOff>
    </xdr:to>
    <xdr:pic>
      <xdr:nvPicPr>
        <xdr:cNvPr id="10375" name="Picture@5C\QPendientes@" descr="@5C\QPendientes@">
          <a:extLst>
            <a:ext uri="{FF2B5EF4-FFF2-40B4-BE49-F238E27FC236}">
              <a16:creationId xmlns:a16="http://schemas.microsoft.com/office/drawing/2014/main" id="{96E42F51-A09B-4EE8-9AD8-CE5CF62CC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75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133350</xdr:rowOff>
    </xdr:to>
    <xdr:pic>
      <xdr:nvPicPr>
        <xdr:cNvPr id="10376" name="Picture@5C\QPendientes@" descr="@5C\QPendientes@">
          <a:extLst>
            <a:ext uri="{FF2B5EF4-FFF2-40B4-BE49-F238E27FC236}">
              <a16:creationId xmlns:a16="http://schemas.microsoft.com/office/drawing/2014/main" id="{0BADE6CA-4DEC-4B8B-9889-6AFAD01A0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77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133350</xdr:rowOff>
    </xdr:to>
    <xdr:pic>
      <xdr:nvPicPr>
        <xdr:cNvPr id="10377" name="Picture@5C\QPendientes@" descr="@5C\QPendientes@">
          <a:extLst>
            <a:ext uri="{FF2B5EF4-FFF2-40B4-BE49-F238E27FC236}">
              <a16:creationId xmlns:a16="http://schemas.microsoft.com/office/drawing/2014/main" id="{8BF7BB44-6DD4-4CDB-8502-F4C394DA1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79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133350</xdr:rowOff>
    </xdr:to>
    <xdr:pic>
      <xdr:nvPicPr>
        <xdr:cNvPr id="10378" name="Picture@5C\QPendientes@" descr="@5C\QPendientes@">
          <a:extLst>
            <a:ext uri="{FF2B5EF4-FFF2-40B4-BE49-F238E27FC236}">
              <a16:creationId xmlns:a16="http://schemas.microsoft.com/office/drawing/2014/main" id="{D0DF4410-A4F6-44D1-B42A-E800EEAB4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1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133350</xdr:rowOff>
    </xdr:to>
    <xdr:pic>
      <xdr:nvPicPr>
        <xdr:cNvPr id="10379" name="Picture@5C\QPendientes@" descr="@5C\QPendientes@">
          <a:extLst>
            <a:ext uri="{FF2B5EF4-FFF2-40B4-BE49-F238E27FC236}">
              <a16:creationId xmlns:a16="http://schemas.microsoft.com/office/drawing/2014/main" id="{B09E2BC2-AAFE-4307-BE2B-33A2F3CC1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133350</xdr:rowOff>
    </xdr:to>
    <xdr:pic>
      <xdr:nvPicPr>
        <xdr:cNvPr id="10380" name="Picture@5C\QPendientes@" descr="@5C\QPendientes@">
          <a:extLst>
            <a:ext uri="{FF2B5EF4-FFF2-40B4-BE49-F238E27FC236}">
              <a16:creationId xmlns:a16="http://schemas.microsoft.com/office/drawing/2014/main" id="{ADA2616E-6B64-4301-BA49-A3678E6B5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4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133350</xdr:rowOff>
    </xdr:to>
    <xdr:pic>
      <xdr:nvPicPr>
        <xdr:cNvPr id="10381" name="Picture@5C\QPendientes@" descr="@5C\QPendientes@">
          <a:extLst>
            <a:ext uri="{FF2B5EF4-FFF2-40B4-BE49-F238E27FC236}">
              <a16:creationId xmlns:a16="http://schemas.microsoft.com/office/drawing/2014/main" id="{4E1551F3-007A-46FC-8D10-4CAF0DDA1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6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133350</xdr:rowOff>
    </xdr:to>
    <xdr:pic>
      <xdr:nvPicPr>
        <xdr:cNvPr id="10382" name="Picture@5C\QPendientes@" descr="@5C\QPendientes@">
          <a:extLst>
            <a:ext uri="{FF2B5EF4-FFF2-40B4-BE49-F238E27FC236}">
              <a16:creationId xmlns:a16="http://schemas.microsoft.com/office/drawing/2014/main" id="{AC709F54-7430-462D-AD54-E67288615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8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133350</xdr:rowOff>
    </xdr:to>
    <xdr:pic>
      <xdr:nvPicPr>
        <xdr:cNvPr id="10383" name="Picture@5C\QPendientes@" descr="@5C\QPendientes@">
          <a:extLst>
            <a:ext uri="{FF2B5EF4-FFF2-40B4-BE49-F238E27FC236}">
              <a16:creationId xmlns:a16="http://schemas.microsoft.com/office/drawing/2014/main" id="{22554DC9-84CB-467E-AE86-F942A0D73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90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2675</xdr:row>
      <xdr:rowOff>0</xdr:rowOff>
    </xdr:from>
    <xdr:to>
      <xdr:col>0</xdr:col>
      <xdr:colOff>171450</xdr:colOff>
      <xdr:row>2675</xdr:row>
      <xdr:rowOff>133350</xdr:rowOff>
    </xdr:to>
    <xdr:pic>
      <xdr:nvPicPr>
        <xdr:cNvPr id="10384" name="Picture@5C\QPendientes@" descr="@5C\QPendientes@">
          <a:extLst>
            <a:ext uri="{FF2B5EF4-FFF2-40B4-BE49-F238E27FC236}">
              <a16:creationId xmlns:a16="http://schemas.microsoft.com/office/drawing/2014/main" id="{6E3F283D-37DC-4994-90C0-189B4C0FB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92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133350</xdr:rowOff>
    </xdr:to>
    <xdr:pic>
      <xdr:nvPicPr>
        <xdr:cNvPr id="10385" name="Picture@5C\QPendientes@" descr="@5C\QPendientes@">
          <a:extLst>
            <a:ext uri="{FF2B5EF4-FFF2-40B4-BE49-F238E27FC236}">
              <a16:creationId xmlns:a16="http://schemas.microsoft.com/office/drawing/2014/main" id="{B0E0DE0B-1B6C-4782-9274-CB89933F2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93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133350</xdr:rowOff>
    </xdr:to>
    <xdr:pic>
      <xdr:nvPicPr>
        <xdr:cNvPr id="10386" name="Picture@5C\QPendientes@" descr="@5C\QPendientes@">
          <a:extLst>
            <a:ext uri="{FF2B5EF4-FFF2-40B4-BE49-F238E27FC236}">
              <a16:creationId xmlns:a16="http://schemas.microsoft.com/office/drawing/2014/main" id="{0196ECD7-4661-45EF-9C00-1CE49D089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95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2678</xdr:row>
      <xdr:rowOff>0</xdr:rowOff>
    </xdr:from>
    <xdr:to>
      <xdr:col>0</xdr:col>
      <xdr:colOff>171450</xdr:colOff>
      <xdr:row>2678</xdr:row>
      <xdr:rowOff>133350</xdr:rowOff>
    </xdr:to>
    <xdr:pic>
      <xdr:nvPicPr>
        <xdr:cNvPr id="10387" name="Picture@5C\QPendientes@" descr="@5C\QPendientes@">
          <a:extLst>
            <a:ext uri="{FF2B5EF4-FFF2-40B4-BE49-F238E27FC236}">
              <a16:creationId xmlns:a16="http://schemas.microsoft.com/office/drawing/2014/main" id="{0795377E-1147-4BE3-B92A-65D3EC2FC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97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2679</xdr:row>
      <xdr:rowOff>0</xdr:rowOff>
    </xdr:from>
    <xdr:to>
      <xdr:col>0</xdr:col>
      <xdr:colOff>171450</xdr:colOff>
      <xdr:row>2679</xdr:row>
      <xdr:rowOff>133350</xdr:rowOff>
    </xdr:to>
    <xdr:pic>
      <xdr:nvPicPr>
        <xdr:cNvPr id="10388" name="Picture@5C\QPendientes@" descr="@5C\QPendientes@">
          <a:extLst>
            <a:ext uri="{FF2B5EF4-FFF2-40B4-BE49-F238E27FC236}">
              <a16:creationId xmlns:a16="http://schemas.microsoft.com/office/drawing/2014/main" id="{FC3E5ED8-B358-4649-8D8D-B487EF146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99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133350</xdr:rowOff>
    </xdr:to>
    <xdr:pic>
      <xdr:nvPicPr>
        <xdr:cNvPr id="10389" name="Picture@5C\QPendientes@" descr="@5C\QPendientes@">
          <a:extLst>
            <a:ext uri="{FF2B5EF4-FFF2-40B4-BE49-F238E27FC236}">
              <a16:creationId xmlns:a16="http://schemas.microsoft.com/office/drawing/2014/main" id="{026916CD-7460-4FAF-B9BE-0752BF632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133350</xdr:rowOff>
    </xdr:to>
    <xdr:pic>
      <xdr:nvPicPr>
        <xdr:cNvPr id="10390" name="Picture@5C\QPendientes@" descr="@5C\QPendientes@">
          <a:extLst>
            <a:ext uri="{FF2B5EF4-FFF2-40B4-BE49-F238E27FC236}">
              <a16:creationId xmlns:a16="http://schemas.microsoft.com/office/drawing/2014/main" id="{12B35249-1E9C-4E47-BB82-293DF7EF8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3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133350</xdr:rowOff>
    </xdr:to>
    <xdr:pic>
      <xdr:nvPicPr>
        <xdr:cNvPr id="10391" name="Picture@5C\QPendientes@" descr="@5C\QPendientes@">
          <a:extLst>
            <a:ext uri="{FF2B5EF4-FFF2-40B4-BE49-F238E27FC236}">
              <a16:creationId xmlns:a16="http://schemas.microsoft.com/office/drawing/2014/main" id="{75C03D27-EBE0-4309-B847-0D3C89DD0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4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2683</xdr:row>
      <xdr:rowOff>0</xdr:rowOff>
    </xdr:from>
    <xdr:to>
      <xdr:col>0</xdr:col>
      <xdr:colOff>171450</xdr:colOff>
      <xdr:row>2683</xdr:row>
      <xdr:rowOff>133350</xdr:rowOff>
    </xdr:to>
    <xdr:pic>
      <xdr:nvPicPr>
        <xdr:cNvPr id="10392" name="Picture@5C\QPendientes@" descr="@5C\QPendientes@">
          <a:extLst>
            <a:ext uri="{FF2B5EF4-FFF2-40B4-BE49-F238E27FC236}">
              <a16:creationId xmlns:a16="http://schemas.microsoft.com/office/drawing/2014/main" id="{14442E4F-3E42-4BE1-8B94-6E4EAC82F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6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2684</xdr:row>
      <xdr:rowOff>0</xdr:rowOff>
    </xdr:from>
    <xdr:to>
      <xdr:col>0</xdr:col>
      <xdr:colOff>171450</xdr:colOff>
      <xdr:row>2684</xdr:row>
      <xdr:rowOff>133350</xdr:rowOff>
    </xdr:to>
    <xdr:pic>
      <xdr:nvPicPr>
        <xdr:cNvPr id="10393" name="Picture@5C\QPendientes@" descr="@5C\QPendientes@">
          <a:extLst>
            <a:ext uri="{FF2B5EF4-FFF2-40B4-BE49-F238E27FC236}">
              <a16:creationId xmlns:a16="http://schemas.microsoft.com/office/drawing/2014/main" id="{E7E47FD9-D34A-499A-9200-9CA8A6076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8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133350</xdr:rowOff>
    </xdr:to>
    <xdr:pic>
      <xdr:nvPicPr>
        <xdr:cNvPr id="10394" name="Picture@5C\QPendientes@" descr="@5C\QPendientes@">
          <a:extLst>
            <a:ext uri="{FF2B5EF4-FFF2-40B4-BE49-F238E27FC236}">
              <a16:creationId xmlns:a16="http://schemas.microsoft.com/office/drawing/2014/main" id="{BA3450EB-4E08-49E2-8842-B400248DD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0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133350</xdr:rowOff>
    </xdr:to>
    <xdr:pic>
      <xdr:nvPicPr>
        <xdr:cNvPr id="10395" name="Picture@5C\QPendientes@" descr="@5C\QPendientes@">
          <a:extLst>
            <a:ext uri="{FF2B5EF4-FFF2-40B4-BE49-F238E27FC236}">
              <a16:creationId xmlns:a16="http://schemas.microsoft.com/office/drawing/2014/main" id="{C820CD6D-1B29-4D83-B21B-6002E5716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2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133350</xdr:rowOff>
    </xdr:to>
    <xdr:pic>
      <xdr:nvPicPr>
        <xdr:cNvPr id="10396" name="Picture@5C\QPendientes@" descr="@5C\QPendientes@">
          <a:extLst>
            <a:ext uri="{FF2B5EF4-FFF2-40B4-BE49-F238E27FC236}">
              <a16:creationId xmlns:a16="http://schemas.microsoft.com/office/drawing/2014/main" id="{51119755-C280-4482-938D-B76B922724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3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133350</xdr:rowOff>
    </xdr:to>
    <xdr:pic>
      <xdr:nvPicPr>
        <xdr:cNvPr id="10397" name="Picture@5C\QPendientes@" descr="@5C\QPendientes@">
          <a:extLst>
            <a:ext uri="{FF2B5EF4-FFF2-40B4-BE49-F238E27FC236}">
              <a16:creationId xmlns:a16="http://schemas.microsoft.com/office/drawing/2014/main" id="{A1240E62-1D4B-4AAC-A035-23C69E87D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5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133350</xdr:rowOff>
    </xdr:to>
    <xdr:pic>
      <xdr:nvPicPr>
        <xdr:cNvPr id="10398" name="Picture@5C\QPendientes@" descr="@5C\QPendientes@">
          <a:extLst>
            <a:ext uri="{FF2B5EF4-FFF2-40B4-BE49-F238E27FC236}">
              <a16:creationId xmlns:a16="http://schemas.microsoft.com/office/drawing/2014/main" id="{92EB0D6D-0F98-41D6-9FF9-AD6B4AA10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7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133350</xdr:rowOff>
    </xdr:to>
    <xdr:pic>
      <xdr:nvPicPr>
        <xdr:cNvPr id="10399" name="Picture@5C\QPendientes@" descr="@5C\QPendientes@">
          <a:extLst>
            <a:ext uri="{FF2B5EF4-FFF2-40B4-BE49-F238E27FC236}">
              <a16:creationId xmlns:a16="http://schemas.microsoft.com/office/drawing/2014/main" id="{73EB3E3F-AC95-405A-9B6E-13910760D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2691</xdr:row>
      <xdr:rowOff>0</xdr:rowOff>
    </xdr:from>
    <xdr:to>
      <xdr:col>0</xdr:col>
      <xdr:colOff>171450</xdr:colOff>
      <xdr:row>2691</xdr:row>
      <xdr:rowOff>133350</xdr:rowOff>
    </xdr:to>
    <xdr:pic>
      <xdr:nvPicPr>
        <xdr:cNvPr id="10400" name="Picture@5C\QPendientes@" descr="@5C\QPendientes@">
          <a:extLst>
            <a:ext uri="{FF2B5EF4-FFF2-40B4-BE49-F238E27FC236}">
              <a16:creationId xmlns:a16="http://schemas.microsoft.com/office/drawing/2014/main" id="{A9C32164-5317-48F0-9A7A-83CE61FC8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1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2692</xdr:row>
      <xdr:rowOff>0</xdr:rowOff>
    </xdr:from>
    <xdr:to>
      <xdr:col>0</xdr:col>
      <xdr:colOff>171450</xdr:colOff>
      <xdr:row>2692</xdr:row>
      <xdr:rowOff>133350</xdr:rowOff>
    </xdr:to>
    <xdr:pic>
      <xdr:nvPicPr>
        <xdr:cNvPr id="10401" name="Picture@5C\QPendientes@" descr="@5C\QPendientes@">
          <a:extLst>
            <a:ext uri="{FF2B5EF4-FFF2-40B4-BE49-F238E27FC236}">
              <a16:creationId xmlns:a16="http://schemas.microsoft.com/office/drawing/2014/main" id="{6B1CC490-71FB-4CE0-A006-86E93453E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3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133350</xdr:rowOff>
    </xdr:to>
    <xdr:pic>
      <xdr:nvPicPr>
        <xdr:cNvPr id="10402" name="Picture@5C\QPendientes@" descr="@5C\QPendientes@">
          <a:extLst>
            <a:ext uri="{FF2B5EF4-FFF2-40B4-BE49-F238E27FC236}">
              <a16:creationId xmlns:a16="http://schemas.microsoft.com/office/drawing/2014/main" id="{2C90D2E9-19FE-48C7-82D2-7324C1E12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4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133350</xdr:rowOff>
    </xdr:to>
    <xdr:pic>
      <xdr:nvPicPr>
        <xdr:cNvPr id="10403" name="Picture@5C\QPendientes@" descr="@5C\QPendientes@">
          <a:extLst>
            <a:ext uri="{FF2B5EF4-FFF2-40B4-BE49-F238E27FC236}">
              <a16:creationId xmlns:a16="http://schemas.microsoft.com/office/drawing/2014/main" id="{C238E517-0DAA-4AA4-A234-6A7D8A5CE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6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133350</xdr:rowOff>
    </xdr:to>
    <xdr:pic>
      <xdr:nvPicPr>
        <xdr:cNvPr id="10404" name="Picture@5C\QPendientes@" descr="@5C\QPendientes@">
          <a:extLst>
            <a:ext uri="{FF2B5EF4-FFF2-40B4-BE49-F238E27FC236}">
              <a16:creationId xmlns:a16="http://schemas.microsoft.com/office/drawing/2014/main" id="{783A340F-7EFF-4E53-89B8-FD3119714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8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2696</xdr:row>
      <xdr:rowOff>0</xdr:rowOff>
    </xdr:from>
    <xdr:to>
      <xdr:col>0</xdr:col>
      <xdr:colOff>171450</xdr:colOff>
      <xdr:row>2696</xdr:row>
      <xdr:rowOff>133350</xdr:rowOff>
    </xdr:to>
    <xdr:pic>
      <xdr:nvPicPr>
        <xdr:cNvPr id="10405" name="Picture@5C\QPendientes@" descr="@5C\QPendientes@">
          <a:extLst>
            <a:ext uri="{FF2B5EF4-FFF2-40B4-BE49-F238E27FC236}">
              <a16:creationId xmlns:a16="http://schemas.microsoft.com/office/drawing/2014/main" id="{FBE53EB3-359E-49FC-B6F1-C084DC12C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0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2697</xdr:row>
      <xdr:rowOff>0</xdr:rowOff>
    </xdr:from>
    <xdr:to>
      <xdr:col>0</xdr:col>
      <xdr:colOff>171450</xdr:colOff>
      <xdr:row>2697</xdr:row>
      <xdr:rowOff>133350</xdr:rowOff>
    </xdr:to>
    <xdr:pic>
      <xdr:nvPicPr>
        <xdr:cNvPr id="10406" name="Picture@5C\QPendientes@" descr="@5C\QPendientes@">
          <a:extLst>
            <a:ext uri="{FF2B5EF4-FFF2-40B4-BE49-F238E27FC236}">
              <a16:creationId xmlns:a16="http://schemas.microsoft.com/office/drawing/2014/main" id="{4F114394-59FF-4F8E-A450-83634CB68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2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2698</xdr:row>
      <xdr:rowOff>0</xdr:rowOff>
    </xdr:from>
    <xdr:to>
      <xdr:col>0</xdr:col>
      <xdr:colOff>171450</xdr:colOff>
      <xdr:row>2698</xdr:row>
      <xdr:rowOff>133350</xdr:rowOff>
    </xdr:to>
    <xdr:pic>
      <xdr:nvPicPr>
        <xdr:cNvPr id="10407" name="Picture@5C\QPendientes@" descr="@5C\QPendientes@">
          <a:extLst>
            <a:ext uri="{FF2B5EF4-FFF2-40B4-BE49-F238E27FC236}">
              <a16:creationId xmlns:a16="http://schemas.microsoft.com/office/drawing/2014/main" id="{17E72592-C2AA-4BF2-B262-8902F6558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4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133350</xdr:rowOff>
    </xdr:to>
    <xdr:pic>
      <xdr:nvPicPr>
        <xdr:cNvPr id="10408" name="Picture@5C\QPendientes@" descr="@5C\QPendientes@">
          <a:extLst>
            <a:ext uri="{FF2B5EF4-FFF2-40B4-BE49-F238E27FC236}">
              <a16:creationId xmlns:a16="http://schemas.microsoft.com/office/drawing/2014/main" id="{77838988-4D3F-43DA-9CC3-FE37799CA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5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2700</xdr:row>
      <xdr:rowOff>0</xdr:rowOff>
    </xdr:from>
    <xdr:to>
      <xdr:col>0</xdr:col>
      <xdr:colOff>171450</xdr:colOff>
      <xdr:row>2700</xdr:row>
      <xdr:rowOff>133350</xdr:rowOff>
    </xdr:to>
    <xdr:pic>
      <xdr:nvPicPr>
        <xdr:cNvPr id="10409" name="Picture@5C\QPendientes@" descr="@5C\QPendientes@">
          <a:extLst>
            <a:ext uri="{FF2B5EF4-FFF2-40B4-BE49-F238E27FC236}">
              <a16:creationId xmlns:a16="http://schemas.microsoft.com/office/drawing/2014/main" id="{5BEEBD43-7E76-45D0-98DF-62AD6AA50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133350</xdr:rowOff>
    </xdr:to>
    <xdr:pic>
      <xdr:nvPicPr>
        <xdr:cNvPr id="10410" name="Picture@5C\QPendientes@" descr="@5C\QPendientes@">
          <a:extLst>
            <a:ext uri="{FF2B5EF4-FFF2-40B4-BE49-F238E27FC236}">
              <a16:creationId xmlns:a16="http://schemas.microsoft.com/office/drawing/2014/main" id="{6B44BD38-8E04-4193-82AC-78EFE4A9C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9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2702</xdr:row>
      <xdr:rowOff>0</xdr:rowOff>
    </xdr:from>
    <xdr:to>
      <xdr:col>0</xdr:col>
      <xdr:colOff>171450</xdr:colOff>
      <xdr:row>2702</xdr:row>
      <xdr:rowOff>133350</xdr:rowOff>
    </xdr:to>
    <xdr:pic>
      <xdr:nvPicPr>
        <xdr:cNvPr id="10411" name="Picture@5C\QPendientes@" descr="@5C\QPendientes@">
          <a:extLst>
            <a:ext uri="{FF2B5EF4-FFF2-40B4-BE49-F238E27FC236}">
              <a16:creationId xmlns:a16="http://schemas.microsoft.com/office/drawing/2014/main" id="{348C5334-953B-4782-BC23-BD09AC5CE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41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2703</xdr:row>
      <xdr:rowOff>0</xdr:rowOff>
    </xdr:from>
    <xdr:to>
      <xdr:col>0</xdr:col>
      <xdr:colOff>171450</xdr:colOff>
      <xdr:row>2703</xdr:row>
      <xdr:rowOff>133350</xdr:rowOff>
    </xdr:to>
    <xdr:pic>
      <xdr:nvPicPr>
        <xdr:cNvPr id="10412" name="Picture@5C\QPendientes@" descr="@5C\QPendientes@">
          <a:extLst>
            <a:ext uri="{FF2B5EF4-FFF2-40B4-BE49-F238E27FC236}">
              <a16:creationId xmlns:a16="http://schemas.microsoft.com/office/drawing/2014/main" id="{431764A9-7456-470B-8C73-BC1E7268C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43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133350</xdr:rowOff>
    </xdr:to>
    <xdr:pic>
      <xdr:nvPicPr>
        <xdr:cNvPr id="10413" name="Picture@5C\QPendientes@" descr="@5C\QPendientes@">
          <a:extLst>
            <a:ext uri="{FF2B5EF4-FFF2-40B4-BE49-F238E27FC236}">
              <a16:creationId xmlns:a16="http://schemas.microsoft.com/office/drawing/2014/main" id="{D2E96529-6B5F-43BF-B598-59D18C8A74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45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2705</xdr:row>
      <xdr:rowOff>0</xdr:rowOff>
    </xdr:from>
    <xdr:to>
      <xdr:col>0</xdr:col>
      <xdr:colOff>171450</xdr:colOff>
      <xdr:row>2705</xdr:row>
      <xdr:rowOff>133350</xdr:rowOff>
    </xdr:to>
    <xdr:pic>
      <xdr:nvPicPr>
        <xdr:cNvPr id="10414" name="Picture@5C\QPendientes@" descr="@5C\QPendientes@">
          <a:extLst>
            <a:ext uri="{FF2B5EF4-FFF2-40B4-BE49-F238E27FC236}">
              <a16:creationId xmlns:a16="http://schemas.microsoft.com/office/drawing/2014/main" id="{074924A3-7BFA-41B1-947E-64B2A704D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46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133350</xdr:rowOff>
    </xdr:to>
    <xdr:pic>
      <xdr:nvPicPr>
        <xdr:cNvPr id="10415" name="Picture@5C\QPendientes@" descr="@5C\QPendientes@">
          <a:extLst>
            <a:ext uri="{FF2B5EF4-FFF2-40B4-BE49-F238E27FC236}">
              <a16:creationId xmlns:a16="http://schemas.microsoft.com/office/drawing/2014/main" id="{060FB64A-69EF-4EBC-9649-BA80C24EF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48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133350</xdr:rowOff>
    </xdr:to>
    <xdr:pic>
      <xdr:nvPicPr>
        <xdr:cNvPr id="10416" name="Picture@5C\QPendientes@" descr="@5C\QPendientes@">
          <a:extLst>
            <a:ext uri="{FF2B5EF4-FFF2-40B4-BE49-F238E27FC236}">
              <a16:creationId xmlns:a16="http://schemas.microsoft.com/office/drawing/2014/main" id="{4BCC914B-0F28-4726-A369-0C0451AFBF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0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2708</xdr:row>
      <xdr:rowOff>0</xdr:rowOff>
    </xdr:from>
    <xdr:to>
      <xdr:col>0</xdr:col>
      <xdr:colOff>171450</xdr:colOff>
      <xdr:row>2708</xdr:row>
      <xdr:rowOff>133350</xdr:rowOff>
    </xdr:to>
    <xdr:pic>
      <xdr:nvPicPr>
        <xdr:cNvPr id="10417" name="Picture@5C\QPendientes@" descr="@5C\QPendientes@">
          <a:extLst>
            <a:ext uri="{FF2B5EF4-FFF2-40B4-BE49-F238E27FC236}">
              <a16:creationId xmlns:a16="http://schemas.microsoft.com/office/drawing/2014/main" id="{0A9CB0AD-F5D0-42EB-8F16-B82B16F2C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2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133350</xdr:rowOff>
    </xdr:to>
    <xdr:pic>
      <xdr:nvPicPr>
        <xdr:cNvPr id="10418" name="Picture@5C\QPendientes@" descr="@5C\QPendientes@">
          <a:extLst>
            <a:ext uri="{FF2B5EF4-FFF2-40B4-BE49-F238E27FC236}">
              <a16:creationId xmlns:a16="http://schemas.microsoft.com/office/drawing/2014/main" id="{9F74316B-B6BD-4D29-BC0B-E20C7E114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4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2710</xdr:row>
      <xdr:rowOff>0</xdr:rowOff>
    </xdr:from>
    <xdr:to>
      <xdr:col>0</xdr:col>
      <xdr:colOff>171450</xdr:colOff>
      <xdr:row>2710</xdr:row>
      <xdr:rowOff>133350</xdr:rowOff>
    </xdr:to>
    <xdr:pic>
      <xdr:nvPicPr>
        <xdr:cNvPr id="10419" name="Picture@5C\QPendientes@" descr="@5C\QPendientes@">
          <a:extLst>
            <a:ext uri="{FF2B5EF4-FFF2-40B4-BE49-F238E27FC236}">
              <a16:creationId xmlns:a16="http://schemas.microsoft.com/office/drawing/2014/main" id="{C2845EF1-DE31-464E-B802-CD59C8ECE3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2711</xdr:row>
      <xdr:rowOff>0</xdr:rowOff>
    </xdr:from>
    <xdr:to>
      <xdr:col>0</xdr:col>
      <xdr:colOff>171450</xdr:colOff>
      <xdr:row>2711</xdr:row>
      <xdr:rowOff>133350</xdr:rowOff>
    </xdr:to>
    <xdr:pic>
      <xdr:nvPicPr>
        <xdr:cNvPr id="10420" name="Picture@5C\QPendientes@" descr="@5C\QPendientes@">
          <a:extLst>
            <a:ext uri="{FF2B5EF4-FFF2-40B4-BE49-F238E27FC236}">
              <a16:creationId xmlns:a16="http://schemas.microsoft.com/office/drawing/2014/main" id="{50BC00D6-F754-4BE0-A3E7-24CCFBEA4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7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2712</xdr:row>
      <xdr:rowOff>0</xdr:rowOff>
    </xdr:from>
    <xdr:to>
      <xdr:col>0</xdr:col>
      <xdr:colOff>171450</xdr:colOff>
      <xdr:row>2712</xdr:row>
      <xdr:rowOff>133350</xdr:rowOff>
    </xdr:to>
    <xdr:pic>
      <xdr:nvPicPr>
        <xdr:cNvPr id="10421" name="Picture@5C\QPendientes@" descr="@5C\QPendientes@">
          <a:extLst>
            <a:ext uri="{FF2B5EF4-FFF2-40B4-BE49-F238E27FC236}">
              <a16:creationId xmlns:a16="http://schemas.microsoft.com/office/drawing/2014/main" id="{5960A197-C4DD-4F14-BC73-A0CA1B0083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9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2713</xdr:row>
      <xdr:rowOff>0</xdr:rowOff>
    </xdr:from>
    <xdr:to>
      <xdr:col>0</xdr:col>
      <xdr:colOff>171450</xdr:colOff>
      <xdr:row>2713</xdr:row>
      <xdr:rowOff>133350</xdr:rowOff>
    </xdr:to>
    <xdr:pic>
      <xdr:nvPicPr>
        <xdr:cNvPr id="10422" name="Picture@5C\QPendientes@" descr="@5C\QPendientes@">
          <a:extLst>
            <a:ext uri="{FF2B5EF4-FFF2-40B4-BE49-F238E27FC236}">
              <a16:creationId xmlns:a16="http://schemas.microsoft.com/office/drawing/2014/main" id="{0D768941-0226-4148-AD1C-571182CEA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61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133350</xdr:rowOff>
    </xdr:to>
    <xdr:pic>
      <xdr:nvPicPr>
        <xdr:cNvPr id="10423" name="Picture@5C\QPendientes@" descr="@5C\QPendientes@">
          <a:extLst>
            <a:ext uri="{FF2B5EF4-FFF2-40B4-BE49-F238E27FC236}">
              <a16:creationId xmlns:a16="http://schemas.microsoft.com/office/drawing/2014/main" id="{69F37619-0673-44E9-B9C3-9AE1AD91B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63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133350</xdr:rowOff>
    </xdr:to>
    <xdr:pic>
      <xdr:nvPicPr>
        <xdr:cNvPr id="10424" name="Picture@5C\QPendientes@" descr="@5C\QPendientes@">
          <a:extLst>
            <a:ext uri="{FF2B5EF4-FFF2-40B4-BE49-F238E27FC236}">
              <a16:creationId xmlns:a16="http://schemas.microsoft.com/office/drawing/2014/main" id="{B5EE52C0-D0E5-4FC1-8A98-4CE921019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65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2716</xdr:row>
      <xdr:rowOff>0</xdr:rowOff>
    </xdr:from>
    <xdr:to>
      <xdr:col>0</xdr:col>
      <xdr:colOff>171450</xdr:colOff>
      <xdr:row>2716</xdr:row>
      <xdr:rowOff>133350</xdr:rowOff>
    </xdr:to>
    <xdr:pic>
      <xdr:nvPicPr>
        <xdr:cNvPr id="10425" name="Picture@5C\QPendientes@" descr="@5C\QPendientes@">
          <a:extLst>
            <a:ext uri="{FF2B5EF4-FFF2-40B4-BE49-F238E27FC236}">
              <a16:creationId xmlns:a16="http://schemas.microsoft.com/office/drawing/2014/main" id="{7559A477-3A44-4A7D-A2F4-E53569B9A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67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2717</xdr:row>
      <xdr:rowOff>0</xdr:rowOff>
    </xdr:from>
    <xdr:to>
      <xdr:col>0</xdr:col>
      <xdr:colOff>171450</xdr:colOff>
      <xdr:row>2717</xdr:row>
      <xdr:rowOff>133350</xdr:rowOff>
    </xdr:to>
    <xdr:pic>
      <xdr:nvPicPr>
        <xdr:cNvPr id="10426" name="Picture@5C\QPendientes@" descr="@5C\QPendientes@">
          <a:extLst>
            <a:ext uri="{FF2B5EF4-FFF2-40B4-BE49-F238E27FC236}">
              <a16:creationId xmlns:a16="http://schemas.microsoft.com/office/drawing/2014/main" id="{ACA53666-44F7-4A38-9610-57F1886E10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68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2718</xdr:row>
      <xdr:rowOff>0</xdr:rowOff>
    </xdr:from>
    <xdr:to>
      <xdr:col>0</xdr:col>
      <xdr:colOff>171450</xdr:colOff>
      <xdr:row>2718</xdr:row>
      <xdr:rowOff>133350</xdr:rowOff>
    </xdr:to>
    <xdr:pic>
      <xdr:nvPicPr>
        <xdr:cNvPr id="10427" name="Picture@5C\QPendientes@" descr="@5C\QPendientes@">
          <a:extLst>
            <a:ext uri="{FF2B5EF4-FFF2-40B4-BE49-F238E27FC236}">
              <a16:creationId xmlns:a16="http://schemas.microsoft.com/office/drawing/2014/main" id="{81F5B352-CA9B-492F-A4B6-AC194EF94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0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2719</xdr:row>
      <xdr:rowOff>0</xdr:rowOff>
    </xdr:from>
    <xdr:to>
      <xdr:col>0</xdr:col>
      <xdr:colOff>171450</xdr:colOff>
      <xdr:row>2719</xdr:row>
      <xdr:rowOff>133350</xdr:rowOff>
    </xdr:to>
    <xdr:pic>
      <xdr:nvPicPr>
        <xdr:cNvPr id="10428" name="Picture@5C\QPendientes@" descr="@5C\QPendientes@">
          <a:extLst>
            <a:ext uri="{FF2B5EF4-FFF2-40B4-BE49-F238E27FC236}">
              <a16:creationId xmlns:a16="http://schemas.microsoft.com/office/drawing/2014/main" id="{D8F52C82-569C-45F0-8CB2-2A446026D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2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133350</xdr:rowOff>
    </xdr:to>
    <xdr:pic>
      <xdr:nvPicPr>
        <xdr:cNvPr id="10429" name="Picture@5C\QPendientes@" descr="@5C\QPendientes@">
          <a:extLst>
            <a:ext uri="{FF2B5EF4-FFF2-40B4-BE49-F238E27FC236}">
              <a16:creationId xmlns:a16="http://schemas.microsoft.com/office/drawing/2014/main" id="{E9964FEF-9CEF-475B-98EF-61AD59062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2721</xdr:row>
      <xdr:rowOff>0</xdr:rowOff>
    </xdr:from>
    <xdr:to>
      <xdr:col>0</xdr:col>
      <xdr:colOff>171450</xdr:colOff>
      <xdr:row>2721</xdr:row>
      <xdr:rowOff>133350</xdr:rowOff>
    </xdr:to>
    <xdr:pic>
      <xdr:nvPicPr>
        <xdr:cNvPr id="10430" name="Picture@5C\QPendientes@" descr="@5C\QPendientes@">
          <a:extLst>
            <a:ext uri="{FF2B5EF4-FFF2-40B4-BE49-F238E27FC236}">
              <a16:creationId xmlns:a16="http://schemas.microsoft.com/office/drawing/2014/main" id="{90959CCA-DA0D-424D-8AEC-45E8AD38C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6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2722</xdr:row>
      <xdr:rowOff>0</xdr:rowOff>
    </xdr:from>
    <xdr:to>
      <xdr:col>0</xdr:col>
      <xdr:colOff>171450</xdr:colOff>
      <xdr:row>2722</xdr:row>
      <xdr:rowOff>133350</xdr:rowOff>
    </xdr:to>
    <xdr:pic>
      <xdr:nvPicPr>
        <xdr:cNvPr id="10431" name="Picture@5C\QPendientes@" descr="@5C\QPendientes@">
          <a:extLst>
            <a:ext uri="{FF2B5EF4-FFF2-40B4-BE49-F238E27FC236}">
              <a16:creationId xmlns:a16="http://schemas.microsoft.com/office/drawing/2014/main" id="{2695B237-4A4F-4831-8166-D97BE62F6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7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2723</xdr:row>
      <xdr:rowOff>0</xdr:rowOff>
    </xdr:from>
    <xdr:to>
      <xdr:col>0</xdr:col>
      <xdr:colOff>171450</xdr:colOff>
      <xdr:row>2723</xdr:row>
      <xdr:rowOff>133350</xdr:rowOff>
    </xdr:to>
    <xdr:pic>
      <xdr:nvPicPr>
        <xdr:cNvPr id="10432" name="Picture@5C\QPendientes@" descr="@5C\QPendientes@">
          <a:extLst>
            <a:ext uri="{FF2B5EF4-FFF2-40B4-BE49-F238E27FC236}">
              <a16:creationId xmlns:a16="http://schemas.microsoft.com/office/drawing/2014/main" id="{5E3F788C-3790-4A81-9B9C-8D9BB4A2D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9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2724</xdr:row>
      <xdr:rowOff>0</xdr:rowOff>
    </xdr:from>
    <xdr:to>
      <xdr:col>0</xdr:col>
      <xdr:colOff>171450</xdr:colOff>
      <xdr:row>2724</xdr:row>
      <xdr:rowOff>133350</xdr:rowOff>
    </xdr:to>
    <xdr:pic>
      <xdr:nvPicPr>
        <xdr:cNvPr id="10433" name="Picture@5C\QPendientes@" descr="@5C\QPendientes@">
          <a:extLst>
            <a:ext uri="{FF2B5EF4-FFF2-40B4-BE49-F238E27FC236}">
              <a16:creationId xmlns:a16="http://schemas.microsoft.com/office/drawing/2014/main" id="{533F6013-7A8A-46C1-A393-0735194EC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81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133350</xdr:rowOff>
    </xdr:to>
    <xdr:pic>
      <xdr:nvPicPr>
        <xdr:cNvPr id="10434" name="Picture@5C\QPendientes@" descr="@5C\QPendientes@">
          <a:extLst>
            <a:ext uri="{FF2B5EF4-FFF2-40B4-BE49-F238E27FC236}">
              <a16:creationId xmlns:a16="http://schemas.microsoft.com/office/drawing/2014/main" id="{B404324B-4C6A-4BD8-BFFA-21257A538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83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133350</xdr:rowOff>
    </xdr:to>
    <xdr:pic>
      <xdr:nvPicPr>
        <xdr:cNvPr id="10435" name="Picture@5C\QPendientes@" descr="@5C\QPendientes@">
          <a:extLst>
            <a:ext uri="{FF2B5EF4-FFF2-40B4-BE49-F238E27FC236}">
              <a16:creationId xmlns:a16="http://schemas.microsoft.com/office/drawing/2014/main" id="{ACEA0FB0-D503-48E3-849C-DEF0A6A54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85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133350</xdr:rowOff>
    </xdr:to>
    <xdr:pic>
      <xdr:nvPicPr>
        <xdr:cNvPr id="10436" name="Picture@5C\QPendientes@" descr="@5C\QPendientes@">
          <a:extLst>
            <a:ext uri="{FF2B5EF4-FFF2-40B4-BE49-F238E27FC236}">
              <a16:creationId xmlns:a16="http://schemas.microsoft.com/office/drawing/2014/main" id="{ADCA1C5F-431A-4386-B500-08EFFFE63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87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2728</xdr:row>
      <xdr:rowOff>0</xdr:rowOff>
    </xdr:from>
    <xdr:to>
      <xdr:col>0</xdr:col>
      <xdr:colOff>171450</xdr:colOff>
      <xdr:row>2728</xdr:row>
      <xdr:rowOff>133350</xdr:rowOff>
    </xdr:to>
    <xdr:pic>
      <xdr:nvPicPr>
        <xdr:cNvPr id="10437" name="Picture@5C\QPendientes@" descr="@5C\QPendientes@">
          <a:extLst>
            <a:ext uri="{FF2B5EF4-FFF2-40B4-BE49-F238E27FC236}">
              <a16:creationId xmlns:a16="http://schemas.microsoft.com/office/drawing/2014/main" id="{877D800D-F969-43C9-B2C2-9DAA2D720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88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2729</xdr:row>
      <xdr:rowOff>0</xdr:rowOff>
    </xdr:from>
    <xdr:to>
      <xdr:col>0</xdr:col>
      <xdr:colOff>171450</xdr:colOff>
      <xdr:row>2729</xdr:row>
      <xdr:rowOff>133350</xdr:rowOff>
    </xdr:to>
    <xdr:pic>
      <xdr:nvPicPr>
        <xdr:cNvPr id="10438" name="Picture@5C\QPendientes@" descr="@5C\QPendientes@">
          <a:extLst>
            <a:ext uri="{FF2B5EF4-FFF2-40B4-BE49-F238E27FC236}">
              <a16:creationId xmlns:a16="http://schemas.microsoft.com/office/drawing/2014/main" id="{9D3DC5E8-D047-4671-BC57-12956B3AB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0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133350</xdr:rowOff>
    </xdr:to>
    <xdr:pic>
      <xdr:nvPicPr>
        <xdr:cNvPr id="10439" name="Picture@5C\QPendientes@" descr="@5C\QPendientes@">
          <a:extLst>
            <a:ext uri="{FF2B5EF4-FFF2-40B4-BE49-F238E27FC236}">
              <a16:creationId xmlns:a16="http://schemas.microsoft.com/office/drawing/2014/main" id="{E4EE2CCC-F299-40D5-96C4-DF1D0AC23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2731</xdr:row>
      <xdr:rowOff>0</xdr:rowOff>
    </xdr:from>
    <xdr:to>
      <xdr:col>0</xdr:col>
      <xdr:colOff>171450</xdr:colOff>
      <xdr:row>2731</xdr:row>
      <xdr:rowOff>133350</xdr:rowOff>
    </xdr:to>
    <xdr:pic>
      <xdr:nvPicPr>
        <xdr:cNvPr id="10440" name="Picture@5C\QPendientes@" descr="@5C\QPendientes@">
          <a:extLst>
            <a:ext uri="{FF2B5EF4-FFF2-40B4-BE49-F238E27FC236}">
              <a16:creationId xmlns:a16="http://schemas.microsoft.com/office/drawing/2014/main" id="{1529CFFD-64D5-46E2-ACA8-38E79A434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4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2732</xdr:row>
      <xdr:rowOff>0</xdr:rowOff>
    </xdr:from>
    <xdr:to>
      <xdr:col>0</xdr:col>
      <xdr:colOff>171450</xdr:colOff>
      <xdr:row>2732</xdr:row>
      <xdr:rowOff>133350</xdr:rowOff>
    </xdr:to>
    <xdr:pic>
      <xdr:nvPicPr>
        <xdr:cNvPr id="10441" name="Picture@5C\QPendientes@" descr="@5C\QPendientes@">
          <a:extLst>
            <a:ext uri="{FF2B5EF4-FFF2-40B4-BE49-F238E27FC236}">
              <a16:creationId xmlns:a16="http://schemas.microsoft.com/office/drawing/2014/main" id="{BC1AABBF-2DC3-416C-98FB-222F3202A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6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2733</xdr:row>
      <xdr:rowOff>0</xdr:rowOff>
    </xdr:from>
    <xdr:to>
      <xdr:col>0</xdr:col>
      <xdr:colOff>171450</xdr:colOff>
      <xdr:row>2733</xdr:row>
      <xdr:rowOff>133350</xdr:rowOff>
    </xdr:to>
    <xdr:pic>
      <xdr:nvPicPr>
        <xdr:cNvPr id="10442" name="Picture@5C\QPendientes@" descr="@5C\QPendientes@">
          <a:extLst>
            <a:ext uri="{FF2B5EF4-FFF2-40B4-BE49-F238E27FC236}">
              <a16:creationId xmlns:a16="http://schemas.microsoft.com/office/drawing/2014/main" id="{E787951B-B20A-4B4D-BEE4-A5AA2CF34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8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2734</xdr:row>
      <xdr:rowOff>0</xdr:rowOff>
    </xdr:from>
    <xdr:to>
      <xdr:col>0</xdr:col>
      <xdr:colOff>171450</xdr:colOff>
      <xdr:row>2734</xdr:row>
      <xdr:rowOff>133350</xdr:rowOff>
    </xdr:to>
    <xdr:pic>
      <xdr:nvPicPr>
        <xdr:cNvPr id="10443" name="Picture@5C\QPendientes@" descr="@5C\QPendientes@">
          <a:extLst>
            <a:ext uri="{FF2B5EF4-FFF2-40B4-BE49-F238E27FC236}">
              <a16:creationId xmlns:a16="http://schemas.microsoft.com/office/drawing/2014/main" id="{0EBB9782-E592-4DAE-8C81-6AC18638D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9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2735</xdr:row>
      <xdr:rowOff>0</xdr:rowOff>
    </xdr:from>
    <xdr:to>
      <xdr:col>0</xdr:col>
      <xdr:colOff>171450</xdr:colOff>
      <xdr:row>2735</xdr:row>
      <xdr:rowOff>133350</xdr:rowOff>
    </xdr:to>
    <xdr:pic>
      <xdr:nvPicPr>
        <xdr:cNvPr id="10444" name="Picture@5C\QPendientes@" descr="@5C\QPendientes@">
          <a:extLst>
            <a:ext uri="{FF2B5EF4-FFF2-40B4-BE49-F238E27FC236}">
              <a16:creationId xmlns:a16="http://schemas.microsoft.com/office/drawing/2014/main" id="{F05B5AA5-5AEC-4C1C-B0AC-3F0289936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01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2736</xdr:row>
      <xdr:rowOff>0</xdr:rowOff>
    </xdr:from>
    <xdr:to>
      <xdr:col>0</xdr:col>
      <xdr:colOff>171450</xdr:colOff>
      <xdr:row>2736</xdr:row>
      <xdr:rowOff>133350</xdr:rowOff>
    </xdr:to>
    <xdr:pic>
      <xdr:nvPicPr>
        <xdr:cNvPr id="10445" name="Picture@5C\QPendientes@" descr="@5C\QPendientes@">
          <a:extLst>
            <a:ext uri="{FF2B5EF4-FFF2-40B4-BE49-F238E27FC236}">
              <a16:creationId xmlns:a16="http://schemas.microsoft.com/office/drawing/2014/main" id="{B795685F-D3AB-47B0-8C79-72207002F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03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2737</xdr:row>
      <xdr:rowOff>0</xdr:rowOff>
    </xdr:from>
    <xdr:to>
      <xdr:col>0</xdr:col>
      <xdr:colOff>171450</xdr:colOff>
      <xdr:row>2737</xdr:row>
      <xdr:rowOff>133350</xdr:rowOff>
    </xdr:to>
    <xdr:pic>
      <xdr:nvPicPr>
        <xdr:cNvPr id="10446" name="Picture@5C\QPendientes@" descr="@5C\QPendientes@">
          <a:extLst>
            <a:ext uri="{FF2B5EF4-FFF2-40B4-BE49-F238E27FC236}">
              <a16:creationId xmlns:a16="http://schemas.microsoft.com/office/drawing/2014/main" id="{B86F2FC5-0C75-4384-8B41-16EBD91B2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05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133350</xdr:rowOff>
    </xdr:to>
    <xdr:pic>
      <xdr:nvPicPr>
        <xdr:cNvPr id="10447" name="Picture@5C\QPendientes@" descr="@5C\QPendientes@">
          <a:extLst>
            <a:ext uri="{FF2B5EF4-FFF2-40B4-BE49-F238E27FC236}">
              <a16:creationId xmlns:a16="http://schemas.microsoft.com/office/drawing/2014/main" id="{37035D6A-94E3-434A-8893-23C580904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07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133350</xdr:rowOff>
    </xdr:to>
    <xdr:pic>
      <xdr:nvPicPr>
        <xdr:cNvPr id="10448" name="Picture@5C\QPendientes@" descr="@5C\QPendientes@">
          <a:extLst>
            <a:ext uri="{FF2B5EF4-FFF2-40B4-BE49-F238E27FC236}">
              <a16:creationId xmlns:a16="http://schemas.microsoft.com/office/drawing/2014/main" id="{6635D05B-F1CC-426A-8FCB-63BA3879B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09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133350</xdr:rowOff>
    </xdr:to>
    <xdr:pic>
      <xdr:nvPicPr>
        <xdr:cNvPr id="10449" name="Picture@5C\QPendientes@" descr="@5C\QPendientes@">
          <a:extLst>
            <a:ext uri="{FF2B5EF4-FFF2-40B4-BE49-F238E27FC236}">
              <a16:creationId xmlns:a16="http://schemas.microsoft.com/office/drawing/2014/main" id="{8A5B1757-B95D-462E-B9F5-7BAC50957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2741</xdr:row>
      <xdr:rowOff>0</xdr:rowOff>
    </xdr:from>
    <xdr:to>
      <xdr:col>0</xdr:col>
      <xdr:colOff>171450</xdr:colOff>
      <xdr:row>2741</xdr:row>
      <xdr:rowOff>133350</xdr:rowOff>
    </xdr:to>
    <xdr:pic>
      <xdr:nvPicPr>
        <xdr:cNvPr id="10450" name="Picture@5C\QPendientes@" descr="@5C\QPendientes@">
          <a:extLst>
            <a:ext uri="{FF2B5EF4-FFF2-40B4-BE49-F238E27FC236}">
              <a16:creationId xmlns:a16="http://schemas.microsoft.com/office/drawing/2014/main" id="{F7787AA9-D1EA-4FAE-952F-96AD96BB89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2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2742</xdr:row>
      <xdr:rowOff>0</xdr:rowOff>
    </xdr:from>
    <xdr:to>
      <xdr:col>0</xdr:col>
      <xdr:colOff>171450</xdr:colOff>
      <xdr:row>2742</xdr:row>
      <xdr:rowOff>133350</xdr:rowOff>
    </xdr:to>
    <xdr:pic>
      <xdr:nvPicPr>
        <xdr:cNvPr id="10451" name="Picture@5C\QPendientes@" descr="@5C\QPendientes@">
          <a:extLst>
            <a:ext uri="{FF2B5EF4-FFF2-40B4-BE49-F238E27FC236}">
              <a16:creationId xmlns:a16="http://schemas.microsoft.com/office/drawing/2014/main" id="{6461F928-ABDC-461A-993D-1E1D13B7C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4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133350</xdr:rowOff>
    </xdr:to>
    <xdr:pic>
      <xdr:nvPicPr>
        <xdr:cNvPr id="10452" name="Picture@5C\QPendientes@" descr="@5C\QPendientes@">
          <a:extLst>
            <a:ext uri="{FF2B5EF4-FFF2-40B4-BE49-F238E27FC236}">
              <a16:creationId xmlns:a16="http://schemas.microsoft.com/office/drawing/2014/main" id="{66AEBBD2-9ED1-40E7-9034-8D6A1AE25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6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133350</xdr:rowOff>
    </xdr:to>
    <xdr:pic>
      <xdr:nvPicPr>
        <xdr:cNvPr id="10453" name="Picture@5C\QPendientes@" descr="@5C\QPendientes@">
          <a:extLst>
            <a:ext uri="{FF2B5EF4-FFF2-40B4-BE49-F238E27FC236}">
              <a16:creationId xmlns:a16="http://schemas.microsoft.com/office/drawing/2014/main" id="{9D4CA961-CFBD-4BDC-9F95-39599D921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8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133350</xdr:rowOff>
    </xdr:to>
    <xdr:pic>
      <xdr:nvPicPr>
        <xdr:cNvPr id="10454" name="Picture@5C\QPendientes@" descr="@5C\QPendientes@">
          <a:extLst>
            <a:ext uri="{FF2B5EF4-FFF2-40B4-BE49-F238E27FC236}">
              <a16:creationId xmlns:a16="http://schemas.microsoft.com/office/drawing/2014/main" id="{565E196F-E210-4540-9E46-01BD42552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0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133350</xdr:rowOff>
    </xdr:to>
    <xdr:pic>
      <xdr:nvPicPr>
        <xdr:cNvPr id="10455" name="Picture@5C\QPendientes@" descr="@5C\QPendientes@">
          <a:extLst>
            <a:ext uri="{FF2B5EF4-FFF2-40B4-BE49-F238E27FC236}">
              <a16:creationId xmlns:a16="http://schemas.microsoft.com/office/drawing/2014/main" id="{0B1D4637-CF4D-4DBC-AAD8-2CD45D6B8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1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133350</xdr:rowOff>
    </xdr:to>
    <xdr:pic>
      <xdr:nvPicPr>
        <xdr:cNvPr id="10456" name="Picture@5C\QPendientes@" descr="@5C\QPendientes@">
          <a:extLst>
            <a:ext uri="{FF2B5EF4-FFF2-40B4-BE49-F238E27FC236}">
              <a16:creationId xmlns:a16="http://schemas.microsoft.com/office/drawing/2014/main" id="{F941991D-3919-4BBA-9370-7C0AD1F1A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3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2748</xdr:row>
      <xdr:rowOff>0</xdr:rowOff>
    </xdr:from>
    <xdr:to>
      <xdr:col>0</xdr:col>
      <xdr:colOff>171450</xdr:colOff>
      <xdr:row>2748</xdr:row>
      <xdr:rowOff>133350</xdr:rowOff>
    </xdr:to>
    <xdr:pic>
      <xdr:nvPicPr>
        <xdr:cNvPr id="10457" name="Picture@5C\QPendientes@" descr="@5C\QPendientes@">
          <a:extLst>
            <a:ext uri="{FF2B5EF4-FFF2-40B4-BE49-F238E27FC236}">
              <a16:creationId xmlns:a16="http://schemas.microsoft.com/office/drawing/2014/main" id="{436925BB-0A03-4456-974A-49DB2D369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5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133350</xdr:rowOff>
    </xdr:to>
    <xdr:pic>
      <xdr:nvPicPr>
        <xdr:cNvPr id="10458" name="Picture@5C\QPendientes@" descr="@5C\QPendientes@">
          <a:extLst>
            <a:ext uri="{FF2B5EF4-FFF2-40B4-BE49-F238E27FC236}">
              <a16:creationId xmlns:a16="http://schemas.microsoft.com/office/drawing/2014/main" id="{EBEFB14F-05B1-420E-9EED-270A9E93A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7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133350</xdr:rowOff>
    </xdr:to>
    <xdr:pic>
      <xdr:nvPicPr>
        <xdr:cNvPr id="10459" name="Picture@5C\QPendientes@" descr="@5C\QPendientes@">
          <a:extLst>
            <a:ext uri="{FF2B5EF4-FFF2-40B4-BE49-F238E27FC236}">
              <a16:creationId xmlns:a16="http://schemas.microsoft.com/office/drawing/2014/main" id="{D20E29C3-2B99-4A92-83C8-4D4336D6D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2751</xdr:row>
      <xdr:rowOff>0</xdr:rowOff>
    </xdr:from>
    <xdr:to>
      <xdr:col>0</xdr:col>
      <xdr:colOff>171450</xdr:colOff>
      <xdr:row>2751</xdr:row>
      <xdr:rowOff>133350</xdr:rowOff>
    </xdr:to>
    <xdr:pic>
      <xdr:nvPicPr>
        <xdr:cNvPr id="10460" name="Picture@5C\QPendientes@" descr="@5C\QPendientes@">
          <a:extLst>
            <a:ext uri="{FF2B5EF4-FFF2-40B4-BE49-F238E27FC236}">
              <a16:creationId xmlns:a16="http://schemas.microsoft.com/office/drawing/2014/main" id="{6EE0964A-2CE4-4046-A753-928A5A828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31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133350</xdr:rowOff>
    </xdr:to>
    <xdr:pic>
      <xdr:nvPicPr>
        <xdr:cNvPr id="10461" name="Picture@5C\QPendientes@" descr="@5C\QPendientes@">
          <a:extLst>
            <a:ext uri="{FF2B5EF4-FFF2-40B4-BE49-F238E27FC236}">
              <a16:creationId xmlns:a16="http://schemas.microsoft.com/office/drawing/2014/main" id="{8FE9675B-AB75-4905-B55A-909D354FB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32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2753</xdr:row>
      <xdr:rowOff>0</xdr:rowOff>
    </xdr:from>
    <xdr:to>
      <xdr:col>0</xdr:col>
      <xdr:colOff>171450</xdr:colOff>
      <xdr:row>2753</xdr:row>
      <xdr:rowOff>133350</xdr:rowOff>
    </xdr:to>
    <xdr:pic>
      <xdr:nvPicPr>
        <xdr:cNvPr id="10462" name="Picture@5C\QPendientes@" descr="@5C\QPendientes@">
          <a:extLst>
            <a:ext uri="{FF2B5EF4-FFF2-40B4-BE49-F238E27FC236}">
              <a16:creationId xmlns:a16="http://schemas.microsoft.com/office/drawing/2014/main" id="{50E793F4-084A-420F-AF9C-8C892272E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34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133350</xdr:rowOff>
    </xdr:to>
    <xdr:pic>
      <xdr:nvPicPr>
        <xdr:cNvPr id="10463" name="Picture@5C\QPendientes@" descr="@5C\QPendientes@">
          <a:extLst>
            <a:ext uri="{FF2B5EF4-FFF2-40B4-BE49-F238E27FC236}">
              <a16:creationId xmlns:a16="http://schemas.microsoft.com/office/drawing/2014/main" id="{FA393903-907C-422E-85B9-80FC8FE5D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36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2755</xdr:row>
      <xdr:rowOff>0</xdr:rowOff>
    </xdr:from>
    <xdr:to>
      <xdr:col>0</xdr:col>
      <xdr:colOff>171450</xdr:colOff>
      <xdr:row>2755</xdr:row>
      <xdr:rowOff>133350</xdr:rowOff>
    </xdr:to>
    <xdr:pic>
      <xdr:nvPicPr>
        <xdr:cNvPr id="10464" name="Picture@5C\QPendientes@" descr="@5C\QPendientes@">
          <a:extLst>
            <a:ext uri="{FF2B5EF4-FFF2-40B4-BE49-F238E27FC236}">
              <a16:creationId xmlns:a16="http://schemas.microsoft.com/office/drawing/2014/main" id="{4DF6C971-153C-486A-B42B-D38B20724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38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2756</xdr:row>
      <xdr:rowOff>0</xdr:rowOff>
    </xdr:from>
    <xdr:to>
      <xdr:col>0</xdr:col>
      <xdr:colOff>171450</xdr:colOff>
      <xdr:row>2756</xdr:row>
      <xdr:rowOff>133350</xdr:rowOff>
    </xdr:to>
    <xdr:pic>
      <xdr:nvPicPr>
        <xdr:cNvPr id="10465" name="Picture@5C\QPendientes@" descr="@5C\QPendientes@">
          <a:extLst>
            <a:ext uri="{FF2B5EF4-FFF2-40B4-BE49-F238E27FC236}">
              <a16:creationId xmlns:a16="http://schemas.microsoft.com/office/drawing/2014/main" id="{EF34770A-FDD6-4451-B7D5-51D72653C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0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2757</xdr:row>
      <xdr:rowOff>0</xdr:rowOff>
    </xdr:from>
    <xdr:to>
      <xdr:col>0</xdr:col>
      <xdr:colOff>171450</xdr:colOff>
      <xdr:row>2757</xdr:row>
      <xdr:rowOff>133350</xdr:rowOff>
    </xdr:to>
    <xdr:pic>
      <xdr:nvPicPr>
        <xdr:cNvPr id="10466" name="Picture@5C\QPendientes@" descr="@5C\QPendientes@">
          <a:extLst>
            <a:ext uri="{FF2B5EF4-FFF2-40B4-BE49-F238E27FC236}">
              <a16:creationId xmlns:a16="http://schemas.microsoft.com/office/drawing/2014/main" id="{873F9FB3-D1E5-4ACA-A265-739DA092B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2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2758</xdr:row>
      <xdr:rowOff>0</xdr:rowOff>
    </xdr:from>
    <xdr:to>
      <xdr:col>0</xdr:col>
      <xdr:colOff>171450</xdr:colOff>
      <xdr:row>2758</xdr:row>
      <xdr:rowOff>133350</xdr:rowOff>
    </xdr:to>
    <xdr:pic>
      <xdr:nvPicPr>
        <xdr:cNvPr id="10467" name="Picture@5C\QPendientes@" descr="@5C\QPendientes@">
          <a:extLst>
            <a:ext uri="{FF2B5EF4-FFF2-40B4-BE49-F238E27FC236}">
              <a16:creationId xmlns:a16="http://schemas.microsoft.com/office/drawing/2014/main" id="{2E194763-5161-4AA8-AD0F-3EB7EAB7F1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3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133350</xdr:rowOff>
    </xdr:to>
    <xdr:pic>
      <xdr:nvPicPr>
        <xdr:cNvPr id="10468" name="Picture@5C\QPendientes@" descr="@5C\QPendientes@">
          <a:extLst>
            <a:ext uri="{FF2B5EF4-FFF2-40B4-BE49-F238E27FC236}">
              <a16:creationId xmlns:a16="http://schemas.microsoft.com/office/drawing/2014/main" id="{66385040-64DC-4D67-A3F0-018037519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5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2760</xdr:row>
      <xdr:rowOff>0</xdr:rowOff>
    </xdr:from>
    <xdr:to>
      <xdr:col>0</xdr:col>
      <xdr:colOff>171450</xdr:colOff>
      <xdr:row>2760</xdr:row>
      <xdr:rowOff>133350</xdr:rowOff>
    </xdr:to>
    <xdr:pic>
      <xdr:nvPicPr>
        <xdr:cNvPr id="10469" name="Picture@5C\QPendientes@" descr="@5C\QPendientes@">
          <a:extLst>
            <a:ext uri="{FF2B5EF4-FFF2-40B4-BE49-F238E27FC236}">
              <a16:creationId xmlns:a16="http://schemas.microsoft.com/office/drawing/2014/main" id="{D52218CE-8E0F-4B07-A0B4-596521704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2761</xdr:row>
      <xdr:rowOff>0</xdr:rowOff>
    </xdr:from>
    <xdr:to>
      <xdr:col>0</xdr:col>
      <xdr:colOff>171450</xdr:colOff>
      <xdr:row>2761</xdr:row>
      <xdr:rowOff>133350</xdr:rowOff>
    </xdr:to>
    <xdr:pic>
      <xdr:nvPicPr>
        <xdr:cNvPr id="10470" name="Picture@5C\QPendientes@" descr="@5C\QPendientes@">
          <a:extLst>
            <a:ext uri="{FF2B5EF4-FFF2-40B4-BE49-F238E27FC236}">
              <a16:creationId xmlns:a16="http://schemas.microsoft.com/office/drawing/2014/main" id="{E1DFECC6-8D43-424E-834A-3D7289C4C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9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2762</xdr:row>
      <xdr:rowOff>0</xdr:rowOff>
    </xdr:from>
    <xdr:to>
      <xdr:col>0</xdr:col>
      <xdr:colOff>171450</xdr:colOff>
      <xdr:row>2762</xdr:row>
      <xdr:rowOff>133350</xdr:rowOff>
    </xdr:to>
    <xdr:pic>
      <xdr:nvPicPr>
        <xdr:cNvPr id="10471" name="Picture@5C\QPendientes@" descr="@5C\QPendientes@">
          <a:extLst>
            <a:ext uri="{FF2B5EF4-FFF2-40B4-BE49-F238E27FC236}">
              <a16:creationId xmlns:a16="http://schemas.microsoft.com/office/drawing/2014/main" id="{291A62C0-A719-4614-A45E-F53A14FD0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51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2763</xdr:row>
      <xdr:rowOff>0</xdr:rowOff>
    </xdr:from>
    <xdr:to>
      <xdr:col>0</xdr:col>
      <xdr:colOff>171450</xdr:colOff>
      <xdr:row>2763</xdr:row>
      <xdr:rowOff>133350</xdr:rowOff>
    </xdr:to>
    <xdr:pic>
      <xdr:nvPicPr>
        <xdr:cNvPr id="10472" name="Picture@5C\QPendientes@" descr="@5C\QPendientes@">
          <a:extLst>
            <a:ext uri="{FF2B5EF4-FFF2-40B4-BE49-F238E27FC236}">
              <a16:creationId xmlns:a16="http://schemas.microsoft.com/office/drawing/2014/main" id="{7B9DE9B6-760D-4C6B-A30E-BDD627EBE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52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133350</xdr:rowOff>
    </xdr:to>
    <xdr:pic>
      <xdr:nvPicPr>
        <xdr:cNvPr id="10473" name="Picture@5C\QPendientes@" descr="@5C\QPendientes@">
          <a:extLst>
            <a:ext uri="{FF2B5EF4-FFF2-40B4-BE49-F238E27FC236}">
              <a16:creationId xmlns:a16="http://schemas.microsoft.com/office/drawing/2014/main" id="{B779AA07-D811-4D93-8574-A3F8CACD1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54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2765</xdr:row>
      <xdr:rowOff>0</xdr:rowOff>
    </xdr:from>
    <xdr:to>
      <xdr:col>0</xdr:col>
      <xdr:colOff>171450</xdr:colOff>
      <xdr:row>2765</xdr:row>
      <xdr:rowOff>133350</xdr:rowOff>
    </xdr:to>
    <xdr:pic>
      <xdr:nvPicPr>
        <xdr:cNvPr id="10474" name="Picture@5C\QPendientes@" descr="@5C\QPendientes@">
          <a:extLst>
            <a:ext uri="{FF2B5EF4-FFF2-40B4-BE49-F238E27FC236}">
              <a16:creationId xmlns:a16="http://schemas.microsoft.com/office/drawing/2014/main" id="{5F90232B-AA88-48DF-BCCD-481F21A78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56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2766</xdr:row>
      <xdr:rowOff>0</xdr:rowOff>
    </xdr:from>
    <xdr:to>
      <xdr:col>0</xdr:col>
      <xdr:colOff>171450</xdr:colOff>
      <xdr:row>2766</xdr:row>
      <xdr:rowOff>133350</xdr:rowOff>
    </xdr:to>
    <xdr:pic>
      <xdr:nvPicPr>
        <xdr:cNvPr id="10475" name="Picture@5C\QPendientes@" descr="@5C\QPendientes@">
          <a:extLst>
            <a:ext uri="{FF2B5EF4-FFF2-40B4-BE49-F238E27FC236}">
              <a16:creationId xmlns:a16="http://schemas.microsoft.com/office/drawing/2014/main" id="{92B5ED10-99F7-448B-9828-3B692DB4C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58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2767</xdr:row>
      <xdr:rowOff>0</xdr:rowOff>
    </xdr:from>
    <xdr:to>
      <xdr:col>0</xdr:col>
      <xdr:colOff>171450</xdr:colOff>
      <xdr:row>2767</xdr:row>
      <xdr:rowOff>133350</xdr:rowOff>
    </xdr:to>
    <xdr:pic>
      <xdr:nvPicPr>
        <xdr:cNvPr id="10476" name="Picture@5C\QPendientes@" descr="@5C\QPendientes@">
          <a:extLst>
            <a:ext uri="{FF2B5EF4-FFF2-40B4-BE49-F238E27FC236}">
              <a16:creationId xmlns:a16="http://schemas.microsoft.com/office/drawing/2014/main" id="{8ECAE637-94A7-49E6-927D-D8679A41F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0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2768</xdr:row>
      <xdr:rowOff>0</xdr:rowOff>
    </xdr:from>
    <xdr:to>
      <xdr:col>0</xdr:col>
      <xdr:colOff>171450</xdr:colOff>
      <xdr:row>2768</xdr:row>
      <xdr:rowOff>133350</xdr:rowOff>
    </xdr:to>
    <xdr:pic>
      <xdr:nvPicPr>
        <xdr:cNvPr id="10477" name="Picture@5C\QPendientes@" descr="@5C\QPendientes@">
          <a:extLst>
            <a:ext uri="{FF2B5EF4-FFF2-40B4-BE49-F238E27FC236}">
              <a16:creationId xmlns:a16="http://schemas.microsoft.com/office/drawing/2014/main" id="{2744D27F-DB0D-49FA-8F33-82677EE5D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2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133350</xdr:rowOff>
    </xdr:to>
    <xdr:pic>
      <xdr:nvPicPr>
        <xdr:cNvPr id="10478" name="Picture@5C\QPendientes@" descr="@5C\QPendientes@">
          <a:extLst>
            <a:ext uri="{FF2B5EF4-FFF2-40B4-BE49-F238E27FC236}">
              <a16:creationId xmlns:a16="http://schemas.microsoft.com/office/drawing/2014/main" id="{7BB84D96-B76E-449D-B257-CB9FD129E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3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133350</xdr:rowOff>
    </xdr:to>
    <xdr:pic>
      <xdr:nvPicPr>
        <xdr:cNvPr id="10479" name="Picture@5C\QPendientes@" descr="@5C\QPendientes@">
          <a:extLst>
            <a:ext uri="{FF2B5EF4-FFF2-40B4-BE49-F238E27FC236}">
              <a16:creationId xmlns:a16="http://schemas.microsoft.com/office/drawing/2014/main" id="{A8C78AC6-D330-4C3F-8548-67F7F5885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2771</xdr:row>
      <xdr:rowOff>0</xdr:rowOff>
    </xdr:from>
    <xdr:to>
      <xdr:col>0</xdr:col>
      <xdr:colOff>171450</xdr:colOff>
      <xdr:row>2771</xdr:row>
      <xdr:rowOff>133350</xdr:rowOff>
    </xdr:to>
    <xdr:pic>
      <xdr:nvPicPr>
        <xdr:cNvPr id="10480" name="Picture@5C\QPendientes@" descr="@5C\QPendientes@">
          <a:extLst>
            <a:ext uri="{FF2B5EF4-FFF2-40B4-BE49-F238E27FC236}">
              <a16:creationId xmlns:a16="http://schemas.microsoft.com/office/drawing/2014/main" id="{4DD65057-64AB-402F-A719-A8C40BE5A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7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2772</xdr:row>
      <xdr:rowOff>0</xdr:rowOff>
    </xdr:from>
    <xdr:to>
      <xdr:col>0</xdr:col>
      <xdr:colOff>171450</xdr:colOff>
      <xdr:row>2772</xdr:row>
      <xdr:rowOff>133350</xdr:rowOff>
    </xdr:to>
    <xdr:pic>
      <xdr:nvPicPr>
        <xdr:cNvPr id="10481" name="Picture@5C\QPendientes@" descr="@5C\QPendientes@">
          <a:extLst>
            <a:ext uri="{FF2B5EF4-FFF2-40B4-BE49-F238E27FC236}">
              <a16:creationId xmlns:a16="http://schemas.microsoft.com/office/drawing/2014/main" id="{119C254A-076A-494E-B2FA-D50165FDD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9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2773</xdr:row>
      <xdr:rowOff>0</xdr:rowOff>
    </xdr:from>
    <xdr:to>
      <xdr:col>0</xdr:col>
      <xdr:colOff>171450</xdr:colOff>
      <xdr:row>2773</xdr:row>
      <xdr:rowOff>133350</xdr:rowOff>
    </xdr:to>
    <xdr:pic>
      <xdr:nvPicPr>
        <xdr:cNvPr id="10482" name="Picture@5C\QPendientes@" descr="@5C\QPendientes@">
          <a:extLst>
            <a:ext uri="{FF2B5EF4-FFF2-40B4-BE49-F238E27FC236}">
              <a16:creationId xmlns:a16="http://schemas.microsoft.com/office/drawing/2014/main" id="{4D69393A-820A-44D4-9938-291DB12A5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71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2774</xdr:row>
      <xdr:rowOff>0</xdr:rowOff>
    </xdr:from>
    <xdr:to>
      <xdr:col>0</xdr:col>
      <xdr:colOff>171450</xdr:colOff>
      <xdr:row>2774</xdr:row>
      <xdr:rowOff>133350</xdr:rowOff>
    </xdr:to>
    <xdr:pic>
      <xdr:nvPicPr>
        <xdr:cNvPr id="10483" name="Picture@5C\QPendientes@" descr="@5C\QPendientes@">
          <a:extLst>
            <a:ext uri="{FF2B5EF4-FFF2-40B4-BE49-F238E27FC236}">
              <a16:creationId xmlns:a16="http://schemas.microsoft.com/office/drawing/2014/main" id="{24B40F81-1923-4772-9CA9-572CF194F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73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133350</xdr:rowOff>
    </xdr:to>
    <xdr:pic>
      <xdr:nvPicPr>
        <xdr:cNvPr id="10484" name="Picture@5C\QPendientes@" descr="@5C\QPendientes@">
          <a:extLst>
            <a:ext uri="{FF2B5EF4-FFF2-40B4-BE49-F238E27FC236}">
              <a16:creationId xmlns:a16="http://schemas.microsoft.com/office/drawing/2014/main" id="{2695E87F-120D-4DE1-AED8-94170A41A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74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133350</xdr:rowOff>
    </xdr:to>
    <xdr:pic>
      <xdr:nvPicPr>
        <xdr:cNvPr id="10485" name="Picture@5C\QPendientes@" descr="@5C\QPendientes@">
          <a:extLst>
            <a:ext uri="{FF2B5EF4-FFF2-40B4-BE49-F238E27FC236}">
              <a16:creationId xmlns:a16="http://schemas.microsoft.com/office/drawing/2014/main" id="{5F8FC04E-2231-419F-B68B-3BC9C95CBE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76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2777</xdr:row>
      <xdr:rowOff>0</xdr:rowOff>
    </xdr:from>
    <xdr:to>
      <xdr:col>0</xdr:col>
      <xdr:colOff>171450</xdr:colOff>
      <xdr:row>2777</xdr:row>
      <xdr:rowOff>133350</xdr:rowOff>
    </xdr:to>
    <xdr:pic>
      <xdr:nvPicPr>
        <xdr:cNvPr id="10486" name="Picture@5C\QPendientes@" descr="@5C\QPendientes@">
          <a:extLst>
            <a:ext uri="{FF2B5EF4-FFF2-40B4-BE49-F238E27FC236}">
              <a16:creationId xmlns:a16="http://schemas.microsoft.com/office/drawing/2014/main" id="{602D0158-825C-41D4-A410-455E33CBD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78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2778</xdr:row>
      <xdr:rowOff>0</xdr:rowOff>
    </xdr:from>
    <xdr:to>
      <xdr:col>0</xdr:col>
      <xdr:colOff>171450</xdr:colOff>
      <xdr:row>2778</xdr:row>
      <xdr:rowOff>133350</xdr:rowOff>
    </xdr:to>
    <xdr:pic>
      <xdr:nvPicPr>
        <xdr:cNvPr id="10487" name="Picture@5C\QPendientes@" descr="@5C\QPendientes@">
          <a:extLst>
            <a:ext uri="{FF2B5EF4-FFF2-40B4-BE49-F238E27FC236}">
              <a16:creationId xmlns:a16="http://schemas.microsoft.com/office/drawing/2014/main" id="{5104FCB0-64B0-4913-850A-96CCCF78F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0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2779</xdr:row>
      <xdr:rowOff>0</xdr:rowOff>
    </xdr:from>
    <xdr:to>
      <xdr:col>0</xdr:col>
      <xdr:colOff>171450</xdr:colOff>
      <xdr:row>2779</xdr:row>
      <xdr:rowOff>133350</xdr:rowOff>
    </xdr:to>
    <xdr:pic>
      <xdr:nvPicPr>
        <xdr:cNvPr id="10488" name="Picture@5C\QPendientes@" descr="@5C\QPendientes@">
          <a:extLst>
            <a:ext uri="{FF2B5EF4-FFF2-40B4-BE49-F238E27FC236}">
              <a16:creationId xmlns:a16="http://schemas.microsoft.com/office/drawing/2014/main" id="{C8FDD576-F656-4BDD-A960-5AA2D99A3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2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2780</xdr:row>
      <xdr:rowOff>0</xdr:rowOff>
    </xdr:from>
    <xdr:to>
      <xdr:col>0</xdr:col>
      <xdr:colOff>171450</xdr:colOff>
      <xdr:row>2780</xdr:row>
      <xdr:rowOff>133350</xdr:rowOff>
    </xdr:to>
    <xdr:pic>
      <xdr:nvPicPr>
        <xdr:cNvPr id="10489" name="Picture@5C\QPendientes@" descr="@5C\QPendientes@">
          <a:extLst>
            <a:ext uri="{FF2B5EF4-FFF2-40B4-BE49-F238E27FC236}">
              <a16:creationId xmlns:a16="http://schemas.microsoft.com/office/drawing/2014/main" id="{4746F2E1-8B30-4928-ADEE-ACF4CAFFD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133350</xdr:rowOff>
    </xdr:to>
    <xdr:pic>
      <xdr:nvPicPr>
        <xdr:cNvPr id="10490" name="Picture@5C\QPendientes@" descr="@5C\QPendientes@">
          <a:extLst>
            <a:ext uri="{FF2B5EF4-FFF2-40B4-BE49-F238E27FC236}">
              <a16:creationId xmlns:a16="http://schemas.microsoft.com/office/drawing/2014/main" id="{3D598EDC-DE75-4123-A77D-1B617C90D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5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133350</xdr:rowOff>
    </xdr:to>
    <xdr:pic>
      <xdr:nvPicPr>
        <xdr:cNvPr id="10491" name="Picture@5C\QPendientes@" descr="@5C\QPendientes@">
          <a:extLst>
            <a:ext uri="{FF2B5EF4-FFF2-40B4-BE49-F238E27FC236}">
              <a16:creationId xmlns:a16="http://schemas.microsoft.com/office/drawing/2014/main" id="{D3A6C618-4165-4101-9ABD-17730FF32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7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2783</xdr:row>
      <xdr:rowOff>0</xdr:rowOff>
    </xdr:from>
    <xdr:to>
      <xdr:col>0</xdr:col>
      <xdr:colOff>171450</xdr:colOff>
      <xdr:row>2783</xdr:row>
      <xdr:rowOff>133350</xdr:rowOff>
    </xdr:to>
    <xdr:pic>
      <xdr:nvPicPr>
        <xdr:cNvPr id="10492" name="Picture@5C\QPendientes@" descr="@5C\QPendientes@">
          <a:extLst>
            <a:ext uri="{FF2B5EF4-FFF2-40B4-BE49-F238E27FC236}">
              <a16:creationId xmlns:a16="http://schemas.microsoft.com/office/drawing/2014/main" id="{0C6F0698-0F49-4474-9BFD-0043FD0AA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9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2784</xdr:row>
      <xdr:rowOff>0</xdr:rowOff>
    </xdr:from>
    <xdr:to>
      <xdr:col>0</xdr:col>
      <xdr:colOff>171450</xdr:colOff>
      <xdr:row>2784</xdr:row>
      <xdr:rowOff>133350</xdr:rowOff>
    </xdr:to>
    <xdr:pic>
      <xdr:nvPicPr>
        <xdr:cNvPr id="10493" name="Picture@5C\QPendientes@" descr="@5C\QPendientes@">
          <a:extLst>
            <a:ext uri="{FF2B5EF4-FFF2-40B4-BE49-F238E27FC236}">
              <a16:creationId xmlns:a16="http://schemas.microsoft.com/office/drawing/2014/main" id="{C158A52D-E736-48BE-BE9F-E04AA5D23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91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2785</xdr:row>
      <xdr:rowOff>0</xdr:rowOff>
    </xdr:from>
    <xdr:to>
      <xdr:col>0</xdr:col>
      <xdr:colOff>171450</xdr:colOff>
      <xdr:row>2785</xdr:row>
      <xdr:rowOff>133350</xdr:rowOff>
    </xdr:to>
    <xdr:pic>
      <xdr:nvPicPr>
        <xdr:cNvPr id="10494" name="Picture@5C\QPendientes@" descr="@5C\QPendientes@">
          <a:extLst>
            <a:ext uri="{FF2B5EF4-FFF2-40B4-BE49-F238E27FC236}">
              <a16:creationId xmlns:a16="http://schemas.microsoft.com/office/drawing/2014/main" id="{7E7C77D8-5F6F-4480-9B53-91DED07FC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93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133350</xdr:rowOff>
    </xdr:to>
    <xdr:pic>
      <xdr:nvPicPr>
        <xdr:cNvPr id="10495" name="Picture@5C\QPendientes@" descr="@5C\QPendientes@">
          <a:extLst>
            <a:ext uri="{FF2B5EF4-FFF2-40B4-BE49-F238E27FC236}">
              <a16:creationId xmlns:a16="http://schemas.microsoft.com/office/drawing/2014/main" id="{54A6F201-2153-4119-B01F-4F3B18F4EF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95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2787</xdr:row>
      <xdr:rowOff>0</xdr:rowOff>
    </xdr:from>
    <xdr:to>
      <xdr:col>0</xdr:col>
      <xdr:colOff>171450</xdr:colOff>
      <xdr:row>2787</xdr:row>
      <xdr:rowOff>133350</xdr:rowOff>
    </xdr:to>
    <xdr:pic>
      <xdr:nvPicPr>
        <xdr:cNvPr id="10496" name="Picture@5C\QPendientes@" descr="@5C\QPendientes@">
          <a:extLst>
            <a:ext uri="{FF2B5EF4-FFF2-40B4-BE49-F238E27FC236}">
              <a16:creationId xmlns:a16="http://schemas.microsoft.com/office/drawing/2014/main" id="{2B6AC9FE-EDD4-468F-8480-B960F01F9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96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2788</xdr:row>
      <xdr:rowOff>0</xdr:rowOff>
    </xdr:from>
    <xdr:to>
      <xdr:col>0</xdr:col>
      <xdr:colOff>171450</xdr:colOff>
      <xdr:row>2788</xdr:row>
      <xdr:rowOff>133350</xdr:rowOff>
    </xdr:to>
    <xdr:pic>
      <xdr:nvPicPr>
        <xdr:cNvPr id="10497" name="Picture@5C\QPendientes@" descr="@5C\QPendientes@">
          <a:extLst>
            <a:ext uri="{FF2B5EF4-FFF2-40B4-BE49-F238E27FC236}">
              <a16:creationId xmlns:a16="http://schemas.microsoft.com/office/drawing/2014/main" id="{E9D88416-FBF2-40D4-BE5C-544D17C8E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98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2789</xdr:row>
      <xdr:rowOff>0</xdr:rowOff>
    </xdr:from>
    <xdr:to>
      <xdr:col>0</xdr:col>
      <xdr:colOff>171450</xdr:colOff>
      <xdr:row>2789</xdr:row>
      <xdr:rowOff>133350</xdr:rowOff>
    </xdr:to>
    <xdr:pic>
      <xdr:nvPicPr>
        <xdr:cNvPr id="10498" name="Picture@5C\QPendientes@" descr="@5C\QPendientes@">
          <a:extLst>
            <a:ext uri="{FF2B5EF4-FFF2-40B4-BE49-F238E27FC236}">
              <a16:creationId xmlns:a16="http://schemas.microsoft.com/office/drawing/2014/main" id="{115EEBEC-B5CB-4A5F-81CC-A78DB92AA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0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2790</xdr:row>
      <xdr:rowOff>0</xdr:rowOff>
    </xdr:from>
    <xdr:to>
      <xdr:col>0</xdr:col>
      <xdr:colOff>171450</xdr:colOff>
      <xdr:row>2790</xdr:row>
      <xdr:rowOff>133350</xdr:rowOff>
    </xdr:to>
    <xdr:pic>
      <xdr:nvPicPr>
        <xdr:cNvPr id="10499" name="Picture@5C\QPendientes@" descr="@5C\QPendientes@">
          <a:extLst>
            <a:ext uri="{FF2B5EF4-FFF2-40B4-BE49-F238E27FC236}">
              <a16:creationId xmlns:a16="http://schemas.microsoft.com/office/drawing/2014/main" id="{89FB5EDB-91B4-4214-8158-602F92330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2791</xdr:row>
      <xdr:rowOff>0</xdr:rowOff>
    </xdr:from>
    <xdr:to>
      <xdr:col>0</xdr:col>
      <xdr:colOff>171450</xdr:colOff>
      <xdr:row>2791</xdr:row>
      <xdr:rowOff>133350</xdr:rowOff>
    </xdr:to>
    <xdr:pic>
      <xdr:nvPicPr>
        <xdr:cNvPr id="10500" name="Picture@5C\QPendientes@" descr="@5C\QPendientes@">
          <a:extLst>
            <a:ext uri="{FF2B5EF4-FFF2-40B4-BE49-F238E27FC236}">
              <a16:creationId xmlns:a16="http://schemas.microsoft.com/office/drawing/2014/main" id="{965575CE-B418-406B-8F32-BE86F33CD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4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2792</xdr:row>
      <xdr:rowOff>0</xdr:rowOff>
    </xdr:from>
    <xdr:to>
      <xdr:col>0</xdr:col>
      <xdr:colOff>171450</xdr:colOff>
      <xdr:row>2792</xdr:row>
      <xdr:rowOff>133350</xdr:rowOff>
    </xdr:to>
    <xdr:pic>
      <xdr:nvPicPr>
        <xdr:cNvPr id="10501" name="Picture@5C\QPendientes@" descr="@5C\QPendientes@">
          <a:extLst>
            <a:ext uri="{FF2B5EF4-FFF2-40B4-BE49-F238E27FC236}">
              <a16:creationId xmlns:a16="http://schemas.microsoft.com/office/drawing/2014/main" id="{5BC35A18-A691-4D30-ABED-2C9EB94DA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6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2793</xdr:row>
      <xdr:rowOff>0</xdr:rowOff>
    </xdr:from>
    <xdr:to>
      <xdr:col>0</xdr:col>
      <xdr:colOff>171450</xdr:colOff>
      <xdr:row>2793</xdr:row>
      <xdr:rowOff>133350</xdr:rowOff>
    </xdr:to>
    <xdr:pic>
      <xdr:nvPicPr>
        <xdr:cNvPr id="10502" name="Picture@5C\QPendientes@" descr="@5C\QPendientes@">
          <a:extLst>
            <a:ext uri="{FF2B5EF4-FFF2-40B4-BE49-F238E27FC236}">
              <a16:creationId xmlns:a16="http://schemas.microsoft.com/office/drawing/2014/main" id="{B3671FBD-43BD-4ED0-A745-FC00F52B2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7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2794</xdr:row>
      <xdr:rowOff>0</xdr:rowOff>
    </xdr:from>
    <xdr:to>
      <xdr:col>0</xdr:col>
      <xdr:colOff>171450</xdr:colOff>
      <xdr:row>2794</xdr:row>
      <xdr:rowOff>133350</xdr:rowOff>
    </xdr:to>
    <xdr:pic>
      <xdr:nvPicPr>
        <xdr:cNvPr id="10503" name="Picture@5C\QPendientes@" descr="@5C\QPendientes@">
          <a:extLst>
            <a:ext uri="{FF2B5EF4-FFF2-40B4-BE49-F238E27FC236}">
              <a16:creationId xmlns:a16="http://schemas.microsoft.com/office/drawing/2014/main" id="{C64C1DED-1245-4460-B12E-E0AEA6CB4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9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133350</xdr:rowOff>
    </xdr:to>
    <xdr:pic>
      <xdr:nvPicPr>
        <xdr:cNvPr id="10504" name="Picture@5C\QPendientes@" descr="@5C\QPendientes@">
          <a:extLst>
            <a:ext uri="{FF2B5EF4-FFF2-40B4-BE49-F238E27FC236}">
              <a16:creationId xmlns:a16="http://schemas.microsoft.com/office/drawing/2014/main" id="{98AEEB6C-97ED-4C63-A920-C3B855E89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11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2796</xdr:row>
      <xdr:rowOff>0</xdr:rowOff>
    </xdr:from>
    <xdr:to>
      <xdr:col>0</xdr:col>
      <xdr:colOff>171450</xdr:colOff>
      <xdr:row>2796</xdr:row>
      <xdr:rowOff>133350</xdr:rowOff>
    </xdr:to>
    <xdr:pic>
      <xdr:nvPicPr>
        <xdr:cNvPr id="10505" name="Picture@5C\QPendientes@" descr="@5C\QPendientes@">
          <a:extLst>
            <a:ext uri="{FF2B5EF4-FFF2-40B4-BE49-F238E27FC236}">
              <a16:creationId xmlns:a16="http://schemas.microsoft.com/office/drawing/2014/main" id="{E0DC8788-CC27-4C52-9E78-68BAFCA40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13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2797</xdr:row>
      <xdr:rowOff>0</xdr:rowOff>
    </xdr:from>
    <xdr:to>
      <xdr:col>0</xdr:col>
      <xdr:colOff>171450</xdr:colOff>
      <xdr:row>2797</xdr:row>
      <xdr:rowOff>133350</xdr:rowOff>
    </xdr:to>
    <xdr:pic>
      <xdr:nvPicPr>
        <xdr:cNvPr id="10506" name="Picture@5C\QPendientes@" descr="@5C\QPendientes@">
          <a:extLst>
            <a:ext uri="{FF2B5EF4-FFF2-40B4-BE49-F238E27FC236}">
              <a16:creationId xmlns:a16="http://schemas.microsoft.com/office/drawing/2014/main" id="{BC8F9820-41BA-4A09-8CD1-6B4C0A882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15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2798</xdr:row>
      <xdr:rowOff>0</xdr:rowOff>
    </xdr:from>
    <xdr:to>
      <xdr:col>0</xdr:col>
      <xdr:colOff>171450</xdr:colOff>
      <xdr:row>2798</xdr:row>
      <xdr:rowOff>133350</xdr:rowOff>
    </xdr:to>
    <xdr:pic>
      <xdr:nvPicPr>
        <xdr:cNvPr id="10507" name="Picture@5C\QPendientes@" descr="@5C\QPendientes@">
          <a:extLst>
            <a:ext uri="{FF2B5EF4-FFF2-40B4-BE49-F238E27FC236}">
              <a16:creationId xmlns:a16="http://schemas.microsoft.com/office/drawing/2014/main" id="{3527273C-6862-4561-90DE-1575DA41A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16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2799</xdr:row>
      <xdr:rowOff>0</xdr:rowOff>
    </xdr:from>
    <xdr:to>
      <xdr:col>0</xdr:col>
      <xdr:colOff>171450</xdr:colOff>
      <xdr:row>2799</xdr:row>
      <xdr:rowOff>133350</xdr:rowOff>
    </xdr:to>
    <xdr:pic>
      <xdr:nvPicPr>
        <xdr:cNvPr id="10508" name="Picture@5C\QPendientes@" descr="@5C\QPendientes@">
          <a:extLst>
            <a:ext uri="{FF2B5EF4-FFF2-40B4-BE49-F238E27FC236}">
              <a16:creationId xmlns:a16="http://schemas.microsoft.com/office/drawing/2014/main" id="{9D2ADB45-03CE-455A-9913-876A7B8D4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18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2800</xdr:row>
      <xdr:rowOff>0</xdr:rowOff>
    </xdr:from>
    <xdr:to>
      <xdr:col>0</xdr:col>
      <xdr:colOff>171450</xdr:colOff>
      <xdr:row>2800</xdr:row>
      <xdr:rowOff>133350</xdr:rowOff>
    </xdr:to>
    <xdr:pic>
      <xdr:nvPicPr>
        <xdr:cNvPr id="10509" name="Picture@5C\QPendientes@" descr="@5C\QPendientes@">
          <a:extLst>
            <a:ext uri="{FF2B5EF4-FFF2-40B4-BE49-F238E27FC236}">
              <a16:creationId xmlns:a16="http://schemas.microsoft.com/office/drawing/2014/main" id="{219AC4AD-683E-4755-A350-700CD4F7B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2801</xdr:row>
      <xdr:rowOff>0</xdr:rowOff>
    </xdr:from>
    <xdr:to>
      <xdr:col>0</xdr:col>
      <xdr:colOff>171450</xdr:colOff>
      <xdr:row>2801</xdr:row>
      <xdr:rowOff>133350</xdr:rowOff>
    </xdr:to>
    <xdr:pic>
      <xdr:nvPicPr>
        <xdr:cNvPr id="10510" name="Picture@5C\QPendientes@" descr="@5C\QPendientes@">
          <a:extLst>
            <a:ext uri="{FF2B5EF4-FFF2-40B4-BE49-F238E27FC236}">
              <a16:creationId xmlns:a16="http://schemas.microsoft.com/office/drawing/2014/main" id="{D4E2F274-0D7E-495A-AC40-AA5FF10184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2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2802</xdr:row>
      <xdr:rowOff>0</xdr:rowOff>
    </xdr:from>
    <xdr:to>
      <xdr:col>0</xdr:col>
      <xdr:colOff>171450</xdr:colOff>
      <xdr:row>2802</xdr:row>
      <xdr:rowOff>133350</xdr:rowOff>
    </xdr:to>
    <xdr:pic>
      <xdr:nvPicPr>
        <xdr:cNvPr id="10511" name="Picture@5C\QPendientes@" descr="@5C\QPendientes@">
          <a:extLst>
            <a:ext uri="{FF2B5EF4-FFF2-40B4-BE49-F238E27FC236}">
              <a16:creationId xmlns:a16="http://schemas.microsoft.com/office/drawing/2014/main" id="{7C67EFA9-0AF0-4FD3-BBD9-F457CAF25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4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133350</xdr:rowOff>
    </xdr:to>
    <xdr:pic>
      <xdr:nvPicPr>
        <xdr:cNvPr id="10512" name="Picture@5C\QPendientes@" descr="@5C\QPendientes@">
          <a:extLst>
            <a:ext uri="{FF2B5EF4-FFF2-40B4-BE49-F238E27FC236}">
              <a16:creationId xmlns:a16="http://schemas.microsoft.com/office/drawing/2014/main" id="{50660094-DECF-4DD9-AB7F-01AB12D59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6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2804</xdr:row>
      <xdr:rowOff>0</xdr:rowOff>
    </xdr:from>
    <xdr:to>
      <xdr:col>0</xdr:col>
      <xdr:colOff>171450</xdr:colOff>
      <xdr:row>2804</xdr:row>
      <xdr:rowOff>133350</xdr:rowOff>
    </xdr:to>
    <xdr:pic>
      <xdr:nvPicPr>
        <xdr:cNvPr id="10513" name="Picture@5C\QPendientes@" descr="@5C\QPendientes@">
          <a:extLst>
            <a:ext uri="{FF2B5EF4-FFF2-40B4-BE49-F238E27FC236}">
              <a16:creationId xmlns:a16="http://schemas.microsoft.com/office/drawing/2014/main" id="{743ACEC3-F8DA-49A9-A443-266BABC86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7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2805</xdr:row>
      <xdr:rowOff>0</xdr:rowOff>
    </xdr:from>
    <xdr:to>
      <xdr:col>0</xdr:col>
      <xdr:colOff>171450</xdr:colOff>
      <xdr:row>2805</xdr:row>
      <xdr:rowOff>133350</xdr:rowOff>
    </xdr:to>
    <xdr:pic>
      <xdr:nvPicPr>
        <xdr:cNvPr id="10514" name="Picture@5C\QPendientes@" descr="@5C\QPendientes@">
          <a:extLst>
            <a:ext uri="{FF2B5EF4-FFF2-40B4-BE49-F238E27FC236}">
              <a16:creationId xmlns:a16="http://schemas.microsoft.com/office/drawing/2014/main" id="{A5F6F2FC-EDA3-4073-BFC7-8C5CE4B14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9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2806</xdr:row>
      <xdr:rowOff>0</xdr:rowOff>
    </xdr:from>
    <xdr:to>
      <xdr:col>0</xdr:col>
      <xdr:colOff>171450</xdr:colOff>
      <xdr:row>2806</xdr:row>
      <xdr:rowOff>133350</xdr:rowOff>
    </xdr:to>
    <xdr:pic>
      <xdr:nvPicPr>
        <xdr:cNvPr id="10515" name="Picture@5C\QPendientes@" descr="@5C\QPendientes@">
          <a:extLst>
            <a:ext uri="{FF2B5EF4-FFF2-40B4-BE49-F238E27FC236}">
              <a16:creationId xmlns:a16="http://schemas.microsoft.com/office/drawing/2014/main" id="{4EBF78A1-A5BC-4BED-A1D8-A5DE1F60C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1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2807</xdr:row>
      <xdr:rowOff>0</xdr:rowOff>
    </xdr:from>
    <xdr:to>
      <xdr:col>0</xdr:col>
      <xdr:colOff>171450</xdr:colOff>
      <xdr:row>2807</xdr:row>
      <xdr:rowOff>133350</xdr:rowOff>
    </xdr:to>
    <xdr:pic>
      <xdr:nvPicPr>
        <xdr:cNvPr id="10516" name="Picture@5C\QPendientes@" descr="@5C\QPendientes@">
          <a:extLst>
            <a:ext uri="{FF2B5EF4-FFF2-40B4-BE49-F238E27FC236}">
              <a16:creationId xmlns:a16="http://schemas.microsoft.com/office/drawing/2014/main" id="{E04A61EE-B2B4-4E17-B3E9-EEEDA249A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3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133350</xdr:rowOff>
    </xdr:to>
    <xdr:pic>
      <xdr:nvPicPr>
        <xdr:cNvPr id="10517" name="Picture@5C\QPendientes@" descr="@5C\QPendientes@">
          <a:extLst>
            <a:ext uri="{FF2B5EF4-FFF2-40B4-BE49-F238E27FC236}">
              <a16:creationId xmlns:a16="http://schemas.microsoft.com/office/drawing/2014/main" id="{57C0BECF-8F75-47DF-8F93-CD363442E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5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2809</xdr:row>
      <xdr:rowOff>0</xdr:rowOff>
    </xdr:from>
    <xdr:to>
      <xdr:col>0</xdr:col>
      <xdr:colOff>171450</xdr:colOff>
      <xdr:row>2809</xdr:row>
      <xdr:rowOff>133350</xdr:rowOff>
    </xdr:to>
    <xdr:pic>
      <xdr:nvPicPr>
        <xdr:cNvPr id="10518" name="Picture@5C\QPendientes@" descr="@5C\QPendientes@">
          <a:extLst>
            <a:ext uri="{FF2B5EF4-FFF2-40B4-BE49-F238E27FC236}">
              <a16:creationId xmlns:a16="http://schemas.microsoft.com/office/drawing/2014/main" id="{89BF21EF-05A3-4D9C-8D3A-E84876CA8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7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2810</xdr:row>
      <xdr:rowOff>0</xdr:rowOff>
    </xdr:from>
    <xdr:to>
      <xdr:col>0</xdr:col>
      <xdr:colOff>171450</xdr:colOff>
      <xdr:row>2810</xdr:row>
      <xdr:rowOff>133350</xdr:rowOff>
    </xdr:to>
    <xdr:pic>
      <xdr:nvPicPr>
        <xdr:cNvPr id="10519" name="Picture@5C\QPendientes@" descr="@5C\QPendientes@">
          <a:extLst>
            <a:ext uri="{FF2B5EF4-FFF2-40B4-BE49-F238E27FC236}">
              <a16:creationId xmlns:a16="http://schemas.microsoft.com/office/drawing/2014/main" id="{8C246AB1-692D-401E-8E21-B0789DAC8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2811</xdr:row>
      <xdr:rowOff>0</xdr:rowOff>
    </xdr:from>
    <xdr:to>
      <xdr:col>0</xdr:col>
      <xdr:colOff>171450</xdr:colOff>
      <xdr:row>2811</xdr:row>
      <xdr:rowOff>133350</xdr:rowOff>
    </xdr:to>
    <xdr:pic>
      <xdr:nvPicPr>
        <xdr:cNvPr id="10520" name="Picture@5C\QPendientes@" descr="@5C\QPendientes@">
          <a:extLst>
            <a:ext uri="{FF2B5EF4-FFF2-40B4-BE49-F238E27FC236}">
              <a16:creationId xmlns:a16="http://schemas.microsoft.com/office/drawing/2014/main" id="{082B075C-2BD2-4E88-8547-A8C2FCC2A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40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2812</xdr:row>
      <xdr:rowOff>0</xdr:rowOff>
    </xdr:from>
    <xdr:to>
      <xdr:col>0</xdr:col>
      <xdr:colOff>171450</xdr:colOff>
      <xdr:row>2812</xdr:row>
      <xdr:rowOff>133350</xdr:rowOff>
    </xdr:to>
    <xdr:pic>
      <xdr:nvPicPr>
        <xdr:cNvPr id="10521" name="Picture@5C\QPendientes@" descr="@5C\QPendientes@">
          <a:extLst>
            <a:ext uri="{FF2B5EF4-FFF2-40B4-BE49-F238E27FC236}">
              <a16:creationId xmlns:a16="http://schemas.microsoft.com/office/drawing/2014/main" id="{F8B084DF-0282-493F-97FA-8F1354C74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42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2813</xdr:row>
      <xdr:rowOff>0</xdr:rowOff>
    </xdr:from>
    <xdr:to>
      <xdr:col>0</xdr:col>
      <xdr:colOff>171450</xdr:colOff>
      <xdr:row>2813</xdr:row>
      <xdr:rowOff>133350</xdr:rowOff>
    </xdr:to>
    <xdr:pic>
      <xdr:nvPicPr>
        <xdr:cNvPr id="10522" name="Picture@5C\QPendientes@" descr="@5C\QPendientes@">
          <a:extLst>
            <a:ext uri="{FF2B5EF4-FFF2-40B4-BE49-F238E27FC236}">
              <a16:creationId xmlns:a16="http://schemas.microsoft.com/office/drawing/2014/main" id="{FFC13732-B7C5-422E-8332-F79F3AA3C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44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2814</xdr:row>
      <xdr:rowOff>0</xdr:rowOff>
    </xdr:from>
    <xdr:to>
      <xdr:col>0</xdr:col>
      <xdr:colOff>171450</xdr:colOff>
      <xdr:row>2814</xdr:row>
      <xdr:rowOff>133350</xdr:rowOff>
    </xdr:to>
    <xdr:pic>
      <xdr:nvPicPr>
        <xdr:cNvPr id="10523" name="Picture@5C\QPendientes@" descr="@5C\QPendientes@">
          <a:extLst>
            <a:ext uri="{FF2B5EF4-FFF2-40B4-BE49-F238E27FC236}">
              <a16:creationId xmlns:a16="http://schemas.microsoft.com/office/drawing/2014/main" id="{8623629A-CC93-4732-BC93-5AE5C3DB4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46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2815</xdr:row>
      <xdr:rowOff>0</xdr:rowOff>
    </xdr:from>
    <xdr:to>
      <xdr:col>0</xdr:col>
      <xdr:colOff>171450</xdr:colOff>
      <xdr:row>2815</xdr:row>
      <xdr:rowOff>133350</xdr:rowOff>
    </xdr:to>
    <xdr:pic>
      <xdr:nvPicPr>
        <xdr:cNvPr id="10524" name="Picture@5C\QPendientes@" descr="@5C\QPendientes@">
          <a:extLst>
            <a:ext uri="{FF2B5EF4-FFF2-40B4-BE49-F238E27FC236}">
              <a16:creationId xmlns:a16="http://schemas.microsoft.com/office/drawing/2014/main" id="{8D9EE4E5-2526-40A7-9605-9C66507F39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48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2816</xdr:row>
      <xdr:rowOff>0</xdr:rowOff>
    </xdr:from>
    <xdr:to>
      <xdr:col>0</xdr:col>
      <xdr:colOff>171450</xdr:colOff>
      <xdr:row>2816</xdr:row>
      <xdr:rowOff>133350</xdr:rowOff>
    </xdr:to>
    <xdr:pic>
      <xdr:nvPicPr>
        <xdr:cNvPr id="10525" name="Picture@5C\QPendientes@" descr="@5C\QPendientes@">
          <a:extLst>
            <a:ext uri="{FF2B5EF4-FFF2-40B4-BE49-F238E27FC236}">
              <a16:creationId xmlns:a16="http://schemas.microsoft.com/office/drawing/2014/main" id="{A7C09790-6E48-4E7D-93C6-32A7ACFF1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49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2817</xdr:row>
      <xdr:rowOff>0</xdr:rowOff>
    </xdr:from>
    <xdr:to>
      <xdr:col>0</xdr:col>
      <xdr:colOff>171450</xdr:colOff>
      <xdr:row>2817</xdr:row>
      <xdr:rowOff>133350</xdr:rowOff>
    </xdr:to>
    <xdr:pic>
      <xdr:nvPicPr>
        <xdr:cNvPr id="10526" name="Picture@5C\QPendientes@" descr="@5C\QPendientes@">
          <a:extLst>
            <a:ext uri="{FF2B5EF4-FFF2-40B4-BE49-F238E27FC236}">
              <a16:creationId xmlns:a16="http://schemas.microsoft.com/office/drawing/2014/main" id="{B0630324-55D8-4CA8-A2C9-CCF3A043C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1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2818</xdr:row>
      <xdr:rowOff>0</xdr:rowOff>
    </xdr:from>
    <xdr:to>
      <xdr:col>0</xdr:col>
      <xdr:colOff>171450</xdr:colOff>
      <xdr:row>2818</xdr:row>
      <xdr:rowOff>133350</xdr:rowOff>
    </xdr:to>
    <xdr:pic>
      <xdr:nvPicPr>
        <xdr:cNvPr id="10527" name="Picture@5C\QPendientes@" descr="@5C\QPendientes@">
          <a:extLst>
            <a:ext uri="{FF2B5EF4-FFF2-40B4-BE49-F238E27FC236}">
              <a16:creationId xmlns:a16="http://schemas.microsoft.com/office/drawing/2014/main" id="{EAB5C516-45FC-4011-A9F2-65EE09793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3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133350</xdr:rowOff>
    </xdr:to>
    <xdr:pic>
      <xdr:nvPicPr>
        <xdr:cNvPr id="10528" name="Picture@5C\QPendientes@" descr="@5C\QPendientes@">
          <a:extLst>
            <a:ext uri="{FF2B5EF4-FFF2-40B4-BE49-F238E27FC236}">
              <a16:creationId xmlns:a16="http://schemas.microsoft.com/office/drawing/2014/main" id="{8D8D51C9-22DB-4168-BCA1-BE8CCDBB4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5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2820</xdr:row>
      <xdr:rowOff>0</xdr:rowOff>
    </xdr:from>
    <xdr:to>
      <xdr:col>0</xdr:col>
      <xdr:colOff>171450</xdr:colOff>
      <xdr:row>2820</xdr:row>
      <xdr:rowOff>133350</xdr:rowOff>
    </xdr:to>
    <xdr:pic>
      <xdr:nvPicPr>
        <xdr:cNvPr id="10529" name="Picture@5C\QPendientes@" descr="@5C\QPendientes@">
          <a:extLst>
            <a:ext uri="{FF2B5EF4-FFF2-40B4-BE49-F238E27FC236}">
              <a16:creationId xmlns:a16="http://schemas.microsoft.com/office/drawing/2014/main" id="{5DCC1D22-BE49-4B7C-8F20-B76CBD0DE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2821</xdr:row>
      <xdr:rowOff>0</xdr:rowOff>
    </xdr:from>
    <xdr:to>
      <xdr:col>0</xdr:col>
      <xdr:colOff>171450</xdr:colOff>
      <xdr:row>2821</xdr:row>
      <xdr:rowOff>133350</xdr:rowOff>
    </xdr:to>
    <xdr:pic>
      <xdr:nvPicPr>
        <xdr:cNvPr id="10530" name="Picture@5C\QPendientes@" descr="@5C\QPendientes@">
          <a:extLst>
            <a:ext uri="{FF2B5EF4-FFF2-40B4-BE49-F238E27FC236}">
              <a16:creationId xmlns:a16="http://schemas.microsoft.com/office/drawing/2014/main" id="{A102826D-FEC3-4DA9-BA84-E5EFEF99E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9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133350</xdr:rowOff>
    </xdr:to>
    <xdr:pic>
      <xdr:nvPicPr>
        <xdr:cNvPr id="10531" name="Picture@5C\QPendientes@" descr="@5C\QPendientes@">
          <a:extLst>
            <a:ext uri="{FF2B5EF4-FFF2-40B4-BE49-F238E27FC236}">
              <a16:creationId xmlns:a16="http://schemas.microsoft.com/office/drawing/2014/main" id="{461DE8C6-49C1-4533-8A3A-8BEAB0CFB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60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133350</xdr:rowOff>
    </xdr:to>
    <xdr:pic>
      <xdr:nvPicPr>
        <xdr:cNvPr id="10532" name="Picture@5C\QPendientes@" descr="@5C\QPendientes@">
          <a:extLst>
            <a:ext uri="{FF2B5EF4-FFF2-40B4-BE49-F238E27FC236}">
              <a16:creationId xmlns:a16="http://schemas.microsoft.com/office/drawing/2014/main" id="{06F99144-D6EE-4272-AA35-5AE56F5B7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62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133350</xdr:rowOff>
    </xdr:to>
    <xdr:pic>
      <xdr:nvPicPr>
        <xdr:cNvPr id="10533" name="Picture@5C\QPendientes@" descr="@5C\QPendientes@">
          <a:extLst>
            <a:ext uri="{FF2B5EF4-FFF2-40B4-BE49-F238E27FC236}">
              <a16:creationId xmlns:a16="http://schemas.microsoft.com/office/drawing/2014/main" id="{1D9669D2-1697-4B1E-9512-4743738FB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64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2825</xdr:row>
      <xdr:rowOff>0</xdr:rowOff>
    </xdr:from>
    <xdr:to>
      <xdr:col>0</xdr:col>
      <xdr:colOff>171450</xdr:colOff>
      <xdr:row>2825</xdr:row>
      <xdr:rowOff>133350</xdr:rowOff>
    </xdr:to>
    <xdr:pic>
      <xdr:nvPicPr>
        <xdr:cNvPr id="10534" name="Picture@5C\QPendientes@" descr="@5C\QPendientes@">
          <a:extLst>
            <a:ext uri="{FF2B5EF4-FFF2-40B4-BE49-F238E27FC236}">
              <a16:creationId xmlns:a16="http://schemas.microsoft.com/office/drawing/2014/main" id="{1F6EE118-73F0-45FB-9269-B96BC7916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66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2826</xdr:row>
      <xdr:rowOff>0</xdr:rowOff>
    </xdr:from>
    <xdr:to>
      <xdr:col>0</xdr:col>
      <xdr:colOff>171450</xdr:colOff>
      <xdr:row>2826</xdr:row>
      <xdr:rowOff>133350</xdr:rowOff>
    </xdr:to>
    <xdr:pic>
      <xdr:nvPicPr>
        <xdr:cNvPr id="10535" name="Picture@5C\QPendientes@" descr="@5C\QPendientes@">
          <a:extLst>
            <a:ext uri="{FF2B5EF4-FFF2-40B4-BE49-F238E27FC236}">
              <a16:creationId xmlns:a16="http://schemas.microsoft.com/office/drawing/2014/main" id="{41AFDFB9-D438-4E2F-9684-8A4CC921E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68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133350</xdr:rowOff>
    </xdr:to>
    <xdr:pic>
      <xdr:nvPicPr>
        <xdr:cNvPr id="10536" name="Picture@5C\QPendientes@" descr="@5C\QPendientes@">
          <a:extLst>
            <a:ext uri="{FF2B5EF4-FFF2-40B4-BE49-F238E27FC236}">
              <a16:creationId xmlns:a16="http://schemas.microsoft.com/office/drawing/2014/main" id="{BC9B9C4D-5EDE-4DFC-B156-8FE81EF5F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0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2828</xdr:row>
      <xdr:rowOff>0</xdr:rowOff>
    </xdr:from>
    <xdr:to>
      <xdr:col>0</xdr:col>
      <xdr:colOff>171450</xdr:colOff>
      <xdr:row>2828</xdr:row>
      <xdr:rowOff>133350</xdr:rowOff>
    </xdr:to>
    <xdr:pic>
      <xdr:nvPicPr>
        <xdr:cNvPr id="10537" name="Picture@5C\QPendientes@" descr="@5C\QPendientes@">
          <a:extLst>
            <a:ext uri="{FF2B5EF4-FFF2-40B4-BE49-F238E27FC236}">
              <a16:creationId xmlns:a16="http://schemas.microsoft.com/office/drawing/2014/main" id="{798AD305-B386-45CD-9EA4-3CEAEE97F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1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133350</xdr:rowOff>
    </xdr:to>
    <xdr:pic>
      <xdr:nvPicPr>
        <xdr:cNvPr id="10538" name="Picture@5C\QPendientes@" descr="@5C\QPendientes@">
          <a:extLst>
            <a:ext uri="{FF2B5EF4-FFF2-40B4-BE49-F238E27FC236}">
              <a16:creationId xmlns:a16="http://schemas.microsoft.com/office/drawing/2014/main" id="{B0BC2515-3E1C-4C93-956C-ABAC70DD7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3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2830</xdr:row>
      <xdr:rowOff>0</xdr:rowOff>
    </xdr:from>
    <xdr:to>
      <xdr:col>0</xdr:col>
      <xdr:colOff>171450</xdr:colOff>
      <xdr:row>2830</xdr:row>
      <xdr:rowOff>133350</xdr:rowOff>
    </xdr:to>
    <xdr:pic>
      <xdr:nvPicPr>
        <xdr:cNvPr id="10539" name="Picture@5C\QPendientes@" descr="@5C\QPendientes@">
          <a:extLst>
            <a:ext uri="{FF2B5EF4-FFF2-40B4-BE49-F238E27FC236}">
              <a16:creationId xmlns:a16="http://schemas.microsoft.com/office/drawing/2014/main" id="{6FD4ACB5-E596-4198-B229-B983CAF4B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133350</xdr:rowOff>
    </xdr:to>
    <xdr:pic>
      <xdr:nvPicPr>
        <xdr:cNvPr id="10540" name="Picture@5C\QPendientes@" descr="@5C\QPendientes@">
          <a:extLst>
            <a:ext uri="{FF2B5EF4-FFF2-40B4-BE49-F238E27FC236}">
              <a16:creationId xmlns:a16="http://schemas.microsoft.com/office/drawing/2014/main" id="{E9A485A0-BB01-4C15-8761-E4BA8D2C2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7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2832</xdr:row>
      <xdr:rowOff>0</xdr:rowOff>
    </xdr:from>
    <xdr:to>
      <xdr:col>0</xdr:col>
      <xdr:colOff>171450</xdr:colOff>
      <xdr:row>2832</xdr:row>
      <xdr:rowOff>133350</xdr:rowOff>
    </xdr:to>
    <xdr:pic>
      <xdr:nvPicPr>
        <xdr:cNvPr id="10541" name="Picture@5C\QPendientes@" descr="@5C\QPendientes@">
          <a:extLst>
            <a:ext uri="{FF2B5EF4-FFF2-40B4-BE49-F238E27FC236}">
              <a16:creationId xmlns:a16="http://schemas.microsoft.com/office/drawing/2014/main" id="{3EB2A840-5C33-4CD5-BD2A-F5287551E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9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2833</xdr:row>
      <xdr:rowOff>0</xdr:rowOff>
    </xdr:from>
    <xdr:to>
      <xdr:col>0</xdr:col>
      <xdr:colOff>171450</xdr:colOff>
      <xdr:row>2833</xdr:row>
      <xdr:rowOff>133350</xdr:rowOff>
    </xdr:to>
    <xdr:pic>
      <xdr:nvPicPr>
        <xdr:cNvPr id="10542" name="Picture@5C\QPendientes@" descr="@5C\QPendientes@">
          <a:extLst>
            <a:ext uri="{FF2B5EF4-FFF2-40B4-BE49-F238E27FC236}">
              <a16:creationId xmlns:a16="http://schemas.microsoft.com/office/drawing/2014/main" id="{177C3E42-06F0-4F3F-97D9-32C8C269F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80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2834</xdr:row>
      <xdr:rowOff>0</xdr:rowOff>
    </xdr:from>
    <xdr:to>
      <xdr:col>0</xdr:col>
      <xdr:colOff>171450</xdr:colOff>
      <xdr:row>2834</xdr:row>
      <xdr:rowOff>133350</xdr:rowOff>
    </xdr:to>
    <xdr:pic>
      <xdr:nvPicPr>
        <xdr:cNvPr id="10543" name="Picture@5C\QPendientes@" descr="@5C\QPendientes@">
          <a:extLst>
            <a:ext uri="{FF2B5EF4-FFF2-40B4-BE49-F238E27FC236}">
              <a16:creationId xmlns:a16="http://schemas.microsoft.com/office/drawing/2014/main" id="{ED60CF95-8175-4C72-9837-3E21ABB6D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82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2835</xdr:row>
      <xdr:rowOff>0</xdr:rowOff>
    </xdr:from>
    <xdr:to>
      <xdr:col>0</xdr:col>
      <xdr:colOff>171450</xdr:colOff>
      <xdr:row>2835</xdr:row>
      <xdr:rowOff>133350</xdr:rowOff>
    </xdr:to>
    <xdr:pic>
      <xdr:nvPicPr>
        <xdr:cNvPr id="10544" name="Picture@5C\QPendientes@" descr="@5C\QPendientes@">
          <a:extLst>
            <a:ext uri="{FF2B5EF4-FFF2-40B4-BE49-F238E27FC236}">
              <a16:creationId xmlns:a16="http://schemas.microsoft.com/office/drawing/2014/main" id="{A1B6EE36-55AB-47A9-9224-3EB97B604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84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133350</xdr:rowOff>
    </xdr:to>
    <xdr:pic>
      <xdr:nvPicPr>
        <xdr:cNvPr id="10545" name="Picture@5C\QPendientes@" descr="@5C\QPendientes@">
          <a:extLst>
            <a:ext uri="{FF2B5EF4-FFF2-40B4-BE49-F238E27FC236}">
              <a16:creationId xmlns:a16="http://schemas.microsoft.com/office/drawing/2014/main" id="{48D88224-CDEE-4D17-9893-5ACC33497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86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2837</xdr:row>
      <xdr:rowOff>0</xdr:rowOff>
    </xdr:from>
    <xdr:to>
      <xdr:col>0</xdr:col>
      <xdr:colOff>171450</xdr:colOff>
      <xdr:row>2837</xdr:row>
      <xdr:rowOff>133350</xdr:rowOff>
    </xdr:to>
    <xdr:pic>
      <xdr:nvPicPr>
        <xdr:cNvPr id="10546" name="Picture@5C\QPendientes@" descr="@5C\QPendientes@">
          <a:extLst>
            <a:ext uri="{FF2B5EF4-FFF2-40B4-BE49-F238E27FC236}">
              <a16:creationId xmlns:a16="http://schemas.microsoft.com/office/drawing/2014/main" id="{0CD88F1F-847A-44BC-B381-2C628C740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88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2838</xdr:row>
      <xdr:rowOff>0</xdr:rowOff>
    </xdr:from>
    <xdr:to>
      <xdr:col>0</xdr:col>
      <xdr:colOff>171450</xdr:colOff>
      <xdr:row>2838</xdr:row>
      <xdr:rowOff>133350</xdr:rowOff>
    </xdr:to>
    <xdr:pic>
      <xdr:nvPicPr>
        <xdr:cNvPr id="10547" name="Picture@5C\QPendientes@" descr="@5C\QPendientes@">
          <a:extLst>
            <a:ext uri="{FF2B5EF4-FFF2-40B4-BE49-F238E27FC236}">
              <a16:creationId xmlns:a16="http://schemas.microsoft.com/office/drawing/2014/main" id="{134768CA-FFF2-4C01-9C0C-E78B9D0A5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0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2839</xdr:row>
      <xdr:rowOff>0</xdr:rowOff>
    </xdr:from>
    <xdr:to>
      <xdr:col>0</xdr:col>
      <xdr:colOff>171450</xdr:colOff>
      <xdr:row>2839</xdr:row>
      <xdr:rowOff>133350</xdr:rowOff>
    </xdr:to>
    <xdr:pic>
      <xdr:nvPicPr>
        <xdr:cNvPr id="10548" name="Picture@5C\QPendientes@" descr="@5C\QPendientes@">
          <a:extLst>
            <a:ext uri="{FF2B5EF4-FFF2-40B4-BE49-F238E27FC236}">
              <a16:creationId xmlns:a16="http://schemas.microsoft.com/office/drawing/2014/main" id="{77F04167-0A8A-45C5-AFE8-DDBCA41A5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1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2840</xdr:row>
      <xdr:rowOff>0</xdr:rowOff>
    </xdr:from>
    <xdr:to>
      <xdr:col>0</xdr:col>
      <xdr:colOff>171450</xdr:colOff>
      <xdr:row>2840</xdr:row>
      <xdr:rowOff>133350</xdr:rowOff>
    </xdr:to>
    <xdr:pic>
      <xdr:nvPicPr>
        <xdr:cNvPr id="10549" name="Picture@5C\QPendientes@" descr="@5C\QPendientes@">
          <a:extLst>
            <a:ext uri="{FF2B5EF4-FFF2-40B4-BE49-F238E27FC236}">
              <a16:creationId xmlns:a16="http://schemas.microsoft.com/office/drawing/2014/main" id="{051691A7-A77A-451C-A636-64F18B129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133350</xdr:rowOff>
    </xdr:to>
    <xdr:pic>
      <xdr:nvPicPr>
        <xdr:cNvPr id="10550" name="Picture@5C\QPendientes@" descr="@5C\QPendientes@">
          <a:extLst>
            <a:ext uri="{FF2B5EF4-FFF2-40B4-BE49-F238E27FC236}">
              <a16:creationId xmlns:a16="http://schemas.microsoft.com/office/drawing/2014/main" id="{2574CE7D-8EE6-4628-B5B9-3C55EBD66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5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2842</xdr:row>
      <xdr:rowOff>0</xdr:rowOff>
    </xdr:from>
    <xdr:to>
      <xdr:col>0</xdr:col>
      <xdr:colOff>171450</xdr:colOff>
      <xdr:row>2842</xdr:row>
      <xdr:rowOff>133350</xdr:rowOff>
    </xdr:to>
    <xdr:pic>
      <xdr:nvPicPr>
        <xdr:cNvPr id="10551" name="Picture@5C\QPendientes@" descr="@5C\QPendientes@">
          <a:extLst>
            <a:ext uri="{FF2B5EF4-FFF2-40B4-BE49-F238E27FC236}">
              <a16:creationId xmlns:a16="http://schemas.microsoft.com/office/drawing/2014/main" id="{48BCDCBF-F6DA-4DC2-84DB-891FD2AEC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7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133350</xdr:rowOff>
    </xdr:to>
    <xdr:pic>
      <xdr:nvPicPr>
        <xdr:cNvPr id="10552" name="Picture@5C\QPendientes@" descr="@5C\QPendientes@">
          <a:extLst>
            <a:ext uri="{FF2B5EF4-FFF2-40B4-BE49-F238E27FC236}">
              <a16:creationId xmlns:a16="http://schemas.microsoft.com/office/drawing/2014/main" id="{83EBE52F-F533-47BD-A819-2C185A9B4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9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133350</xdr:rowOff>
    </xdr:to>
    <xdr:pic>
      <xdr:nvPicPr>
        <xdr:cNvPr id="10553" name="Picture@5C\QPendientes@" descr="@5C\QPendientes@">
          <a:extLst>
            <a:ext uri="{FF2B5EF4-FFF2-40B4-BE49-F238E27FC236}">
              <a16:creationId xmlns:a16="http://schemas.microsoft.com/office/drawing/2014/main" id="{39BDA6C6-96BD-412C-A0A0-6A1FF1F99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01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133350</xdr:rowOff>
    </xdr:to>
    <xdr:pic>
      <xdr:nvPicPr>
        <xdr:cNvPr id="10554" name="Picture@5C\QPendientes@" descr="@5C\QPendientes@">
          <a:extLst>
            <a:ext uri="{FF2B5EF4-FFF2-40B4-BE49-F238E27FC236}">
              <a16:creationId xmlns:a16="http://schemas.microsoft.com/office/drawing/2014/main" id="{E5B07A23-EE6A-4D17-ABF9-B4BC5D1A7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02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133350</xdr:rowOff>
    </xdr:to>
    <xdr:pic>
      <xdr:nvPicPr>
        <xdr:cNvPr id="10555" name="Picture@5C\QPendientes@" descr="@5C\QPendientes@">
          <a:extLst>
            <a:ext uri="{FF2B5EF4-FFF2-40B4-BE49-F238E27FC236}">
              <a16:creationId xmlns:a16="http://schemas.microsoft.com/office/drawing/2014/main" id="{436BC4B1-A95F-450A-AA8B-8D2D02D19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04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2847</xdr:row>
      <xdr:rowOff>0</xdr:rowOff>
    </xdr:from>
    <xdr:to>
      <xdr:col>0</xdr:col>
      <xdr:colOff>171450</xdr:colOff>
      <xdr:row>2847</xdr:row>
      <xdr:rowOff>133350</xdr:rowOff>
    </xdr:to>
    <xdr:pic>
      <xdr:nvPicPr>
        <xdr:cNvPr id="10556" name="Picture@5C\QPendientes@" descr="@5C\QPendientes@">
          <a:extLst>
            <a:ext uri="{FF2B5EF4-FFF2-40B4-BE49-F238E27FC236}">
              <a16:creationId xmlns:a16="http://schemas.microsoft.com/office/drawing/2014/main" id="{B3A19D12-6B6D-4F72-9239-A4A3F8E4D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06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2848</xdr:row>
      <xdr:rowOff>0</xdr:rowOff>
    </xdr:from>
    <xdr:to>
      <xdr:col>0</xdr:col>
      <xdr:colOff>171450</xdr:colOff>
      <xdr:row>2848</xdr:row>
      <xdr:rowOff>133350</xdr:rowOff>
    </xdr:to>
    <xdr:pic>
      <xdr:nvPicPr>
        <xdr:cNvPr id="10557" name="Picture@5C\QPendientes@" descr="@5C\QPendientes@">
          <a:extLst>
            <a:ext uri="{FF2B5EF4-FFF2-40B4-BE49-F238E27FC236}">
              <a16:creationId xmlns:a16="http://schemas.microsoft.com/office/drawing/2014/main" id="{A146FF02-FB63-4BE6-9E3C-939BDDFE3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08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133350</xdr:rowOff>
    </xdr:to>
    <xdr:pic>
      <xdr:nvPicPr>
        <xdr:cNvPr id="10558" name="Picture@5C\QPendientes@" descr="@5C\QPendientes@">
          <a:extLst>
            <a:ext uri="{FF2B5EF4-FFF2-40B4-BE49-F238E27FC236}">
              <a16:creationId xmlns:a16="http://schemas.microsoft.com/office/drawing/2014/main" id="{1AB51F26-4498-4370-B2C6-5E77269F6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0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2850</xdr:row>
      <xdr:rowOff>0</xdr:rowOff>
    </xdr:from>
    <xdr:to>
      <xdr:col>0</xdr:col>
      <xdr:colOff>171450</xdr:colOff>
      <xdr:row>2850</xdr:row>
      <xdr:rowOff>133350</xdr:rowOff>
    </xdr:to>
    <xdr:pic>
      <xdr:nvPicPr>
        <xdr:cNvPr id="10559" name="Picture@5C\QPendientes@" descr="@5C\QPendientes@">
          <a:extLst>
            <a:ext uri="{FF2B5EF4-FFF2-40B4-BE49-F238E27FC236}">
              <a16:creationId xmlns:a16="http://schemas.microsoft.com/office/drawing/2014/main" id="{4642C34D-2470-4EDA-AC91-70E1FDD65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2851</xdr:row>
      <xdr:rowOff>0</xdr:rowOff>
    </xdr:from>
    <xdr:to>
      <xdr:col>0</xdr:col>
      <xdr:colOff>171450</xdr:colOff>
      <xdr:row>2851</xdr:row>
      <xdr:rowOff>133350</xdr:rowOff>
    </xdr:to>
    <xdr:pic>
      <xdr:nvPicPr>
        <xdr:cNvPr id="10560" name="Picture@5C\QPendientes@" descr="@5C\QPendientes@">
          <a:extLst>
            <a:ext uri="{FF2B5EF4-FFF2-40B4-BE49-F238E27FC236}">
              <a16:creationId xmlns:a16="http://schemas.microsoft.com/office/drawing/2014/main" id="{1F93D31B-6D7A-499D-9EB5-669A90531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3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2852</xdr:row>
      <xdr:rowOff>0</xdr:rowOff>
    </xdr:from>
    <xdr:to>
      <xdr:col>0</xdr:col>
      <xdr:colOff>171450</xdr:colOff>
      <xdr:row>2852</xdr:row>
      <xdr:rowOff>133350</xdr:rowOff>
    </xdr:to>
    <xdr:pic>
      <xdr:nvPicPr>
        <xdr:cNvPr id="10561" name="Picture@5C\QPendientes@" descr="@5C\QPendientes@">
          <a:extLst>
            <a:ext uri="{FF2B5EF4-FFF2-40B4-BE49-F238E27FC236}">
              <a16:creationId xmlns:a16="http://schemas.microsoft.com/office/drawing/2014/main" id="{2B5B0834-7AAC-4421-9C1C-792601F77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5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2853</xdr:row>
      <xdr:rowOff>0</xdr:rowOff>
    </xdr:from>
    <xdr:to>
      <xdr:col>0</xdr:col>
      <xdr:colOff>171450</xdr:colOff>
      <xdr:row>2853</xdr:row>
      <xdr:rowOff>133350</xdr:rowOff>
    </xdr:to>
    <xdr:pic>
      <xdr:nvPicPr>
        <xdr:cNvPr id="10562" name="Picture@5C\QPendientes@" descr="@5C\QPendientes@">
          <a:extLst>
            <a:ext uri="{FF2B5EF4-FFF2-40B4-BE49-F238E27FC236}">
              <a16:creationId xmlns:a16="http://schemas.microsoft.com/office/drawing/2014/main" id="{1321D49D-215D-4583-9FAE-E98B276EB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7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133350</xdr:rowOff>
    </xdr:to>
    <xdr:pic>
      <xdr:nvPicPr>
        <xdr:cNvPr id="10563" name="Picture@5C\QPendientes@" descr="@5C\QPendientes@">
          <a:extLst>
            <a:ext uri="{FF2B5EF4-FFF2-40B4-BE49-F238E27FC236}">
              <a16:creationId xmlns:a16="http://schemas.microsoft.com/office/drawing/2014/main" id="{A06707A4-20B0-4D7B-B5BA-6DDA5BB93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9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2855</xdr:row>
      <xdr:rowOff>0</xdr:rowOff>
    </xdr:from>
    <xdr:to>
      <xdr:col>0</xdr:col>
      <xdr:colOff>171450</xdr:colOff>
      <xdr:row>2855</xdr:row>
      <xdr:rowOff>133350</xdr:rowOff>
    </xdr:to>
    <xdr:pic>
      <xdr:nvPicPr>
        <xdr:cNvPr id="10564" name="Picture@5C\QPendientes@" descr="@5C\QPendientes@">
          <a:extLst>
            <a:ext uri="{FF2B5EF4-FFF2-40B4-BE49-F238E27FC236}">
              <a16:creationId xmlns:a16="http://schemas.microsoft.com/office/drawing/2014/main" id="{F1DA1367-D742-4928-8503-4D721C48D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21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2856</xdr:row>
      <xdr:rowOff>0</xdr:rowOff>
    </xdr:from>
    <xdr:to>
      <xdr:col>0</xdr:col>
      <xdr:colOff>171450</xdr:colOff>
      <xdr:row>2856</xdr:row>
      <xdr:rowOff>133350</xdr:rowOff>
    </xdr:to>
    <xdr:pic>
      <xdr:nvPicPr>
        <xdr:cNvPr id="10565" name="Picture@5C\QPendientes@" descr="@5C\QPendientes@">
          <a:extLst>
            <a:ext uri="{FF2B5EF4-FFF2-40B4-BE49-F238E27FC236}">
              <a16:creationId xmlns:a16="http://schemas.microsoft.com/office/drawing/2014/main" id="{F282EF55-0A84-4C60-9DCB-78D861A41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23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2857</xdr:row>
      <xdr:rowOff>0</xdr:rowOff>
    </xdr:from>
    <xdr:to>
      <xdr:col>0</xdr:col>
      <xdr:colOff>171450</xdr:colOff>
      <xdr:row>2857</xdr:row>
      <xdr:rowOff>133350</xdr:rowOff>
    </xdr:to>
    <xdr:pic>
      <xdr:nvPicPr>
        <xdr:cNvPr id="10566" name="Picture@5C\QPendientes@" descr="@5C\QPendientes@">
          <a:extLst>
            <a:ext uri="{FF2B5EF4-FFF2-40B4-BE49-F238E27FC236}">
              <a16:creationId xmlns:a16="http://schemas.microsoft.com/office/drawing/2014/main" id="{F08019B2-441E-4941-A209-B76A4FFCF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24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2858</xdr:row>
      <xdr:rowOff>0</xdr:rowOff>
    </xdr:from>
    <xdr:to>
      <xdr:col>0</xdr:col>
      <xdr:colOff>171450</xdr:colOff>
      <xdr:row>2858</xdr:row>
      <xdr:rowOff>133350</xdr:rowOff>
    </xdr:to>
    <xdr:pic>
      <xdr:nvPicPr>
        <xdr:cNvPr id="10567" name="Picture@5C\QPendientes@" descr="@5C\QPendientes@">
          <a:extLst>
            <a:ext uri="{FF2B5EF4-FFF2-40B4-BE49-F238E27FC236}">
              <a16:creationId xmlns:a16="http://schemas.microsoft.com/office/drawing/2014/main" id="{81B1FF63-E71B-46AC-8B69-C4CFC63F4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26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2859</xdr:row>
      <xdr:rowOff>0</xdr:rowOff>
    </xdr:from>
    <xdr:to>
      <xdr:col>0</xdr:col>
      <xdr:colOff>171450</xdr:colOff>
      <xdr:row>2859</xdr:row>
      <xdr:rowOff>133350</xdr:rowOff>
    </xdr:to>
    <xdr:pic>
      <xdr:nvPicPr>
        <xdr:cNvPr id="10568" name="Picture@5C\QPendientes@" descr="@5C\QPendientes@">
          <a:extLst>
            <a:ext uri="{FF2B5EF4-FFF2-40B4-BE49-F238E27FC236}">
              <a16:creationId xmlns:a16="http://schemas.microsoft.com/office/drawing/2014/main" id="{EE4AFC20-1C04-4702-8742-7EF1527C4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28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2860</xdr:row>
      <xdr:rowOff>0</xdr:rowOff>
    </xdr:from>
    <xdr:to>
      <xdr:col>0</xdr:col>
      <xdr:colOff>171450</xdr:colOff>
      <xdr:row>2860</xdr:row>
      <xdr:rowOff>133350</xdr:rowOff>
    </xdr:to>
    <xdr:pic>
      <xdr:nvPicPr>
        <xdr:cNvPr id="10569" name="Picture@5C\QPendientes@" descr="@5C\QPendientes@">
          <a:extLst>
            <a:ext uri="{FF2B5EF4-FFF2-40B4-BE49-F238E27FC236}">
              <a16:creationId xmlns:a16="http://schemas.microsoft.com/office/drawing/2014/main" id="{EA8CCB86-9BC5-4A51-BFA3-7CA9C84EF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133350</xdr:rowOff>
    </xdr:to>
    <xdr:pic>
      <xdr:nvPicPr>
        <xdr:cNvPr id="10570" name="Picture@5C\QPendientes@" descr="@5C\QPendientes@">
          <a:extLst>
            <a:ext uri="{FF2B5EF4-FFF2-40B4-BE49-F238E27FC236}">
              <a16:creationId xmlns:a16="http://schemas.microsoft.com/office/drawing/2014/main" id="{24878904-9E45-47FB-9C63-2FE077DC6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2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2862</xdr:row>
      <xdr:rowOff>0</xdr:rowOff>
    </xdr:from>
    <xdr:to>
      <xdr:col>0</xdr:col>
      <xdr:colOff>171450</xdr:colOff>
      <xdr:row>2862</xdr:row>
      <xdr:rowOff>133350</xdr:rowOff>
    </xdr:to>
    <xdr:pic>
      <xdr:nvPicPr>
        <xdr:cNvPr id="10571" name="Picture@5C\QPendientes@" descr="@5C\QPendientes@">
          <a:extLst>
            <a:ext uri="{FF2B5EF4-FFF2-40B4-BE49-F238E27FC236}">
              <a16:creationId xmlns:a16="http://schemas.microsoft.com/office/drawing/2014/main" id="{11C0E1AE-EC49-48FF-8301-5CEB6F5AF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4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2863</xdr:row>
      <xdr:rowOff>0</xdr:rowOff>
    </xdr:from>
    <xdr:to>
      <xdr:col>0</xdr:col>
      <xdr:colOff>171450</xdr:colOff>
      <xdr:row>2863</xdr:row>
      <xdr:rowOff>133350</xdr:rowOff>
    </xdr:to>
    <xdr:pic>
      <xdr:nvPicPr>
        <xdr:cNvPr id="10572" name="Picture@5C\QPendientes@" descr="@5C\QPendientes@">
          <a:extLst>
            <a:ext uri="{FF2B5EF4-FFF2-40B4-BE49-F238E27FC236}">
              <a16:creationId xmlns:a16="http://schemas.microsoft.com/office/drawing/2014/main" id="{F6CB0D6A-1831-4CAE-8D3D-E8CEE2BB2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5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2864</xdr:row>
      <xdr:rowOff>0</xdr:rowOff>
    </xdr:from>
    <xdr:to>
      <xdr:col>0</xdr:col>
      <xdr:colOff>171450</xdr:colOff>
      <xdr:row>2864</xdr:row>
      <xdr:rowOff>133350</xdr:rowOff>
    </xdr:to>
    <xdr:pic>
      <xdr:nvPicPr>
        <xdr:cNvPr id="10573" name="Picture@5C\QPendientes@" descr="@5C\QPendientes@">
          <a:extLst>
            <a:ext uri="{FF2B5EF4-FFF2-40B4-BE49-F238E27FC236}">
              <a16:creationId xmlns:a16="http://schemas.microsoft.com/office/drawing/2014/main" id="{636AA7D0-B5D9-4011-853B-91471330E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7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133350</xdr:rowOff>
    </xdr:to>
    <xdr:pic>
      <xdr:nvPicPr>
        <xdr:cNvPr id="10574" name="Picture@5C\QPendientes@" descr="@5C\QPendientes@">
          <a:extLst>
            <a:ext uri="{FF2B5EF4-FFF2-40B4-BE49-F238E27FC236}">
              <a16:creationId xmlns:a16="http://schemas.microsoft.com/office/drawing/2014/main" id="{295DFBD3-BD57-4708-AF43-2E9562B01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9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2866</xdr:row>
      <xdr:rowOff>0</xdr:rowOff>
    </xdr:from>
    <xdr:to>
      <xdr:col>0</xdr:col>
      <xdr:colOff>171450</xdr:colOff>
      <xdr:row>2866</xdr:row>
      <xdr:rowOff>133350</xdr:rowOff>
    </xdr:to>
    <xdr:pic>
      <xdr:nvPicPr>
        <xdr:cNvPr id="10575" name="Picture@5C\QPendientes@" descr="@5C\QPendientes@">
          <a:extLst>
            <a:ext uri="{FF2B5EF4-FFF2-40B4-BE49-F238E27FC236}">
              <a16:creationId xmlns:a16="http://schemas.microsoft.com/office/drawing/2014/main" id="{783072A9-FD0D-4EC1-9D87-1B0CA7440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1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2867</xdr:row>
      <xdr:rowOff>0</xdr:rowOff>
    </xdr:from>
    <xdr:to>
      <xdr:col>0</xdr:col>
      <xdr:colOff>171450</xdr:colOff>
      <xdr:row>2867</xdr:row>
      <xdr:rowOff>133350</xdr:rowOff>
    </xdr:to>
    <xdr:pic>
      <xdr:nvPicPr>
        <xdr:cNvPr id="10576" name="Picture@5C\QPendientes@" descr="@5C\QPendientes@">
          <a:extLst>
            <a:ext uri="{FF2B5EF4-FFF2-40B4-BE49-F238E27FC236}">
              <a16:creationId xmlns:a16="http://schemas.microsoft.com/office/drawing/2014/main" id="{44EE386B-A440-4AC4-9C6C-EDC111151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3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2868</xdr:row>
      <xdr:rowOff>0</xdr:rowOff>
    </xdr:from>
    <xdr:to>
      <xdr:col>0</xdr:col>
      <xdr:colOff>171450</xdr:colOff>
      <xdr:row>2868</xdr:row>
      <xdr:rowOff>133350</xdr:rowOff>
    </xdr:to>
    <xdr:pic>
      <xdr:nvPicPr>
        <xdr:cNvPr id="10577" name="Picture@5C\QPendientes@" descr="@5C\QPendientes@">
          <a:extLst>
            <a:ext uri="{FF2B5EF4-FFF2-40B4-BE49-F238E27FC236}">
              <a16:creationId xmlns:a16="http://schemas.microsoft.com/office/drawing/2014/main" id="{0792ECC3-1D1D-413D-8455-90FAC4CED7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4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2869</xdr:row>
      <xdr:rowOff>0</xdr:rowOff>
    </xdr:from>
    <xdr:to>
      <xdr:col>0</xdr:col>
      <xdr:colOff>171450</xdr:colOff>
      <xdr:row>2869</xdr:row>
      <xdr:rowOff>133350</xdr:rowOff>
    </xdr:to>
    <xdr:pic>
      <xdr:nvPicPr>
        <xdr:cNvPr id="10578" name="Picture@5C\QPendientes@" descr="@5C\QPendientes@">
          <a:extLst>
            <a:ext uri="{FF2B5EF4-FFF2-40B4-BE49-F238E27FC236}">
              <a16:creationId xmlns:a16="http://schemas.microsoft.com/office/drawing/2014/main" id="{2EF59213-CAF6-495D-9413-853AF3273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6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2870</xdr:row>
      <xdr:rowOff>0</xdr:rowOff>
    </xdr:from>
    <xdr:to>
      <xdr:col>0</xdr:col>
      <xdr:colOff>171450</xdr:colOff>
      <xdr:row>2870</xdr:row>
      <xdr:rowOff>133350</xdr:rowOff>
    </xdr:to>
    <xdr:pic>
      <xdr:nvPicPr>
        <xdr:cNvPr id="10579" name="Picture@5C\QPendientes@" descr="@5C\QPendientes@">
          <a:extLst>
            <a:ext uri="{FF2B5EF4-FFF2-40B4-BE49-F238E27FC236}">
              <a16:creationId xmlns:a16="http://schemas.microsoft.com/office/drawing/2014/main" id="{2BEDE3D8-5328-4D7F-B84B-42A21398B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133350</xdr:rowOff>
    </xdr:to>
    <xdr:pic>
      <xdr:nvPicPr>
        <xdr:cNvPr id="10580" name="Picture@5C\QPendientes@" descr="@5C\QPendientes@">
          <a:extLst>
            <a:ext uri="{FF2B5EF4-FFF2-40B4-BE49-F238E27FC236}">
              <a16:creationId xmlns:a16="http://schemas.microsoft.com/office/drawing/2014/main" id="{B1AACCA1-D4E7-4E75-BEF3-6116484E3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50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2872</xdr:row>
      <xdr:rowOff>0</xdr:rowOff>
    </xdr:from>
    <xdr:to>
      <xdr:col>0</xdr:col>
      <xdr:colOff>171450</xdr:colOff>
      <xdr:row>2872</xdr:row>
      <xdr:rowOff>133350</xdr:rowOff>
    </xdr:to>
    <xdr:pic>
      <xdr:nvPicPr>
        <xdr:cNvPr id="10581" name="Picture@5C\QPendientes@" descr="@5C\QPendientes@">
          <a:extLst>
            <a:ext uri="{FF2B5EF4-FFF2-40B4-BE49-F238E27FC236}">
              <a16:creationId xmlns:a16="http://schemas.microsoft.com/office/drawing/2014/main" id="{30CD1F41-C323-4A87-A116-2AFD59BEE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52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2873</xdr:row>
      <xdr:rowOff>0</xdr:rowOff>
    </xdr:from>
    <xdr:to>
      <xdr:col>0</xdr:col>
      <xdr:colOff>171450</xdr:colOff>
      <xdr:row>2873</xdr:row>
      <xdr:rowOff>133350</xdr:rowOff>
    </xdr:to>
    <xdr:pic>
      <xdr:nvPicPr>
        <xdr:cNvPr id="10582" name="Picture@5C\QPendientes@" descr="@5C\QPendientes@">
          <a:extLst>
            <a:ext uri="{FF2B5EF4-FFF2-40B4-BE49-F238E27FC236}">
              <a16:creationId xmlns:a16="http://schemas.microsoft.com/office/drawing/2014/main" id="{73CA6762-9FFE-45B2-AFF3-898EB757F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54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133350</xdr:rowOff>
    </xdr:to>
    <xdr:pic>
      <xdr:nvPicPr>
        <xdr:cNvPr id="10583" name="Picture@5C\QPendientes@" descr="@5C\QPendientes@">
          <a:extLst>
            <a:ext uri="{FF2B5EF4-FFF2-40B4-BE49-F238E27FC236}">
              <a16:creationId xmlns:a16="http://schemas.microsoft.com/office/drawing/2014/main" id="{B8A620FC-A9D3-465A-9A54-B22581E17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55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2875</xdr:row>
      <xdr:rowOff>0</xdr:rowOff>
    </xdr:from>
    <xdr:to>
      <xdr:col>0</xdr:col>
      <xdr:colOff>171450</xdr:colOff>
      <xdr:row>2875</xdr:row>
      <xdr:rowOff>133350</xdr:rowOff>
    </xdr:to>
    <xdr:pic>
      <xdr:nvPicPr>
        <xdr:cNvPr id="10584" name="Picture@5C\QPendientes@" descr="@5C\QPendientes@">
          <a:extLst>
            <a:ext uri="{FF2B5EF4-FFF2-40B4-BE49-F238E27FC236}">
              <a16:creationId xmlns:a16="http://schemas.microsoft.com/office/drawing/2014/main" id="{04F95B41-1964-4D9F-913D-A95A29EA0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57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2876</xdr:row>
      <xdr:rowOff>0</xdr:rowOff>
    </xdr:from>
    <xdr:to>
      <xdr:col>0</xdr:col>
      <xdr:colOff>171450</xdr:colOff>
      <xdr:row>2876</xdr:row>
      <xdr:rowOff>133350</xdr:rowOff>
    </xdr:to>
    <xdr:pic>
      <xdr:nvPicPr>
        <xdr:cNvPr id="10585" name="Picture@5C\QPendientes@" descr="@5C\QPendientes@">
          <a:extLst>
            <a:ext uri="{FF2B5EF4-FFF2-40B4-BE49-F238E27FC236}">
              <a16:creationId xmlns:a16="http://schemas.microsoft.com/office/drawing/2014/main" id="{C597FA03-C208-4C27-90D2-2C7C5617E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59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2877</xdr:row>
      <xdr:rowOff>0</xdr:rowOff>
    </xdr:from>
    <xdr:to>
      <xdr:col>0</xdr:col>
      <xdr:colOff>171450</xdr:colOff>
      <xdr:row>2877</xdr:row>
      <xdr:rowOff>133350</xdr:rowOff>
    </xdr:to>
    <xdr:pic>
      <xdr:nvPicPr>
        <xdr:cNvPr id="10586" name="Picture@5C\QPendientes@" descr="@5C\QPendientes@">
          <a:extLst>
            <a:ext uri="{FF2B5EF4-FFF2-40B4-BE49-F238E27FC236}">
              <a16:creationId xmlns:a16="http://schemas.microsoft.com/office/drawing/2014/main" id="{CFC2B2B0-8C09-4995-9228-C524CA6F6E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1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2878</xdr:row>
      <xdr:rowOff>0</xdr:rowOff>
    </xdr:from>
    <xdr:to>
      <xdr:col>0</xdr:col>
      <xdr:colOff>171450</xdr:colOff>
      <xdr:row>2878</xdr:row>
      <xdr:rowOff>133350</xdr:rowOff>
    </xdr:to>
    <xdr:pic>
      <xdr:nvPicPr>
        <xdr:cNvPr id="10587" name="Picture@5C\QPendientes@" descr="@5C\QPendientes@">
          <a:extLst>
            <a:ext uri="{FF2B5EF4-FFF2-40B4-BE49-F238E27FC236}">
              <a16:creationId xmlns:a16="http://schemas.microsoft.com/office/drawing/2014/main" id="{8C2D8075-57A8-4A45-98F1-5E913F779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3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133350</xdr:rowOff>
    </xdr:to>
    <xdr:pic>
      <xdr:nvPicPr>
        <xdr:cNvPr id="10588" name="Picture@5C\QPendientes@" descr="@5C\QPendientes@">
          <a:extLst>
            <a:ext uri="{FF2B5EF4-FFF2-40B4-BE49-F238E27FC236}">
              <a16:creationId xmlns:a16="http://schemas.microsoft.com/office/drawing/2014/main" id="{D5FF181C-3CF6-4876-A394-1397FD7EE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5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133350</xdr:rowOff>
    </xdr:to>
    <xdr:pic>
      <xdr:nvPicPr>
        <xdr:cNvPr id="10589" name="Picture@5C\QPendientes@" descr="@5C\QPendientes@">
          <a:extLst>
            <a:ext uri="{FF2B5EF4-FFF2-40B4-BE49-F238E27FC236}">
              <a16:creationId xmlns:a16="http://schemas.microsoft.com/office/drawing/2014/main" id="{DB0A2BF3-1937-4279-A8CA-D6F3F6920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2881</xdr:row>
      <xdr:rowOff>0</xdr:rowOff>
    </xdr:from>
    <xdr:to>
      <xdr:col>0</xdr:col>
      <xdr:colOff>171450</xdr:colOff>
      <xdr:row>2881</xdr:row>
      <xdr:rowOff>133350</xdr:rowOff>
    </xdr:to>
    <xdr:pic>
      <xdr:nvPicPr>
        <xdr:cNvPr id="10590" name="Picture@5C\QPendientes@" descr="@5C\QPendientes@">
          <a:extLst>
            <a:ext uri="{FF2B5EF4-FFF2-40B4-BE49-F238E27FC236}">
              <a16:creationId xmlns:a16="http://schemas.microsoft.com/office/drawing/2014/main" id="{C518B9E2-3B40-4E35-96AE-8B7E7419E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8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2882</xdr:row>
      <xdr:rowOff>0</xdr:rowOff>
    </xdr:from>
    <xdr:to>
      <xdr:col>0</xdr:col>
      <xdr:colOff>171450</xdr:colOff>
      <xdr:row>2882</xdr:row>
      <xdr:rowOff>133350</xdr:rowOff>
    </xdr:to>
    <xdr:pic>
      <xdr:nvPicPr>
        <xdr:cNvPr id="10591" name="Picture@5C\QPendientes@" descr="@5C\QPendientes@">
          <a:extLst>
            <a:ext uri="{FF2B5EF4-FFF2-40B4-BE49-F238E27FC236}">
              <a16:creationId xmlns:a16="http://schemas.microsoft.com/office/drawing/2014/main" id="{87992184-5ACF-4CFD-A83B-778364754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70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2883</xdr:row>
      <xdr:rowOff>0</xdr:rowOff>
    </xdr:from>
    <xdr:to>
      <xdr:col>0</xdr:col>
      <xdr:colOff>171450</xdr:colOff>
      <xdr:row>2883</xdr:row>
      <xdr:rowOff>133350</xdr:rowOff>
    </xdr:to>
    <xdr:pic>
      <xdr:nvPicPr>
        <xdr:cNvPr id="10592" name="Picture@5C\QPendientes@" descr="@5C\QPendientes@">
          <a:extLst>
            <a:ext uri="{FF2B5EF4-FFF2-40B4-BE49-F238E27FC236}">
              <a16:creationId xmlns:a16="http://schemas.microsoft.com/office/drawing/2014/main" id="{4CEC83B8-9CB3-4B76-AD86-74FEE0FDF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72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2884</xdr:row>
      <xdr:rowOff>0</xdr:rowOff>
    </xdr:from>
    <xdr:to>
      <xdr:col>0</xdr:col>
      <xdr:colOff>171450</xdr:colOff>
      <xdr:row>2884</xdr:row>
      <xdr:rowOff>133350</xdr:rowOff>
    </xdr:to>
    <xdr:pic>
      <xdr:nvPicPr>
        <xdr:cNvPr id="10593" name="Picture@5C\QPendientes@" descr="@5C\QPendientes@">
          <a:extLst>
            <a:ext uri="{FF2B5EF4-FFF2-40B4-BE49-F238E27FC236}">
              <a16:creationId xmlns:a16="http://schemas.microsoft.com/office/drawing/2014/main" id="{629DA0FC-8222-4883-9AF1-0245C3136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74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2885</xdr:row>
      <xdr:rowOff>0</xdr:rowOff>
    </xdr:from>
    <xdr:to>
      <xdr:col>0</xdr:col>
      <xdr:colOff>171450</xdr:colOff>
      <xdr:row>2885</xdr:row>
      <xdr:rowOff>133350</xdr:rowOff>
    </xdr:to>
    <xdr:pic>
      <xdr:nvPicPr>
        <xdr:cNvPr id="10594" name="Picture@5C\QPendientes@" descr="@5C\QPendientes@">
          <a:extLst>
            <a:ext uri="{FF2B5EF4-FFF2-40B4-BE49-F238E27FC236}">
              <a16:creationId xmlns:a16="http://schemas.microsoft.com/office/drawing/2014/main" id="{206ACC80-D4AD-420F-A965-BC99F5691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76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2886</xdr:row>
      <xdr:rowOff>0</xdr:rowOff>
    </xdr:from>
    <xdr:to>
      <xdr:col>0</xdr:col>
      <xdr:colOff>171450</xdr:colOff>
      <xdr:row>2886</xdr:row>
      <xdr:rowOff>133350</xdr:rowOff>
    </xdr:to>
    <xdr:pic>
      <xdr:nvPicPr>
        <xdr:cNvPr id="10595" name="Picture@5C\QPendientes@" descr="@5C\QPendientes@">
          <a:extLst>
            <a:ext uri="{FF2B5EF4-FFF2-40B4-BE49-F238E27FC236}">
              <a16:creationId xmlns:a16="http://schemas.microsoft.com/office/drawing/2014/main" id="{D38F9DF3-6602-4834-B3AD-0FF34B45A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77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133350</xdr:rowOff>
    </xdr:to>
    <xdr:pic>
      <xdr:nvPicPr>
        <xdr:cNvPr id="10596" name="Picture@5C\QPendientes@" descr="@5C\QPendientes@">
          <a:extLst>
            <a:ext uri="{FF2B5EF4-FFF2-40B4-BE49-F238E27FC236}">
              <a16:creationId xmlns:a16="http://schemas.microsoft.com/office/drawing/2014/main" id="{50F1C550-CF5E-4D1B-B552-560401934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79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2888</xdr:row>
      <xdr:rowOff>0</xdr:rowOff>
    </xdr:from>
    <xdr:to>
      <xdr:col>0</xdr:col>
      <xdr:colOff>171450</xdr:colOff>
      <xdr:row>2888</xdr:row>
      <xdr:rowOff>133350</xdr:rowOff>
    </xdr:to>
    <xdr:pic>
      <xdr:nvPicPr>
        <xdr:cNvPr id="10597" name="Picture@5C\QPendientes@" descr="@5C\QPendientes@">
          <a:extLst>
            <a:ext uri="{FF2B5EF4-FFF2-40B4-BE49-F238E27FC236}">
              <a16:creationId xmlns:a16="http://schemas.microsoft.com/office/drawing/2014/main" id="{4B3E7FC0-BAB5-4A06-9E8D-5234CA6AF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1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2889</xdr:row>
      <xdr:rowOff>0</xdr:rowOff>
    </xdr:from>
    <xdr:to>
      <xdr:col>0</xdr:col>
      <xdr:colOff>171450</xdr:colOff>
      <xdr:row>2889</xdr:row>
      <xdr:rowOff>133350</xdr:rowOff>
    </xdr:to>
    <xdr:pic>
      <xdr:nvPicPr>
        <xdr:cNvPr id="10598" name="Picture@5C\QPendientes@" descr="@5C\QPendientes@">
          <a:extLst>
            <a:ext uri="{FF2B5EF4-FFF2-40B4-BE49-F238E27FC236}">
              <a16:creationId xmlns:a16="http://schemas.microsoft.com/office/drawing/2014/main" id="{2B6BA80F-FE49-4B71-B274-EA3D16E01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3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2890</xdr:row>
      <xdr:rowOff>0</xdr:rowOff>
    </xdr:from>
    <xdr:to>
      <xdr:col>0</xdr:col>
      <xdr:colOff>171450</xdr:colOff>
      <xdr:row>2890</xdr:row>
      <xdr:rowOff>133350</xdr:rowOff>
    </xdr:to>
    <xdr:pic>
      <xdr:nvPicPr>
        <xdr:cNvPr id="10599" name="Picture@5C\QPendientes@" descr="@5C\QPendientes@">
          <a:extLst>
            <a:ext uri="{FF2B5EF4-FFF2-40B4-BE49-F238E27FC236}">
              <a16:creationId xmlns:a16="http://schemas.microsoft.com/office/drawing/2014/main" id="{65C52251-AA7E-4494-BD9B-D7ECAFDF7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133350</xdr:rowOff>
    </xdr:to>
    <xdr:pic>
      <xdr:nvPicPr>
        <xdr:cNvPr id="10600" name="Picture@5C\QPendientes@" descr="@5C\QPendientes@">
          <a:extLst>
            <a:ext uri="{FF2B5EF4-FFF2-40B4-BE49-F238E27FC236}">
              <a16:creationId xmlns:a16="http://schemas.microsoft.com/office/drawing/2014/main" id="{90B71CBE-7285-4742-B108-9E6051E14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7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133350</xdr:rowOff>
    </xdr:to>
    <xdr:pic>
      <xdr:nvPicPr>
        <xdr:cNvPr id="10601" name="Picture@5C\QPendientes@" descr="@5C\QPendientes@">
          <a:extLst>
            <a:ext uri="{FF2B5EF4-FFF2-40B4-BE49-F238E27FC236}">
              <a16:creationId xmlns:a16="http://schemas.microsoft.com/office/drawing/2014/main" id="{01A4608A-BAB9-441B-8E2B-864B068B9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8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2893</xdr:row>
      <xdr:rowOff>0</xdr:rowOff>
    </xdr:from>
    <xdr:to>
      <xdr:col>0</xdr:col>
      <xdr:colOff>171450</xdr:colOff>
      <xdr:row>2893</xdr:row>
      <xdr:rowOff>133350</xdr:rowOff>
    </xdr:to>
    <xdr:pic>
      <xdr:nvPicPr>
        <xdr:cNvPr id="10602" name="Picture@5C\QPendientes@" descr="@5C\QPendientes@">
          <a:extLst>
            <a:ext uri="{FF2B5EF4-FFF2-40B4-BE49-F238E27FC236}">
              <a16:creationId xmlns:a16="http://schemas.microsoft.com/office/drawing/2014/main" id="{27C3486C-0CAD-4E5A-AA26-7431B95E3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90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2894</xdr:row>
      <xdr:rowOff>0</xdr:rowOff>
    </xdr:from>
    <xdr:to>
      <xdr:col>0</xdr:col>
      <xdr:colOff>171450</xdr:colOff>
      <xdr:row>2894</xdr:row>
      <xdr:rowOff>133350</xdr:rowOff>
    </xdr:to>
    <xdr:pic>
      <xdr:nvPicPr>
        <xdr:cNvPr id="10603" name="Picture@5C\QPendientes@" descr="@5C\QPendientes@">
          <a:extLst>
            <a:ext uri="{FF2B5EF4-FFF2-40B4-BE49-F238E27FC236}">
              <a16:creationId xmlns:a16="http://schemas.microsoft.com/office/drawing/2014/main" id="{470492EF-4DE2-4EAE-AA00-72F92CB51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92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2895</xdr:row>
      <xdr:rowOff>0</xdr:rowOff>
    </xdr:from>
    <xdr:to>
      <xdr:col>0</xdr:col>
      <xdr:colOff>171450</xdr:colOff>
      <xdr:row>2895</xdr:row>
      <xdr:rowOff>133350</xdr:rowOff>
    </xdr:to>
    <xdr:pic>
      <xdr:nvPicPr>
        <xdr:cNvPr id="10604" name="Picture@5C\QPendientes@" descr="@5C\QPendientes@">
          <a:extLst>
            <a:ext uri="{FF2B5EF4-FFF2-40B4-BE49-F238E27FC236}">
              <a16:creationId xmlns:a16="http://schemas.microsoft.com/office/drawing/2014/main" id="{5BAB3931-3A90-4BE0-B586-F7DED6194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94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133350</xdr:rowOff>
    </xdr:to>
    <xdr:pic>
      <xdr:nvPicPr>
        <xdr:cNvPr id="10605" name="Picture@5C\QPendientes@" descr="@5C\QPendientes@">
          <a:extLst>
            <a:ext uri="{FF2B5EF4-FFF2-40B4-BE49-F238E27FC236}">
              <a16:creationId xmlns:a16="http://schemas.microsoft.com/office/drawing/2014/main" id="{95A26DBD-3B82-4344-9A03-47F1991B5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96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133350</xdr:rowOff>
    </xdr:to>
    <xdr:pic>
      <xdr:nvPicPr>
        <xdr:cNvPr id="10606" name="Picture@5C\QPendientes@" descr="@5C\QPendientes@">
          <a:extLst>
            <a:ext uri="{FF2B5EF4-FFF2-40B4-BE49-F238E27FC236}">
              <a16:creationId xmlns:a16="http://schemas.microsoft.com/office/drawing/2014/main" id="{0E3258BA-FDE8-4EC9-B791-2133D57E9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98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2898</xdr:row>
      <xdr:rowOff>0</xdr:rowOff>
    </xdr:from>
    <xdr:to>
      <xdr:col>0</xdr:col>
      <xdr:colOff>171450</xdr:colOff>
      <xdr:row>2898</xdr:row>
      <xdr:rowOff>133350</xdr:rowOff>
    </xdr:to>
    <xdr:pic>
      <xdr:nvPicPr>
        <xdr:cNvPr id="10607" name="Picture@5C\QPendientes@" descr="@5C\QPendientes@">
          <a:extLst>
            <a:ext uri="{FF2B5EF4-FFF2-40B4-BE49-F238E27FC236}">
              <a16:creationId xmlns:a16="http://schemas.microsoft.com/office/drawing/2014/main" id="{FE283B8B-02DD-4DEC-B54E-4DA8798C0E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99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2899</xdr:row>
      <xdr:rowOff>0</xdr:rowOff>
    </xdr:from>
    <xdr:to>
      <xdr:col>0</xdr:col>
      <xdr:colOff>171450</xdr:colOff>
      <xdr:row>2899</xdr:row>
      <xdr:rowOff>133350</xdr:rowOff>
    </xdr:to>
    <xdr:pic>
      <xdr:nvPicPr>
        <xdr:cNvPr id="10608" name="Picture@5C\QPendientes@" descr="@5C\QPendientes@">
          <a:extLst>
            <a:ext uri="{FF2B5EF4-FFF2-40B4-BE49-F238E27FC236}">
              <a16:creationId xmlns:a16="http://schemas.microsoft.com/office/drawing/2014/main" id="{50B7DB6B-9383-456E-8243-6877D1A62B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1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133350</xdr:rowOff>
    </xdr:to>
    <xdr:pic>
      <xdr:nvPicPr>
        <xdr:cNvPr id="10609" name="Picture@5C\QPendientes@" descr="@5C\QPendientes@">
          <a:extLst>
            <a:ext uri="{FF2B5EF4-FFF2-40B4-BE49-F238E27FC236}">
              <a16:creationId xmlns:a16="http://schemas.microsoft.com/office/drawing/2014/main" id="{B586A614-E362-49E9-AEA7-863E9422A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133350</xdr:rowOff>
    </xdr:to>
    <xdr:pic>
      <xdr:nvPicPr>
        <xdr:cNvPr id="10610" name="Picture@5C\QPendientes@" descr="@5C\QPendientes@">
          <a:extLst>
            <a:ext uri="{FF2B5EF4-FFF2-40B4-BE49-F238E27FC236}">
              <a16:creationId xmlns:a16="http://schemas.microsoft.com/office/drawing/2014/main" id="{5D5383D7-C707-4B68-9431-42BC648CD7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5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2902</xdr:row>
      <xdr:rowOff>0</xdr:rowOff>
    </xdr:from>
    <xdr:to>
      <xdr:col>0</xdr:col>
      <xdr:colOff>171450</xdr:colOff>
      <xdr:row>2902</xdr:row>
      <xdr:rowOff>133350</xdr:rowOff>
    </xdr:to>
    <xdr:pic>
      <xdr:nvPicPr>
        <xdr:cNvPr id="10611" name="Picture@5C\QPendientes@" descr="@5C\QPendientes@">
          <a:extLst>
            <a:ext uri="{FF2B5EF4-FFF2-40B4-BE49-F238E27FC236}">
              <a16:creationId xmlns:a16="http://schemas.microsoft.com/office/drawing/2014/main" id="{DC2BDD86-7147-4B28-80DE-42474C102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7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2903</xdr:row>
      <xdr:rowOff>0</xdr:rowOff>
    </xdr:from>
    <xdr:to>
      <xdr:col>0</xdr:col>
      <xdr:colOff>171450</xdr:colOff>
      <xdr:row>2903</xdr:row>
      <xdr:rowOff>133350</xdr:rowOff>
    </xdr:to>
    <xdr:pic>
      <xdr:nvPicPr>
        <xdr:cNvPr id="10612" name="Picture@5C\QPendientes@" descr="@5C\QPendientes@">
          <a:extLst>
            <a:ext uri="{FF2B5EF4-FFF2-40B4-BE49-F238E27FC236}">
              <a16:creationId xmlns:a16="http://schemas.microsoft.com/office/drawing/2014/main" id="{5A0F3533-E2F8-455A-ADCF-FD408F78F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9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2904</xdr:row>
      <xdr:rowOff>0</xdr:rowOff>
    </xdr:from>
    <xdr:to>
      <xdr:col>0</xdr:col>
      <xdr:colOff>171450</xdr:colOff>
      <xdr:row>2904</xdr:row>
      <xdr:rowOff>133350</xdr:rowOff>
    </xdr:to>
    <xdr:pic>
      <xdr:nvPicPr>
        <xdr:cNvPr id="10613" name="Picture@5C\QPendientes@" descr="@5C\QPendientes@">
          <a:extLst>
            <a:ext uri="{FF2B5EF4-FFF2-40B4-BE49-F238E27FC236}">
              <a16:creationId xmlns:a16="http://schemas.microsoft.com/office/drawing/2014/main" id="{97223375-153E-4F96-A5E8-AA79CEDE6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10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2905</xdr:row>
      <xdr:rowOff>0</xdr:rowOff>
    </xdr:from>
    <xdr:to>
      <xdr:col>0</xdr:col>
      <xdr:colOff>171450</xdr:colOff>
      <xdr:row>2905</xdr:row>
      <xdr:rowOff>133350</xdr:rowOff>
    </xdr:to>
    <xdr:pic>
      <xdr:nvPicPr>
        <xdr:cNvPr id="10614" name="Picture@5C\QPendientes@" descr="@5C\QPendientes@">
          <a:extLst>
            <a:ext uri="{FF2B5EF4-FFF2-40B4-BE49-F238E27FC236}">
              <a16:creationId xmlns:a16="http://schemas.microsoft.com/office/drawing/2014/main" id="{917872D5-F60D-4FAE-BFE7-A3CCD2ED4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12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2906</xdr:row>
      <xdr:rowOff>0</xdr:rowOff>
    </xdr:from>
    <xdr:to>
      <xdr:col>0</xdr:col>
      <xdr:colOff>171450</xdr:colOff>
      <xdr:row>2906</xdr:row>
      <xdr:rowOff>133350</xdr:rowOff>
    </xdr:to>
    <xdr:pic>
      <xdr:nvPicPr>
        <xdr:cNvPr id="10615" name="Picture@5C\QPendientes@" descr="@5C\QPendientes@">
          <a:extLst>
            <a:ext uri="{FF2B5EF4-FFF2-40B4-BE49-F238E27FC236}">
              <a16:creationId xmlns:a16="http://schemas.microsoft.com/office/drawing/2014/main" id="{A818EF39-381D-491F-904E-EF4864880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14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2907</xdr:row>
      <xdr:rowOff>0</xdr:rowOff>
    </xdr:from>
    <xdr:to>
      <xdr:col>0</xdr:col>
      <xdr:colOff>171450</xdr:colOff>
      <xdr:row>2907</xdr:row>
      <xdr:rowOff>133350</xdr:rowOff>
    </xdr:to>
    <xdr:pic>
      <xdr:nvPicPr>
        <xdr:cNvPr id="10616" name="Picture@5C\QPendientes@" descr="@5C\QPendientes@">
          <a:extLst>
            <a:ext uri="{FF2B5EF4-FFF2-40B4-BE49-F238E27FC236}">
              <a16:creationId xmlns:a16="http://schemas.microsoft.com/office/drawing/2014/main" id="{218970DC-8654-4D74-A856-502928CB0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16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2908</xdr:row>
      <xdr:rowOff>0</xdr:rowOff>
    </xdr:from>
    <xdr:to>
      <xdr:col>0</xdr:col>
      <xdr:colOff>171450</xdr:colOff>
      <xdr:row>2908</xdr:row>
      <xdr:rowOff>133350</xdr:rowOff>
    </xdr:to>
    <xdr:pic>
      <xdr:nvPicPr>
        <xdr:cNvPr id="10617" name="Picture@5C\QPendientes@" descr="@5C\QPendientes@">
          <a:extLst>
            <a:ext uri="{FF2B5EF4-FFF2-40B4-BE49-F238E27FC236}">
              <a16:creationId xmlns:a16="http://schemas.microsoft.com/office/drawing/2014/main" id="{A2D67B10-ADEC-4597-93D8-72FA4B02F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18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2909</xdr:row>
      <xdr:rowOff>0</xdr:rowOff>
    </xdr:from>
    <xdr:to>
      <xdr:col>0</xdr:col>
      <xdr:colOff>171450</xdr:colOff>
      <xdr:row>2909</xdr:row>
      <xdr:rowOff>133350</xdr:rowOff>
    </xdr:to>
    <xdr:pic>
      <xdr:nvPicPr>
        <xdr:cNvPr id="10618" name="Picture@5C\QPendientes@" descr="@5C\QPendientes@">
          <a:extLst>
            <a:ext uri="{FF2B5EF4-FFF2-40B4-BE49-F238E27FC236}">
              <a16:creationId xmlns:a16="http://schemas.microsoft.com/office/drawing/2014/main" id="{78E36D0D-3930-4FCB-901C-EA46F20F2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19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2910</xdr:row>
      <xdr:rowOff>0</xdr:rowOff>
    </xdr:from>
    <xdr:to>
      <xdr:col>0</xdr:col>
      <xdr:colOff>171450</xdr:colOff>
      <xdr:row>2910</xdr:row>
      <xdr:rowOff>133350</xdr:rowOff>
    </xdr:to>
    <xdr:pic>
      <xdr:nvPicPr>
        <xdr:cNvPr id="10619" name="Picture@5C\QPendientes@" descr="@5C\QPendientes@">
          <a:extLst>
            <a:ext uri="{FF2B5EF4-FFF2-40B4-BE49-F238E27FC236}">
              <a16:creationId xmlns:a16="http://schemas.microsoft.com/office/drawing/2014/main" id="{513896B7-F0F9-4066-ADEF-CD3516998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2911</xdr:row>
      <xdr:rowOff>0</xdr:rowOff>
    </xdr:from>
    <xdr:to>
      <xdr:col>0</xdr:col>
      <xdr:colOff>171450</xdr:colOff>
      <xdr:row>2911</xdr:row>
      <xdr:rowOff>133350</xdr:rowOff>
    </xdr:to>
    <xdr:pic>
      <xdr:nvPicPr>
        <xdr:cNvPr id="10620" name="Picture@5C\QPendientes@" descr="@5C\QPendientes@">
          <a:extLst>
            <a:ext uri="{FF2B5EF4-FFF2-40B4-BE49-F238E27FC236}">
              <a16:creationId xmlns:a16="http://schemas.microsoft.com/office/drawing/2014/main" id="{4821FBE2-1699-4103-B61F-C5A3613AE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3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2912</xdr:row>
      <xdr:rowOff>0</xdr:rowOff>
    </xdr:from>
    <xdr:to>
      <xdr:col>0</xdr:col>
      <xdr:colOff>171450</xdr:colOff>
      <xdr:row>2912</xdr:row>
      <xdr:rowOff>133350</xdr:rowOff>
    </xdr:to>
    <xdr:pic>
      <xdr:nvPicPr>
        <xdr:cNvPr id="10621" name="Picture@5C\QPendientes@" descr="@5C\QPendientes@">
          <a:extLst>
            <a:ext uri="{FF2B5EF4-FFF2-40B4-BE49-F238E27FC236}">
              <a16:creationId xmlns:a16="http://schemas.microsoft.com/office/drawing/2014/main" id="{D6A2D2B1-2B23-42BF-978C-7C8C1A570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5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133350</xdr:rowOff>
    </xdr:to>
    <xdr:pic>
      <xdr:nvPicPr>
        <xdr:cNvPr id="10622" name="Picture@5C\QPendientes@" descr="@5C\QPendientes@">
          <a:extLst>
            <a:ext uri="{FF2B5EF4-FFF2-40B4-BE49-F238E27FC236}">
              <a16:creationId xmlns:a16="http://schemas.microsoft.com/office/drawing/2014/main" id="{8A39AF4F-DB66-4AF6-B494-7BC107CB7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7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133350</xdr:rowOff>
    </xdr:to>
    <xdr:pic>
      <xdr:nvPicPr>
        <xdr:cNvPr id="10623" name="Picture@5C\QPendientes@" descr="@5C\QPendientes@">
          <a:extLst>
            <a:ext uri="{FF2B5EF4-FFF2-40B4-BE49-F238E27FC236}">
              <a16:creationId xmlns:a16="http://schemas.microsoft.com/office/drawing/2014/main" id="{7E94ED77-CA1A-4CD8-9C51-FDAB5F938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9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133350</xdr:rowOff>
    </xdr:to>
    <xdr:pic>
      <xdr:nvPicPr>
        <xdr:cNvPr id="10624" name="Picture@5C\QPendientes@" descr="@5C\QPendientes@">
          <a:extLst>
            <a:ext uri="{FF2B5EF4-FFF2-40B4-BE49-F238E27FC236}">
              <a16:creationId xmlns:a16="http://schemas.microsoft.com/office/drawing/2014/main" id="{59C3DB9E-9372-4468-BF3D-8ED195A245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30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2916</xdr:row>
      <xdr:rowOff>0</xdr:rowOff>
    </xdr:from>
    <xdr:to>
      <xdr:col>0</xdr:col>
      <xdr:colOff>171450</xdr:colOff>
      <xdr:row>2916</xdr:row>
      <xdr:rowOff>133350</xdr:rowOff>
    </xdr:to>
    <xdr:pic>
      <xdr:nvPicPr>
        <xdr:cNvPr id="10625" name="Picture@5C\QPendientes@" descr="@5C\QPendientes@">
          <a:extLst>
            <a:ext uri="{FF2B5EF4-FFF2-40B4-BE49-F238E27FC236}">
              <a16:creationId xmlns:a16="http://schemas.microsoft.com/office/drawing/2014/main" id="{E5DBD8CE-67DD-4CA4-9DD2-A348B56238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32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133350</xdr:rowOff>
    </xdr:to>
    <xdr:pic>
      <xdr:nvPicPr>
        <xdr:cNvPr id="10626" name="Picture@5C\QPendientes@" descr="@5C\QPendientes@">
          <a:extLst>
            <a:ext uri="{FF2B5EF4-FFF2-40B4-BE49-F238E27FC236}">
              <a16:creationId xmlns:a16="http://schemas.microsoft.com/office/drawing/2014/main" id="{186085FD-3B73-4609-8A8C-66F4D9F41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34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133350</xdr:rowOff>
    </xdr:to>
    <xdr:pic>
      <xdr:nvPicPr>
        <xdr:cNvPr id="10627" name="Picture@5C\QPendientes@" descr="@5C\QPendientes@">
          <a:extLst>
            <a:ext uri="{FF2B5EF4-FFF2-40B4-BE49-F238E27FC236}">
              <a16:creationId xmlns:a16="http://schemas.microsoft.com/office/drawing/2014/main" id="{5BC2AB2B-0D42-4527-8386-DFBF3835C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36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133350</xdr:rowOff>
    </xdr:to>
    <xdr:pic>
      <xdr:nvPicPr>
        <xdr:cNvPr id="10628" name="Picture@5C\QPendientes@" descr="@5C\QPendientes@">
          <a:extLst>
            <a:ext uri="{FF2B5EF4-FFF2-40B4-BE49-F238E27FC236}">
              <a16:creationId xmlns:a16="http://schemas.microsoft.com/office/drawing/2014/main" id="{CCA4DC43-5948-41AA-A463-6E9A7B747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38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133350</xdr:rowOff>
    </xdr:to>
    <xdr:pic>
      <xdr:nvPicPr>
        <xdr:cNvPr id="10629" name="Picture@5C\QPendientes@" descr="@5C\QPendientes@">
          <a:extLst>
            <a:ext uri="{FF2B5EF4-FFF2-40B4-BE49-F238E27FC236}">
              <a16:creationId xmlns:a16="http://schemas.microsoft.com/office/drawing/2014/main" id="{074B240D-4AF6-4CD4-8EF8-540AE24AF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133350</xdr:rowOff>
    </xdr:to>
    <xdr:pic>
      <xdr:nvPicPr>
        <xdr:cNvPr id="10630" name="Picture@5C\QPendientes@" descr="@5C\QPendientes@">
          <a:extLst>
            <a:ext uri="{FF2B5EF4-FFF2-40B4-BE49-F238E27FC236}">
              <a16:creationId xmlns:a16="http://schemas.microsoft.com/office/drawing/2014/main" id="{B75805D3-2A7A-4D75-B641-2F75D01B8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1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2922</xdr:row>
      <xdr:rowOff>0</xdr:rowOff>
    </xdr:from>
    <xdr:to>
      <xdr:col>0</xdr:col>
      <xdr:colOff>171450</xdr:colOff>
      <xdr:row>2922</xdr:row>
      <xdr:rowOff>133350</xdr:rowOff>
    </xdr:to>
    <xdr:pic>
      <xdr:nvPicPr>
        <xdr:cNvPr id="10631" name="Picture@5C\QPendientes@" descr="@5C\QPendientes@">
          <a:extLst>
            <a:ext uri="{FF2B5EF4-FFF2-40B4-BE49-F238E27FC236}">
              <a16:creationId xmlns:a16="http://schemas.microsoft.com/office/drawing/2014/main" id="{AA109667-E24D-4D8C-B8F0-C1B3B843A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3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2923</xdr:row>
      <xdr:rowOff>0</xdr:rowOff>
    </xdr:from>
    <xdr:to>
      <xdr:col>0</xdr:col>
      <xdr:colOff>171450</xdr:colOff>
      <xdr:row>2923</xdr:row>
      <xdr:rowOff>133350</xdr:rowOff>
    </xdr:to>
    <xdr:pic>
      <xdr:nvPicPr>
        <xdr:cNvPr id="10632" name="Picture@5C\QPendientes@" descr="@5C\QPendientes@">
          <a:extLst>
            <a:ext uri="{FF2B5EF4-FFF2-40B4-BE49-F238E27FC236}">
              <a16:creationId xmlns:a16="http://schemas.microsoft.com/office/drawing/2014/main" id="{0EBF015B-BA9A-4747-A72A-2C2107528D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5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133350</xdr:rowOff>
    </xdr:to>
    <xdr:pic>
      <xdr:nvPicPr>
        <xdr:cNvPr id="10633" name="Picture@5C\QPendientes@" descr="@5C\QPendientes@">
          <a:extLst>
            <a:ext uri="{FF2B5EF4-FFF2-40B4-BE49-F238E27FC236}">
              <a16:creationId xmlns:a16="http://schemas.microsoft.com/office/drawing/2014/main" id="{3DF71E63-055B-4927-AAE7-FBD3E0B9D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7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133350</xdr:rowOff>
    </xdr:to>
    <xdr:pic>
      <xdr:nvPicPr>
        <xdr:cNvPr id="10634" name="Picture@5C\QPendientes@" descr="@5C\QPendientes@">
          <a:extLst>
            <a:ext uri="{FF2B5EF4-FFF2-40B4-BE49-F238E27FC236}">
              <a16:creationId xmlns:a16="http://schemas.microsoft.com/office/drawing/2014/main" id="{681142A4-3164-4F8D-B6D8-1D4984484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9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133350</xdr:rowOff>
    </xdr:to>
    <xdr:pic>
      <xdr:nvPicPr>
        <xdr:cNvPr id="10635" name="Picture@5C\QPendientes@" descr="@5C\QPendientes@">
          <a:extLst>
            <a:ext uri="{FF2B5EF4-FFF2-40B4-BE49-F238E27FC236}">
              <a16:creationId xmlns:a16="http://schemas.microsoft.com/office/drawing/2014/main" id="{C4F31112-725C-4569-A8A0-C5A5E2059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1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133350</xdr:rowOff>
    </xdr:to>
    <xdr:pic>
      <xdr:nvPicPr>
        <xdr:cNvPr id="10636" name="Picture@5C\QPendientes@" descr="@5C\QPendientes@">
          <a:extLst>
            <a:ext uri="{FF2B5EF4-FFF2-40B4-BE49-F238E27FC236}">
              <a16:creationId xmlns:a16="http://schemas.microsoft.com/office/drawing/2014/main" id="{2751F981-94EC-4853-A860-3C9C7BAB6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2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2928</xdr:row>
      <xdr:rowOff>0</xdr:rowOff>
    </xdr:from>
    <xdr:to>
      <xdr:col>0</xdr:col>
      <xdr:colOff>171450</xdr:colOff>
      <xdr:row>2928</xdr:row>
      <xdr:rowOff>133350</xdr:rowOff>
    </xdr:to>
    <xdr:pic>
      <xdr:nvPicPr>
        <xdr:cNvPr id="10637" name="Picture@5C\QPendientes@" descr="@5C\QPendientes@">
          <a:extLst>
            <a:ext uri="{FF2B5EF4-FFF2-40B4-BE49-F238E27FC236}">
              <a16:creationId xmlns:a16="http://schemas.microsoft.com/office/drawing/2014/main" id="{F650D192-4A10-4E73-ACDF-12D920216F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4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2929</xdr:row>
      <xdr:rowOff>0</xdr:rowOff>
    </xdr:from>
    <xdr:to>
      <xdr:col>0</xdr:col>
      <xdr:colOff>171450</xdr:colOff>
      <xdr:row>2929</xdr:row>
      <xdr:rowOff>133350</xdr:rowOff>
    </xdr:to>
    <xdr:pic>
      <xdr:nvPicPr>
        <xdr:cNvPr id="10638" name="Picture@5C\QPendientes@" descr="@5C\QPendientes@">
          <a:extLst>
            <a:ext uri="{FF2B5EF4-FFF2-40B4-BE49-F238E27FC236}">
              <a16:creationId xmlns:a16="http://schemas.microsoft.com/office/drawing/2014/main" id="{20A94A95-8FA5-4C95-AF70-63033A508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6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133350</xdr:rowOff>
    </xdr:to>
    <xdr:pic>
      <xdr:nvPicPr>
        <xdr:cNvPr id="10639" name="Picture@5C\QPendientes@" descr="@5C\QPendientes@">
          <a:extLst>
            <a:ext uri="{FF2B5EF4-FFF2-40B4-BE49-F238E27FC236}">
              <a16:creationId xmlns:a16="http://schemas.microsoft.com/office/drawing/2014/main" id="{F409BCC9-853B-4AFE-AEA5-E6F1913D7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133350</xdr:rowOff>
    </xdr:to>
    <xdr:pic>
      <xdr:nvPicPr>
        <xdr:cNvPr id="10640" name="Picture@5C\QPendientes@" descr="@5C\QPendientes@">
          <a:extLst>
            <a:ext uri="{FF2B5EF4-FFF2-40B4-BE49-F238E27FC236}">
              <a16:creationId xmlns:a16="http://schemas.microsoft.com/office/drawing/2014/main" id="{F626CAAA-242A-4BA8-B933-323E834E53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60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133350</xdr:rowOff>
    </xdr:to>
    <xdr:pic>
      <xdr:nvPicPr>
        <xdr:cNvPr id="10641" name="Picture@5C\QPendientes@" descr="@5C\QPendientes@">
          <a:extLst>
            <a:ext uri="{FF2B5EF4-FFF2-40B4-BE49-F238E27FC236}">
              <a16:creationId xmlns:a16="http://schemas.microsoft.com/office/drawing/2014/main" id="{A776F133-0111-4973-A47F-24D35DC33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62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2933</xdr:row>
      <xdr:rowOff>0</xdr:rowOff>
    </xdr:from>
    <xdr:to>
      <xdr:col>0</xdr:col>
      <xdr:colOff>171450</xdr:colOff>
      <xdr:row>2933</xdr:row>
      <xdr:rowOff>133350</xdr:rowOff>
    </xdr:to>
    <xdr:pic>
      <xdr:nvPicPr>
        <xdr:cNvPr id="10642" name="Picture@5C\QPendientes@" descr="@5C\QPendientes@">
          <a:extLst>
            <a:ext uri="{FF2B5EF4-FFF2-40B4-BE49-F238E27FC236}">
              <a16:creationId xmlns:a16="http://schemas.microsoft.com/office/drawing/2014/main" id="{2BACFAA4-7A1F-4F5F-B68D-05FDE5ABC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63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2934</xdr:row>
      <xdr:rowOff>0</xdr:rowOff>
    </xdr:from>
    <xdr:to>
      <xdr:col>0</xdr:col>
      <xdr:colOff>171450</xdr:colOff>
      <xdr:row>2934</xdr:row>
      <xdr:rowOff>133350</xdr:rowOff>
    </xdr:to>
    <xdr:pic>
      <xdr:nvPicPr>
        <xdr:cNvPr id="10643" name="Picture@5C\QPendientes@" descr="@5C\QPendientes@">
          <a:extLst>
            <a:ext uri="{FF2B5EF4-FFF2-40B4-BE49-F238E27FC236}">
              <a16:creationId xmlns:a16="http://schemas.microsoft.com/office/drawing/2014/main" id="{E7597551-778E-4E8D-B1DC-C1B529469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65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2935</xdr:row>
      <xdr:rowOff>0</xdr:rowOff>
    </xdr:from>
    <xdr:to>
      <xdr:col>0</xdr:col>
      <xdr:colOff>171450</xdr:colOff>
      <xdr:row>2935</xdr:row>
      <xdr:rowOff>133350</xdr:rowOff>
    </xdr:to>
    <xdr:pic>
      <xdr:nvPicPr>
        <xdr:cNvPr id="10644" name="Picture@5C\QPendientes@" descr="@5C\QPendientes@">
          <a:extLst>
            <a:ext uri="{FF2B5EF4-FFF2-40B4-BE49-F238E27FC236}">
              <a16:creationId xmlns:a16="http://schemas.microsoft.com/office/drawing/2014/main" id="{7BBF13B3-0260-41F6-A17E-35F5ABBBB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67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133350</xdr:rowOff>
    </xdr:to>
    <xdr:pic>
      <xdr:nvPicPr>
        <xdr:cNvPr id="10645" name="Picture@5C\QPendientes@" descr="@5C\QPendientes@">
          <a:extLst>
            <a:ext uri="{FF2B5EF4-FFF2-40B4-BE49-F238E27FC236}">
              <a16:creationId xmlns:a16="http://schemas.microsoft.com/office/drawing/2014/main" id="{515E9BB8-D742-42BA-A3A5-9C1A5C157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69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2937</xdr:row>
      <xdr:rowOff>0</xdr:rowOff>
    </xdr:from>
    <xdr:to>
      <xdr:col>0</xdr:col>
      <xdr:colOff>171450</xdr:colOff>
      <xdr:row>2937</xdr:row>
      <xdr:rowOff>133350</xdr:rowOff>
    </xdr:to>
    <xdr:pic>
      <xdr:nvPicPr>
        <xdr:cNvPr id="10646" name="Picture@5C\QPendientes@" descr="@5C\QPendientes@">
          <a:extLst>
            <a:ext uri="{FF2B5EF4-FFF2-40B4-BE49-F238E27FC236}">
              <a16:creationId xmlns:a16="http://schemas.microsoft.com/office/drawing/2014/main" id="{39066B37-77D8-4995-9008-C99706809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1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2938</xdr:row>
      <xdr:rowOff>0</xdr:rowOff>
    </xdr:from>
    <xdr:to>
      <xdr:col>0</xdr:col>
      <xdr:colOff>171450</xdr:colOff>
      <xdr:row>2938</xdr:row>
      <xdr:rowOff>133350</xdr:rowOff>
    </xdr:to>
    <xdr:pic>
      <xdr:nvPicPr>
        <xdr:cNvPr id="10647" name="Picture@5C\QPendientes@" descr="@5C\QPendientes@">
          <a:extLst>
            <a:ext uri="{FF2B5EF4-FFF2-40B4-BE49-F238E27FC236}">
              <a16:creationId xmlns:a16="http://schemas.microsoft.com/office/drawing/2014/main" id="{4EFEFD56-B95F-4C4D-A867-B75A76818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3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2939</xdr:row>
      <xdr:rowOff>0</xdr:rowOff>
    </xdr:from>
    <xdr:to>
      <xdr:col>0</xdr:col>
      <xdr:colOff>171450</xdr:colOff>
      <xdr:row>2939</xdr:row>
      <xdr:rowOff>133350</xdr:rowOff>
    </xdr:to>
    <xdr:pic>
      <xdr:nvPicPr>
        <xdr:cNvPr id="10648" name="Picture@5C\QPendientes@" descr="@5C\QPendientes@">
          <a:extLst>
            <a:ext uri="{FF2B5EF4-FFF2-40B4-BE49-F238E27FC236}">
              <a16:creationId xmlns:a16="http://schemas.microsoft.com/office/drawing/2014/main" id="{375C6DBB-8866-4A95-8F21-FE6E8D317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4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2940</xdr:row>
      <xdr:rowOff>0</xdr:rowOff>
    </xdr:from>
    <xdr:to>
      <xdr:col>0</xdr:col>
      <xdr:colOff>171450</xdr:colOff>
      <xdr:row>2940</xdr:row>
      <xdr:rowOff>133350</xdr:rowOff>
    </xdr:to>
    <xdr:pic>
      <xdr:nvPicPr>
        <xdr:cNvPr id="10649" name="Picture@5C\QPendientes@" descr="@5C\QPendientes@">
          <a:extLst>
            <a:ext uri="{FF2B5EF4-FFF2-40B4-BE49-F238E27FC236}">
              <a16:creationId xmlns:a16="http://schemas.microsoft.com/office/drawing/2014/main" id="{C2B08AF9-077A-449B-97C7-9322E5261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2941</xdr:row>
      <xdr:rowOff>0</xdr:rowOff>
    </xdr:from>
    <xdr:to>
      <xdr:col>0</xdr:col>
      <xdr:colOff>171450</xdr:colOff>
      <xdr:row>2941</xdr:row>
      <xdr:rowOff>133350</xdr:rowOff>
    </xdr:to>
    <xdr:pic>
      <xdr:nvPicPr>
        <xdr:cNvPr id="10650" name="Picture@5C\QPendientes@" descr="@5C\QPendientes@">
          <a:extLst>
            <a:ext uri="{FF2B5EF4-FFF2-40B4-BE49-F238E27FC236}">
              <a16:creationId xmlns:a16="http://schemas.microsoft.com/office/drawing/2014/main" id="{96164866-DAA6-4B89-9E29-BF2E01E69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8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2942</xdr:row>
      <xdr:rowOff>0</xdr:rowOff>
    </xdr:from>
    <xdr:to>
      <xdr:col>0</xdr:col>
      <xdr:colOff>171450</xdr:colOff>
      <xdr:row>2942</xdr:row>
      <xdr:rowOff>133350</xdr:rowOff>
    </xdr:to>
    <xdr:pic>
      <xdr:nvPicPr>
        <xdr:cNvPr id="10651" name="Picture@5C\QPendientes@" descr="@5C\QPendientes@">
          <a:extLst>
            <a:ext uri="{FF2B5EF4-FFF2-40B4-BE49-F238E27FC236}">
              <a16:creationId xmlns:a16="http://schemas.microsoft.com/office/drawing/2014/main" id="{C347C6D0-B9C9-4EE8-8A65-833F9E963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80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133350</xdr:rowOff>
    </xdr:to>
    <xdr:pic>
      <xdr:nvPicPr>
        <xdr:cNvPr id="10652" name="Picture@5C\QPendientes@" descr="@5C\QPendientes@">
          <a:extLst>
            <a:ext uri="{FF2B5EF4-FFF2-40B4-BE49-F238E27FC236}">
              <a16:creationId xmlns:a16="http://schemas.microsoft.com/office/drawing/2014/main" id="{53919366-44FB-44A1-B6DB-1BA5EADCA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82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2944</xdr:row>
      <xdr:rowOff>0</xdr:rowOff>
    </xdr:from>
    <xdr:to>
      <xdr:col>0</xdr:col>
      <xdr:colOff>171450</xdr:colOff>
      <xdr:row>2944</xdr:row>
      <xdr:rowOff>133350</xdr:rowOff>
    </xdr:to>
    <xdr:pic>
      <xdr:nvPicPr>
        <xdr:cNvPr id="10653" name="Picture@5C\QPendientes@" descr="@5C\QPendientes@">
          <a:extLst>
            <a:ext uri="{FF2B5EF4-FFF2-40B4-BE49-F238E27FC236}">
              <a16:creationId xmlns:a16="http://schemas.microsoft.com/office/drawing/2014/main" id="{B78884CA-D978-4E10-B1BD-FE3DD85DB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83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2945</xdr:row>
      <xdr:rowOff>0</xdr:rowOff>
    </xdr:from>
    <xdr:to>
      <xdr:col>0</xdr:col>
      <xdr:colOff>171450</xdr:colOff>
      <xdr:row>2945</xdr:row>
      <xdr:rowOff>133350</xdr:rowOff>
    </xdr:to>
    <xdr:pic>
      <xdr:nvPicPr>
        <xdr:cNvPr id="10654" name="Picture@5C\QPendientes@" descr="@5C\QPendientes@">
          <a:extLst>
            <a:ext uri="{FF2B5EF4-FFF2-40B4-BE49-F238E27FC236}">
              <a16:creationId xmlns:a16="http://schemas.microsoft.com/office/drawing/2014/main" id="{BCB670A8-F521-417C-8FCF-C86E46F6E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85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2946</xdr:row>
      <xdr:rowOff>0</xdr:rowOff>
    </xdr:from>
    <xdr:to>
      <xdr:col>0</xdr:col>
      <xdr:colOff>171450</xdr:colOff>
      <xdr:row>2946</xdr:row>
      <xdr:rowOff>133350</xdr:rowOff>
    </xdr:to>
    <xdr:pic>
      <xdr:nvPicPr>
        <xdr:cNvPr id="10655" name="Picture@5C\QPendientes@" descr="@5C\QPendientes@">
          <a:extLst>
            <a:ext uri="{FF2B5EF4-FFF2-40B4-BE49-F238E27FC236}">
              <a16:creationId xmlns:a16="http://schemas.microsoft.com/office/drawing/2014/main" id="{55A842A6-84D1-48F4-80D3-76B6A385D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87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2947</xdr:row>
      <xdr:rowOff>0</xdr:rowOff>
    </xdr:from>
    <xdr:to>
      <xdr:col>0</xdr:col>
      <xdr:colOff>171450</xdr:colOff>
      <xdr:row>2947</xdr:row>
      <xdr:rowOff>133350</xdr:rowOff>
    </xdr:to>
    <xdr:pic>
      <xdr:nvPicPr>
        <xdr:cNvPr id="10656" name="Picture@5C\QPendientes@" descr="@5C\QPendientes@">
          <a:extLst>
            <a:ext uri="{FF2B5EF4-FFF2-40B4-BE49-F238E27FC236}">
              <a16:creationId xmlns:a16="http://schemas.microsoft.com/office/drawing/2014/main" id="{D3AEC631-6EEA-4A5B-B91A-3DB06C518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89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133350</xdr:rowOff>
    </xdr:to>
    <xdr:pic>
      <xdr:nvPicPr>
        <xdr:cNvPr id="10657" name="Picture@5C\QPendientes@" descr="@5C\QPendientes@">
          <a:extLst>
            <a:ext uri="{FF2B5EF4-FFF2-40B4-BE49-F238E27FC236}">
              <a16:creationId xmlns:a16="http://schemas.microsoft.com/office/drawing/2014/main" id="{C836BFE6-546A-459D-8170-E2AFF5C47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1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2949</xdr:row>
      <xdr:rowOff>0</xdr:rowOff>
    </xdr:from>
    <xdr:to>
      <xdr:col>0</xdr:col>
      <xdr:colOff>171450</xdr:colOff>
      <xdr:row>2949</xdr:row>
      <xdr:rowOff>133350</xdr:rowOff>
    </xdr:to>
    <xdr:pic>
      <xdr:nvPicPr>
        <xdr:cNvPr id="10658" name="Picture@5C\QPendientes@" descr="@5C\QPendientes@">
          <a:extLst>
            <a:ext uri="{FF2B5EF4-FFF2-40B4-BE49-F238E27FC236}">
              <a16:creationId xmlns:a16="http://schemas.microsoft.com/office/drawing/2014/main" id="{4FA0B1C1-8898-4BC6-AF57-A5308049B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3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2950</xdr:row>
      <xdr:rowOff>0</xdr:rowOff>
    </xdr:from>
    <xdr:to>
      <xdr:col>0</xdr:col>
      <xdr:colOff>171450</xdr:colOff>
      <xdr:row>2950</xdr:row>
      <xdr:rowOff>133350</xdr:rowOff>
    </xdr:to>
    <xdr:pic>
      <xdr:nvPicPr>
        <xdr:cNvPr id="10659" name="Picture@5C\QPendientes@" descr="@5C\QPendientes@">
          <a:extLst>
            <a:ext uri="{FF2B5EF4-FFF2-40B4-BE49-F238E27FC236}">
              <a16:creationId xmlns:a16="http://schemas.microsoft.com/office/drawing/2014/main" id="{90D60FDC-2A19-4718-841C-46893DD389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2951</xdr:row>
      <xdr:rowOff>0</xdr:rowOff>
    </xdr:from>
    <xdr:to>
      <xdr:col>0</xdr:col>
      <xdr:colOff>171450</xdr:colOff>
      <xdr:row>2951</xdr:row>
      <xdr:rowOff>133350</xdr:rowOff>
    </xdr:to>
    <xdr:pic>
      <xdr:nvPicPr>
        <xdr:cNvPr id="10660" name="Picture@5C\QPendientes@" descr="@5C\QPendientes@">
          <a:extLst>
            <a:ext uri="{FF2B5EF4-FFF2-40B4-BE49-F238E27FC236}">
              <a16:creationId xmlns:a16="http://schemas.microsoft.com/office/drawing/2014/main" id="{4439F3CF-8405-4315-95F4-CB9B37BEC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6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133350</xdr:rowOff>
    </xdr:to>
    <xdr:pic>
      <xdr:nvPicPr>
        <xdr:cNvPr id="10661" name="Picture@5C\QPendientes@" descr="@5C\QPendientes@">
          <a:extLst>
            <a:ext uri="{FF2B5EF4-FFF2-40B4-BE49-F238E27FC236}">
              <a16:creationId xmlns:a16="http://schemas.microsoft.com/office/drawing/2014/main" id="{0247A532-AD5A-4D11-A5DC-673F50D17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8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133350</xdr:rowOff>
    </xdr:to>
    <xdr:pic>
      <xdr:nvPicPr>
        <xdr:cNvPr id="10662" name="Picture@5C\QPendientes@" descr="@5C\QPendientes@">
          <a:extLst>
            <a:ext uri="{FF2B5EF4-FFF2-40B4-BE49-F238E27FC236}">
              <a16:creationId xmlns:a16="http://schemas.microsoft.com/office/drawing/2014/main" id="{CC64699C-84D1-4C62-B7AA-2151093C3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00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2954</xdr:row>
      <xdr:rowOff>0</xdr:rowOff>
    </xdr:from>
    <xdr:to>
      <xdr:col>0</xdr:col>
      <xdr:colOff>171450</xdr:colOff>
      <xdr:row>2954</xdr:row>
      <xdr:rowOff>133350</xdr:rowOff>
    </xdr:to>
    <xdr:pic>
      <xdr:nvPicPr>
        <xdr:cNvPr id="10663" name="Picture@5C\QPendientes@" descr="@5C\QPendientes@">
          <a:extLst>
            <a:ext uri="{FF2B5EF4-FFF2-40B4-BE49-F238E27FC236}">
              <a16:creationId xmlns:a16="http://schemas.microsoft.com/office/drawing/2014/main" id="{876847F9-B6FF-4313-AA7B-31DD0E0BA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02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2955</xdr:row>
      <xdr:rowOff>0</xdr:rowOff>
    </xdr:from>
    <xdr:to>
      <xdr:col>0</xdr:col>
      <xdr:colOff>171450</xdr:colOff>
      <xdr:row>2955</xdr:row>
      <xdr:rowOff>133350</xdr:rowOff>
    </xdr:to>
    <xdr:pic>
      <xdr:nvPicPr>
        <xdr:cNvPr id="10664" name="Picture@5C\QPendientes@" descr="@5C\QPendientes@">
          <a:extLst>
            <a:ext uri="{FF2B5EF4-FFF2-40B4-BE49-F238E27FC236}">
              <a16:creationId xmlns:a16="http://schemas.microsoft.com/office/drawing/2014/main" id="{946E3C82-BD71-465F-BA20-47A0B13BF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04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2956</xdr:row>
      <xdr:rowOff>0</xdr:rowOff>
    </xdr:from>
    <xdr:to>
      <xdr:col>0</xdr:col>
      <xdr:colOff>171450</xdr:colOff>
      <xdr:row>2956</xdr:row>
      <xdr:rowOff>133350</xdr:rowOff>
    </xdr:to>
    <xdr:pic>
      <xdr:nvPicPr>
        <xdr:cNvPr id="10665" name="Picture@5C\QPendientes@" descr="@5C\QPendientes@">
          <a:extLst>
            <a:ext uri="{FF2B5EF4-FFF2-40B4-BE49-F238E27FC236}">
              <a16:creationId xmlns:a16="http://schemas.microsoft.com/office/drawing/2014/main" id="{F087DEB7-6A00-4AFF-BD05-C2AE2E8AC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05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2957</xdr:row>
      <xdr:rowOff>0</xdr:rowOff>
    </xdr:from>
    <xdr:to>
      <xdr:col>0</xdr:col>
      <xdr:colOff>171450</xdr:colOff>
      <xdr:row>2957</xdr:row>
      <xdr:rowOff>133350</xdr:rowOff>
    </xdr:to>
    <xdr:pic>
      <xdr:nvPicPr>
        <xdr:cNvPr id="10666" name="Picture@5C\QPendientes@" descr="@5C\QPendientes@">
          <a:extLst>
            <a:ext uri="{FF2B5EF4-FFF2-40B4-BE49-F238E27FC236}">
              <a16:creationId xmlns:a16="http://schemas.microsoft.com/office/drawing/2014/main" id="{C26A3F81-50F1-4A5E-866D-15B7AA89D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07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2958</xdr:row>
      <xdr:rowOff>0</xdr:rowOff>
    </xdr:from>
    <xdr:to>
      <xdr:col>0</xdr:col>
      <xdr:colOff>171450</xdr:colOff>
      <xdr:row>2958</xdr:row>
      <xdr:rowOff>133350</xdr:rowOff>
    </xdr:to>
    <xdr:pic>
      <xdr:nvPicPr>
        <xdr:cNvPr id="10667" name="Picture@5C\QPendientes@" descr="@5C\QPendientes@">
          <a:extLst>
            <a:ext uri="{FF2B5EF4-FFF2-40B4-BE49-F238E27FC236}">
              <a16:creationId xmlns:a16="http://schemas.microsoft.com/office/drawing/2014/main" id="{CD5DEA89-F621-4CEA-9747-6A09460CE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09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133350</xdr:rowOff>
    </xdr:to>
    <xdr:pic>
      <xdr:nvPicPr>
        <xdr:cNvPr id="10668" name="Picture@5C\QPendientes@" descr="@5C\QPendientes@">
          <a:extLst>
            <a:ext uri="{FF2B5EF4-FFF2-40B4-BE49-F238E27FC236}">
              <a16:creationId xmlns:a16="http://schemas.microsoft.com/office/drawing/2014/main" id="{DC262518-0810-45FE-B754-86ADF01AB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1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2960</xdr:row>
      <xdr:rowOff>0</xdr:rowOff>
    </xdr:from>
    <xdr:to>
      <xdr:col>0</xdr:col>
      <xdr:colOff>171450</xdr:colOff>
      <xdr:row>2960</xdr:row>
      <xdr:rowOff>133350</xdr:rowOff>
    </xdr:to>
    <xdr:pic>
      <xdr:nvPicPr>
        <xdr:cNvPr id="10669" name="Picture@5C\QPendientes@" descr="@5C\QPendientes@">
          <a:extLst>
            <a:ext uri="{FF2B5EF4-FFF2-40B4-BE49-F238E27FC236}">
              <a16:creationId xmlns:a16="http://schemas.microsoft.com/office/drawing/2014/main" id="{5D2C3B32-66A7-4476-8479-F169D2151A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133350</xdr:rowOff>
    </xdr:to>
    <xdr:pic>
      <xdr:nvPicPr>
        <xdr:cNvPr id="10670" name="Picture@5C\QPendientes@" descr="@5C\QPendientes@">
          <a:extLst>
            <a:ext uri="{FF2B5EF4-FFF2-40B4-BE49-F238E27FC236}">
              <a16:creationId xmlns:a16="http://schemas.microsoft.com/office/drawing/2014/main" id="{62518836-4C65-457C-BB88-AF26D2188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5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2962</xdr:row>
      <xdr:rowOff>0</xdr:rowOff>
    </xdr:from>
    <xdr:to>
      <xdr:col>0</xdr:col>
      <xdr:colOff>171450</xdr:colOff>
      <xdr:row>2962</xdr:row>
      <xdr:rowOff>133350</xdr:rowOff>
    </xdr:to>
    <xdr:pic>
      <xdr:nvPicPr>
        <xdr:cNvPr id="10671" name="Picture@5C\QPendientes@" descr="@5C\QPendientes@">
          <a:extLst>
            <a:ext uri="{FF2B5EF4-FFF2-40B4-BE49-F238E27FC236}">
              <a16:creationId xmlns:a16="http://schemas.microsoft.com/office/drawing/2014/main" id="{5B6FB0D8-4BF5-43B4-A3DB-AE0989E97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6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2963</xdr:row>
      <xdr:rowOff>0</xdr:rowOff>
    </xdr:from>
    <xdr:to>
      <xdr:col>0</xdr:col>
      <xdr:colOff>171450</xdr:colOff>
      <xdr:row>2963</xdr:row>
      <xdr:rowOff>133350</xdr:rowOff>
    </xdr:to>
    <xdr:pic>
      <xdr:nvPicPr>
        <xdr:cNvPr id="10672" name="Picture@5C\QPendientes@" descr="@5C\QPendientes@">
          <a:extLst>
            <a:ext uri="{FF2B5EF4-FFF2-40B4-BE49-F238E27FC236}">
              <a16:creationId xmlns:a16="http://schemas.microsoft.com/office/drawing/2014/main" id="{42D87BE2-A78A-45BD-9687-2CE27CAC0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8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133350</xdr:rowOff>
    </xdr:to>
    <xdr:pic>
      <xdr:nvPicPr>
        <xdr:cNvPr id="10673" name="Picture@5C\QPendientes@" descr="@5C\QPendientes@">
          <a:extLst>
            <a:ext uri="{FF2B5EF4-FFF2-40B4-BE49-F238E27FC236}">
              <a16:creationId xmlns:a16="http://schemas.microsoft.com/office/drawing/2014/main" id="{3EFFEABE-A7F6-4D6A-84D8-EBC86FA70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0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2965</xdr:row>
      <xdr:rowOff>0</xdr:rowOff>
    </xdr:from>
    <xdr:to>
      <xdr:col>0</xdr:col>
      <xdr:colOff>171450</xdr:colOff>
      <xdr:row>2965</xdr:row>
      <xdr:rowOff>133350</xdr:rowOff>
    </xdr:to>
    <xdr:pic>
      <xdr:nvPicPr>
        <xdr:cNvPr id="10674" name="Picture@5C\QPendientes@" descr="@5C\QPendientes@">
          <a:extLst>
            <a:ext uri="{FF2B5EF4-FFF2-40B4-BE49-F238E27FC236}">
              <a16:creationId xmlns:a16="http://schemas.microsoft.com/office/drawing/2014/main" id="{B8A38B9C-AA6C-4FE2-A28E-F4D965DD0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2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2966</xdr:row>
      <xdr:rowOff>0</xdr:rowOff>
    </xdr:from>
    <xdr:to>
      <xdr:col>0</xdr:col>
      <xdr:colOff>171450</xdr:colOff>
      <xdr:row>2966</xdr:row>
      <xdr:rowOff>133350</xdr:rowOff>
    </xdr:to>
    <xdr:pic>
      <xdr:nvPicPr>
        <xdr:cNvPr id="10675" name="Picture@5C\QPendientes@" descr="@5C\QPendientes@">
          <a:extLst>
            <a:ext uri="{FF2B5EF4-FFF2-40B4-BE49-F238E27FC236}">
              <a16:creationId xmlns:a16="http://schemas.microsoft.com/office/drawing/2014/main" id="{5CDCD8E6-556B-425F-B76D-670556E5C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4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2967</xdr:row>
      <xdr:rowOff>0</xdr:rowOff>
    </xdr:from>
    <xdr:to>
      <xdr:col>0</xdr:col>
      <xdr:colOff>171450</xdr:colOff>
      <xdr:row>2967</xdr:row>
      <xdr:rowOff>133350</xdr:rowOff>
    </xdr:to>
    <xdr:pic>
      <xdr:nvPicPr>
        <xdr:cNvPr id="10676" name="Picture@5C\QPendientes@" descr="@5C\QPendientes@">
          <a:extLst>
            <a:ext uri="{FF2B5EF4-FFF2-40B4-BE49-F238E27FC236}">
              <a16:creationId xmlns:a16="http://schemas.microsoft.com/office/drawing/2014/main" id="{40C5B56B-D354-481F-855B-69F02A60C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6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133350</xdr:rowOff>
    </xdr:to>
    <xdr:pic>
      <xdr:nvPicPr>
        <xdr:cNvPr id="10677" name="Picture@5C\QPendientes@" descr="@5C\QPendientes@">
          <a:extLst>
            <a:ext uri="{FF2B5EF4-FFF2-40B4-BE49-F238E27FC236}">
              <a16:creationId xmlns:a16="http://schemas.microsoft.com/office/drawing/2014/main" id="{A06AC8F8-75DE-48B8-B7DB-A5F7D5B1A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7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2969</xdr:row>
      <xdr:rowOff>0</xdr:rowOff>
    </xdr:from>
    <xdr:to>
      <xdr:col>0</xdr:col>
      <xdr:colOff>171450</xdr:colOff>
      <xdr:row>2969</xdr:row>
      <xdr:rowOff>133350</xdr:rowOff>
    </xdr:to>
    <xdr:pic>
      <xdr:nvPicPr>
        <xdr:cNvPr id="10678" name="Picture@5C\QPendientes@" descr="@5C\QPendientes@">
          <a:extLst>
            <a:ext uri="{FF2B5EF4-FFF2-40B4-BE49-F238E27FC236}">
              <a16:creationId xmlns:a16="http://schemas.microsoft.com/office/drawing/2014/main" id="{74E52A90-EA4D-4A83-A5C4-0BDD8485C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9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2970</xdr:row>
      <xdr:rowOff>0</xdr:rowOff>
    </xdr:from>
    <xdr:to>
      <xdr:col>0</xdr:col>
      <xdr:colOff>171450</xdr:colOff>
      <xdr:row>2970</xdr:row>
      <xdr:rowOff>133350</xdr:rowOff>
    </xdr:to>
    <xdr:pic>
      <xdr:nvPicPr>
        <xdr:cNvPr id="10679" name="Picture@5C\QPendientes@" descr="@5C\QPendientes@">
          <a:extLst>
            <a:ext uri="{FF2B5EF4-FFF2-40B4-BE49-F238E27FC236}">
              <a16:creationId xmlns:a16="http://schemas.microsoft.com/office/drawing/2014/main" id="{69E394EC-B8EE-4DEC-A12D-5A8395E2B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2971</xdr:row>
      <xdr:rowOff>0</xdr:rowOff>
    </xdr:from>
    <xdr:to>
      <xdr:col>0</xdr:col>
      <xdr:colOff>171450</xdr:colOff>
      <xdr:row>2971</xdr:row>
      <xdr:rowOff>133350</xdr:rowOff>
    </xdr:to>
    <xdr:pic>
      <xdr:nvPicPr>
        <xdr:cNvPr id="10680" name="Picture@5C\QPendientes@" descr="@5C\QPendientes@">
          <a:extLst>
            <a:ext uri="{FF2B5EF4-FFF2-40B4-BE49-F238E27FC236}">
              <a16:creationId xmlns:a16="http://schemas.microsoft.com/office/drawing/2014/main" id="{353083AF-0596-4F27-BC95-8C6226F29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3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133350</xdr:rowOff>
    </xdr:to>
    <xdr:pic>
      <xdr:nvPicPr>
        <xdr:cNvPr id="10681" name="Picture@5C\QPendientes@" descr="@5C\QPendientes@">
          <a:extLst>
            <a:ext uri="{FF2B5EF4-FFF2-40B4-BE49-F238E27FC236}">
              <a16:creationId xmlns:a16="http://schemas.microsoft.com/office/drawing/2014/main" id="{16EA8D27-C525-4CB3-8CF9-EC3FC9D13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5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133350</xdr:rowOff>
    </xdr:to>
    <xdr:pic>
      <xdr:nvPicPr>
        <xdr:cNvPr id="10682" name="Picture@5C\QPendientes@" descr="@5C\QPendientes@">
          <a:extLst>
            <a:ext uri="{FF2B5EF4-FFF2-40B4-BE49-F238E27FC236}">
              <a16:creationId xmlns:a16="http://schemas.microsoft.com/office/drawing/2014/main" id="{80792B35-8B25-411E-BA2F-15DC23772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7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2974</xdr:row>
      <xdr:rowOff>0</xdr:rowOff>
    </xdr:from>
    <xdr:to>
      <xdr:col>0</xdr:col>
      <xdr:colOff>171450</xdr:colOff>
      <xdr:row>2974</xdr:row>
      <xdr:rowOff>133350</xdr:rowOff>
    </xdr:to>
    <xdr:pic>
      <xdr:nvPicPr>
        <xdr:cNvPr id="10683" name="Picture@5C\QPendientes@" descr="@5C\QPendientes@">
          <a:extLst>
            <a:ext uri="{FF2B5EF4-FFF2-40B4-BE49-F238E27FC236}">
              <a16:creationId xmlns:a16="http://schemas.microsoft.com/office/drawing/2014/main" id="{D10CFE58-B717-49AA-AF33-7A422F4B7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8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2975</xdr:row>
      <xdr:rowOff>0</xdr:rowOff>
    </xdr:from>
    <xdr:to>
      <xdr:col>0</xdr:col>
      <xdr:colOff>171450</xdr:colOff>
      <xdr:row>2975</xdr:row>
      <xdr:rowOff>133350</xdr:rowOff>
    </xdr:to>
    <xdr:pic>
      <xdr:nvPicPr>
        <xdr:cNvPr id="10684" name="Picture@5C\QPendientes@" descr="@5C\QPendientes@">
          <a:extLst>
            <a:ext uri="{FF2B5EF4-FFF2-40B4-BE49-F238E27FC236}">
              <a16:creationId xmlns:a16="http://schemas.microsoft.com/office/drawing/2014/main" id="{ECED5652-96D4-49F1-BA6F-12A61B7A6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0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133350</xdr:rowOff>
    </xdr:to>
    <xdr:pic>
      <xdr:nvPicPr>
        <xdr:cNvPr id="10685" name="Picture@5C\QPendientes@" descr="@5C\QPendientes@">
          <a:extLst>
            <a:ext uri="{FF2B5EF4-FFF2-40B4-BE49-F238E27FC236}">
              <a16:creationId xmlns:a16="http://schemas.microsoft.com/office/drawing/2014/main" id="{62398336-7389-44DD-A1BE-B4A65CE2C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2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133350</xdr:rowOff>
    </xdr:to>
    <xdr:pic>
      <xdr:nvPicPr>
        <xdr:cNvPr id="10686" name="Picture@5C\QPendientes@" descr="@5C\QPendientes@">
          <a:extLst>
            <a:ext uri="{FF2B5EF4-FFF2-40B4-BE49-F238E27FC236}">
              <a16:creationId xmlns:a16="http://schemas.microsoft.com/office/drawing/2014/main" id="{CD8B475E-3567-45F7-898C-A746F2DA2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4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133350</xdr:rowOff>
    </xdr:to>
    <xdr:pic>
      <xdr:nvPicPr>
        <xdr:cNvPr id="10687" name="Picture@5C\QPendientes@" descr="@5C\QPendientes@">
          <a:extLst>
            <a:ext uri="{FF2B5EF4-FFF2-40B4-BE49-F238E27FC236}">
              <a16:creationId xmlns:a16="http://schemas.microsoft.com/office/drawing/2014/main" id="{37E225FD-131B-440B-ABCB-FD418DF87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6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2979</xdr:row>
      <xdr:rowOff>0</xdr:rowOff>
    </xdr:from>
    <xdr:to>
      <xdr:col>0</xdr:col>
      <xdr:colOff>171450</xdr:colOff>
      <xdr:row>2979</xdr:row>
      <xdr:rowOff>133350</xdr:rowOff>
    </xdr:to>
    <xdr:pic>
      <xdr:nvPicPr>
        <xdr:cNvPr id="10688" name="Picture@5C\QPendientes@" descr="@5C\QPendientes@">
          <a:extLst>
            <a:ext uri="{FF2B5EF4-FFF2-40B4-BE49-F238E27FC236}">
              <a16:creationId xmlns:a16="http://schemas.microsoft.com/office/drawing/2014/main" id="{A614C965-35FD-4FFF-94DB-A29667891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7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2980</xdr:row>
      <xdr:rowOff>0</xdr:rowOff>
    </xdr:from>
    <xdr:to>
      <xdr:col>0</xdr:col>
      <xdr:colOff>171450</xdr:colOff>
      <xdr:row>2980</xdr:row>
      <xdr:rowOff>133350</xdr:rowOff>
    </xdr:to>
    <xdr:pic>
      <xdr:nvPicPr>
        <xdr:cNvPr id="10689" name="Picture@5C\QPendientes@" descr="@5C\QPendientes@">
          <a:extLst>
            <a:ext uri="{FF2B5EF4-FFF2-40B4-BE49-F238E27FC236}">
              <a16:creationId xmlns:a16="http://schemas.microsoft.com/office/drawing/2014/main" id="{B5288B61-BBAC-409E-A06E-B11ADB267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133350</xdr:rowOff>
    </xdr:to>
    <xdr:pic>
      <xdr:nvPicPr>
        <xdr:cNvPr id="10690" name="Picture@5C\QPendientes@" descr="@5C\QPendientes@">
          <a:extLst>
            <a:ext uri="{FF2B5EF4-FFF2-40B4-BE49-F238E27FC236}">
              <a16:creationId xmlns:a16="http://schemas.microsoft.com/office/drawing/2014/main" id="{69BB64D9-7A77-4E33-A417-8B16B1E04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51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133350</xdr:rowOff>
    </xdr:to>
    <xdr:pic>
      <xdr:nvPicPr>
        <xdr:cNvPr id="10691" name="Picture@5C\QPendientes@" descr="@5C\QPendientes@">
          <a:extLst>
            <a:ext uri="{FF2B5EF4-FFF2-40B4-BE49-F238E27FC236}">
              <a16:creationId xmlns:a16="http://schemas.microsoft.com/office/drawing/2014/main" id="{6DB452EB-0DE5-4DFE-B7E2-ED6BF3922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53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2983</xdr:row>
      <xdr:rowOff>0</xdr:rowOff>
    </xdr:from>
    <xdr:to>
      <xdr:col>0</xdr:col>
      <xdr:colOff>171450</xdr:colOff>
      <xdr:row>2983</xdr:row>
      <xdr:rowOff>133350</xdr:rowOff>
    </xdr:to>
    <xdr:pic>
      <xdr:nvPicPr>
        <xdr:cNvPr id="10692" name="Picture@5C\QPendientes@" descr="@5C\QPendientes@">
          <a:extLst>
            <a:ext uri="{FF2B5EF4-FFF2-40B4-BE49-F238E27FC236}">
              <a16:creationId xmlns:a16="http://schemas.microsoft.com/office/drawing/2014/main" id="{6A3F26F3-5793-4E91-BD61-77E2294D4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55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2984</xdr:row>
      <xdr:rowOff>0</xdr:rowOff>
    </xdr:from>
    <xdr:to>
      <xdr:col>0</xdr:col>
      <xdr:colOff>171450</xdr:colOff>
      <xdr:row>2984</xdr:row>
      <xdr:rowOff>133350</xdr:rowOff>
    </xdr:to>
    <xdr:pic>
      <xdr:nvPicPr>
        <xdr:cNvPr id="10693" name="Picture@5C\QPendientes@" descr="@5C\QPendientes@">
          <a:extLst>
            <a:ext uri="{FF2B5EF4-FFF2-40B4-BE49-F238E27FC236}">
              <a16:creationId xmlns:a16="http://schemas.microsoft.com/office/drawing/2014/main" id="{90552C80-718C-463C-A4C0-82D01A4B3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57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2985</xdr:row>
      <xdr:rowOff>0</xdr:rowOff>
    </xdr:from>
    <xdr:to>
      <xdr:col>0</xdr:col>
      <xdr:colOff>171450</xdr:colOff>
      <xdr:row>2985</xdr:row>
      <xdr:rowOff>133350</xdr:rowOff>
    </xdr:to>
    <xdr:pic>
      <xdr:nvPicPr>
        <xdr:cNvPr id="10694" name="Picture@5C\QPendientes@" descr="@5C\QPendientes@">
          <a:extLst>
            <a:ext uri="{FF2B5EF4-FFF2-40B4-BE49-F238E27FC236}">
              <a16:creationId xmlns:a16="http://schemas.microsoft.com/office/drawing/2014/main" id="{666ED6DA-F2F6-4EBD-811C-E17F098A1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58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2986</xdr:row>
      <xdr:rowOff>0</xdr:rowOff>
    </xdr:from>
    <xdr:to>
      <xdr:col>0</xdr:col>
      <xdr:colOff>171450</xdr:colOff>
      <xdr:row>2986</xdr:row>
      <xdr:rowOff>133350</xdr:rowOff>
    </xdr:to>
    <xdr:pic>
      <xdr:nvPicPr>
        <xdr:cNvPr id="10695" name="Picture@5C\QPendientes@" descr="@5C\QPendientes@">
          <a:extLst>
            <a:ext uri="{FF2B5EF4-FFF2-40B4-BE49-F238E27FC236}">
              <a16:creationId xmlns:a16="http://schemas.microsoft.com/office/drawing/2014/main" id="{33749236-F181-4F75-A2E3-998B2F9FE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0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133350</xdr:rowOff>
    </xdr:to>
    <xdr:pic>
      <xdr:nvPicPr>
        <xdr:cNvPr id="10696" name="Picture@5C\QPendientes@" descr="@5C\QPendientes@">
          <a:extLst>
            <a:ext uri="{FF2B5EF4-FFF2-40B4-BE49-F238E27FC236}">
              <a16:creationId xmlns:a16="http://schemas.microsoft.com/office/drawing/2014/main" id="{AF72E6FE-E550-4023-AE8B-93A9FFF74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2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2988</xdr:row>
      <xdr:rowOff>0</xdr:rowOff>
    </xdr:from>
    <xdr:to>
      <xdr:col>0</xdr:col>
      <xdr:colOff>171450</xdr:colOff>
      <xdr:row>2988</xdr:row>
      <xdr:rowOff>133350</xdr:rowOff>
    </xdr:to>
    <xdr:pic>
      <xdr:nvPicPr>
        <xdr:cNvPr id="10697" name="Picture@5C\QPendientes@" descr="@5C\QPendientes@">
          <a:extLst>
            <a:ext uri="{FF2B5EF4-FFF2-40B4-BE49-F238E27FC236}">
              <a16:creationId xmlns:a16="http://schemas.microsoft.com/office/drawing/2014/main" id="{FA8667FA-ECCC-46C2-A682-1CFE5887C6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4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2989</xdr:row>
      <xdr:rowOff>0</xdr:rowOff>
    </xdr:from>
    <xdr:to>
      <xdr:col>0</xdr:col>
      <xdr:colOff>171450</xdr:colOff>
      <xdr:row>2989</xdr:row>
      <xdr:rowOff>133350</xdr:rowOff>
    </xdr:to>
    <xdr:pic>
      <xdr:nvPicPr>
        <xdr:cNvPr id="10698" name="Picture@5C\QPendientes@" descr="@5C\QPendientes@">
          <a:extLst>
            <a:ext uri="{FF2B5EF4-FFF2-40B4-BE49-F238E27FC236}">
              <a16:creationId xmlns:a16="http://schemas.microsoft.com/office/drawing/2014/main" id="{72BDCCF6-271A-4296-8755-16437A4E9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6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2990</xdr:row>
      <xdr:rowOff>0</xdr:rowOff>
    </xdr:from>
    <xdr:to>
      <xdr:col>0</xdr:col>
      <xdr:colOff>171450</xdr:colOff>
      <xdr:row>2990</xdr:row>
      <xdr:rowOff>133350</xdr:rowOff>
    </xdr:to>
    <xdr:pic>
      <xdr:nvPicPr>
        <xdr:cNvPr id="10699" name="Picture@5C\QPendientes@" descr="@5C\QPendientes@">
          <a:extLst>
            <a:ext uri="{FF2B5EF4-FFF2-40B4-BE49-F238E27FC236}">
              <a16:creationId xmlns:a16="http://schemas.microsoft.com/office/drawing/2014/main" id="{9DC5E7F3-8449-4DA1-8A00-3B15E952E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2991</xdr:row>
      <xdr:rowOff>0</xdr:rowOff>
    </xdr:from>
    <xdr:to>
      <xdr:col>0</xdr:col>
      <xdr:colOff>171450</xdr:colOff>
      <xdr:row>2991</xdr:row>
      <xdr:rowOff>133350</xdr:rowOff>
    </xdr:to>
    <xdr:pic>
      <xdr:nvPicPr>
        <xdr:cNvPr id="10700" name="Picture@5C\QPendientes@" descr="@5C\QPendientes@">
          <a:extLst>
            <a:ext uri="{FF2B5EF4-FFF2-40B4-BE49-F238E27FC236}">
              <a16:creationId xmlns:a16="http://schemas.microsoft.com/office/drawing/2014/main" id="{6E00679C-43E3-4232-A7E0-BE1306F9E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9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133350</xdr:rowOff>
    </xdr:to>
    <xdr:pic>
      <xdr:nvPicPr>
        <xdr:cNvPr id="10701" name="Picture@5C\QPendientes@" descr="@5C\QPendientes@">
          <a:extLst>
            <a:ext uri="{FF2B5EF4-FFF2-40B4-BE49-F238E27FC236}">
              <a16:creationId xmlns:a16="http://schemas.microsoft.com/office/drawing/2014/main" id="{F0F113CE-EC57-4011-82EE-642A61EBF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71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2993</xdr:row>
      <xdr:rowOff>0</xdr:rowOff>
    </xdr:from>
    <xdr:to>
      <xdr:col>0</xdr:col>
      <xdr:colOff>171450</xdr:colOff>
      <xdr:row>2993</xdr:row>
      <xdr:rowOff>133350</xdr:rowOff>
    </xdr:to>
    <xdr:pic>
      <xdr:nvPicPr>
        <xdr:cNvPr id="10702" name="Picture@5C\QPendientes@" descr="@5C\QPendientes@">
          <a:extLst>
            <a:ext uri="{FF2B5EF4-FFF2-40B4-BE49-F238E27FC236}">
              <a16:creationId xmlns:a16="http://schemas.microsoft.com/office/drawing/2014/main" id="{1EE11953-5456-4449-A972-9D8B0BF9B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73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2994</xdr:row>
      <xdr:rowOff>0</xdr:rowOff>
    </xdr:from>
    <xdr:to>
      <xdr:col>0</xdr:col>
      <xdr:colOff>171450</xdr:colOff>
      <xdr:row>2994</xdr:row>
      <xdr:rowOff>133350</xdr:rowOff>
    </xdr:to>
    <xdr:pic>
      <xdr:nvPicPr>
        <xdr:cNvPr id="10703" name="Picture@5C\QPendientes@" descr="@5C\QPendientes@">
          <a:extLst>
            <a:ext uri="{FF2B5EF4-FFF2-40B4-BE49-F238E27FC236}">
              <a16:creationId xmlns:a16="http://schemas.microsoft.com/office/drawing/2014/main" id="{8B4AB406-DF62-4420-87BF-FA25357AA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75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2995</xdr:row>
      <xdr:rowOff>0</xdr:rowOff>
    </xdr:from>
    <xdr:to>
      <xdr:col>0</xdr:col>
      <xdr:colOff>171450</xdr:colOff>
      <xdr:row>2995</xdr:row>
      <xdr:rowOff>133350</xdr:rowOff>
    </xdr:to>
    <xdr:pic>
      <xdr:nvPicPr>
        <xdr:cNvPr id="10704" name="Picture@5C\QPendientes@" descr="@5C\QPendientes@">
          <a:extLst>
            <a:ext uri="{FF2B5EF4-FFF2-40B4-BE49-F238E27FC236}">
              <a16:creationId xmlns:a16="http://schemas.microsoft.com/office/drawing/2014/main" id="{F92B9D67-EB3E-4764-ADE4-C27ED2038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77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2996</xdr:row>
      <xdr:rowOff>0</xdr:rowOff>
    </xdr:from>
    <xdr:to>
      <xdr:col>0</xdr:col>
      <xdr:colOff>171450</xdr:colOff>
      <xdr:row>2996</xdr:row>
      <xdr:rowOff>133350</xdr:rowOff>
    </xdr:to>
    <xdr:pic>
      <xdr:nvPicPr>
        <xdr:cNvPr id="10705" name="Picture@5C\QPendientes@" descr="@5C\QPendientes@">
          <a:extLst>
            <a:ext uri="{FF2B5EF4-FFF2-40B4-BE49-F238E27FC236}">
              <a16:creationId xmlns:a16="http://schemas.microsoft.com/office/drawing/2014/main" id="{60E2EB33-CE4C-49DD-B100-E8944746C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79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2997</xdr:row>
      <xdr:rowOff>0</xdr:rowOff>
    </xdr:from>
    <xdr:to>
      <xdr:col>0</xdr:col>
      <xdr:colOff>171450</xdr:colOff>
      <xdr:row>2997</xdr:row>
      <xdr:rowOff>133350</xdr:rowOff>
    </xdr:to>
    <xdr:pic>
      <xdr:nvPicPr>
        <xdr:cNvPr id="10706" name="Picture@5C\QPendientes@" descr="@5C\QPendientes@">
          <a:extLst>
            <a:ext uri="{FF2B5EF4-FFF2-40B4-BE49-F238E27FC236}">
              <a16:creationId xmlns:a16="http://schemas.microsoft.com/office/drawing/2014/main" id="{D6474A10-1495-4F83-987D-88D99F1CF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0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2998</xdr:row>
      <xdr:rowOff>0</xdr:rowOff>
    </xdr:from>
    <xdr:to>
      <xdr:col>0</xdr:col>
      <xdr:colOff>171450</xdr:colOff>
      <xdr:row>2998</xdr:row>
      <xdr:rowOff>133350</xdr:rowOff>
    </xdr:to>
    <xdr:pic>
      <xdr:nvPicPr>
        <xdr:cNvPr id="10707" name="Picture@5C\QPendientes@" descr="@5C\QPendientes@">
          <a:extLst>
            <a:ext uri="{FF2B5EF4-FFF2-40B4-BE49-F238E27FC236}">
              <a16:creationId xmlns:a16="http://schemas.microsoft.com/office/drawing/2014/main" id="{2006C55D-7366-46BD-AB39-0CED84AC0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2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133350</xdr:rowOff>
    </xdr:to>
    <xdr:pic>
      <xdr:nvPicPr>
        <xdr:cNvPr id="10708" name="Picture@5C\QPendientes@" descr="@5C\QPendientes@">
          <a:extLst>
            <a:ext uri="{FF2B5EF4-FFF2-40B4-BE49-F238E27FC236}">
              <a16:creationId xmlns:a16="http://schemas.microsoft.com/office/drawing/2014/main" id="{8E04DA6A-E5A5-4A9C-8FAA-CFC9F92F7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4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3000</xdr:row>
      <xdr:rowOff>0</xdr:rowOff>
    </xdr:from>
    <xdr:to>
      <xdr:col>0</xdr:col>
      <xdr:colOff>171450</xdr:colOff>
      <xdr:row>3000</xdr:row>
      <xdr:rowOff>133350</xdr:rowOff>
    </xdr:to>
    <xdr:pic>
      <xdr:nvPicPr>
        <xdr:cNvPr id="10709" name="Picture@5C\QPendientes@" descr="@5C\QPendientes@">
          <a:extLst>
            <a:ext uri="{FF2B5EF4-FFF2-40B4-BE49-F238E27FC236}">
              <a16:creationId xmlns:a16="http://schemas.microsoft.com/office/drawing/2014/main" id="{FED4EA0A-A5A4-4A59-A270-A2B3FA8CC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133350</xdr:rowOff>
    </xdr:to>
    <xdr:pic>
      <xdr:nvPicPr>
        <xdr:cNvPr id="10710" name="Picture@5C\QPendientes@" descr="@5C\QPendientes@">
          <a:extLst>
            <a:ext uri="{FF2B5EF4-FFF2-40B4-BE49-F238E27FC236}">
              <a16:creationId xmlns:a16="http://schemas.microsoft.com/office/drawing/2014/main" id="{64442023-22CA-43CB-A5A6-EE275E54B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8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3002</xdr:row>
      <xdr:rowOff>0</xdr:rowOff>
    </xdr:from>
    <xdr:to>
      <xdr:col>0</xdr:col>
      <xdr:colOff>171450</xdr:colOff>
      <xdr:row>3002</xdr:row>
      <xdr:rowOff>133350</xdr:rowOff>
    </xdr:to>
    <xdr:pic>
      <xdr:nvPicPr>
        <xdr:cNvPr id="10711" name="Picture@5C\QPendientes@" descr="@5C\QPendientes@">
          <a:extLst>
            <a:ext uri="{FF2B5EF4-FFF2-40B4-BE49-F238E27FC236}">
              <a16:creationId xmlns:a16="http://schemas.microsoft.com/office/drawing/2014/main" id="{9A0F9463-BE9C-4C7A-A596-A18C42A3A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90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133350</xdr:rowOff>
    </xdr:to>
    <xdr:pic>
      <xdr:nvPicPr>
        <xdr:cNvPr id="10712" name="Picture@5C\QPendientes@" descr="@5C\QPendientes@">
          <a:extLst>
            <a:ext uri="{FF2B5EF4-FFF2-40B4-BE49-F238E27FC236}">
              <a16:creationId xmlns:a16="http://schemas.microsoft.com/office/drawing/2014/main" id="{FF83A2C9-62A3-4426-89A5-B80616653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91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3004</xdr:row>
      <xdr:rowOff>0</xdr:rowOff>
    </xdr:from>
    <xdr:to>
      <xdr:col>0</xdr:col>
      <xdr:colOff>171450</xdr:colOff>
      <xdr:row>3004</xdr:row>
      <xdr:rowOff>133350</xdr:rowOff>
    </xdr:to>
    <xdr:pic>
      <xdr:nvPicPr>
        <xdr:cNvPr id="10713" name="Picture@5C\QPendientes@" descr="@5C\QPendientes@">
          <a:extLst>
            <a:ext uri="{FF2B5EF4-FFF2-40B4-BE49-F238E27FC236}">
              <a16:creationId xmlns:a16="http://schemas.microsoft.com/office/drawing/2014/main" id="{2B8AB5D9-3206-4779-BCE1-82DC7FBBE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93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3005</xdr:row>
      <xdr:rowOff>0</xdr:rowOff>
    </xdr:from>
    <xdr:to>
      <xdr:col>0</xdr:col>
      <xdr:colOff>171450</xdr:colOff>
      <xdr:row>3005</xdr:row>
      <xdr:rowOff>133350</xdr:rowOff>
    </xdr:to>
    <xdr:pic>
      <xdr:nvPicPr>
        <xdr:cNvPr id="10714" name="Picture@5C\QPendientes@" descr="@5C\QPendientes@">
          <a:extLst>
            <a:ext uri="{FF2B5EF4-FFF2-40B4-BE49-F238E27FC236}">
              <a16:creationId xmlns:a16="http://schemas.microsoft.com/office/drawing/2014/main" id="{2142AF31-EC20-4E17-8F69-3BFC811E5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95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133350</xdr:rowOff>
    </xdr:to>
    <xdr:pic>
      <xdr:nvPicPr>
        <xdr:cNvPr id="10715" name="Picture@5C\QPendientes@" descr="@5C\QPendientes@">
          <a:extLst>
            <a:ext uri="{FF2B5EF4-FFF2-40B4-BE49-F238E27FC236}">
              <a16:creationId xmlns:a16="http://schemas.microsoft.com/office/drawing/2014/main" id="{D16D2E7F-C131-4BA0-B19D-AAC5279567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97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3007</xdr:row>
      <xdr:rowOff>0</xdr:rowOff>
    </xdr:from>
    <xdr:to>
      <xdr:col>0</xdr:col>
      <xdr:colOff>171450</xdr:colOff>
      <xdr:row>3007</xdr:row>
      <xdr:rowOff>133350</xdr:rowOff>
    </xdr:to>
    <xdr:pic>
      <xdr:nvPicPr>
        <xdr:cNvPr id="10716" name="Picture@5C\QPendientes@" descr="@5C\QPendientes@">
          <a:extLst>
            <a:ext uri="{FF2B5EF4-FFF2-40B4-BE49-F238E27FC236}">
              <a16:creationId xmlns:a16="http://schemas.microsoft.com/office/drawing/2014/main" id="{784BA357-6930-4937-BE38-E0048B4D9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99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3008</xdr:row>
      <xdr:rowOff>0</xdr:rowOff>
    </xdr:from>
    <xdr:to>
      <xdr:col>0</xdr:col>
      <xdr:colOff>171450</xdr:colOff>
      <xdr:row>3008</xdr:row>
      <xdr:rowOff>133350</xdr:rowOff>
    </xdr:to>
    <xdr:pic>
      <xdr:nvPicPr>
        <xdr:cNvPr id="10717" name="Picture@5C\QPendientes@" descr="@5C\QPendientes@">
          <a:extLst>
            <a:ext uri="{FF2B5EF4-FFF2-40B4-BE49-F238E27FC236}">
              <a16:creationId xmlns:a16="http://schemas.microsoft.com/office/drawing/2014/main" id="{2B5FCDB4-ECDB-4CE8-B016-2CC004F70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1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3009</xdr:row>
      <xdr:rowOff>0</xdr:rowOff>
    </xdr:from>
    <xdr:to>
      <xdr:col>0</xdr:col>
      <xdr:colOff>171450</xdr:colOff>
      <xdr:row>3009</xdr:row>
      <xdr:rowOff>133350</xdr:rowOff>
    </xdr:to>
    <xdr:pic>
      <xdr:nvPicPr>
        <xdr:cNvPr id="10718" name="Picture@5C\QPendientes@" descr="@5C\QPendientes@">
          <a:extLst>
            <a:ext uri="{FF2B5EF4-FFF2-40B4-BE49-F238E27FC236}">
              <a16:creationId xmlns:a16="http://schemas.microsoft.com/office/drawing/2014/main" id="{B807E448-A696-48C4-9714-62999333FB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2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3010</xdr:row>
      <xdr:rowOff>0</xdr:rowOff>
    </xdr:from>
    <xdr:to>
      <xdr:col>0</xdr:col>
      <xdr:colOff>171450</xdr:colOff>
      <xdr:row>3010</xdr:row>
      <xdr:rowOff>133350</xdr:rowOff>
    </xdr:to>
    <xdr:pic>
      <xdr:nvPicPr>
        <xdr:cNvPr id="10719" name="Picture@5C\QPendientes@" descr="@5C\QPendientes@">
          <a:extLst>
            <a:ext uri="{FF2B5EF4-FFF2-40B4-BE49-F238E27FC236}">
              <a16:creationId xmlns:a16="http://schemas.microsoft.com/office/drawing/2014/main" id="{DF6C6A8B-DD5A-43A1-B304-5C7E8EA91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3011</xdr:row>
      <xdr:rowOff>0</xdr:rowOff>
    </xdr:from>
    <xdr:to>
      <xdr:col>0</xdr:col>
      <xdr:colOff>171450</xdr:colOff>
      <xdr:row>3011</xdr:row>
      <xdr:rowOff>133350</xdr:rowOff>
    </xdr:to>
    <xdr:pic>
      <xdr:nvPicPr>
        <xdr:cNvPr id="10720" name="Picture@5C\QPendientes@" descr="@5C\QPendientes@">
          <a:extLst>
            <a:ext uri="{FF2B5EF4-FFF2-40B4-BE49-F238E27FC236}">
              <a16:creationId xmlns:a16="http://schemas.microsoft.com/office/drawing/2014/main" id="{E879C472-DADA-4299-A081-2BAFB2FA8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6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133350</xdr:rowOff>
    </xdr:to>
    <xdr:pic>
      <xdr:nvPicPr>
        <xdr:cNvPr id="10721" name="Picture@5C\QPendientes@" descr="@5C\QPendientes@">
          <a:extLst>
            <a:ext uri="{FF2B5EF4-FFF2-40B4-BE49-F238E27FC236}">
              <a16:creationId xmlns:a16="http://schemas.microsoft.com/office/drawing/2014/main" id="{E69DBE33-F39B-4A12-ACFA-453341905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8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133350</xdr:rowOff>
    </xdr:to>
    <xdr:pic>
      <xdr:nvPicPr>
        <xdr:cNvPr id="10722" name="Picture@5C\QPendientes@" descr="@5C\QPendientes@">
          <a:extLst>
            <a:ext uri="{FF2B5EF4-FFF2-40B4-BE49-F238E27FC236}">
              <a16:creationId xmlns:a16="http://schemas.microsoft.com/office/drawing/2014/main" id="{3E0FB702-7DF3-49EB-A146-8A32A9308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10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3014</xdr:row>
      <xdr:rowOff>0</xdr:rowOff>
    </xdr:from>
    <xdr:to>
      <xdr:col>0</xdr:col>
      <xdr:colOff>171450</xdr:colOff>
      <xdr:row>3014</xdr:row>
      <xdr:rowOff>133350</xdr:rowOff>
    </xdr:to>
    <xdr:pic>
      <xdr:nvPicPr>
        <xdr:cNvPr id="10723" name="Picture@5C\QPendientes@" descr="@5C\QPendientes@">
          <a:extLst>
            <a:ext uri="{FF2B5EF4-FFF2-40B4-BE49-F238E27FC236}">
              <a16:creationId xmlns:a16="http://schemas.microsoft.com/office/drawing/2014/main" id="{A228574B-104F-4E74-8CD3-9C5F5D416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12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3015</xdr:row>
      <xdr:rowOff>0</xdr:rowOff>
    </xdr:from>
    <xdr:to>
      <xdr:col>0</xdr:col>
      <xdr:colOff>171450</xdr:colOff>
      <xdr:row>3015</xdr:row>
      <xdr:rowOff>133350</xdr:rowOff>
    </xdr:to>
    <xdr:pic>
      <xdr:nvPicPr>
        <xdr:cNvPr id="10724" name="Picture@5C\QPendientes@" descr="@5C\QPendientes@">
          <a:extLst>
            <a:ext uri="{FF2B5EF4-FFF2-40B4-BE49-F238E27FC236}">
              <a16:creationId xmlns:a16="http://schemas.microsoft.com/office/drawing/2014/main" id="{EC1DF73E-CADF-4D62-91B8-FA22B243AB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13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3016</xdr:row>
      <xdr:rowOff>0</xdr:rowOff>
    </xdr:from>
    <xdr:to>
      <xdr:col>0</xdr:col>
      <xdr:colOff>171450</xdr:colOff>
      <xdr:row>3016</xdr:row>
      <xdr:rowOff>133350</xdr:rowOff>
    </xdr:to>
    <xdr:pic>
      <xdr:nvPicPr>
        <xdr:cNvPr id="10725" name="Picture@5C\QPendientes@" descr="@5C\QPendientes@">
          <a:extLst>
            <a:ext uri="{FF2B5EF4-FFF2-40B4-BE49-F238E27FC236}">
              <a16:creationId xmlns:a16="http://schemas.microsoft.com/office/drawing/2014/main" id="{1E2A5932-E893-4827-B2DA-51A9D2F38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15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133350</xdr:rowOff>
    </xdr:to>
    <xdr:pic>
      <xdr:nvPicPr>
        <xdr:cNvPr id="10726" name="Picture@5C\QPendientes@" descr="@5C\QPendientes@">
          <a:extLst>
            <a:ext uri="{FF2B5EF4-FFF2-40B4-BE49-F238E27FC236}">
              <a16:creationId xmlns:a16="http://schemas.microsoft.com/office/drawing/2014/main" id="{799C14B9-0A94-4FD8-975B-8E771D9E1C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17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3018</xdr:row>
      <xdr:rowOff>0</xdr:rowOff>
    </xdr:from>
    <xdr:to>
      <xdr:col>0</xdr:col>
      <xdr:colOff>171450</xdr:colOff>
      <xdr:row>3018</xdr:row>
      <xdr:rowOff>133350</xdr:rowOff>
    </xdr:to>
    <xdr:pic>
      <xdr:nvPicPr>
        <xdr:cNvPr id="10727" name="Picture@5C\QPendientes@" descr="@5C\QPendientes@">
          <a:extLst>
            <a:ext uri="{FF2B5EF4-FFF2-40B4-BE49-F238E27FC236}">
              <a16:creationId xmlns:a16="http://schemas.microsoft.com/office/drawing/2014/main" id="{749507F1-1093-46D7-AF90-685700AE0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19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133350</xdr:rowOff>
    </xdr:to>
    <xdr:pic>
      <xdr:nvPicPr>
        <xdr:cNvPr id="10728" name="Picture@5C\QPendientes@" descr="@5C\QPendientes@">
          <a:extLst>
            <a:ext uri="{FF2B5EF4-FFF2-40B4-BE49-F238E27FC236}">
              <a16:creationId xmlns:a16="http://schemas.microsoft.com/office/drawing/2014/main" id="{377F6AB1-756A-4A1E-85CD-C782323ED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1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133350</xdr:rowOff>
    </xdr:to>
    <xdr:pic>
      <xdr:nvPicPr>
        <xdr:cNvPr id="10729" name="Picture@5C\QPendientes@" descr="@5C\QPendientes@">
          <a:extLst>
            <a:ext uri="{FF2B5EF4-FFF2-40B4-BE49-F238E27FC236}">
              <a16:creationId xmlns:a16="http://schemas.microsoft.com/office/drawing/2014/main" id="{BF3C4428-B3F0-446E-9703-0696E576E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133350</xdr:rowOff>
    </xdr:to>
    <xdr:pic>
      <xdr:nvPicPr>
        <xdr:cNvPr id="10730" name="Picture@5C\QPendientes@" descr="@5C\QPendientes@">
          <a:extLst>
            <a:ext uri="{FF2B5EF4-FFF2-40B4-BE49-F238E27FC236}">
              <a16:creationId xmlns:a16="http://schemas.microsoft.com/office/drawing/2014/main" id="{467DCC49-C5EB-4AED-905C-46D7FFB5E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4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133350</xdr:rowOff>
    </xdr:to>
    <xdr:pic>
      <xdr:nvPicPr>
        <xdr:cNvPr id="10731" name="Picture@5C\QPendientes@" descr="@5C\QPendientes@">
          <a:extLst>
            <a:ext uri="{FF2B5EF4-FFF2-40B4-BE49-F238E27FC236}">
              <a16:creationId xmlns:a16="http://schemas.microsoft.com/office/drawing/2014/main" id="{4C644379-1E11-47AE-BBAD-BA65F217A4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6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3023</xdr:row>
      <xdr:rowOff>0</xdr:rowOff>
    </xdr:from>
    <xdr:to>
      <xdr:col>0</xdr:col>
      <xdr:colOff>171450</xdr:colOff>
      <xdr:row>3023</xdr:row>
      <xdr:rowOff>133350</xdr:rowOff>
    </xdr:to>
    <xdr:pic>
      <xdr:nvPicPr>
        <xdr:cNvPr id="10732" name="Picture@5C\QPendientes@" descr="@5C\QPendientes@">
          <a:extLst>
            <a:ext uri="{FF2B5EF4-FFF2-40B4-BE49-F238E27FC236}">
              <a16:creationId xmlns:a16="http://schemas.microsoft.com/office/drawing/2014/main" id="{2E384B2A-B380-43B9-9324-847F97EDC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8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3024</xdr:row>
      <xdr:rowOff>0</xdr:rowOff>
    </xdr:from>
    <xdr:to>
      <xdr:col>0</xdr:col>
      <xdr:colOff>171450</xdr:colOff>
      <xdr:row>3024</xdr:row>
      <xdr:rowOff>133350</xdr:rowOff>
    </xdr:to>
    <xdr:pic>
      <xdr:nvPicPr>
        <xdr:cNvPr id="10733" name="Picture@5C\QPendientes@" descr="@5C\QPendientes@">
          <a:extLst>
            <a:ext uri="{FF2B5EF4-FFF2-40B4-BE49-F238E27FC236}">
              <a16:creationId xmlns:a16="http://schemas.microsoft.com/office/drawing/2014/main" id="{C5E5511B-2232-4493-9AD5-0A36130F5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30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133350</xdr:rowOff>
    </xdr:to>
    <xdr:pic>
      <xdr:nvPicPr>
        <xdr:cNvPr id="10734" name="Picture@5C\QPendientes@" descr="@5C\QPendientes@">
          <a:extLst>
            <a:ext uri="{FF2B5EF4-FFF2-40B4-BE49-F238E27FC236}">
              <a16:creationId xmlns:a16="http://schemas.microsoft.com/office/drawing/2014/main" id="{BE9A6F2C-07B4-4E4E-A00F-5C41A7C18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32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3026</xdr:row>
      <xdr:rowOff>0</xdr:rowOff>
    </xdr:from>
    <xdr:to>
      <xdr:col>0</xdr:col>
      <xdr:colOff>171450</xdr:colOff>
      <xdr:row>3026</xdr:row>
      <xdr:rowOff>133350</xdr:rowOff>
    </xdr:to>
    <xdr:pic>
      <xdr:nvPicPr>
        <xdr:cNvPr id="10735" name="Picture@5C\QPendientes@" descr="@5C\QPendientes@">
          <a:extLst>
            <a:ext uri="{FF2B5EF4-FFF2-40B4-BE49-F238E27FC236}">
              <a16:creationId xmlns:a16="http://schemas.microsoft.com/office/drawing/2014/main" id="{57A2A145-B79B-4393-AC8D-82513313B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33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3027</xdr:row>
      <xdr:rowOff>0</xdr:rowOff>
    </xdr:from>
    <xdr:to>
      <xdr:col>0</xdr:col>
      <xdr:colOff>171450</xdr:colOff>
      <xdr:row>3027</xdr:row>
      <xdr:rowOff>133350</xdr:rowOff>
    </xdr:to>
    <xdr:pic>
      <xdr:nvPicPr>
        <xdr:cNvPr id="10736" name="Picture@5C\QPendientes@" descr="@5C\QPendientes@">
          <a:extLst>
            <a:ext uri="{FF2B5EF4-FFF2-40B4-BE49-F238E27FC236}">
              <a16:creationId xmlns:a16="http://schemas.microsoft.com/office/drawing/2014/main" id="{EC5C7BE5-2855-42EC-B527-8170E4AA2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35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133350</xdr:rowOff>
    </xdr:to>
    <xdr:pic>
      <xdr:nvPicPr>
        <xdr:cNvPr id="10737" name="Picture@5C\QPendientes@" descr="@5C\QPendientes@">
          <a:extLst>
            <a:ext uri="{FF2B5EF4-FFF2-40B4-BE49-F238E27FC236}">
              <a16:creationId xmlns:a16="http://schemas.microsoft.com/office/drawing/2014/main" id="{120C9A85-0A9D-4130-BDD5-94B592B3F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37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3029</xdr:row>
      <xdr:rowOff>0</xdr:rowOff>
    </xdr:from>
    <xdr:to>
      <xdr:col>0</xdr:col>
      <xdr:colOff>171450</xdr:colOff>
      <xdr:row>3029</xdr:row>
      <xdr:rowOff>133350</xdr:rowOff>
    </xdr:to>
    <xdr:pic>
      <xdr:nvPicPr>
        <xdr:cNvPr id="10738" name="Picture@5C\QPendientes@" descr="@5C\QPendientes@">
          <a:extLst>
            <a:ext uri="{FF2B5EF4-FFF2-40B4-BE49-F238E27FC236}">
              <a16:creationId xmlns:a16="http://schemas.microsoft.com/office/drawing/2014/main" id="{B2C88ED8-63B3-4A29-B6A5-DA83EEDEF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39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133350</xdr:rowOff>
    </xdr:to>
    <xdr:pic>
      <xdr:nvPicPr>
        <xdr:cNvPr id="10739" name="Picture@5C\QPendientes@" descr="@5C\QPendientes@">
          <a:extLst>
            <a:ext uri="{FF2B5EF4-FFF2-40B4-BE49-F238E27FC236}">
              <a16:creationId xmlns:a16="http://schemas.microsoft.com/office/drawing/2014/main" id="{A9E103B4-1D23-4927-A08A-4E1652B41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133350</xdr:rowOff>
    </xdr:to>
    <xdr:pic>
      <xdr:nvPicPr>
        <xdr:cNvPr id="10740" name="Picture@5C\QPendientes@" descr="@5C\QPendientes@">
          <a:extLst>
            <a:ext uri="{FF2B5EF4-FFF2-40B4-BE49-F238E27FC236}">
              <a16:creationId xmlns:a16="http://schemas.microsoft.com/office/drawing/2014/main" id="{42BD3CB2-0552-4333-A825-CFE889D00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3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3032</xdr:row>
      <xdr:rowOff>0</xdr:rowOff>
    </xdr:from>
    <xdr:to>
      <xdr:col>0</xdr:col>
      <xdr:colOff>171450</xdr:colOff>
      <xdr:row>3032</xdr:row>
      <xdr:rowOff>133350</xdr:rowOff>
    </xdr:to>
    <xdr:pic>
      <xdr:nvPicPr>
        <xdr:cNvPr id="10741" name="Picture@5C\QPendientes@" descr="@5C\QPendientes@">
          <a:extLst>
            <a:ext uri="{FF2B5EF4-FFF2-40B4-BE49-F238E27FC236}">
              <a16:creationId xmlns:a16="http://schemas.microsoft.com/office/drawing/2014/main" id="{F94AB924-5A2C-4772-AA9A-E666ABB0D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4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3033</xdr:row>
      <xdr:rowOff>0</xdr:rowOff>
    </xdr:from>
    <xdr:to>
      <xdr:col>0</xdr:col>
      <xdr:colOff>171450</xdr:colOff>
      <xdr:row>3033</xdr:row>
      <xdr:rowOff>133350</xdr:rowOff>
    </xdr:to>
    <xdr:pic>
      <xdr:nvPicPr>
        <xdr:cNvPr id="10742" name="Picture@5C\QPendientes@" descr="@5C\QPendientes@">
          <a:extLst>
            <a:ext uri="{FF2B5EF4-FFF2-40B4-BE49-F238E27FC236}">
              <a16:creationId xmlns:a16="http://schemas.microsoft.com/office/drawing/2014/main" id="{57C5E9EC-5B97-400A-81A9-7D267F359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6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3034</xdr:row>
      <xdr:rowOff>0</xdr:rowOff>
    </xdr:from>
    <xdr:to>
      <xdr:col>0</xdr:col>
      <xdr:colOff>171450</xdr:colOff>
      <xdr:row>3034</xdr:row>
      <xdr:rowOff>133350</xdr:rowOff>
    </xdr:to>
    <xdr:pic>
      <xdr:nvPicPr>
        <xdr:cNvPr id="10743" name="Picture@5C\QPendientes@" descr="@5C\QPendientes@">
          <a:extLst>
            <a:ext uri="{FF2B5EF4-FFF2-40B4-BE49-F238E27FC236}">
              <a16:creationId xmlns:a16="http://schemas.microsoft.com/office/drawing/2014/main" id="{DD967748-B8CD-4DBF-BA89-BA356B230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8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3035</xdr:row>
      <xdr:rowOff>0</xdr:rowOff>
    </xdr:from>
    <xdr:to>
      <xdr:col>0</xdr:col>
      <xdr:colOff>171450</xdr:colOff>
      <xdr:row>3035</xdr:row>
      <xdr:rowOff>133350</xdr:rowOff>
    </xdr:to>
    <xdr:pic>
      <xdr:nvPicPr>
        <xdr:cNvPr id="10744" name="Picture@5C\QPendientes@" descr="@5C\QPendientes@">
          <a:extLst>
            <a:ext uri="{FF2B5EF4-FFF2-40B4-BE49-F238E27FC236}">
              <a16:creationId xmlns:a16="http://schemas.microsoft.com/office/drawing/2014/main" id="{1C3D3BC7-452C-4C3A-884D-EC7BFFF3B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0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3036</xdr:row>
      <xdr:rowOff>0</xdr:rowOff>
    </xdr:from>
    <xdr:to>
      <xdr:col>0</xdr:col>
      <xdr:colOff>171450</xdr:colOff>
      <xdr:row>3036</xdr:row>
      <xdr:rowOff>133350</xdr:rowOff>
    </xdr:to>
    <xdr:pic>
      <xdr:nvPicPr>
        <xdr:cNvPr id="10745" name="Picture@5C\QPendientes@" descr="@5C\QPendientes@">
          <a:extLst>
            <a:ext uri="{FF2B5EF4-FFF2-40B4-BE49-F238E27FC236}">
              <a16:creationId xmlns:a16="http://schemas.microsoft.com/office/drawing/2014/main" id="{0DC2356B-55A3-45D1-B9C3-4D54959039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2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133350</xdr:rowOff>
    </xdr:to>
    <xdr:pic>
      <xdr:nvPicPr>
        <xdr:cNvPr id="10746" name="Picture@5C\QPendientes@" descr="@5C\QPendientes@">
          <a:extLst>
            <a:ext uri="{FF2B5EF4-FFF2-40B4-BE49-F238E27FC236}">
              <a16:creationId xmlns:a16="http://schemas.microsoft.com/office/drawing/2014/main" id="{1C501879-4BE6-43A7-838F-C41096C5E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4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3038</xdr:row>
      <xdr:rowOff>0</xdr:rowOff>
    </xdr:from>
    <xdr:to>
      <xdr:col>0</xdr:col>
      <xdr:colOff>171450</xdr:colOff>
      <xdr:row>3038</xdr:row>
      <xdr:rowOff>133350</xdr:rowOff>
    </xdr:to>
    <xdr:pic>
      <xdr:nvPicPr>
        <xdr:cNvPr id="10747" name="Picture@5C\QPendientes@" descr="@5C\QPendientes@">
          <a:extLst>
            <a:ext uri="{FF2B5EF4-FFF2-40B4-BE49-F238E27FC236}">
              <a16:creationId xmlns:a16="http://schemas.microsoft.com/office/drawing/2014/main" id="{C60C7BD8-78E5-484E-9803-6E1CD76E7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5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3039</xdr:row>
      <xdr:rowOff>0</xdr:rowOff>
    </xdr:from>
    <xdr:to>
      <xdr:col>0</xdr:col>
      <xdr:colOff>171450</xdr:colOff>
      <xdr:row>3039</xdr:row>
      <xdr:rowOff>133350</xdr:rowOff>
    </xdr:to>
    <xdr:pic>
      <xdr:nvPicPr>
        <xdr:cNvPr id="10748" name="Picture@5C\QPendientes@" descr="@5C\QPendientes@">
          <a:extLst>
            <a:ext uri="{FF2B5EF4-FFF2-40B4-BE49-F238E27FC236}">
              <a16:creationId xmlns:a16="http://schemas.microsoft.com/office/drawing/2014/main" id="{A1A23B16-D9FB-4ECA-A911-207BF9CE2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7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3040</xdr:row>
      <xdr:rowOff>0</xdr:rowOff>
    </xdr:from>
    <xdr:to>
      <xdr:col>0</xdr:col>
      <xdr:colOff>171450</xdr:colOff>
      <xdr:row>3040</xdr:row>
      <xdr:rowOff>133350</xdr:rowOff>
    </xdr:to>
    <xdr:pic>
      <xdr:nvPicPr>
        <xdr:cNvPr id="10749" name="Picture@5C\QPendientes@" descr="@5C\QPendientes@">
          <a:extLst>
            <a:ext uri="{FF2B5EF4-FFF2-40B4-BE49-F238E27FC236}">
              <a16:creationId xmlns:a16="http://schemas.microsoft.com/office/drawing/2014/main" id="{4BD69C96-17D2-4C65-B61C-2B387681E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3041</xdr:row>
      <xdr:rowOff>0</xdr:rowOff>
    </xdr:from>
    <xdr:to>
      <xdr:col>0</xdr:col>
      <xdr:colOff>171450</xdr:colOff>
      <xdr:row>3041</xdr:row>
      <xdr:rowOff>133350</xdr:rowOff>
    </xdr:to>
    <xdr:pic>
      <xdr:nvPicPr>
        <xdr:cNvPr id="10750" name="Picture@5C\QPendientes@" descr="@5C\QPendientes@">
          <a:extLst>
            <a:ext uri="{FF2B5EF4-FFF2-40B4-BE49-F238E27FC236}">
              <a16:creationId xmlns:a16="http://schemas.microsoft.com/office/drawing/2014/main" id="{45487BFF-0C69-46A3-877B-EFE129FC1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61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43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ColWidth="8.88671875" defaultRowHeight="14.4" x14ac:dyDescent="0.3"/>
  <cols>
    <col min="1" max="1" width="26" bestFit="1" customWidth="1"/>
    <col min="2" max="2" width="11" bestFit="1" customWidth="1"/>
    <col min="3" max="3" width="13" bestFit="1" customWidth="1"/>
    <col min="4" max="4" width="9" bestFit="1" customWidth="1"/>
    <col min="5" max="6" width="19" bestFit="1" customWidth="1"/>
    <col min="7" max="7" width="18" bestFit="1" customWidth="1"/>
    <col min="8" max="8" width="24" bestFit="1" customWidth="1"/>
    <col min="9" max="9" width="13" bestFit="1" customWidth="1"/>
    <col min="10" max="10" width="20" bestFit="1" customWidth="1"/>
    <col min="11" max="11" width="17" bestFit="1" customWidth="1"/>
    <col min="12" max="12" width="36" bestFit="1" customWidth="1"/>
    <col min="13" max="13" width="19" bestFit="1" customWidth="1"/>
    <col min="14" max="14" width="18" bestFit="1" customWidth="1"/>
    <col min="15" max="15" width="9" bestFit="1" customWidth="1"/>
    <col min="16" max="16" width="15.77734375" customWidth="1"/>
    <col min="17" max="17" width="17.6640625" style="7" customWidth="1"/>
    <col min="18" max="18" width="20.77734375" customWidth="1"/>
    <col min="19" max="19" width="27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2259</v>
      </c>
      <c r="N1" s="1" t="s">
        <v>12</v>
      </c>
      <c r="O1" s="1" t="s">
        <v>13</v>
      </c>
      <c r="P1" t="s">
        <v>2791</v>
      </c>
      <c r="Q1" s="1" t="s">
        <v>2404</v>
      </c>
      <c r="R1" s="1" t="s">
        <v>2405</v>
      </c>
      <c r="S1" s="1" t="s">
        <v>2403</v>
      </c>
    </row>
    <row r="2" spans="1:19" x14ac:dyDescent="0.3">
      <c r="A2" s="2" t="s">
        <v>14</v>
      </c>
      <c r="B2" s="3" t="s">
        <v>14</v>
      </c>
      <c r="C2" s="3" t="s">
        <v>15</v>
      </c>
      <c r="D2" s="3" t="s">
        <v>14</v>
      </c>
      <c r="E2" s="3" t="s">
        <v>16</v>
      </c>
      <c r="F2" s="4">
        <v>46100</v>
      </c>
      <c r="G2" s="3" t="s">
        <v>17</v>
      </c>
      <c r="H2" s="5">
        <v>-4678042.2</v>
      </c>
      <c r="I2" s="3" t="s">
        <v>18</v>
      </c>
      <c r="J2" s="3" t="s">
        <v>19</v>
      </c>
      <c r="K2" s="3" t="s">
        <v>14</v>
      </c>
      <c r="L2" s="3" t="s">
        <v>20</v>
      </c>
      <c r="M2" s="4">
        <v>46213</v>
      </c>
      <c r="N2" s="3" t="s">
        <v>21</v>
      </c>
      <c r="O2" s="3" t="s">
        <v>22</v>
      </c>
      <c r="P2" t="str">
        <f>_xlfn.CONCAT(N2:O2)</f>
        <v>450012159820</v>
      </c>
      <c r="Q2" s="7" cm="1">
        <f t="array" ref="Q2:S2">VLOOKUP(P2,Hoja1!C:F,{2,3,4},FALSE)</f>
        <v>46091</v>
      </c>
      <c r="R2" t="str">
        <v>C03</v>
      </c>
      <c r="S2" t="str">
        <v>1000000754 AURELIA SACIYF</v>
      </c>
    </row>
    <row r="3" spans="1:19" x14ac:dyDescent="0.3">
      <c r="A3" s="2" t="s">
        <v>14</v>
      </c>
      <c r="B3" s="3" t="s">
        <v>14</v>
      </c>
      <c r="C3" s="3" t="s">
        <v>15</v>
      </c>
      <c r="D3" s="3" t="s">
        <v>14</v>
      </c>
      <c r="E3" s="3" t="s">
        <v>16</v>
      </c>
      <c r="F3" s="4">
        <v>46100</v>
      </c>
      <c r="G3" s="3" t="s">
        <v>17</v>
      </c>
      <c r="H3" s="5">
        <v>-175105.98</v>
      </c>
      <c r="I3" s="3" t="s">
        <v>18</v>
      </c>
      <c r="J3" s="3" t="s">
        <v>19</v>
      </c>
      <c r="K3" s="3" t="s">
        <v>14</v>
      </c>
      <c r="L3" s="3" t="s">
        <v>20</v>
      </c>
      <c r="M3" s="4">
        <v>46213</v>
      </c>
      <c r="N3" s="3" t="s">
        <v>21</v>
      </c>
      <c r="O3" s="3" t="s">
        <v>23</v>
      </c>
      <c r="P3" t="str">
        <f t="shared" ref="P3:P66" si="0">_xlfn.CONCAT(N3:O3)</f>
        <v>450012159840</v>
      </c>
      <c r="Q3" s="7" cm="1">
        <f t="array" ref="Q3:S3">VLOOKUP(P3,Hoja1!C:F,{2,3,4},FALSE)</f>
        <v>46091</v>
      </c>
      <c r="R3" t="str">
        <v>C03</v>
      </c>
      <c r="S3" t="str">
        <v>1000000754 AURELIA SACIYF</v>
      </c>
    </row>
    <row r="4" spans="1:19" x14ac:dyDescent="0.3">
      <c r="A4" s="2" t="s">
        <v>14</v>
      </c>
      <c r="B4" s="3" t="s">
        <v>14</v>
      </c>
      <c r="C4" s="3" t="s">
        <v>24</v>
      </c>
      <c r="D4" s="3" t="s">
        <v>25</v>
      </c>
      <c r="E4" s="3" t="s">
        <v>26</v>
      </c>
      <c r="F4" s="4">
        <v>45966</v>
      </c>
      <c r="G4" s="3" t="s">
        <v>27</v>
      </c>
      <c r="H4" s="6">
        <v>16833600</v>
      </c>
      <c r="I4" s="3" t="s">
        <v>18</v>
      </c>
      <c r="J4" s="3" t="s">
        <v>19</v>
      </c>
      <c r="K4" s="3" t="s">
        <v>14</v>
      </c>
      <c r="L4" s="3" t="s">
        <v>28</v>
      </c>
      <c r="M4" s="4">
        <v>45973</v>
      </c>
      <c r="N4" s="3" t="s">
        <v>29</v>
      </c>
      <c r="O4" s="3" t="s">
        <v>30</v>
      </c>
      <c r="P4" t="str">
        <f t="shared" si="0"/>
        <v>450011214010</v>
      </c>
      <c r="Q4" s="7" cm="1">
        <f t="array" ref="Q4:S4">VLOOKUP(P4,Hoja1!C:F,{2,3,4},FALSE)</f>
        <v>46053</v>
      </c>
      <c r="R4" t="str">
        <v>C14</v>
      </c>
      <c r="S4" t="str">
        <v>1000000681 LA LILY S.A</v>
      </c>
    </row>
    <row r="5" spans="1:19" x14ac:dyDescent="0.3">
      <c r="A5" s="2" t="s">
        <v>14</v>
      </c>
      <c r="B5" s="3" t="s">
        <v>14</v>
      </c>
      <c r="C5" s="3" t="s">
        <v>31</v>
      </c>
      <c r="D5" s="3" t="s">
        <v>32</v>
      </c>
      <c r="E5" s="3" t="s">
        <v>26</v>
      </c>
      <c r="F5" s="4">
        <v>46058</v>
      </c>
      <c r="G5" s="3" t="s">
        <v>27</v>
      </c>
      <c r="H5" s="6">
        <v>37297.160000000003</v>
      </c>
      <c r="I5" s="3" t="s">
        <v>18</v>
      </c>
      <c r="J5" s="3" t="s">
        <v>19</v>
      </c>
      <c r="K5" s="3" t="s">
        <v>14</v>
      </c>
      <c r="L5" s="3" t="s">
        <v>33</v>
      </c>
      <c r="M5" s="4">
        <v>46071</v>
      </c>
      <c r="N5" s="3" t="s">
        <v>34</v>
      </c>
      <c r="O5" s="3" t="s">
        <v>35</v>
      </c>
      <c r="P5" t="str">
        <f t="shared" si="0"/>
        <v>450012017730</v>
      </c>
      <c r="Q5" s="7" cm="1">
        <f t="array" ref="Q5:S5">VLOOKUP(P5,Hoja1!C:F,{2,3,4},FALSE)</f>
        <v>46097</v>
      </c>
      <c r="R5" t="str">
        <v>C09</v>
      </c>
      <c r="S5" t="str">
        <v>1000000417 TIGRE ARGENTINA S.A.</v>
      </c>
    </row>
    <row r="6" spans="1:19" x14ac:dyDescent="0.3">
      <c r="A6" s="2" t="s">
        <v>14</v>
      </c>
      <c r="B6" s="3" t="s">
        <v>14</v>
      </c>
      <c r="C6" s="3" t="s">
        <v>36</v>
      </c>
      <c r="D6" s="3" t="s">
        <v>32</v>
      </c>
      <c r="E6" s="3" t="s">
        <v>26</v>
      </c>
      <c r="F6" s="4">
        <v>46058</v>
      </c>
      <c r="G6" s="3" t="s">
        <v>27</v>
      </c>
      <c r="H6" s="6">
        <v>76107.8</v>
      </c>
      <c r="I6" s="3" t="s">
        <v>18</v>
      </c>
      <c r="J6" s="3" t="s">
        <v>19</v>
      </c>
      <c r="K6" s="3" t="s">
        <v>14</v>
      </c>
      <c r="L6" s="3" t="s">
        <v>33</v>
      </c>
      <c r="M6" s="4">
        <v>46071</v>
      </c>
      <c r="N6" s="3" t="s">
        <v>37</v>
      </c>
      <c r="O6" s="3" t="s">
        <v>22</v>
      </c>
      <c r="P6" t="str">
        <f t="shared" si="0"/>
        <v>450012017820</v>
      </c>
      <c r="Q6" s="7" cm="1">
        <f t="array" ref="Q6:S6">VLOOKUP(P6,Hoja1!C:F,{2,3,4},FALSE)</f>
        <v>46097</v>
      </c>
      <c r="R6" t="str">
        <v>C09</v>
      </c>
      <c r="S6" t="str">
        <v>1000000417 TIGRE ARGENTINA S.A.</v>
      </c>
    </row>
    <row r="7" spans="1:19" x14ac:dyDescent="0.3">
      <c r="A7" s="2" t="s">
        <v>14</v>
      </c>
      <c r="B7" s="3" t="s">
        <v>14</v>
      </c>
      <c r="C7" s="3" t="s">
        <v>38</v>
      </c>
      <c r="D7" s="3" t="s">
        <v>14</v>
      </c>
      <c r="E7" s="3" t="s">
        <v>26</v>
      </c>
      <c r="F7" s="4">
        <v>46083</v>
      </c>
      <c r="G7" s="3" t="s">
        <v>27</v>
      </c>
      <c r="H7" s="6">
        <v>8694649.1400000006</v>
      </c>
      <c r="I7" s="3" t="s">
        <v>18</v>
      </c>
      <c r="J7" s="3" t="s">
        <v>39</v>
      </c>
      <c r="K7" s="3" t="s">
        <v>14</v>
      </c>
      <c r="L7" s="3" t="s">
        <v>40</v>
      </c>
      <c r="M7" s="4">
        <v>46085</v>
      </c>
      <c r="N7" s="3" t="s">
        <v>41</v>
      </c>
      <c r="O7" s="3" t="s">
        <v>30</v>
      </c>
      <c r="P7" t="str">
        <f t="shared" si="0"/>
        <v>450011983110</v>
      </c>
      <c r="Q7" s="7" cm="1">
        <f t="array" ref="Q7:S7">VLOOKUP(P7,Hoja1!C:F,{2,3,4},FALSE)</f>
        <v>46140</v>
      </c>
      <c r="R7" t="str">
        <v>C21</v>
      </c>
      <c r="S7" t="str">
        <v>1000006796 SERVICIOS CIPOLLETTI SRL</v>
      </c>
    </row>
    <row r="8" spans="1:19" x14ac:dyDescent="0.3">
      <c r="A8" s="2" t="s">
        <v>14</v>
      </c>
      <c r="B8" s="3" t="s">
        <v>14</v>
      </c>
      <c r="C8" s="3" t="s">
        <v>42</v>
      </c>
      <c r="D8" s="3" t="s">
        <v>32</v>
      </c>
      <c r="E8" s="3" t="s">
        <v>26</v>
      </c>
      <c r="F8" s="4">
        <v>46085</v>
      </c>
      <c r="G8" s="3" t="s">
        <v>27</v>
      </c>
      <c r="H8" s="6">
        <v>10683.25</v>
      </c>
      <c r="I8" s="3" t="s">
        <v>18</v>
      </c>
      <c r="J8" s="3" t="s">
        <v>19</v>
      </c>
      <c r="K8" s="3" t="s">
        <v>14</v>
      </c>
      <c r="L8" s="3" t="s">
        <v>43</v>
      </c>
      <c r="M8" s="4">
        <v>46087</v>
      </c>
      <c r="N8" s="3" t="s">
        <v>44</v>
      </c>
      <c r="O8" s="3" t="s">
        <v>23</v>
      </c>
      <c r="P8" t="str">
        <f t="shared" si="0"/>
        <v>450012057040</v>
      </c>
      <c r="Q8" s="7" cm="1">
        <f t="array" ref="Q8:S8">VLOOKUP(P8,Hoja1!C:F,{2,3,4},FALSE)</f>
        <v>46092</v>
      </c>
      <c r="R8" t="str">
        <v>C11</v>
      </c>
      <c r="S8" t="str">
        <v>1000001211 EQUIPEL SRL</v>
      </c>
    </row>
    <row r="9" spans="1:19" x14ac:dyDescent="0.3">
      <c r="A9" s="2" t="s">
        <v>14</v>
      </c>
      <c r="B9" s="3" t="s">
        <v>14</v>
      </c>
      <c r="C9" s="3" t="s">
        <v>42</v>
      </c>
      <c r="D9" s="3" t="s">
        <v>32</v>
      </c>
      <c r="E9" s="3" t="s">
        <v>26</v>
      </c>
      <c r="F9" s="4">
        <v>46085</v>
      </c>
      <c r="G9" s="3" t="s">
        <v>27</v>
      </c>
      <c r="H9" s="6">
        <v>23262.6</v>
      </c>
      <c r="I9" s="3" t="s">
        <v>18</v>
      </c>
      <c r="J9" s="3" t="s">
        <v>19</v>
      </c>
      <c r="K9" s="3" t="s">
        <v>14</v>
      </c>
      <c r="L9" s="3" t="s">
        <v>43</v>
      </c>
      <c r="M9" s="4">
        <v>46087</v>
      </c>
      <c r="N9" s="3" t="s">
        <v>44</v>
      </c>
      <c r="O9" s="3" t="s">
        <v>45</v>
      </c>
      <c r="P9" t="str">
        <f t="shared" si="0"/>
        <v>4500120570100</v>
      </c>
      <c r="Q9" s="7" cm="1">
        <f t="array" ref="Q9:S9">VLOOKUP(P9,Hoja1!C:F,{2,3,4},FALSE)</f>
        <v>46092</v>
      </c>
      <c r="R9" t="str">
        <v>C11</v>
      </c>
      <c r="S9" t="str">
        <v>1000001211 EQUIPEL SRL</v>
      </c>
    </row>
    <row r="10" spans="1:19" x14ac:dyDescent="0.3">
      <c r="A10" s="2" t="s">
        <v>14</v>
      </c>
      <c r="B10" s="3" t="s">
        <v>14</v>
      </c>
      <c r="C10" s="3" t="s">
        <v>46</v>
      </c>
      <c r="D10" s="3" t="s">
        <v>14</v>
      </c>
      <c r="E10" s="3" t="s">
        <v>26</v>
      </c>
      <c r="F10" s="4">
        <v>46086</v>
      </c>
      <c r="G10" s="3" t="s">
        <v>27</v>
      </c>
      <c r="H10" s="6">
        <v>15403402.800000001</v>
      </c>
      <c r="I10" s="3" t="s">
        <v>18</v>
      </c>
      <c r="J10" s="3" t="s">
        <v>19</v>
      </c>
      <c r="K10" s="3" t="s">
        <v>14</v>
      </c>
      <c r="L10" s="3" t="s">
        <v>47</v>
      </c>
      <c r="M10" s="4">
        <v>46091</v>
      </c>
      <c r="N10" s="3" t="s">
        <v>48</v>
      </c>
      <c r="O10" s="3" t="s">
        <v>22</v>
      </c>
      <c r="P10" t="str">
        <f t="shared" si="0"/>
        <v>450012116620</v>
      </c>
      <c r="Q10" s="7" cm="1">
        <f t="array" ref="Q10:S10">VLOOKUP(P10,Hoja1!C:F,{2,3,4},FALSE)</f>
        <v>46090</v>
      </c>
      <c r="R10" t="str">
        <v>C27</v>
      </c>
      <c r="S10" t="str">
        <v>1000000010 GASES ROSARIO S.R.L.</v>
      </c>
    </row>
    <row r="11" spans="1:19" x14ac:dyDescent="0.3">
      <c r="A11" s="2" t="s">
        <v>14</v>
      </c>
      <c r="B11" s="3" t="s">
        <v>14</v>
      </c>
      <c r="C11" s="3" t="s">
        <v>49</v>
      </c>
      <c r="D11" s="3" t="s">
        <v>32</v>
      </c>
      <c r="E11" s="3" t="s">
        <v>26</v>
      </c>
      <c r="F11" s="4">
        <v>46113</v>
      </c>
      <c r="G11" s="3" t="s">
        <v>27</v>
      </c>
      <c r="H11" s="6">
        <v>861230</v>
      </c>
      <c r="I11" s="3" t="s">
        <v>18</v>
      </c>
      <c r="J11" s="3" t="s">
        <v>19</v>
      </c>
      <c r="K11" s="3" t="s">
        <v>14</v>
      </c>
      <c r="L11" s="3" t="s">
        <v>50</v>
      </c>
      <c r="M11" s="4">
        <v>46113</v>
      </c>
      <c r="N11" s="3" t="s">
        <v>51</v>
      </c>
      <c r="O11" s="3" t="s">
        <v>52</v>
      </c>
      <c r="P11" t="str">
        <f t="shared" si="0"/>
        <v>450012251080</v>
      </c>
      <c r="Q11" s="7" cm="1">
        <f t="array" ref="Q11:S11">VLOOKUP(P11,Hoja1!C:F,{2,3,4},FALSE)</f>
        <v>46122</v>
      </c>
      <c r="R11" t="str">
        <v>C11</v>
      </c>
      <c r="S11" t="str">
        <v>1000003063 CICCIOELEC SA</v>
      </c>
    </row>
    <row r="12" spans="1:19" x14ac:dyDescent="0.3">
      <c r="A12" s="2" t="s">
        <v>14</v>
      </c>
      <c r="B12" s="3" t="s">
        <v>14</v>
      </c>
      <c r="C12" s="3" t="s">
        <v>49</v>
      </c>
      <c r="D12" s="3" t="s">
        <v>32</v>
      </c>
      <c r="E12" s="3" t="s">
        <v>26</v>
      </c>
      <c r="F12" s="4">
        <v>46113</v>
      </c>
      <c r="G12" s="3" t="s">
        <v>27</v>
      </c>
      <c r="H12" s="6">
        <v>2498916</v>
      </c>
      <c r="I12" s="3" t="s">
        <v>18</v>
      </c>
      <c r="J12" s="3" t="s">
        <v>19</v>
      </c>
      <c r="K12" s="3" t="s">
        <v>14</v>
      </c>
      <c r="L12" s="3" t="s">
        <v>50</v>
      </c>
      <c r="M12" s="4">
        <v>46113</v>
      </c>
      <c r="N12" s="3" t="s">
        <v>51</v>
      </c>
      <c r="O12" s="3" t="s">
        <v>53</v>
      </c>
      <c r="P12" t="str">
        <f t="shared" si="0"/>
        <v>4500122510170</v>
      </c>
      <c r="Q12" s="7" cm="1">
        <f t="array" ref="Q12:S12">VLOOKUP(P12,Hoja1!C:F,{2,3,4},FALSE)</f>
        <v>46122</v>
      </c>
      <c r="R12" t="str">
        <v>C11</v>
      </c>
      <c r="S12" t="str">
        <v>1000003063 CICCIOELEC SA</v>
      </c>
    </row>
    <row r="13" spans="1:19" x14ac:dyDescent="0.3">
      <c r="A13" s="2" t="s">
        <v>14</v>
      </c>
      <c r="B13" s="3" t="s">
        <v>14</v>
      </c>
      <c r="C13" s="3" t="s">
        <v>54</v>
      </c>
      <c r="D13" s="3" t="s">
        <v>14</v>
      </c>
      <c r="E13" s="3" t="s">
        <v>26</v>
      </c>
      <c r="F13" s="4">
        <v>46123</v>
      </c>
      <c r="G13" s="3" t="s">
        <v>27</v>
      </c>
      <c r="H13" s="6">
        <v>6511283.5199999996</v>
      </c>
      <c r="I13" s="3" t="s">
        <v>18</v>
      </c>
      <c r="J13" s="3" t="s">
        <v>19</v>
      </c>
      <c r="K13" s="3" t="s">
        <v>14</v>
      </c>
      <c r="L13" s="3" t="s">
        <v>55</v>
      </c>
      <c r="M13" s="4">
        <v>46127</v>
      </c>
      <c r="N13" s="3" t="s">
        <v>56</v>
      </c>
      <c r="O13" s="3" t="s">
        <v>22</v>
      </c>
      <c r="P13" t="str">
        <f t="shared" si="0"/>
        <v>450012332120</v>
      </c>
      <c r="Q13" s="7" cm="1">
        <f t="array" ref="Q13:S13">VLOOKUP(P13,Hoja1!C:F,{2,3,4},FALSE)</f>
        <v>46142</v>
      </c>
      <c r="R13" t="str">
        <v>C14</v>
      </c>
      <c r="S13" t="str">
        <v>1000001146 BUNTECH DEL LAGO SOCIEDAD ANONIMA</v>
      </c>
    </row>
    <row r="14" spans="1:19" x14ac:dyDescent="0.3">
      <c r="A14" s="2" t="s">
        <v>14</v>
      </c>
      <c r="B14" s="3" t="s">
        <v>14</v>
      </c>
      <c r="C14" s="3" t="s">
        <v>57</v>
      </c>
      <c r="D14" s="3" t="s">
        <v>14</v>
      </c>
      <c r="E14" s="3" t="s">
        <v>26</v>
      </c>
      <c r="F14" s="4">
        <v>46123</v>
      </c>
      <c r="G14" s="3" t="s">
        <v>27</v>
      </c>
      <c r="H14" s="6">
        <v>6443268.7199999997</v>
      </c>
      <c r="I14" s="3" t="s">
        <v>18</v>
      </c>
      <c r="J14" s="3" t="s">
        <v>19</v>
      </c>
      <c r="K14" s="3" t="s">
        <v>14</v>
      </c>
      <c r="L14" s="3" t="s">
        <v>55</v>
      </c>
      <c r="M14" s="4">
        <v>46127</v>
      </c>
      <c r="N14" s="3" t="s">
        <v>56</v>
      </c>
      <c r="O14" s="3" t="s">
        <v>22</v>
      </c>
      <c r="P14" t="str">
        <f t="shared" si="0"/>
        <v>450012332120</v>
      </c>
      <c r="Q14" s="7" cm="1">
        <f t="array" ref="Q14:S14">VLOOKUP(P14,Hoja1!C:F,{2,3,4},FALSE)</f>
        <v>46142</v>
      </c>
      <c r="R14" t="str">
        <v>C14</v>
      </c>
      <c r="S14" t="str">
        <v>1000001146 BUNTECH DEL LAGO SOCIEDAD ANONIMA</v>
      </c>
    </row>
    <row r="15" spans="1:19" x14ac:dyDescent="0.3">
      <c r="A15" s="2" t="s">
        <v>14</v>
      </c>
      <c r="B15" s="3" t="s">
        <v>14</v>
      </c>
      <c r="C15" s="3" t="s">
        <v>58</v>
      </c>
      <c r="D15" s="3" t="s">
        <v>14</v>
      </c>
      <c r="E15" s="3" t="s">
        <v>26</v>
      </c>
      <c r="F15" s="4">
        <v>45743</v>
      </c>
      <c r="G15" s="3" t="s">
        <v>27</v>
      </c>
      <c r="H15" s="6">
        <v>1320000</v>
      </c>
      <c r="I15" s="3" t="s">
        <v>18</v>
      </c>
      <c r="J15" s="3" t="s">
        <v>19</v>
      </c>
      <c r="K15" s="3" t="s">
        <v>14</v>
      </c>
      <c r="L15" s="3" t="s">
        <v>59</v>
      </c>
      <c r="M15" s="4">
        <v>45771</v>
      </c>
      <c r="N15" s="3" t="s">
        <v>60</v>
      </c>
      <c r="O15" s="3" t="s">
        <v>30</v>
      </c>
      <c r="P15" t="str">
        <f t="shared" si="0"/>
        <v>450009631810</v>
      </c>
      <c r="Q15" s="7" cm="1">
        <f t="array" ref="Q15:S15">VLOOKUP(P15,Hoja1!C:F,{2,3,4},FALSE)</f>
        <v>45751</v>
      </c>
      <c r="R15" t="str">
        <v>C17</v>
      </c>
      <c r="S15" t="str">
        <v>1000000850 CASELLA GUILLERMO CESAR</v>
      </c>
    </row>
    <row r="16" spans="1:19" x14ac:dyDescent="0.3">
      <c r="A16" s="2" t="s">
        <v>14</v>
      </c>
      <c r="B16" s="3" t="s">
        <v>14</v>
      </c>
      <c r="C16" s="3" t="s">
        <v>61</v>
      </c>
      <c r="D16" s="3" t="s">
        <v>32</v>
      </c>
      <c r="E16" s="3" t="s">
        <v>26</v>
      </c>
      <c r="F16" s="4">
        <v>46135</v>
      </c>
      <c r="G16" s="3" t="s">
        <v>27</v>
      </c>
      <c r="H16" s="6">
        <v>15102.88</v>
      </c>
      <c r="I16" s="3" t="s">
        <v>18</v>
      </c>
      <c r="J16" s="3" t="s">
        <v>19</v>
      </c>
      <c r="K16" s="3" t="s">
        <v>14</v>
      </c>
      <c r="L16" s="3" t="s">
        <v>62</v>
      </c>
      <c r="M16" s="4">
        <v>46136</v>
      </c>
      <c r="N16" s="3" t="s">
        <v>63</v>
      </c>
      <c r="O16" s="3" t="s">
        <v>35</v>
      </c>
      <c r="P16" t="str">
        <f t="shared" si="0"/>
        <v>450012595930</v>
      </c>
      <c r="Q16" s="7" cm="1">
        <f t="array" ref="Q16:S16">VLOOKUP(P16,Hoja1!C:F,{2,3,4},FALSE)</f>
        <v>46156</v>
      </c>
      <c r="R16" t="str">
        <v>C11</v>
      </c>
      <c r="S16" t="str">
        <v>1000012787 FELRRO SRL</v>
      </c>
    </row>
    <row r="17" spans="1:19" x14ac:dyDescent="0.3">
      <c r="A17" s="2" t="s">
        <v>14</v>
      </c>
      <c r="B17" s="3" t="s">
        <v>14</v>
      </c>
      <c r="C17" s="3" t="s">
        <v>61</v>
      </c>
      <c r="D17" s="3" t="s">
        <v>32</v>
      </c>
      <c r="E17" s="3" t="s">
        <v>26</v>
      </c>
      <c r="F17" s="4">
        <v>46135</v>
      </c>
      <c r="G17" s="3" t="s">
        <v>27</v>
      </c>
      <c r="H17" s="6">
        <v>16967506.920000002</v>
      </c>
      <c r="I17" s="3" t="s">
        <v>18</v>
      </c>
      <c r="J17" s="3" t="s">
        <v>19</v>
      </c>
      <c r="K17" s="3" t="s">
        <v>14</v>
      </c>
      <c r="L17" s="3" t="s">
        <v>62</v>
      </c>
      <c r="M17" s="4">
        <v>46136</v>
      </c>
      <c r="N17" s="3" t="s">
        <v>64</v>
      </c>
      <c r="O17" s="3" t="s">
        <v>22</v>
      </c>
      <c r="P17" t="str">
        <f t="shared" si="0"/>
        <v>450012074420</v>
      </c>
      <c r="Q17" s="7" cm="1">
        <f t="array" ref="Q17:S17">VLOOKUP(P17,Hoja1!C:F,{2,3,4},FALSE)</f>
        <v>46121</v>
      </c>
      <c r="R17" t="str">
        <v>C11</v>
      </c>
      <c r="S17" t="str">
        <v>1000012787 FELRRO SRL</v>
      </c>
    </row>
    <row r="18" spans="1:19" x14ac:dyDescent="0.3">
      <c r="A18" s="2" t="s">
        <v>14</v>
      </c>
      <c r="B18" s="3" t="s">
        <v>14</v>
      </c>
      <c r="C18" s="3" t="s">
        <v>65</v>
      </c>
      <c r="D18" s="3" t="s">
        <v>14</v>
      </c>
      <c r="E18" s="3" t="s">
        <v>26</v>
      </c>
      <c r="F18" s="4">
        <v>45797</v>
      </c>
      <c r="G18" s="3" t="s">
        <v>27</v>
      </c>
      <c r="H18" s="6">
        <v>601692</v>
      </c>
      <c r="I18" s="3" t="s">
        <v>18</v>
      </c>
      <c r="J18" s="3" t="s">
        <v>19</v>
      </c>
      <c r="K18" s="3" t="s">
        <v>14</v>
      </c>
      <c r="L18" s="3" t="s">
        <v>66</v>
      </c>
      <c r="M18" s="4">
        <v>45800</v>
      </c>
      <c r="N18" s="3" t="s">
        <v>67</v>
      </c>
      <c r="O18" s="3" t="s">
        <v>68</v>
      </c>
      <c r="P18" t="str">
        <f t="shared" si="0"/>
        <v>4500099273150</v>
      </c>
      <c r="Q18" s="7" cm="1">
        <f t="array" ref="Q18:S18">VLOOKUP(P18,Hoja1!C:F,{2,3,4},FALSE)</f>
        <v>45838</v>
      </c>
      <c r="R18" t="str">
        <v>C03</v>
      </c>
      <c r="S18" t="str">
        <v>1000003040 LOPEZ DIESEL S.A.</v>
      </c>
    </row>
    <row r="19" spans="1:19" x14ac:dyDescent="0.3">
      <c r="A19" s="2" t="s">
        <v>14</v>
      </c>
      <c r="B19" s="3" t="s">
        <v>14</v>
      </c>
      <c r="C19" s="3" t="s">
        <v>69</v>
      </c>
      <c r="D19" s="3" t="s">
        <v>32</v>
      </c>
      <c r="E19" s="3" t="s">
        <v>26</v>
      </c>
      <c r="F19" s="4">
        <v>46160</v>
      </c>
      <c r="G19" s="3" t="s">
        <v>27</v>
      </c>
      <c r="H19" s="6">
        <v>1213116</v>
      </c>
      <c r="I19" s="3" t="s">
        <v>18</v>
      </c>
      <c r="J19" s="3" t="s">
        <v>19</v>
      </c>
      <c r="K19" s="3" t="s">
        <v>14</v>
      </c>
      <c r="L19" s="3" t="s">
        <v>70</v>
      </c>
      <c r="M19" s="4">
        <v>46161</v>
      </c>
      <c r="N19" s="3" t="s">
        <v>71</v>
      </c>
      <c r="O19" s="3" t="s">
        <v>22</v>
      </c>
      <c r="P19" t="str">
        <f t="shared" si="0"/>
        <v>450012556120</v>
      </c>
      <c r="Q19" s="7" cm="1">
        <f t="array" ref="Q19:S19">VLOOKUP(P19,Hoja1!C:F,{2,3,4},FALSE)</f>
        <v>46171</v>
      </c>
      <c r="R19" t="str">
        <v>C28</v>
      </c>
      <c r="S19" t="str">
        <v>1000011064 RANAWEL SA</v>
      </c>
    </row>
    <row r="20" spans="1:19" x14ac:dyDescent="0.3">
      <c r="A20" s="2" t="s">
        <v>14</v>
      </c>
      <c r="B20" s="3" t="s">
        <v>14</v>
      </c>
      <c r="C20" s="3" t="s">
        <v>72</v>
      </c>
      <c r="D20" s="3" t="s">
        <v>14</v>
      </c>
      <c r="E20" s="3" t="s">
        <v>26</v>
      </c>
      <c r="F20" s="4">
        <v>46168</v>
      </c>
      <c r="G20" s="3" t="s">
        <v>27</v>
      </c>
      <c r="H20" s="6">
        <v>1007826.3</v>
      </c>
      <c r="I20" s="3" t="s">
        <v>18</v>
      </c>
      <c r="J20" s="3" t="s">
        <v>39</v>
      </c>
      <c r="K20" s="3" t="s">
        <v>14</v>
      </c>
      <c r="L20" s="3" t="s">
        <v>73</v>
      </c>
      <c r="M20" s="4">
        <v>46171</v>
      </c>
      <c r="N20" s="3" t="s">
        <v>74</v>
      </c>
      <c r="O20" s="3" t="s">
        <v>30</v>
      </c>
      <c r="P20" t="str">
        <f t="shared" si="0"/>
        <v>450012597910</v>
      </c>
      <c r="Q20" s="7" cm="1">
        <f t="array" ref="Q20:S20">VLOOKUP(P20,Hoja1!C:F,{2,3,4},FALSE)</f>
        <v>46254</v>
      </c>
      <c r="R20" t="str">
        <v>C21</v>
      </c>
      <c r="S20" t="str">
        <v>1000000808 GLOBAL OIL S.R.L.</v>
      </c>
    </row>
    <row r="21" spans="1:19" x14ac:dyDescent="0.3">
      <c r="A21" s="2" t="s">
        <v>14</v>
      </c>
      <c r="B21" s="3" t="s">
        <v>14</v>
      </c>
      <c r="C21" s="3" t="s">
        <v>72</v>
      </c>
      <c r="D21" s="3" t="s">
        <v>14</v>
      </c>
      <c r="E21" s="3" t="s">
        <v>26</v>
      </c>
      <c r="F21" s="4">
        <v>46168</v>
      </c>
      <c r="G21" s="3" t="s">
        <v>27</v>
      </c>
      <c r="H21" s="6">
        <v>212200.14</v>
      </c>
      <c r="I21" s="3" t="s">
        <v>18</v>
      </c>
      <c r="J21" s="3" t="s">
        <v>39</v>
      </c>
      <c r="K21" s="3" t="s">
        <v>14</v>
      </c>
      <c r="L21" s="3" t="s">
        <v>73</v>
      </c>
      <c r="M21" s="4">
        <v>46171</v>
      </c>
      <c r="N21" s="3" t="s">
        <v>74</v>
      </c>
      <c r="O21" s="3" t="s">
        <v>30</v>
      </c>
      <c r="P21" t="str">
        <f t="shared" si="0"/>
        <v>450012597910</v>
      </c>
      <c r="Q21" s="7" cm="1">
        <f t="array" ref="Q21:S21">VLOOKUP(P21,Hoja1!C:F,{2,3,4},FALSE)</f>
        <v>46254</v>
      </c>
      <c r="R21" t="str">
        <v>C21</v>
      </c>
      <c r="S21" t="str">
        <v>1000000808 GLOBAL OIL S.R.L.</v>
      </c>
    </row>
    <row r="22" spans="1:19" x14ac:dyDescent="0.3">
      <c r="A22" s="2" t="s">
        <v>14</v>
      </c>
      <c r="B22" s="3" t="s">
        <v>14</v>
      </c>
      <c r="C22" s="3" t="s">
        <v>75</v>
      </c>
      <c r="D22" s="3" t="s">
        <v>25</v>
      </c>
      <c r="E22" s="3" t="s">
        <v>26</v>
      </c>
      <c r="F22" s="4">
        <v>46164</v>
      </c>
      <c r="G22" s="3" t="s">
        <v>27</v>
      </c>
      <c r="H22" s="6">
        <v>6529863.0099999998</v>
      </c>
      <c r="I22" s="3" t="s">
        <v>18</v>
      </c>
      <c r="J22" s="3" t="s">
        <v>19</v>
      </c>
      <c r="K22" s="3" t="s">
        <v>14</v>
      </c>
      <c r="L22" s="3" t="s">
        <v>28</v>
      </c>
      <c r="M22" s="4">
        <v>46177</v>
      </c>
      <c r="N22" s="3" t="s">
        <v>76</v>
      </c>
      <c r="O22" s="3" t="s">
        <v>30</v>
      </c>
      <c r="P22" t="str">
        <f t="shared" si="0"/>
        <v>450012811210</v>
      </c>
      <c r="Q22" s="7" cm="1">
        <f t="array" ref="Q22:S22">VLOOKUP(P22,Hoja1!C:F,{2,3,4},FALSE)</f>
        <v>46234</v>
      </c>
      <c r="R22" t="str">
        <v>C14</v>
      </c>
      <c r="S22" t="str">
        <v>1000000681 LA LILY S.A</v>
      </c>
    </row>
    <row r="23" spans="1:19" x14ac:dyDescent="0.3">
      <c r="A23" s="2" t="s">
        <v>14</v>
      </c>
      <c r="B23" s="3" t="s">
        <v>14</v>
      </c>
      <c r="C23" s="3" t="s">
        <v>77</v>
      </c>
      <c r="D23" s="3" t="s">
        <v>14</v>
      </c>
      <c r="E23" s="3" t="s">
        <v>26</v>
      </c>
      <c r="F23" s="4">
        <v>46113</v>
      </c>
      <c r="G23" s="3" t="s">
        <v>27</v>
      </c>
      <c r="H23" s="6">
        <v>359559.08</v>
      </c>
      <c r="I23" s="3" t="s">
        <v>18</v>
      </c>
      <c r="J23" s="3" t="s">
        <v>19</v>
      </c>
      <c r="K23" s="3" t="s">
        <v>14</v>
      </c>
      <c r="L23" s="3" t="s">
        <v>78</v>
      </c>
      <c r="M23" s="4">
        <v>46182</v>
      </c>
      <c r="N23" s="3" t="s">
        <v>79</v>
      </c>
      <c r="O23" s="3" t="s">
        <v>52</v>
      </c>
      <c r="P23" t="str">
        <f t="shared" si="0"/>
        <v>450012347780</v>
      </c>
      <c r="Q23" s="7" cm="1">
        <f t="array" ref="Q23:S23">VLOOKUP(P23,Hoja1!C:F,{2,3,4},FALSE)</f>
        <v>46122</v>
      </c>
      <c r="R23" t="str">
        <v>C29</v>
      </c>
      <c r="S23" t="str">
        <v>1000000229 ALFREDO CRIOLANI E HIJOS S.A.</v>
      </c>
    </row>
    <row r="24" spans="1:19" x14ac:dyDescent="0.3">
      <c r="A24" s="2" t="s">
        <v>14</v>
      </c>
      <c r="B24" s="3" t="s">
        <v>14</v>
      </c>
      <c r="C24" s="3" t="s">
        <v>80</v>
      </c>
      <c r="D24" s="3" t="s">
        <v>14</v>
      </c>
      <c r="E24" s="3" t="s">
        <v>26</v>
      </c>
      <c r="F24" s="4">
        <v>46195</v>
      </c>
      <c r="G24" s="3" t="s">
        <v>27</v>
      </c>
      <c r="H24" s="6">
        <v>529946.03</v>
      </c>
      <c r="I24" s="3" t="s">
        <v>18</v>
      </c>
      <c r="J24" s="3" t="s">
        <v>39</v>
      </c>
      <c r="K24" s="3" t="s">
        <v>14</v>
      </c>
      <c r="L24" s="3" t="s">
        <v>73</v>
      </c>
      <c r="M24" s="4">
        <v>46199</v>
      </c>
      <c r="N24" s="3" t="s">
        <v>81</v>
      </c>
      <c r="O24" s="3" t="s">
        <v>30</v>
      </c>
      <c r="P24" t="str">
        <f t="shared" si="0"/>
        <v>450012991410</v>
      </c>
      <c r="Q24" s="7" cm="1">
        <f t="array" ref="Q24:S24">VLOOKUP(P24,Hoja1!C:F,{2,3,4},FALSE)</f>
        <v>46295</v>
      </c>
      <c r="R24" t="str">
        <v>C21</v>
      </c>
      <c r="S24" t="str">
        <v>1000000808 GLOBAL OIL S.R.L.</v>
      </c>
    </row>
    <row r="25" spans="1:19" x14ac:dyDescent="0.3">
      <c r="A25" s="2" t="s">
        <v>14</v>
      </c>
      <c r="B25" s="3" t="s">
        <v>14</v>
      </c>
      <c r="C25" s="3" t="s">
        <v>82</v>
      </c>
      <c r="D25" s="3" t="s">
        <v>14</v>
      </c>
      <c r="E25" s="3" t="s">
        <v>26</v>
      </c>
      <c r="F25" s="4">
        <v>46203</v>
      </c>
      <c r="G25" s="3" t="s">
        <v>27</v>
      </c>
      <c r="H25" s="6">
        <v>445128.41</v>
      </c>
      <c r="I25" s="3" t="s">
        <v>18</v>
      </c>
      <c r="J25" s="3" t="s">
        <v>39</v>
      </c>
      <c r="K25" s="3" t="s">
        <v>14</v>
      </c>
      <c r="L25" s="3" t="s">
        <v>73</v>
      </c>
      <c r="M25" s="4">
        <v>46205</v>
      </c>
      <c r="N25" s="3" t="s">
        <v>81</v>
      </c>
      <c r="O25" s="3" t="s">
        <v>30</v>
      </c>
      <c r="P25" t="str">
        <f t="shared" si="0"/>
        <v>450012991410</v>
      </c>
      <c r="Q25" s="7" cm="1">
        <f t="array" ref="Q25:S25">VLOOKUP(P25,Hoja1!C:F,{2,3,4},FALSE)</f>
        <v>46295</v>
      </c>
      <c r="R25" t="str">
        <v>C21</v>
      </c>
      <c r="S25" t="str">
        <v>1000000808 GLOBAL OIL S.R.L.</v>
      </c>
    </row>
    <row r="26" spans="1:19" x14ac:dyDescent="0.3">
      <c r="A26" s="2" t="s">
        <v>14</v>
      </c>
      <c r="B26" s="3" t="s">
        <v>14</v>
      </c>
      <c r="C26" s="3" t="s">
        <v>83</v>
      </c>
      <c r="D26" s="3" t="s">
        <v>84</v>
      </c>
      <c r="E26" s="3" t="s">
        <v>26</v>
      </c>
      <c r="F26" s="4">
        <v>46206</v>
      </c>
      <c r="G26" s="3" t="s">
        <v>27</v>
      </c>
      <c r="H26" s="6">
        <v>51332266</v>
      </c>
      <c r="I26" s="3" t="s">
        <v>18</v>
      </c>
      <c r="J26" s="3" t="s">
        <v>19</v>
      </c>
      <c r="K26" s="3" t="s">
        <v>14</v>
      </c>
      <c r="L26" s="3" t="s">
        <v>85</v>
      </c>
      <c r="M26" s="4">
        <v>46213</v>
      </c>
      <c r="N26" s="3" t="s">
        <v>86</v>
      </c>
      <c r="O26" s="3" t="s">
        <v>22</v>
      </c>
      <c r="P26" t="str">
        <f t="shared" si="0"/>
        <v>450013079120</v>
      </c>
      <c r="Q26" s="7" cm="1">
        <f t="array" ref="Q26:S26">VLOOKUP(P26,Hoja1!C:F,{2,3,4},FALSE)</f>
        <v>46325</v>
      </c>
      <c r="R26" t="str">
        <v>C26</v>
      </c>
      <c r="S26" t="str">
        <v>1000000483 GRIMALDI G.H. S.R.L.</v>
      </c>
    </row>
    <row r="27" spans="1:19" x14ac:dyDescent="0.3">
      <c r="A27" s="2" t="s">
        <v>14</v>
      </c>
      <c r="B27" s="3" t="s">
        <v>14</v>
      </c>
      <c r="C27" s="3" t="s">
        <v>83</v>
      </c>
      <c r="D27" s="3" t="s">
        <v>84</v>
      </c>
      <c r="E27" s="3" t="s">
        <v>26</v>
      </c>
      <c r="F27" s="4">
        <v>46206</v>
      </c>
      <c r="G27" s="3" t="s">
        <v>27</v>
      </c>
      <c r="H27" s="6">
        <v>10163612.4</v>
      </c>
      <c r="I27" s="3" t="s">
        <v>18</v>
      </c>
      <c r="J27" s="3" t="s">
        <v>19</v>
      </c>
      <c r="K27" s="3" t="s">
        <v>14</v>
      </c>
      <c r="L27" s="3" t="s">
        <v>85</v>
      </c>
      <c r="M27" s="4">
        <v>46213</v>
      </c>
      <c r="N27" s="3" t="s">
        <v>86</v>
      </c>
      <c r="O27" s="3" t="s">
        <v>35</v>
      </c>
      <c r="P27" t="str">
        <f t="shared" si="0"/>
        <v>450013079130</v>
      </c>
      <c r="Q27" s="7" cm="1">
        <f t="array" ref="Q27:S27">VLOOKUP(P27,Hoja1!C:F,{2,3,4},FALSE)</f>
        <v>46325</v>
      </c>
      <c r="R27" t="str">
        <v>C26</v>
      </c>
      <c r="S27" t="str">
        <v>1000000483 GRIMALDI G.H. S.R.L.</v>
      </c>
    </row>
    <row r="28" spans="1:19" x14ac:dyDescent="0.3">
      <c r="A28" s="2" t="s">
        <v>14</v>
      </c>
      <c r="B28" s="3" t="s">
        <v>14</v>
      </c>
      <c r="C28" s="3" t="s">
        <v>83</v>
      </c>
      <c r="D28" s="3" t="s">
        <v>84</v>
      </c>
      <c r="E28" s="3" t="s">
        <v>26</v>
      </c>
      <c r="F28" s="4">
        <v>46206</v>
      </c>
      <c r="G28" s="3" t="s">
        <v>27</v>
      </c>
      <c r="H28" s="6">
        <v>40504121.600000001</v>
      </c>
      <c r="I28" s="3" t="s">
        <v>18</v>
      </c>
      <c r="J28" s="3" t="s">
        <v>19</v>
      </c>
      <c r="K28" s="3" t="s">
        <v>14</v>
      </c>
      <c r="L28" s="3" t="s">
        <v>85</v>
      </c>
      <c r="M28" s="4">
        <v>46213</v>
      </c>
      <c r="N28" s="3" t="s">
        <v>86</v>
      </c>
      <c r="O28" s="3" t="s">
        <v>23</v>
      </c>
      <c r="P28" t="str">
        <f t="shared" si="0"/>
        <v>450013079140</v>
      </c>
      <c r="Q28" s="7" cm="1">
        <f t="array" ref="Q28:S28">VLOOKUP(P28,Hoja1!C:F,{2,3,4},FALSE)</f>
        <v>46325</v>
      </c>
      <c r="R28" t="str">
        <v>C26</v>
      </c>
      <c r="S28" t="str">
        <v>1000000483 GRIMALDI G.H. S.R.L.</v>
      </c>
    </row>
    <row r="29" spans="1:19" x14ac:dyDescent="0.3">
      <c r="A29" s="2" t="s">
        <v>14</v>
      </c>
      <c r="B29" s="3" t="s">
        <v>14</v>
      </c>
      <c r="C29" s="3" t="s">
        <v>87</v>
      </c>
      <c r="D29" s="3" t="s">
        <v>14</v>
      </c>
      <c r="E29" s="3" t="s">
        <v>26</v>
      </c>
      <c r="F29" s="4">
        <v>46181</v>
      </c>
      <c r="G29" s="3" t="s">
        <v>27</v>
      </c>
      <c r="H29" s="6">
        <v>5511903.7199999997</v>
      </c>
      <c r="I29" s="3" t="s">
        <v>18</v>
      </c>
      <c r="J29" s="3" t="s">
        <v>19</v>
      </c>
      <c r="K29" s="3" t="s">
        <v>14</v>
      </c>
      <c r="L29" s="3" t="s">
        <v>88</v>
      </c>
      <c r="M29" s="4">
        <v>46219</v>
      </c>
      <c r="N29" s="3" t="s">
        <v>89</v>
      </c>
      <c r="O29" s="3" t="s">
        <v>30</v>
      </c>
      <c r="P29" t="str">
        <f t="shared" si="0"/>
        <v>450011990410</v>
      </c>
      <c r="Q29" s="7" cm="1">
        <f t="array" ref="Q29:S29">VLOOKUP(P29,Hoja1!C:F,{2,3,4},FALSE)</f>
        <v>46284</v>
      </c>
      <c r="R29" t="str">
        <v>C21</v>
      </c>
      <c r="S29" t="str">
        <v>1000004906 FERRARO Y CIA S.A.</v>
      </c>
    </row>
    <row r="30" spans="1:19" x14ac:dyDescent="0.3">
      <c r="A30" s="2" t="s">
        <v>14</v>
      </c>
      <c r="B30" s="3" t="s">
        <v>14</v>
      </c>
      <c r="C30" s="3" t="s">
        <v>87</v>
      </c>
      <c r="D30" s="3" t="s">
        <v>14</v>
      </c>
      <c r="E30" s="3" t="s">
        <v>26</v>
      </c>
      <c r="F30" s="4">
        <v>46181</v>
      </c>
      <c r="G30" s="3" t="s">
        <v>27</v>
      </c>
      <c r="H30" s="6">
        <v>860288.07</v>
      </c>
      <c r="I30" s="3" t="s">
        <v>18</v>
      </c>
      <c r="J30" s="3" t="s">
        <v>39</v>
      </c>
      <c r="K30" s="3" t="s">
        <v>14</v>
      </c>
      <c r="L30" s="3" t="s">
        <v>88</v>
      </c>
      <c r="M30" s="4">
        <v>46219</v>
      </c>
      <c r="N30" s="3" t="s">
        <v>89</v>
      </c>
      <c r="O30" s="3" t="s">
        <v>30</v>
      </c>
      <c r="P30" t="str">
        <f t="shared" si="0"/>
        <v>450011990410</v>
      </c>
      <c r="Q30" s="7" cm="1">
        <f t="array" ref="Q30:S30">VLOOKUP(P30,Hoja1!C:F,{2,3,4},FALSE)</f>
        <v>46284</v>
      </c>
      <c r="R30" t="str">
        <v>C21</v>
      </c>
      <c r="S30" t="str">
        <v>1000004906 FERRARO Y CIA S.A.</v>
      </c>
    </row>
    <row r="31" spans="1:19" x14ac:dyDescent="0.3">
      <c r="A31" s="2" t="s">
        <v>14</v>
      </c>
      <c r="B31" s="3" t="s">
        <v>14</v>
      </c>
      <c r="C31" s="3" t="s">
        <v>90</v>
      </c>
      <c r="D31" s="3" t="s">
        <v>84</v>
      </c>
      <c r="E31" s="3" t="s">
        <v>26</v>
      </c>
      <c r="F31" s="4">
        <v>46219</v>
      </c>
      <c r="G31" s="3" t="s">
        <v>27</v>
      </c>
      <c r="H31" s="6">
        <v>23160151.300000001</v>
      </c>
      <c r="I31" s="3" t="s">
        <v>18</v>
      </c>
      <c r="J31" s="3" t="s">
        <v>19</v>
      </c>
      <c r="K31" s="3" t="s">
        <v>14</v>
      </c>
      <c r="L31" s="3" t="s">
        <v>91</v>
      </c>
      <c r="M31" s="4">
        <v>46230</v>
      </c>
      <c r="N31" s="3" t="s">
        <v>92</v>
      </c>
      <c r="O31" s="3" t="s">
        <v>30</v>
      </c>
      <c r="P31" t="str">
        <f t="shared" si="0"/>
        <v>450013262610</v>
      </c>
      <c r="Q31" s="7" cm="1">
        <f t="array" ref="Q31:S31">VLOOKUP(P31,Hoja1!C:F,{2,3,4},FALSE)</f>
        <v>46317</v>
      </c>
      <c r="R31" t="str">
        <v>C19</v>
      </c>
      <c r="S31" t="str">
        <v>1000000015 MADETEC S.A.</v>
      </c>
    </row>
    <row r="32" spans="1:19" x14ac:dyDescent="0.3">
      <c r="A32" s="2" t="s">
        <v>14</v>
      </c>
      <c r="B32" s="3" t="s">
        <v>14</v>
      </c>
      <c r="C32" s="3" t="s">
        <v>93</v>
      </c>
      <c r="D32" s="3" t="s">
        <v>84</v>
      </c>
      <c r="E32" s="3" t="s">
        <v>26</v>
      </c>
      <c r="F32" s="4">
        <v>46245</v>
      </c>
      <c r="G32" s="3" t="s">
        <v>27</v>
      </c>
      <c r="H32" s="6">
        <v>198347.04</v>
      </c>
      <c r="I32" s="3" t="s">
        <v>18</v>
      </c>
      <c r="J32" s="3" t="s">
        <v>19</v>
      </c>
      <c r="K32" s="3" t="s">
        <v>14</v>
      </c>
      <c r="L32" s="3" t="s">
        <v>94</v>
      </c>
      <c r="M32" s="4">
        <v>46246</v>
      </c>
      <c r="N32" s="3" t="s">
        <v>95</v>
      </c>
      <c r="O32" s="3" t="s">
        <v>30</v>
      </c>
      <c r="P32" t="str">
        <f t="shared" si="0"/>
        <v>450013484010</v>
      </c>
      <c r="Q32" s="7" cm="1">
        <f t="array" ref="Q32:S32">VLOOKUP(P32,Hoja1!C:F,{2,3,4},FALSE)</f>
        <v>46305</v>
      </c>
      <c r="R32" t="str">
        <v>C26</v>
      </c>
      <c r="S32" t="str">
        <v>1000003158 EMILIA MASSARELLI SRL</v>
      </c>
    </row>
    <row r="33" spans="1:19" x14ac:dyDescent="0.3">
      <c r="A33" s="2" t="s">
        <v>14</v>
      </c>
      <c r="B33" s="3" t="s">
        <v>14</v>
      </c>
      <c r="C33" s="3" t="s">
        <v>93</v>
      </c>
      <c r="D33" s="3" t="s">
        <v>84</v>
      </c>
      <c r="E33" s="3" t="s">
        <v>26</v>
      </c>
      <c r="F33" s="4">
        <v>46245</v>
      </c>
      <c r="G33" s="3" t="s">
        <v>27</v>
      </c>
      <c r="H33" s="6">
        <v>4958677.6900000004</v>
      </c>
      <c r="I33" s="3" t="s">
        <v>18</v>
      </c>
      <c r="J33" s="3" t="s">
        <v>19</v>
      </c>
      <c r="K33" s="3" t="s">
        <v>14</v>
      </c>
      <c r="L33" s="3" t="s">
        <v>94</v>
      </c>
      <c r="M33" s="4">
        <v>46246</v>
      </c>
      <c r="N33" s="3" t="s">
        <v>95</v>
      </c>
      <c r="O33" s="3" t="s">
        <v>22</v>
      </c>
      <c r="P33" t="str">
        <f t="shared" si="0"/>
        <v>450013484020</v>
      </c>
      <c r="Q33" s="7" cm="1">
        <f t="array" ref="Q33:S33">VLOOKUP(P33,Hoja1!C:F,{2,3,4},FALSE)</f>
        <v>46305</v>
      </c>
      <c r="R33" t="str">
        <v>C26</v>
      </c>
      <c r="S33" t="str">
        <v>1000003158 EMILIA MASSARELLI SRL</v>
      </c>
    </row>
    <row r="34" spans="1:19" x14ac:dyDescent="0.3">
      <c r="A34" s="2" t="s">
        <v>14</v>
      </c>
      <c r="B34" s="3" t="s">
        <v>14</v>
      </c>
      <c r="C34" s="3" t="s">
        <v>96</v>
      </c>
      <c r="D34" s="3" t="s">
        <v>14</v>
      </c>
      <c r="E34" s="3" t="s">
        <v>26</v>
      </c>
      <c r="F34" s="4">
        <v>46246</v>
      </c>
      <c r="G34" s="3" t="s">
        <v>27</v>
      </c>
      <c r="H34" s="6">
        <v>9387640</v>
      </c>
      <c r="I34" s="3" t="s">
        <v>18</v>
      </c>
      <c r="J34" s="3" t="s">
        <v>19</v>
      </c>
      <c r="K34" s="3" t="s">
        <v>14</v>
      </c>
      <c r="L34" s="3" t="s">
        <v>97</v>
      </c>
      <c r="M34" s="4">
        <v>46262</v>
      </c>
      <c r="N34" s="3" t="s">
        <v>98</v>
      </c>
      <c r="O34" s="3" t="s">
        <v>30</v>
      </c>
      <c r="P34" t="str">
        <f t="shared" si="0"/>
        <v>450013264310</v>
      </c>
      <c r="Q34" s="7" cm="1">
        <f t="array" ref="Q34:S34">VLOOKUP(P34,Hoja1!C:F,{2,3,4},FALSE)</f>
        <v>46301</v>
      </c>
      <c r="R34" t="str">
        <v>C38</v>
      </c>
      <c r="S34" t="str">
        <v>1000002834 J.M.F. VIAL &amp; PARTS SAS</v>
      </c>
    </row>
    <row r="35" spans="1:19" x14ac:dyDescent="0.3">
      <c r="A35" s="2" t="s">
        <v>14</v>
      </c>
      <c r="B35" s="3" t="s">
        <v>14</v>
      </c>
      <c r="C35" s="3" t="s">
        <v>99</v>
      </c>
      <c r="D35" s="3" t="s">
        <v>14</v>
      </c>
      <c r="E35" s="3" t="s">
        <v>26</v>
      </c>
      <c r="F35" s="4">
        <v>46197</v>
      </c>
      <c r="G35" s="3" t="s">
        <v>27</v>
      </c>
      <c r="H35" s="6">
        <v>2221863.7999999998</v>
      </c>
      <c r="I35" s="3" t="s">
        <v>18</v>
      </c>
      <c r="J35" s="3" t="s">
        <v>39</v>
      </c>
      <c r="K35" s="3" t="s">
        <v>14</v>
      </c>
      <c r="L35" s="3" t="s">
        <v>73</v>
      </c>
      <c r="M35" s="4">
        <v>46276</v>
      </c>
      <c r="N35" s="3" t="s">
        <v>100</v>
      </c>
      <c r="O35" s="3" t="s">
        <v>30</v>
      </c>
      <c r="P35" t="str">
        <f t="shared" si="0"/>
        <v>450013599510</v>
      </c>
      <c r="Q35" s="7" cm="1">
        <f t="array" ref="Q35:S35">VLOOKUP(P35,Hoja1!C:F,{2,3,4},FALSE)</f>
        <v>46295</v>
      </c>
      <c r="R35" t="str">
        <v>C21</v>
      </c>
      <c r="S35" t="str">
        <v>1000000808 GLOBAL OIL S.R.L.</v>
      </c>
    </row>
    <row r="36" spans="1:19" x14ac:dyDescent="0.3">
      <c r="A36" s="2" t="s">
        <v>14</v>
      </c>
      <c r="B36" s="3" t="s">
        <v>14</v>
      </c>
      <c r="C36" s="3" t="s">
        <v>99</v>
      </c>
      <c r="D36" s="3" t="s">
        <v>14</v>
      </c>
      <c r="E36" s="3" t="s">
        <v>26</v>
      </c>
      <c r="F36" s="4">
        <v>46197</v>
      </c>
      <c r="G36" s="3" t="s">
        <v>27</v>
      </c>
      <c r="H36" s="6">
        <v>467680.33</v>
      </c>
      <c r="I36" s="3" t="s">
        <v>18</v>
      </c>
      <c r="J36" s="3" t="s">
        <v>39</v>
      </c>
      <c r="K36" s="3" t="s">
        <v>14</v>
      </c>
      <c r="L36" s="3" t="s">
        <v>73</v>
      </c>
      <c r="M36" s="4">
        <v>46276</v>
      </c>
      <c r="N36" s="3" t="s">
        <v>100</v>
      </c>
      <c r="O36" s="3" t="s">
        <v>30</v>
      </c>
      <c r="P36" t="str">
        <f t="shared" si="0"/>
        <v>450013599510</v>
      </c>
      <c r="Q36" s="7" cm="1">
        <f t="array" ref="Q36:S36">VLOOKUP(P36,Hoja1!C:F,{2,3,4},FALSE)</f>
        <v>46295</v>
      </c>
      <c r="R36" t="str">
        <v>C21</v>
      </c>
      <c r="S36" t="str">
        <v>1000000808 GLOBAL OIL S.R.L.</v>
      </c>
    </row>
    <row r="37" spans="1:19" x14ac:dyDescent="0.3">
      <c r="A37" s="2" t="s">
        <v>14</v>
      </c>
      <c r="B37" s="3" t="s">
        <v>14</v>
      </c>
      <c r="C37" s="3" t="s">
        <v>101</v>
      </c>
      <c r="D37" s="3" t="s">
        <v>14</v>
      </c>
      <c r="E37" s="3" t="s">
        <v>26</v>
      </c>
      <c r="F37" s="4">
        <v>46279</v>
      </c>
      <c r="G37" s="3" t="s">
        <v>27</v>
      </c>
      <c r="H37" s="6">
        <v>6120000</v>
      </c>
      <c r="I37" s="3" t="s">
        <v>18</v>
      </c>
      <c r="J37" s="3" t="s">
        <v>19</v>
      </c>
      <c r="K37" s="3" t="s">
        <v>14</v>
      </c>
      <c r="L37" s="3" t="s">
        <v>102</v>
      </c>
      <c r="M37" s="4">
        <v>46279</v>
      </c>
      <c r="N37" s="3" t="s">
        <v>103</v>
      </c>
      <c r="O37" s="3" t="s">
        <v>30</v>
      </c>
      <c r="P37" t="str">
        <f t="shared" si="0"/>
        <v>450013474810</v>
      </c>
      <c r="Q37" s="7" cm="1">
        <f t="array" ref="Q37:S37">VLOOKUP(P37,Hoja1!C:F,{2,3,4},FALSE)</f>
        <v>46308</v>
      </c>
      <c r="R37" t="str">
        <v>C03</v>
      </c>
      <c r="S37" t="str">
        <v>1000000098 CARLOS BOERO S.R.L.</v>
      </c>
    </row>
    <row r="38" spans="1:19" x14ac:dyDescent="0.3">
      <c r="A38" s="2" t="s">
        <v>14</v>
      </c>
      <c r="B38" s="3" t="s">
        <v>14</v>
      </c>
      <c r="C38" s="3" t="s">
        <v>104</v>
      </c>
      <c r="D38" s="3" t="s">
        <v>14</v>
      </c>
      <c r="E38" s="3" t="s">
        <v>26</v>
      </c>
      <c r="F38" s="4">
        <v>45498</v>
      </c>
      <c r="G38" s="3" t="s">
        <v>27</v>
      </c>
      <c r="H38" s="6">
        <v>1364160</v>
      </c>
      <c r="I38" s="3" t="s">
        <v>18</v>
      </c>
      <c r="J38" s="3" t="s">
        <v>19</v>
      </c>
      <c r="K38" s="3" t="s">
        <v>14</v>
      </c>
      <c r="L38" s="3" t="s">
        <v>105</v>
      </c>
      <c r="M38" s="4">
        <v>45498</v>
      </c>
      <c r="N38" s="3" t="s">
        <v>106</v>
      </c>
      <c r="O38" s="3" t="s">
        <v>30</v>
      </c>
      <c r="P38" t="str">
        <f t="shared" si="0"/>
        <v>450007845810</v>
      </c>
      <c r="Q38" s="7" cm="1">
        <f t="array" ref="Q38:S38">VLOOKUP(P38,Hoja1!C:F,{2,3,4},FALSE)</f>
        <v>45562</v>
      </c>
      <c r="R38" t="str">
        <v>C03</v>
      </c>
      <c r="S38" t="str">
        <v>1000001457 ANDRES N. BERTOTTO SAIC</v>
      </c>
    </row>
    <row r="39" spans="1:19" x14ac:dyDescent="0.3">
      <c r="A39" s="2" t="s">
        <v>14</v>
      </c>
      <c r="B39" s="3" t="s">
        <v>14</v>
      </c>
      <c r="C39" s="3" t="s">
        <v>107</v>
      </c>
      <c r="D39" s="3" t="s">
        <v>14</v>
      </c>
      <c r="E39" s="3" t="s">
        <v>26</v>
      </c>
      <c r="F39" s="4">
        <v>46281</v>
      </c>
      <c r="G39" s="3" t="s">
        <v>27</v>
      </c>
      <c r="H39" s="6">
        <v>9200000</v>
      </c>
      <c r="I39" s="3" t="s">
        <v>18</v>
      </c>
      <c r="J39" s="3" t="s">
        <v>19</v>
      </c>
      <c r="K39" s="3" t="s">
        <v>14</v>
      </c>
      <c r="L39" s="3" t="s">
        <v>108</v>
      </c>
      <c r="M39" s="4">
        <v>46283</v>
      </c>
      <c r="N39" s="3" t="s">
        <v>109</v>
      </c>
      <c r="O39" s="3" t="s">
        <v>30</v>
      </c>
      <c r="P39" t="str">
        <f t="shared" si="0"/>
        <v>450013748910</v>
      </c>
      <c r="Q39" s="7" cm="1">
        <f t="array" ref="Q39:S39">VLOOKUP(P39,Hoja1!C:F,{2,3,4},FALSE)</f>
        <v>46301</v>
      </c>
      <c r="R39" t="str">
        <v>C03</v>
      </c>
      <c r="S39" t="str">
        <v>1000013552 EMPRESA DEL OESTE SAT</v>
      </c>
    </row>
    <row r="40" spans="1:19" x14ac:dyDescent="0.3">
      <c r="A40" s="2" t="s">
        <v>14</v>
      </c>
      <c r="B40" s="3" t="s">
        <v>14</v>
      </c>
      <c r="C40" s="3" t="s">
        <v>110</v>
      </c>
      <c r="D40" s="3" t="s">
        <v>32</v>
      </c>
      <c r="E40" s="3" t="s">
        <v>26</v>
      </c>
      <c r="F40" s="4">
        <v>46281</v>
      </c>
      <c r="G40" s="3" t="s">
        <v>27</v>
      </c>
      <c r="H40" s="6">
        <v>9960978</v>
      </c>
      <c r="I40" s="3" t="s">
        <v>18</v>
      </c>
      <c r="J40" s="3" t="s">
        <v>19</v>
      </c>
      <c r="K40" s="3" t="s">
        <v>14</v>
      </c>
      <c r="L40" s="3" t="s">
        <v>111</v>
      </c>
      <c r="M40" s="4">
        <v>46287</v>
      </c>
      <c r="N40" s="3" t="s">
        <v>112</v>
      </c>
      <c r="O40" s="3" t="s">
        <v>30</v>
      </c>
      <c r="P40" t="str">
        <f t="shared" si="0"/>
        <v>450013830310</v>
      </c>
      <c r="Q40" s="7" cm="1">
        <f t="array" ref="Q40:S40">VLOOKUP(P40,Hoja1!C:F,{2,3,4},FALSE)</f>
        <v>46353</v>
      </c>
      <c r="R40" t="str">
        <v>C20</v>
      </c>
      <c r="S40" t="str">
        <v>1000000968 DASTEC SRL</v>
      </c>
    </row>
    <row r="41" spans="1:19" x14ac:dyDescent="0.3">
      <c r="A41" s="2" t="s">
        <v>14</v>
      </c>
      <c r="B41" s="3" t="s">
        <v>14</v>
      </c>
      <c r="C41" s="3" t="s">
        <v>110</v>
      </c>
      <c r="D41" s="3" t="s">
        <v>32</v>
      </c>
      <c r="E41" s="3" t="s">
        <v>26</v>
      </c>
      <c r="F41" s="4">
        <v>46281</v>
      </c>
      <c r="G41" s="3" t="s">
        <v>27</v>
      </c>
      <c r="H41" s="6">
        <v>2149564.59</v>
      </c>
      <c r="I41" s="3" t="s">
        <v>18</v>
      </c>
      <c r="J41" s="3" t="s">
        <v>19</v>
      </c>
      <c r="K41" s="3" t="s">
        <v>14</v>
      </c>
      <c r="L41" s="3" t="s">
        <v>111</v>
      </c>
      <c r="M41" s="4">
        <v>46287</v>
      </c>
      <c r="N41" s="3" t="s">
        <v>112</v>
      </c>
      <c r="O41" s="3" t="s">
        <v>22</v>
      </c>
      <c r="P41" t="str">
        <f t="shared" si="0"/>
        <v>450013830320</v>
      </c>
      <c r="Q41" s="7" cm="1">
        <f t="array" ref="Q41:S41">VLOOKUP(P41,Hoja1!C:F,{2,3,4},FALSE)</f>
        <v>46353</v>
      </c>
      <c r="R41" t="str">
        <v>C20</v>
      </c>
      <c r="S41" t="str">
        <v>1000000968 DASTEC SRL</v>
      </c>
    </row>
    <row r="42" spans="1:19" x14ac:dyDescent="0.3">
      <c r="A42" s="2" t="s">
        <v>14</v>
      </c>
      <c r="B42" s="3" t="s">
        <v>14</v>
      </c>
      <c r="C42" s="3" t="s">
        <v>110</v>
      </c>
      <c r="D42" s="3" t="s">
        <v>32</v>
      </c>
      <c r="E42" s="3" t="s">
        <v>26</v>
      </c>
      <c r="F42" s="4">
        <v>46281</v>
      </c>
      <c r="G42" s="3" t="s">
        <v>27</v>
      </c>
      <c r="H42" s="6">
        <v>1393979.52</v>
      </c>
      <c r="I42" s="3" t="s">
        <v>18</v>
      </c>
      <c r="J42" s="3" t="s">
        <v>19</v>
      </c>
      <c r="K42" s="3" t="s">
        <v>14</v>
      </c>
      <c r="L42" s="3" t="s">
        <v>111</v>
      </c>
      <c r="M42" s="4">
        <v>46287</v>
      </c>
      <c r="N42" s="3" t="s">
        <v>112</v>
      </c>
      <c r="O42" s="3" t="s">
        <v>35</v>
      </c>
      <c r="P42" t="str">
        <f t="shared" si="0"/>
        <v>450013830330</v>
      </c>
      <c r="Q42" s="7" cm="1">
        <f t="array" ref="Q42:S42">VLOOKUP(P42,Hoja1!C:F,{2,3,4},FALSE)</f>
        <v>46353</v>
      </c>
      <c r="R42" t="str">
        <v>C20</v>
      </c>
      <c r="S42" t="str">
        <v>1000000968 DASTEC SRL</v>
      </c>
    </row>
    <row r="43" spans="1:19" x14ac:dyDescent="0.3">
      <c r="A43" s="2" t="s">
        <v>14</v>
      </c>
      <c r="B43" s="3" t="s">
        <v>14</v>
      </c>
      <c r="C43" s="3" t="s">
        <v>110</v>
      </c>
      <c r="D43" s="3" t="s">
        <v>32</v>
      </c>
      <c r="E43" s="3" t="s">
        <v>26</v>
      </c>
      <c r="F43" s="4">
        <v>46281</v>
      </c>
      <c r="G43" s="3" t="s">
        <v>27</v>
      </c>
      <c r="H43" s="6">
        <v>590548</v>
      </c>
      <c r="I43" s="3" t="s">
        <v>18</v>
      </c>
      <c r="J43" s="3" t="s">
        <v>19</v>
      </c>
      <c r="K43" s="3" t="s">
        <v>14</v>
      </c>
      <c r="L43" s="3" t="s">
        <v>111</v>
      </c>
      <c r="M43" s="4">
        <v>46287</v>
      </c>
      <c r="N43" s="3" t="s">
        <v>112</v>
      </c>
      <c r="O43" s="3" t="s">
        <v>23</v>
      </c>
      <c r="P43" t="str">
        <f t="shared" si="0"/>
        <v>450013830340</v>
      </c>
      <c r="Q43" s="7" cm="1">
        <f t="array" ref="Q43:S43">VLOOKUP(P43,Hoja1!C:F,{2,3,4},FALSE)</f>
        <v>46353</v>
      </c>
      <c r="R43" t="str">
        <v>C20</v>
      </c>
      <c r="S43" t="str">
        <v>1000000968 DASTEC SRL</v>
      </c>
    </row>
    <row r="44" spans="1:19" x14ac:dyDescent="0.3">
      <c r="A44" s="2" t="s">
        <v>14</v>
      </c>
      <c r="B44" s="3" t="s">
        <v>14</v>
      </c>
      <c r="C44" s="3" t="s">
        <v>113</v>
      </c>
      <c r="D44" s="3" t="s">
        <v>14</v>
      </c>
      <c r="E44" s="3" t="s">
        <v>26</v>
      </c>
      <c r="F44" s="4">
        <v>46268</v>
      </c>
      <c r="G44" s="3" t="s">
        <v>27</v>
      </c>
      <c r="H44" s="6">
        <v>75500</v>
      </c>
      <c r="I44" s="3" t="s">
        <v>18</v>
      </c>
      <c r="J44" s="3" t="s">
        <v>19</v>
      </c>
      <c r="K44" s="3" t="s">
        <v>14</v>
      </c>
      <c r="L44" s="3" t="s">
        <v>114</v>
      </c>
      <c r="M44" s="4">
        <v>46288</v>
      </c>
      <c r="N44" s="3" t="s">
        <v>115</v>
      </c>
      <c r="O44" s="3" t="s">
        <v>23</v>
      </c>
      <c r="P44" t="str">
        <f t="shared" si="0"/>
        <v>450008010140</v>
      </c>
      <c r="Q44" s="7" cm="1">
        <f t="array" ref="Q44:S44">VLOOKUP(P44,Hoja1!C:F,{2,3,4},FALSE)</f>
        <v>46386</v>
      </c>
      <c r="R44" t="str">
        <v>C24</v>
      </c>
      <c r="S44" t="str">
        <v>1000000486 BRAVO ENERGY ARGENTINA S.C.A.</v>
      </c>
    </row>
    <row r="45" spans="1:19" x14ac:dyDescent="0.3">
      <c r="A45" s="2" t="s">
        <v>14</v>
      </c>
      <c r="B45" s="3" t="s">
        <v>14</v>
      </c>
      <c r="C45" s="3" t="s">
        <v>116</v>
      </c>
      <c r="D45" s="3" t="s">
        <v>14</v>
      </c>
      <c r="E45" s="3" t="s">
        <v>26</v>
      </c>
      <c r="F45" s="4">
        <v>46262</v>
      </c>
      <c r="G45" s="3" t="s">
        <v>27</v>
      </c>
      <c r="H45" s="6">
        <v>212763</v>
      </c>
      <c r="I45" s="3" t="s">
        <v>18</v>
      </c>
      <c r="J45" s="3" t="s">
        <v>19</v>
      </c>
      <c r="K45" s="3" t="s">
        <v>14</v>
      </c>
      <c r="L45" s="3" t="s">
        <v>117</v>
      </c>
      <c r="M45" s="4">
        <v>46293</v>
      </c>
      <c r="N45" s="3" t="s">
        <v>118</v>
      </c>
      <c r="O45" s="3" t="s">
        <v>119</v>
      </c>
      <c r="P45" t="str">
        <f t="shared" si="0"/>
        <v>4500136283590</v>
      </c>
      <c r="Q45" s="7" cm="1">
        <f t="array" ref="Q45:S45">VLOOKUP(P45,Hoja1!C:F,{2,3,4},FALSE)</f>
        <v>46272</v>
      </c>
      <c r="R45" t="str">
        <v>C03</v>
      </c>
      <c r="S45" t="str">
        <v>1000001129 AGRONORTE S.R.L.</v>
      </c>
    </row>
    <row r="46" spans="1:19" x14ac:dyDescent="0.3">
      <c r="A46" s="2" t="s">
        <v>14</v>
      </c>
      <c r="B46" s="3" t="s">
        <v>14</v>
      </c>
      <c r="C46" s="3" t="s">
        <v>120</v>
      </c>
      <c r="D46" s="3" t="s">
        <v>25</v>
      </c>
      <c r="E46" s="3" t="s">
        <v>26</v>
      </c>
      <c r="F46" s="4">
        <v>46293</v>
      </c>
      <c r="G46" s="3" t="s">
        <v>27</v>
      </c>
      <c r="H46" s="6">
        <v>9187279.3599999994</v>
      </c>
      <c r="I46" s="3" t="s">
        <v>18</v>
      </c>
      <c r="J46" s="3" t="s">
        <v>19</v>
      </c>
      <c r="K46" s="3" t="s">
        <v>14</v>
      </c>
      <c r="L46" s="3" t="s">
        <v>28</v>
      </c>
      <c r="M46" s="4">
        <v>46293</v>
      </c>
      <c r="N46" s="3" t="s">
        <v>121</v>
      </c>
      <c r="O46" s="3" t="s">
        <v>30</v>
      </c>
      <c r="P46" t="str">
        <f t="shared" si="0"/>
        <v>450013950410</v>
      </c>
      <c r="Q46" s="7" cm="1">
        <f t="array" ref="Q46:S46">VLOOKUP(P46,Hoja1!C:F,{2,3,4},FALSE)</f>
        <v>46304</v>
      </c>
      <c r="R46" t="str">
        <v>C14</v>
      </c>
      <c r="S46" t="str">
        <v>1000000681 LA LILY S.A</v>
      </c>
    </row>
    <row r="47" spans="1:19" x14ac:dyDescent="0.3">
      <c r="A47" s="2" t="s">
        <v>14</v>
      </c>
      <c r="B47" s="3" t="s">
        <v>14</v>
      </c>
      <c r="C47" s="3" t="s">
        <v>122</v>
      </c>
      <c r="D47" s="3" t="s">
        <v>84</v>
      </c>
      <c r="E47" s="3" t="s">
        <v>26</v>
      </c>
      <c r="F47" s="4">
        <v>46290</v>
      </c>
      <c r="G47" s="3" t="s">
        <v>27</v>
      </c>
      <c r="H47" s="6">
        <v>1491930</v>
      </c>
      <c r="I47" s="3" t="s">
        <v>18</v>
      </c>
      <c r="J47" s="3" t="s">
        <v>19</v>
      </c>
      <c r="K47" s="3" t="s">
        <v>14</v>
      </c>
      <c r="L47" s="3" t="s">
        <v>123</v>
      </c>
      <c r="M47" s="4">
        <v>46294</v>
      </c>
      <c r="N47" s="3" t="s">
        <v>124</v>
      </c>
      <c r="O47" s="3" t="s">
        <v>35</v>
      </c>
      <c r="P47" t="str">
        <f t="shared" si="0"/>
        <v>450013115030</v>
      </c>
      <c r="Q47" s="7" cm="1">
        <f t="array" ref="Q47:S47">VLOOKUP(P47,Hoja1!C:F,{2,3,4},FALSE)</f>
        <v>46296</v>
      </c>
      <c r="R47" t="str">
        <v>C26</v>
      </c>
      <c r="S47" t="str">
        <v>1000000958 NIC SA</v>
      </c>
    </row>
    <row r="48" spans="1:19" x14ac:dyDescent="0.3">
      <c r="A48" s="2" t="s">
        <v>14</v>
      </c>
      <c r="B48" s="3" t="s">
        <v>14</v>
      </c>
      <c r="C48" s="3" t="s">
        <v>2792</v>
      </c>
      <c r="D48" s="3" t="s">
        <v>32</v>
      </c>
      <c r="E48" s="3" t="s">
        <v>26</v>
      </c>
      <c r="F48" s="4">
        <v>46297</v>
      </c>
      <c r="G48" s="3" t="s">
        <v>27</v>
      </c>
      <c r="H48" s="6">
        <v>34233020.18</v>
      </c>
      <c r="I48" s="3" t="s">
        <v>18</v>
      </c>
      <c r="J48" s="3" t="s">
        <v>19</v>
      </c>
      <c r="K48" s="3" t="s">
        <v>14</v>
      </c>
      <c r="L48" s="3" t="s">
        <v>2793</v>
      </c>
      <c r="M48" s="4">
        <v>46297</v>
      </c>
      <c r="N48" s="3" t="s">
        <v>2794</v>
      </c>
      <c r="O48" s="3" t="s">
        <v>30</v>
      </c>
      <c r="P48" t="str">
        <f t="shared" si="0"/>
        <v>450013792910</v>
      </c>
      <c r="Q48" s="7" cm="1">
        <f t="array" ref="Q48:S48">VLOOKUP(P48,Hoja1!C:F,{2,3,4},FALSE)</f>
        <v>46387</v>
      </c>
      <c r="R48" t="str">
        <v>C18</v>
      </c>
      <c r="S48" t="str">
        <v>1000001737 BETONSUR SRL</v>
      </c>
    </row>
    <row r="49" spans="1:19" x14ac:dyDescent="0.3">
      <c r="A49" s="2" t="s">
        <v>14</v>
      </c>
      <c r="B49" s="3" t="s">
        <v>14</v>
      </c>
      <c r="C49" s="3" t="s">
        <v>2795</v>
      </c>
      <c r="D49" s="3" t="s">
        <v>32</v>
      </c>
      <c r="E49" s="3" t="s">
        <v>26</v>
      </c>
      <c r="F49" s="4">
        <v>46297</v>
      </c>
      <c r="G49" s="3" t="s">
        <v>27</v>
      </c>
      <c r="H49" s="6">
        <v>13026982.460000001</v>
      </c>
      <c r="I49" s="3" t="s">
        <v>18</v>
      </c>
      <c r="J49" s="3" t="s">
        <v>19</v>
      </c>
      <c r="K49" s="3" t="s">
        <v>14</v>
      </c>
      <c r="L49" s="3" t="s">
        <v>2793</v>
      </c>
      <c r="M49" s="4">
        <v>46297</v>
      </c>
      <c r="N49" s="3" t="s">
        <v>2796</v>
      </c>
      <c r="O49" s="3" t="s">
        <v>30</v>
      </c>
      <c r="P49" t="str">
        <f t="shared" si="0"/>
        <v>450013361610</v>
      </c>
      <c r="Q49" s="7" cm="1">
        <f t="array" ref="Q49:S49">VLOOKUP(P49,Hoja1!C:F,{2,3,4},FALSE)</f>
        <v>46327</v>
      </c>
      <c r="R49" t="str">
        <v>C18</v>
      </c>
      <c r="S49" t="str">
        <v>1000001737 BETONSUR SRL</v>
      </c>
    </row>
    <row r="50" spans="1:19" x14ac:dyDescent="0.3">
      <c r="A50" s="2" t="s">
        <v>14</v>
      </c>
      <c r="B50" s="3" t="s">
        <v>14</v>
      </c>
      <c r="C50" s="3" t="s">
        <v>2797</v>
      </c>
      <c r="D50" s="3" t="s">
        <v>14</v>
      </c>
      <c r="E50" s="3" t="s">
        <v>26</v>
      </c>
      <c r="F50" s="4">
        <v>46265</v>
      </c>
      <c r="G50" s="3" t="s">
        <v>27</v>
      </c>
      <c r="H50" s="6">
        <v>9796020</v>
      </c>
      <c r="I50" s="3" t="s">
        <v>18</v>
      </c>
      <c r="J50" s="3" t="s">
        <v>19</v>
      </c>
      <c r="K50" s="3" t="s">
        <v>14</v>
      </c>
      <c r="L50" s="3" t="s">
        <v>125</v>
      </c>
      <c r="M50" s="4">
        <v>46297</v>
      </c>
      <c r="N50" s="3" t="s">
        <v>2767</v>
      </c>
      <c r="O50" s="3" t="s">
        <v>30</v>
      </c>
      <c r="P50" t="str">
        <f t="shared" si="0"/>
        <v>450013740910</v>
      </c>
      <c r="Q50" s="7" cm="1">
        <f t="array" ref="Q50:S50">VLOOKUP(P50,Hoja1!C:F,{2,3,4},FALSE)</f>
        <v>46295</v>
      </c>
      <c r="R50" t="str">
        <v>C03</v>
      </c>
      <c r="S50" t="str">
        <v>1000001470 SUDAMERICANA CAMIONES SA</v>
      </c>
    </row>
    <row r="51" spans="1:19" x14ac:dyDescent="0.3">
      <c r="A51" s="2" t="s">
        <v>14</v>
      </c>
      <c r="B51" s="3" t="s">
        <v>14</v>
      </c>
      <c r="C51" s="3" t="s">
        <v>2798</v>
      </c>
      <c r="D51" s="3" t="s">
        <v>32</v>
      </c>
      <c r="E51" s="3" t="s">
        <v>26</v>
      </c>
      <c r="F51" s="4">
        <v>46296</v>
      </c>
      <c r="G51" s="3" t="s">
        <v>27</v>
      </c>
      <c r="H51" s="6">
        <v>1191680</v>
      </c>
      <c r="I51" s="3" t="s">
        <v>18</v>
      </c>
      <c r="J51" s="3" t="s">
        <v>19</v>
      </c>
      <c r="K51" s="3" t="s">
        <v>14</v>
      </c>
      <c r="L51" s="3" t="s">
        <v>2771</v>
      </c>
      <c r="M51" s="4">
        <v>46297</v>
      </c>
      <c r="N51" s="3" t="s">
        <v>2772</v>
      </c>
      <c r="O51" s="3" t="s">
        <v>30</v>
      </c>
      <c r="P51" t="str">
        <f t="shared" si="0"/>
        <v>450013942210</v>
      </c>
      <c r="Q51" s="7" cm="1">
        <f t="array" ref="Q51:S51">VLOOKUP(P51,Hoja1!C:F,{2,3,4},FALSE)</f>
        <v>46325</v>
      </c>
      <c r="R51" t="str">
        <v>C26</v>
      </c>
      <c r="S51" t="str">
        <v>1000012282 G&amp;M INFINITE ENERGY S. A.</v>
      </c>
    </row>
    <row r="52" spans="1:19" x14ac:dyDescent="0.3">
      <c r="A52" s="2" t="s">
        <v>14</v>
      </c>
      <c r="B52" s="3" t="s">
        <v>14</v>
      </c>
      <c r="C52" s="3" t="s">
        <v>2798</v>
      </c>
      <c r="D52" s="3" t="s">
        <v>32</v>
      </c>
      <c r="E52" s="3" t="s">
        <v>26</v>
      </c>
      <c r="F52" s="4">
        <v>46296</v>
      </c>
      <c r="G52" s="3" t="s">
        <v>27</v>
      </c>
      <c r="H52" s="6">
        <v>10427200</v>
      </c>
      <c r="I52" s="3" t="s">
        <v>18</v>
      </c>
      <c r="J52" s="3" t="s">
        <v>19</v>
      </c>
      <c r="K52" s="3" t="s">
        <v>14</v>
      </c>
      <c r="L52" s="3" t="s">
        <v>2771</v>
      </c>
      <c r="M52" s="4">
        <v>46297</v>
      </c>
      <c r="N52" s="3" t="s">
        <v>2772</v>
      </c>
      <c r="O52" s="3" t="s">
        <v>22</v>
      </c>
      <c r="P52" t="str">
        <f t="shared" si="0"/>
        <v>450013942220</v>
      </c>
      <c r="Q52" s="7" cm="1">
        <f t="array" ref="Q52:S52">VLOOKUP(P52,Hoja1!C:F,{2,3,4},FALSE)</f>
        <v>46326</v>
      </c>
      <c r="R52" t="str">
        <v>C26</v>
      </c>
      <c r="S52" t="str">
        <v>1000012282 G&amp;M INFINITE ENERGY S. A.</v>
      </c>
    </row>
    <row r="53" spans="1:19" x14ac:dyDescent="0.3">
      <c r="A53" s="2" t="s">
        <v>14</v>
      </c>
      <c r="B53" s="3" t="s">
        <v>14</v>
      </c>
      <c r="C53" s="3" t="s">
        <v>2798</v>
      </c>
      <c r="D53" s="3" t="s">
        <v>32</v>
      </c>
      <c r="E53" s="3" t="s">
        <v>26</v>
      </c>
      <c r="F53" s="4">
        <v>46296</v>
      </c>
      <c r="G53" s="3" t="s">
        <v>27</v>
      </c>
      <c r="H53" s="6">
        <v>4170880</v>
      </c>
      <c r="I53" s="3" t="s">
        <v>18</v>
      </c>
      <c r="J53" s="3" t="s">
        <v>19</v>
      </c>
      <c r="K53" s="3" t="s">
        <v>14</v>
      </c>
      <c r="L53" s="3" t="s">
        <v>2771</v>
      </c>
      <c r="M53" s="4">
        <v>46297</v>
      </c>
      <c r="N53" s="3" t="s">
        <v>2772</v>
      </c>
      <c r="O53" s="3" t="s">
        <v>35</v>
      </c>
      <c r="P53" t="str">
        <f t="shared" si="0"/>
        <v>450013942230</v>
      </c>
      <c r="Q53" s="7" cm="1">
        <f t="array" ref="Q53:S53">VLOOKUP(P53,Hoja1!C:F,{2,3,4},FALSE)</f>
        <v>46326</v>
      </c>
      <c r="R53" t="str">
        <v>C26</v>
      </c>
      <c r="S53" t="str">
        <v>1000012282 G&amp;M INFINITE ENERGY S. A.</v>
      </c>
    </row>
    <row r="54" spans="1:19" x14ac:dyDescent="0.3">
      <c r="A54" s="2" t="s">
        <v>14</v>
      </c>
      <c r="B54" s="3" t="s">
        <v>14</v>
      </c>
      <c r="C54" s="3" t="s">
        <v>2799</v>
      </c>
      <c r="D54" s="3" t="s">
        <v>32</v>
      </c>
      <c r="E54" s="3" t="s">
        <v>26</v>
      </c>
      <c r="F54" s="4">
        <v>46296</v>
      </c>
      <c r="G54" s="3" t="s">
        <v>27</v>
      </c>
      <c r="H54" s="6">
        <v>5067474</v>
      </c>
      <c r="I54" s="3" t="s">
        <v>18</v>
      </c>
      <c r="J54" s="3" t="s">
        <v>19</v>
      </c>
      <c r="K54" s="3" t="s">
        <v>14</v>
      </c>
      <c r="L54" s="3" t="s">
        <v>2774</v>
      </c>
      <c r="M54" s="4">
        <v>46297</v>
      </c>
      <c r="N54" s="3" t="s">
        <v>2777</v>
      </c>
      <c r="O54" s="3" t="s">
        <v>30</v>
      </c>
      <c r="P54" t="str">
        <f t="shared" si="0"/>
        <v>450013467110</v>
      </c>
      <c r="Q54" s="7" cm="1">
        <f t="array" ref="Q54:S54">VLOOKUP(P54,Hoja1!C:F,{2,3,4},FALSE)</f>
        <v>46325</v>
      </c>
      <c r="R54" t="str">
        <v>C26</v>
      </c>
      <c r="S54" t="str">
        <v>1000013445 KINKURO SAS</v>
      </c>
    </row>
    <row r="55" spans="1:19" x14ac:dyDescent="0.3">
      <c r="A55" s="2" t="s">
        <v>14</v>
      </c>
      <c r="B55" s="3" t="s">
        <v>14</v>
      </c>
      <c r="C55" s="3" t="s">
        <v>2799</v>
      </c>
      <c r="D55" s="3" t="s">
        <v>32</v>
      </c>
      <c r="E55" s="3" t="s">
        <v>26</v>
      </c>
      <c r="F55" s="4">
        <v>46296</v>
      </c>
      <c r="G55" s="3" t="s">
        <v>27</v>
      </c>
      <c r="H55" s="6">
        <v>447883</v>
      </c>
      <c r="I55" s="3" t="s">
        <v>18</v>
      </c>
      <c r="J55" s="3" t="s">
        <v>19</v>
      </c>
      <c r="K55" s="3" t="s">
        <v>14</v>
      </c>
      <c r="L55" s="3" t="s">
        <v>2774</v>
      </c>
      <c r="M55" s="4">
        <v>46297</v>
      </c>
      <c r="N55" s="3" t="s">
        <v>2777</v>
      </c>
      <c r="O55" s="3" t="s">
        <v>22</v>
      </c>
      <c r="P55" t="str">
        <f t="shared" si="0"/>
        <v>450013467120</v>
      </c>
      <c r="Q55" s="7" cm="1">
        <f t="array" ref="Q55:S55">VLOOKUP(P55,Hoja1!C:F,{2,3,4},FALSE)</f>
        <v>46325</v>
      </c>
      <c r="R55" t="str">
        <v>C26</v>
      </c>
      <c r="S55" t="str">
        <v>1000013445 KINKURO SAS</v>
      </c>
    </row>
    <row r="56" spans="1:19" x14ac:dyDescent="0.3">
      <c r="A56" s="2" t="s">
        <v>14</v>
      </c>
      <c r="B56" s="3" t="s">
        <v>14</v>
      </c>
      <c r="C56" s="3" t="s">
        <v>2799</v>
      </c>
      <c r="D56" s="3" t="s">
        <v>32</v>
      </c>
      <c r="E56" s="3" t="s">
        <v>26</v>
      </c>
      <c r="F56" s="4">
        <v>46296</v>
      </c>
      <c r="G56" s="3" t="s">
        <v>27</v>
      </c>
      <c r="H56" s="6">
        <v>716612</v>
      </c>
      <c r="I56" s="3" t="s">
        <v>18</v>
      </c>
      <c r="J56" s="3" t="s">
        <v>19</v>
      </c>
      <c r="K56" s="3" t="s">
        <v>14</v>
      </c>
      <c r="L56" s="3" t="s">
        <v>2774</v>
      </c>
      <c r="M56" s="4">
        <v>46297</v>
      </c>
      <c r="N56" s="3" t="s">
        <v>2777</v>
      </c>
      <c r="O56" s="3" t="s">
        <v>35</v>
      </c>
      <c r="P56" t="str">
        <f t="shared" si="0"/>
        <v>450013467130</v>
      </c>
      <c r="Q56" s="7" cm="1">
        <f t="array" ref="Q56:S56">VLOOKUP(P56,Hoja1!C:F,{2,3,4},FALSE)</f>
        <v>46325</v>
      </c>
      <c r="R56" t="str">
        <v>C26</v>
      </c>
      <c r="S56" t="str">
        <v>1000013445 KINKURO SAS</v>
      </c>
    </row>
    <row r="57" spans="1:19" x14ac:dyDescent="0.3">
      <c r="A57" s="2" t="s">
        <v>14</v>
      </c>
      <c r="B57" s="3" t="s">
        <v>14</v>
      </c>
      <c r="C57" s="3" t="s">
        <v>2800</v>
      </c>
      <c r="D57" s="3" t="s">
        <v>32</v>
      </c>
      <c r="E57" s="3" t="s">
        <v>26</v>
      </c>
      <c r="F57" s="4">
        <v>46296</v>
      </c>
      <c r="G57" s="3" t="s">
        <v>27</v>
      </c>
      <c r="H57" s="6">
        <v>5588128</v>
      </c>
      <c r="I57" s="3" t="s">
        <v>18</v>
      </c>
      <c r="J57" s="3" t="s">
        <v>19</v>
      </c>
      <c r="K57" s="3" t="s">
        <v>14</v>
      </c>
      <c r="L57" s="3" t="s">
        <v>2774</v>
      </c>
      <c r="M57" s="4">
        <v>46297</v>
      </c>
      <c r="N57" s="3" t="s">
        <v>2775</v>
      </c>
      <c r="O57" s="3" t="s">
        <v>30</v>
      </c>
      <c r="P57" t="str">
        <f t="shared" si="0"/>
        <v>450013471610</v>
      </c>
      <c r="Q57" s="7" cm="1">
        <f t="array" ref="Q57:S57">VLOOKUP(P57,Hoja1!C:F,{2,3,4},FALSE)</f>
        <v>46325</v>
      </c>
      <c r="R57" t="str">
        <v>C26</v>
      </c>
      <c r="S57" t="str">
        <v>1000013445 KINKURO SAS</v>
      </c>
    </row>
    <row r="58" spans="1:19" x14ac:dyDescent="0.3">
      <c r="A58" s="2" t="s">
        <v>14</v>
      </c>
      <c r="B58" s="3" t="s">
        <v>14</v>
      </c>
      <c r="C58" s="3" t="s">
        <v>2801</v>
      </c>
      <c r="D58" s="3" t="s">
        <v>32</v>
      </c>
      <c r="E58" s="3" t="s">
        <v>26</v>
      </c>
      <c r="F58" s="4">
        <v>46297</v>
      </c>
      <c r="G58" s="3" t="s">
        <v>27</v>
      </c>
      <c r="H58" s="6">
        <v>7450000</v>
      </c>
      <c r="I58" s="3" t="s">
        <v>18</v>
      </c>
      <c r="J58" s="3" t="s">
        <v>19</v>
      </c>
      <c r="K58" s="3" t="s">
        <v>14</v>
      </c>
      <c r="L58" s="3" t="s">
        <v>2057</v>
      </c>
      <c r="M58" s="4">
        <v>46297</v>
      </c>
      <c r="N58" s="3" t="s">
        <v>2060</v>
      </c>
      <c r="O58" s="3" t="s">
        <v>30</v>
      </c>
      <c r="P58" t="str">
        <f t="shared" si="0"/>
        <v>450013485810</v>
      </c>
      <c r="Q58" s="7" cm="1">
        <f t="array" ref="Q58:S58">VLOOKUP(P58,Hoja1!C:F,{2,3,4},FALSE)</f>
        <v>46350</v>
      </c>
      <c r="R58" t="str">
        <v>C26</v>
      </c>
      <c r="S58" t="str">
        <v>1000002120 INGEAP S.A.S.</v>
      </c>
    </row>
    <row r="59" spans="1:19" x14ac:dyDescent="0.3">
      <c r="A59" s="2" t="s">
        <v>14</v>
      </c>
      <c r="B59" s="3" t="s">
        <v>14</v>
      </c>
      <c r="C59" s="3" t="s">
        <v>2802</v>
      </c>
      <c r="D59" s="3" t="s">
        <v>32</v>
      </c>
      <c r="E59" s="3" t="s">
        <v>26</v>
      </c>
      <c r="F59" s="4">
        <v>46297</v>
      </c>
      <c r="G59" s="3" t="s">
        <v>27</v>
      </c>
      <c r="H59" s="6">
        <v>15900000</v>
      </c>
      <c r="I59" s="3" t="s">
        <v>18</v>
      </c>
      <c r="J59" s="3" t="s">
        <v>19</v>
      </c>
      <c r="K59" s="3" t="s">
        <v>14</v>
      </c>
      <c r="L59" s="3" t="s">
        <v>2057</v>
      </c>
      <c r="M59" s="4">
        <v>46297</v>
      </c>
      <c r="N59" s="3" t="s">
        <v>2058</v>
      </c>
      <c r="O59" s="3" t="s">
        <v>30</v>
      </c>
      <c r="P59" t="str">
        <f t="shared" si="0"/>
        <v>450013211410</v>
      </c>
      <c r="Q59" s="7" cm="1">
        <f t="array" ref="Q59:S59">VLOOKUP(P59,Hoja1!C:F,{2,3,4},FALSE)</f>
        <v>46397</v>
      </c>
      <c r="R59" t="str">
        <v>C26</v>
      </c>
      <c r="S59" t="str">
        <v>1000002120 INGEAP S.A.S.</v>
      </c>
    </row>
    <row r="60" spans="1:19" x14ac:dyDescent="0.3">
      <c r="A60" s="2" t="s">
        <v>14</v>
      </c>
      <c r="B60" s="3" t="s">
        <v>14</v>
      </c>
      <c r="C60" s="3" t="s">
        <v>2802</v>
      </c>
      <c r="D60" s="3" t="s">
        <v>32</v>
      </c>
      <c r="E60" s="3" t="s">
        <v>26</v>
      </c>
      <c r="F60" s="4">
        <v>46297</v>
      </c>
      <c r="G60" s="3" t="s">
        <v>27</v>
      </c>
      <c r="H60" s="6">
        <v>11140000</v>
      </c>
      <c r="I60" s="3" t="s">
        <v>18</v>
      </c>
      <c r="J60" s="3" t="s">
        <v>19</v>
      </c>
      <c r="K60" s="3" t="s">
        <v>14</v>
      </c>
      <c r="L60" s="3" t="s">
        <v>2057</v>
      </c>
      <c r="M60" s="4">
        <v>46297</v>
      </c>
      <c r="N60" s="3" t="s">
        <v>2058</v>
      </c>
      <c r="O60" s="3" t="s">
        <v>22</v>
      </c>
      <c r="P60" t="str">
        <f t="shared" si="0"/>
        <v>450013211420</v>
      </c>
      <c r="Q60" s="7" cm="1">
        <f t="array" ref="Q60:S60">VLOOKUP(P60,Hoja1!C:F,{2,3,4},FALSE)</f>
        <v>46397</v>
      </c>
      <c r="R60" t="str">
        <v>C26</v>
      </c>
      <c r="S60" t="str">
        <v>1000002120 INGEAP S.A.S.</v>
      </c>
    </row>
    <row r="61" spans="1:19" x14ac:dyDescent="0.3">
      <c r="A61" s="2" t="s">
        <v>14</v>
      </c>
      <c r="B61" s="3" t="s">
        <v>14</v>
      </c>
      <c r="C61" s="3" t="s">
        <v>2802</v>
      </c>
      <c r="D61" s="3" t="s">
        <v>32</v>
      </c>
      <c r="E61" s="3" t="s">
        <v>26</v>
      </c>
      <c r="F61" s="4">
        <v>46297</v>
      </c>
      <c r="G61" s="3" t="s">
        <v>27</v>
      </c>
      <c r="H61" s="6">
        <v>680000</v>
      </c>
      <c r="I61" s="3" t="s">
        <v>18</v>
      </c>
      <c r="J61" s="3" t="s">
        <v>19</v>
      </c>
      <c r="K61" s="3" t="s">
        <v>14</v>
      </c>
      <c r="L61" s="3" t="s">
        <v>2057</v>
      </c>
      <c r="M61" s="4">
        <v>46297</v>
      </c>
      <c r="N61" s="3" t="s">
        <v>2058</v>
      </c>
      <c r="O61" s="3" t="s">
        <v>35</v>
      </c>
      <c r="P61" t="str">
        <f t="shared" si="0"/>
        <v>450013211430</v>
      </c>
      <c r="Q61" s="7" cm="1">
        <f t="array" ref="Q61:S61">VLOOKUP(P61,Hoja1!C:F,{2,3,4},FALSE)</f>
        <v>46397</v>
      </c>
      <c r="R61" t="str">
        <v>C26</v>
      </c>
      <c r="S61" t="str">
        <v>1000002120 INGEAP S.A.S.</v>
      </c>
    </row>
    <row r="62" spans="1:19" x14ac:dyDescent="0.3">
      <c r="A62" s="2" t="s">
        <v>14</v>
      </c>
      <c r="B62" s="3" t="s">
        <v>14</v>
      </c>
      <c r="C62" s="3" t="s">
        <v>2803</v>
      </c>
      <c r="D62" s="3" t="s">
        <v>32</v>
      </c>
      <c r="E62" s="3" t="s">
        <v>26</v>
      </c>
      <c r="F62" s="4">
        <v>46297</v>
      </c>
      <c r="G62" s="3" t="s">
        <v>27</v>
      </c>
      <c r="H62" s="6">
        <v>10358000</v>
      </c>
      <c r="I62" s="3" t="s">
        <v>18</v>
      </c>
      <c r="J62" s="3" t="s">
        <v>19</v>
      </c>
      <c r="K62" s="3" t="s">
        <v>14</v>
      </c>
      <c r="L62" s="3" t="s">
        <v>2057</v>
      </c>
      <c r="M62" s="4">
        <v>46297</v>
      </c>
      <c r="N62" s="3" t="s">
        <v>2318</v>
      </c>
      <c r="O62" s="3" t="s">
        <v>30</v>
      </c>
      <c r="P62" t="str">
        <f t="shared" si="0"/>
        <v>450013681010</v>
      </c>
      <c r="Q62" s="7" cm="1">
        <f t="array" ref="Q62:S62">VLOOKUP(P62,Hoja1!C:F,{2,3,4},FALSE)</f>
        <v>46326</v>
      </c>
      <c r="R62" t="str">
        <v>C26</v>
      </c>
      <c r="S62" t="str">
        <v>1000002120 INGEAP S.A.S.</v>
      </c>
    </row>
    <row r="63" spans="1:19" x14ac:dyDescent="0.3">
      <c r="A63" s="2" t="s">
        <v>14</v>
      </c>
      <c r="B63" s="3" t="s">
        <v>14</v>
      </c>
      <c r="C63" s="3" t="s">
        <v>2804</v>
      </c>
      <c r="D63" s="3" t="s">
        <v>32</v>
      </c>
      <c r="E63" s="3" t="s">
        <v>26</v>
      </c>
      <c r="F63" s="4">
        <v>46297</v>
      </c>
      <c r="G63" s="3" t="s">
        <v>27</v>
      </c>
      <c r="H63" s="6">
        <v>7112400</v>
      </c>
      <c r="I63" s="3" t="s">
        <v>18</v>
      </c>
      <c r="J63" s="3" t="s">
        <v>19</v>
      </c>
      <c r="K63" s="3" t="s">
        <v>14</v>
      </c>
      <c r="L63" s="3" t="s">
        <v>2097</v>
      </c>
      <c r="M63" s="4">
        <v>46297</v>
      </c>
      <c r="N63" s="3" t="s">
        <v>2751</v>
      </c>
      <c r="O63" s="3" t="s">
        <v>30</v>
      </c>
      <c r="P63" t="str">
        <f t="shared" si="0"/>
        <v>450013990910</v>
      </c>
      <c r="Q63" s="7" cm="1">
        <f t="array" ref="Q63:S63">VLOOKUP(P63,Hoja1!C:F,{2,3,4},FALSE)</f>
        <v>46297</v>
      </c>
      <c r="R63" t="str">
        <v>377</v>
      </c>
      <c r="S63" t="str">
        <v>1000010685 TECNOSTORE S. A.</v>
      </c>
    </row>
    <row r="64" spans="1:19" x14ac:dyDescent="0.3">
      <c r="A64" s="2" t="s">
        <v>14</v>
      </c>
      <c r="B64" s="3" t="s">
        <v>14</v>
      </c>
      <c r="C64" s="3" t="s">
        <v>2804</v>
      </c>
      <c r="D64" s="3" t="s">
        <v>32</v>
      </c>
      <c r="E64" s="3" t="s">
        <v>26</v>
      </c>
      <c r="F64" s="4">
        <v>46297</v>
      </c>
      <c r="G64" s="3" t="s">
        <v>27</v>
      </c>
      <c r="H64" s="6">
        <v>191200</v>
      </c>
      <c r="I64" s="3" t="s">
        <v>18</v>
      </c>
      <c r="J64" s="3" t="s">
        <v>19</v>
      </c>
      <c r="K64" s="3" t="s">
        <v>14</v>
      </c>
      <c r="L64" s="3" t="s">
        <v>2097</v>
      </c>
      <c r="M64" s="4">
        <v>46297</v>
      </c>
      <c r="N64" s="3" t="s">
        <v>2751</v>
      </c>
      <c r="O64" s="3" t="s">
        <v>22</v>
      </c>
      <c r="P64" t="str">
        <f t="shared" si="0"/>
        <v>450013990920</v>
      </c>
      <c r="Q64" s="7" cm="1">
        <f t="array" ref="Q64:S64">VLOOKUP(P64,Hoja1!C:F,{2,3,4},FALSE)</f>
        <v>46297</v>
      </c>
      <c r="R64" t="str">
        <v>377</v>
      </c>
      <c r="S64" t="str">
        <v>1000010685 TECNOSTORE S. A.</v>
      </c>
    </row>
    <row r="65" spans="1:19" x14ac:dyDescent="0.3">
      <c r="A65" s="2" t="s">
        <v>14</v>
      </c>
      <c r="B65" s="3" t="s">
        <v>14</v>
      </c>
      <c r="C65" s="3" t="s">
        <v>182</v>
      </c>
      <c r="D65" s="3" t="s">
        <v>14</v>
      </c>
      <c r="E65" s="3" t="s">
        <v>183</v>
      </c>
      <c r="F65" s="4">
        <v>46051</v>
      </c>
      <c r="G65" s="3" t="s">
        <v>17</v>
      </c>
      <c r="H65" s="5">
        <v>-90909.08</v>
      </c>
      <c r="I65" s="3" t="s">
        <v>18</v>
      </c>
      <c r="J65" s="3" t="s">
        <v>19</v>
      </c>
      <c r="K65" s="3" t="s">
        <v>14</v>
      </c>
      <c r="L65" s="3" t="s">
        <v>184</v>
      </c>
      <c r="M65" s="4">
        <v>46052</v>
      </c>
      <c r="N65" s="3" t="s">
        <v>185</v>
      </c>
      <c r="O65" s="3" t="s">
        <v>30</v>
      </c>
      <c r="P65" t="str">
        <f t="shared" si="0"/>
        <v>450011825610</v>
      </c>
      <c r="Q65" s="7" cm="1">
        <f t="array" ref="Q65:S65">VLOOKUP(P65,Hoja1!C:F,{2,3,4},FALSE)</f>
        <v>46049</v>
      </c>
      <c r="R65" t="str">
        <v>C03</v>
      </c>
      <c r="S65" t="str">
        <v>1000009436 CAMICO REPUESTOS PESADOS S.R.L.</v>
      </c>
    </row>
    <row r="66" spans="1:19" x14ac:dyDescent="0.3">
      <c r="A66" s="2" t="s">
        <v>14</v>
      </c>
      <c r="B66" s="3" t="s">
        <v>14</v>
      </c>
      <c r="C66" s="3" t="s">
        <v>186</v>
      </c>
      <c r="D66" s="3" t="s">
        <v>14</v>
      </c>
      <c r="E66" s="3" t="s">
        <v>183</v>
      </c>
      <c r="F66" s="4">
        <v>45975</v>
      </c>
      <c r="G66" s="3" t="s">
        <v>17</v>
      </c>
      <c r="H66" s="5">
        <v>-154433.35999999999</v>
      </c>
      <c r="I66" s="3" t="s">
        <v>18</v>
      </c>
      <c r="J66" s="3" t="s">
        <v>19</v>
      </c>
      <c r="K66" s="3" t="s">
        <v>14</v>
      </c>
      <c r="L66" s="3" t="s">
        <v>187</v>
      </c>
      <c r="M66" s="4">
        <v>46126</v>
      </c>
      <c r="N66" s="3" t="s">
        <v>188</v>
      </c>
      <c r="O66" s="3" t="s">
        <v>30</v>
      </c>
      <c r="P66" t="str">
        <f t="shared" si="0"/>
        <v>450011305110</v>
      </c>
      <c r="Q66" s="7" cm="1">
        <f t="array" ref="Q66:S66">VLOOKUP(P66,Hoja1!C:F,{2,3,4},FALSE)</f>
        <v>45979</v>
      </c>
      <c r="R66" t="str">
        <v>C42</v>
      </c>
      <c r="S66" t="str">
        <v>1000000447 A.S. TURTURICI S.A.</v>
      </c>
    </row>
    <row r="67" spans="1:19" x14ac:dyDescent="0.3">
      <c r="A67" s="2" t="s">
        <v>14</v>
      </c>
      <c r="B67" s="3" t="s">
        <v>14</v>
      </c>
      <c r="C67" s="3" t="s">
        <v>189</v>
      </c>
      <c r="D67" s="3" t="s">
        <v>14</v>
      </c>
      <c r="E67" s="3" t="s">
        <v>183</v>
      </c>
      <c r="F67" s="4">
        <v>46178</v>
      </c>
      <c r="G67" s="3" t="s">
        <v>17</v>
      </c>
      <c r="H67" s="5">
        <v>-510897.54</v>
      </c>
      <c r="I67" s="3" t="s">
        <v>18</v>
      </c>
      <c r="J67" s="3" t="s">
        <v>19</v>
      </c>
      <c r="K67" s="3" t="s">
        <v>14</v>
      </c>
      <c r="L67" s="3" t="s">
        <v>190</v>
      </c>
      <c r="M67" s="4">
        <v>46246</v>
      </c>
      <c r="N67" s="3" t="s">
        <v>191</v>
      </c>
      <c r="O67" s="3" t="s">
        <v>30</v>
      </c>
      <c r="P67" t="str">
        <f t="shared" ref="P67:P130" si="1">_xlfn.CONCAT(N67:O67)</f>
        <v>450013535610</v>
      </c>
      <c r="Q67" s="7" cm="1">
        <f t="array" ref="Q67:S67">VLOOKUP(P67,Hoja1!C:F,{2,3,4},FALSE)</f>
        <v>46245</v>
      </c>
      <c r="R67" t="str">
        <v>EFO</v>
      </c>
      <c r="S67" t="str">
        <v>1000000517 LUPARINI ACOPARTES SRL</v>
      </c>
    </row>
    <row r="68" spans="1:19" x14ac:dyDescent="0.3">
      <c r="A68" s="2" t="s">
        <v>14</v>
      </c>
      <c r="B68" s="3" t="s">
        <v>14</v>
      </c>
      <c r="C68" s="3" t="s">
        <v>193</v>
      </c>
      <c r="D68" s="3" t="s">
        <v>14</v>
      </c>
      <c r="E68" s="3" t="s">
        <v>194</v>
      </c>
      <c r="F68" s="4">
        <v>46044</v>
      </c>
      <c r="G68" s="3" t="s">
        <v>17</v>
      </c>
      <c r="H68" s="5">
        <v>-653887.84</v>
      </c>
      <c r="I68" s="3" t="s">
        <v>18</v>
      </c>
      <c r="J68" s="3" t="s">
        <v>19</v>
      </c>
      <c r="K68" s="3" t="s">
        <v>14</v>
      </c>
      <c r="L68" s="3" t="s">
        <v>195</v>
      </c>
      <c r="M68" s="4">
        <v>46050</v>
      </c>
      <c r="N68" s="3" t="s">
        <v>196</v>
      </c>
      <c r="O68" s="3" t="s">
        <v>138</v>
      </c>
      <c r="P68" t="str">
        <f t="shared" si="1"/>
        <v>450011854390</v>
      </c>
      <c r="Q68" s="7" cm="1">
        <f t="array" ref="Q68:S68">VLOOKUP(P68,Hoja1!C:F,{2,3,4},FALSE)</f>
        <v>45930</v>
      </c>
      <c r="R68" t="str">
        <v>C37</v>
      </c>
      <c r="S68" t="str">
        <v>1000000037 LA ELENA S.A.</v>
      </c>
    </row>
    <row r="69" spans="1:19" x14ac:dyDescent="0.3">
      <c r="A69" s="2" t="s">
        <v>14</v>
      </c>
      <c r="B69" s="3" t="s">
        <v>14</v>
      </c>
      <c r="C69" s="3" t="s">
        <v>197</v>
      </c>
      <c r="D69" s="3" t="s">
        <v>14</v>
      </c>
      <c r="E69" s="3" t="s">
        <v>194</v>
      </c>
      <c r="F69" s="4">
        <v>46057</v>
      </c>
      <c r="G69" s="3" t="s">
        <v>27</v>
      </c>
      <c r="H69" s="6">
        <v>4900</v>
      </c>
      <c r="I69" s="3" t="s">
        <v>18</v>
      </c>
      <c r="J69" s="3" t="s">
        <v>19</v>
      </c>
      <c r="K69" s="3" t="s">
        <v>14</v>
      </c>
      <c r="L69" s="3" t="s">
        <v>198</v>
      </c>
      <c r="M69" s="4">
        <v>46062</v>
      </c>
      <c r="N69" s="3" t="s">
        <v>199</v>
      </c>
      <c r="O69" s="3" t="s">
        <v>30</v>
      </c>
      <c r="P69" t="str">
        <f t="shared" si="1"/>
        <v>450011945010</v>
      </c>
      <c r="Q69" s="7" cm="1">
        <f t="array" ref="Q69:S69">VLOOKUP(P69,Hoja1!C:F,{2,3,4},FALSE)</f>
        <v>46061</v>
      </c>
      <c r="R69" t="str">
        <v>C42</v>
      </c>
      <c r="S69" t="str">
        <v>1000000929 ANTINORO FRANCISCO ERNESTO</v>
      </c>
    </row>
    <row r="70" spans="1:19" x14ac:dyDescent="0.3">
      <c r="A70" s="2" t="s">
        <v>14</v>
      </c>
      <c r="B70" s="3" t="s">
        <v>14</v>
      </c>
      <c r="C70" s="3" t="s">
        <v>200</v>
      </c>
      <c r="D70" s="3" t="s">
        <v>32</v>
      </c>
      <c r="E70" s="3" t="s">
        <v>194</v>
      </c>
      <c r="F70" s="4">
        <v>45700</v>
      </c>
      <c r="G70" s="3" t="s">
        <v>27</v>
      </c>
      <c r="H70" s="6">
        <v>90015.8</v>
      </c>
      <c r="I70" s="3" t="s">
        <v>18</v>
      </c>
      <c r="J70" s="3" t="s">
        <v>19</v>
      </c>
      <c r="K70" s="3" t="s">
        <v>14</v>
      </c>
      <c r="L70" s="3" t="s">
        <v>201</v>
      </c>
      <c r="M70" s="4">
        <v>45730</v>
      </c>
      <c r="N70" s="3" t="s">
        <v>202</v>
      </c>
      <c r="O70" s="3" t="s">
        <v>30</v>
      </c>
      <c r="P70" t="str">
        <f t="shared" si="1"/>
        <v>450008370310</v>
      </c>
      <c r="Q70" s="7" cm="1">
        <f t="array" ref="Q70:S70">VLOOKUP(P70,Hoja1!C:F,{2,3,4},FALSE)</f>
        <v>46233</v>
      </c>
      <c r="R70" t="str">
        <v>C15</v>
      </c>
      <c r="S70" t="str">
        <v>1000007158 EXPRESO LUJAN DE CUYO SA</v>
      </c>
    </row>
    <row r="71" spans="1:19" x14ac:dyDescent="0.3">
      <c r="A71" s="2" t="s">
        <v>14</v>
      </c>
      <c r="B71" s="3" t="s">
        <v>14</v>
      </c>
      <c r="C71" s="3" t="s">
        <v>203</v>
      </c>
      <c r="D71" s="3" t="s">
        <v>14</v>
      </c>
      <c r="E71" s="3" t="s">
        <v>194</v>
      </c>
      <c r="F71" s="4">
        <v>46080</v>
      </c>
      <c r="G71" s="3" t="s">
        <v>27</v>
      </c>
      <c r="H71" s="6">
        <v>176666.66</v>
      </c>
      <c r="I71" s="3" t="s">
        <v>18</v>
      </c>
      <c r="J71" s="3" t="s">
        <v>39</v>
      </c>
      <c r="K71" s="3" t="s">
        <v>14</v>
      </c>
      <c r="L71" s="3" t="s">
        <v>204</v>
      </c>
      <c r="M71" s="4">
        <v>46083</v>
      </c>
      <c r="N71" s="3" t="s">
        <v>205</v>
      </c>
      <c r="O71" s="3" t="s">
        <v>22</v>
      </c>
      <c r="P71" t="str">
        <f t="shared" si="1"/>
        <v>450011906520</v>
      </c>
      <c r="Q71" s="7" cm="1">
        <f t="array" ref="Q71:S71">VLOOKUP(P71,Hoja1!C:F,{2,3,4},FALSE)</f>
        <v>46063</v>
      </c>
      <c r="R71" t="str">
        <v>C23</v>
      </c>
      <c r="S71" t="str">
        <v>1000012704 QUIROGA CRISTIAN ROBERTO</v>
      </c>
    </row>
    <row r="72" spans="1:19" x14ac:dyDescent="0.3">
      <c r="A72" s="2" t="s">
        <v>14</v>
      </c>
      <c r="B72" s="3" t="s">
        <v>14</v>
      </c>
      <c r="C72" s="3" t="s">
        <v>206</v>
      </c>
      <c r="D72" s="3" t="s">
        <v>14</v>
      </c>
      <c r="E72" s="3" t="s">
        <v>194</v>
      </c>
      <c r="F72" s="4">
        <v>46077</v>
      </c>
      <c r="G72" s="3" t="s">
        <v>27</v>
      </c>
      <c r="H72" s="6">
        <v>105300</v>
      </c>
      <c r="I72" s="3" t="s">
        <v>18</v>
      </c>
      <c r="J72" s="3" t="s">
        <v>19</v>
      </c>
      <c r="K72" s="3" t="s">
        <v>14</v>
      </c>
      <c r="L72" s="3" t="s">
        <v>207</v>
      </c>
      <c r="M72" s="4">
        <v>46085</v>
      </c>
      <c r="N72" s="3" t="s">
        <v>208</v>
      </c>
      <c r="O72" s="3" t="s">
        <v>23</v>
      </c>
      <c r="P72" t="str">
        <f t="shared" si="1"/>
        <v>450005708040</v>
      </c>
      <c r="Q72" s="7" cm="1">
        <f t="array" ref="Q72:S72">VLOOKUP(P72,Hoja1!C:F,{2,3,4},FALSE)</f>
        <v>46386</v>
      </c>
      <c r="R72" t="str">
        <v>C25</v>
      </c>
      <c r="S72" t="str">
        <v>1000008581 IZAZA PAULA SOLEDAD</v>
      </c>
    </row>
    <row r="73" spans="1:19" x14ac:dyDescent="0.3">
      <c r="A73" s="2" t="s">
        <v>14</v>
      </c>
      <c r="B73" s="3" t="s">
        <v>14</v>
      </c>
      <c r="C73" s="3" t="s">
        <v>209</v>
      </c>
      <c r="D73" s="3" t="s">
        <v>14</v>
      </c>
      <c r="E73" s="3" t="s">
        <v>194</v>
      </c>
      <c r="F73" s="4">
        <v>46092</v>
      </c>
      <c r="G73" s="3" t="s">
        <v>27</v>
      </c>
      <c r="H73" s="6">
        <v>360870</v>
      </c>
      <c r="I73" s="3" t="s">
        <v>18</v>
      </c>
      <c r="J73" s="3" t="s">
        <v>19</v>
      </c>
      <c r="K73" s="3" t="s">
        <v>14</v>
      </c>
      <c r="L73" s="3" t="s">
        <v>210</v>
      </c>
      <c r="M73" s="4">
        <v>46094</v>
      </c>
      <c r="N73" s="3" t="s">
        <v>211</v>
      </c>
      <c r="O73" s="3" t="s">
        <v>22</v>
      </c>
      <c r="P73" t="str">
        <f t="shared" si="1"/>
        <v>450011934020</v>
      </c>
      <c r="Q73" s="7" cm="1">
        <f t="array" ref="Q73:S73">VLOOKUP(P73,Hoja1!C:F,{2,3,4},FALSE)</f>
        <v>46060</v>
      </c>
      <c r="R73" t="str">
        <v>C03</v>
      </c>
      <c r="S73" t="str">
        <v>1000002607 DIESEL LANGE S.R.L</v>
      </c>
    </row>
    <row r="74" spans="1:19" x14ac:dyDescent="0.3">
      <c r="A74" s="2" t="s">
        <v>14</v>
      </c>
      <c r="B74" s="3" t="s">
        <v>14</v>
      </c>
      <c r="C74" s="3" t="s">
        <v>212</v>
      </c>
      <c r="D74" s="3" t="s">
        <v>14</v>
      </c>
      <c r="E74" s="3" t="s">
        <v>194</v>
      </c>
      <c r="F74" s="4">
        <v>46087</v>
      </c>
      <c r="G74" s="3" t="s">
        <v>27</v>
      </c>
      <c r="H74" s="6">
        <v>32896</v>
      </c>
      <c r="I74" s="3" t="s">
        <v>18</v>
      </c>
      <c r="J74" s="3" t="s">
        <v>19</v>
      </c>
      <c r="K74" s="3" t="s">
        <v>14</v>
      </c>
      <c r="L74" s="3" t="s">
        <v>213</v>
      </c>
      <c r="M74" s="4">
        <v>46106</v>
      </c>
      <c r="N74" s="3" t="s">
        <v>214</v>
      </c>
      <c r="O74" s="3" t="s">
        <v>52</v>
      </c>
      <c r="P74" t="str">
        <f t="shared" si="1"/>
        <v>450011936580</v>
      </c>
      <c r="Q74" s="7" cm="1">
        <f t="array" ref="Q74:S74">VLOOKUP(P74,Hoja1!C:F,{2,3,4},FALSE)</f>
        <v>46066</v>
      </c>
      <c r="R74" t="str">
        <v>C27</v>
      </c>
      <c r="S74" t="str">
        <v>1000009658 FURIASSE GUSTAVO WALTER</v>
      </c>
    </row>
    <row r="75" spans="1:19" x14ac:dyDescent="0.3">
      <c r="A75" s="2" t="s">
        <v>14</v>
      </c>
      <c r="B75" s="3" t="s">
        <v>14</v>
      </c>
      <c r="C75" s="3" t="s">
        <v>215</v>
      </c>
      <c r="D75" s="3" t="s">
        <v>14</v>
      </c>
      <c r="E75" s="3" t="s">
        <v>194</v>
      </c>
      <c r="F75" s="4">
        <v>46079</v>
      </c>
      <c r="G75" s="3" t="s">
        <v>17</v>
      </c>
      <c r="H75" s="5">
        <v>-116898.39</v>
      </c>
      <c r="I75" s="3" t="s">
        <v>18</v>
      </c>
      <c r="J75" s="3" t="s">
        <v>19</v>
      </c>
      <c r="K75" s="3" t="s">
        <v>14</v>
      </c>
      <c r="L75" s="3" t="s">
        <v>216</v>
      </c>
      <c r="M75" s="4">
        <v>46094</v>
      </c>
      <c r="N75" s="3" t="s">
        <v>217</v>
      </c>
      <c r="O75" s="3" t="s">
        <v>30</v>
      </c>
      <c r="P75" t="str">
        <f t="shared" si="1"/>
        <v>450012242410</v>
      </c>
      <c r="Q75" s="7" cm="1">
        <f t="array" ref="Q75:S75">VLOOKUP(P75,Hoja1!C:F,{2,3,4},FALSE)</f>
        <v>46098</v>
      </c>
      <c r="R75" t="str">
        <v>EFO</v>
      </c>
      <c r="S75" t="str">
        <v>1000000861 TUBI-FLEX S.A.</v>
      </c>
    </row>
    <row r="76" spans="1:19" x14ac:dyDescent="0.3">
      <c r="A76" s="2" t="s">
        <v>14</v>
      </c>
      <c r="B76" s="3" t="s">
        <v>14</v>
      </c>
      <c r="C76" s="3" t="s">
        <v>218</v>
      </c>
      <c r="D76" s="3" t="s">
        <v>14</v>
      </c>
      <c r="E76" s="3" t="s">
        <v>194</v>
      </c>
      <c r="F76" s="4">
        <v>46118</v>
      </c>
      <c r="G76" s="3" t="s">
        <v>27</v>
      </c>
      <c r="H76" s="6">
        <v>1161393.42</v>
      </c>
      <c r="I76" s="3" t="s">
        <v>18</v>
      </c>
      <c r="J76" s="3" t="s">
        <v>19</v>
      </c>
      <c r="K76" s="3" t="s">
        <v>14</v>
      </c>
      <c r="L76" s="3" t="s">
        <v>73</v>
      </c>
      <c r="M76" s="4">
        <v>46119</v>
      </c>
      <c r="N76" s="3" t="s">
        <v>219</v>
      </c>
      <c r="O76" s="3" t="s">
        <v>30</v>
      </c>
      <c r="P76" t="str">
        <f t="shared" si="1"/>
        <v>450012370410</v>
      </c>
      <c r="Q76" s="7" cm="1">
        <f t="array" ref="Q76:S76">VLOOKUP(P76,Hoja1!C:F,{2,3,4},FALSE)</f>
        <v>46198</v>
      </c>
      <c r="R76" t="str">
        <v>C21</v>
      </c>
      <c r="S76" t="str">
        <v>1000000808 GLOBAL OIL S.R.L.</v>
      </c>
    </row>
    <row r="77" spans="1:19" x14ac:dyDescent="0.3">
      <c r="A77" s="2" t="s">
        <v>14</v>
      </c>
      <c r="B77" s="3" t="s">
        <v>14</v>
      </c>
      <c r="C77" s="3" t="s">
        <v>218</v>
      </c>
      <c r="D77" s="3" t="s">
        <v>14</v>
      </c>
      <c r="E77" s="3" t="s">
        <v>194</v>
      </c>
      <c r="F77" s="4">
        <v>46118</v>
      </c>
      <c r="G77" s="3" t="s">
        <v>27</v>
      </c>
      <c r="H77" s="6">
        <v>14810.03</v>
      </c>
      <c r="I77" s="3" t="s">
        <v>18</v>
      </c>
      <c r="J77" s="3" t="s">
        <v>39</v>
      </c>
      <c r="K77" s="3" t="s">
        <v>14</v>
      </c>
      <c r="L77" s="3" t="s">
        <v>73</v>
      </c>
      <c r="M77" s="4">
        <v>46119</v>
      </c>
      <c r="N77" s="3" t="s">
        <v>219</v>
      </c>
      <c r="O77" s="3" t="s">
        <v>30</v>
      </c>
      <c r="P77" t="str">
        <f t="shared" si="1"/>
        <v>450012370410</v>
      </c>
      <c r="Q77" s="7" cm="1">
        <f t="array" ref="Q77:S77">VLOOKUP(P77,Hoja1!C:F,{2,3,4},FALSE)</f>
        <v>46198</v>
      </c>
      <c r="R77" t="str">
        <v>C21</v>
      </c>
      <c r="S77" t="str">
        <v>1000000808 GLOBAL OIL S.R.L.</v>
      </c>
    </row>
    <row r="78" spans="1:19" x14ac:dyDescent="0.3">
      <c r="A78" s="2" t="s">
        <v>14</v>
      </c>
      <c r="B78" s="3" t="s">
        <v>14</v>
      </c>
      <c r="C78" s="3" t="s">
        <v>220</v>
      </c>
      <c r="D78" s="3" t="s">
        <v>14</v>
      </c>
      <c r="E78" s="3" t="s">
        <v>194</v>
      </c>
      <c r="F78" s="4">
        <v>46113</v>
      </c>
      <c r="G78" s="3" t="s">
        <v>27</v>
      </c>
      <c r="H78" s="6">
        <v>275400</v>
      </c>
      <c r="I78" s="3" t="s">
        <v>18</v>
      </c>
      <c r="J78" s="3" t="s">
        <v>19</v>
      </c>
      <c r="K78" s="3" t="s">
        <v>14</v>
      </c>
      <c r="L78" s="3" t="s">
        <v>221</v>
      </c>
      <c r="M78" s="4">
        <v>46125</v>
      </c>
      <c r="N78" s="3" t="s">
        <v>222</v>
      </c>
      <c r="O78" s="3" t="s">
        <v>30</v>
      </c>
      <c r="P78" t="str">
        <f t="shared" si="1"/>
        <v>450011874510</v>
      </c>
      <c r="Q78" s="7" cm="1">
        <f t="array" ref="Q78:S78">VLOOKUP(P78,Hoja1!C:F,{2,3,4},FALSE)</f>
        <v>46387</v>
      </c>
      <c r="R78" t="str">
        <v>C24</v>
      </c>
      <c r="S78" t="str">
        <v>1000000026 NEURALSOFT S.R.L.</v>
      </c>
    </row>
    <row r="79" spans="1:19" x14ac:dyDescent="0.3">
      <c r="A79" s="2" t="s">
        <v>14</v>
      </c>
      <c r="B79" s="3" t="s">
        <v>14</v>
      </c>
      <c r="C79" s="3" t="s">
        <v>223</v>
      </c>
      <c r="D79" s="3" t="s">
        <v>14</v>
      </c>
      <c r="E79" s="3" t="s">
        <v>194</v>
      </c>
      <c r="F79" s="4">
        <v>46121</v>
      </c>
      <c r="G79" s="3" t="s">
        <v>27</v>
      </c>
      <c r="H79" s="6">
        <v>22433.1</v>
      </c>
      <c r="I79" s="3" t="s">
        <v>18</v>
      </c>
      <c r="J79" s="3" t="s">
        <v>19</v>
      </c>
      <c r="K79" s="3" t="s">
        <v>14</v>
      </c>
      <c r="L79" s="3" t="s">
        <v>125</v>
      </c>
      <c r="M79" s="4">
        <v>46132</v>
      </c>
      <c r="N79" s="3" t="s">
        <v>224</v>
      </c>
      <c r="O79" s="3" t="s">
        <v>30</v>
      </c>
      <c r="P79" t="str">
        <f t="shared" si="1"/>
        <v>450012550510</v>
      </c>
      <c r="Q79" s="7" cm="1">
        <f t="array" ref="Q79:S79">VLOOKUP(P79,Hoja1!C:F,{2,3,4},FALSE)</f>
        <v>46119</v>
      </c>
      <c r="R79" t="str">
        <v>EFO</v>
      </c>
      <c r="S79" t="str">
        <v>1000001470 SUDAMERICANA CAMIONES SA</v>
      </c>
    </row>
    <row r="80" spans="1:19" x14ac:dyDescent="0.3">
      <c r="A80" s="2" t="s">
        <v>14</v>
      </c>
      <c r="B80" s="3" t="s">
        <v>14</v>
      </c>
      <c r="C80" s="3" t="s">
        <v>225</v>
      </c>
      <c r="D80" s="3" t="s">
        <v>14</v>
      </c>
      <c r="E80" s="3" t="s">
        <v>194</v>
      </c>
      <c r="F80" s="4">
        <v>46127</v>
      </c>
      <c r="G80" s="3" t="s">
        <v>27</v>
      </c>
      <c r="H80" s="6">
        <v>110085.89</v>
      </c>
      <c r="I80" s="3" t="s">
        <v>18</v>
      </c>
      <c r="J80" s="3" t="s">
        <v>19</v>
      </c>
      <c r="K80" s="3" t="s">
        <v>14</v>
      </c>
      <c r="L80" s="3" t="s">
        <v>226</v>
      </c>
      <c r="M80" s="4">
        <v>46132</v>
      </c>
      <c r="N80" s="3" t="s">
        <v>227</v>
      </c>
      <c r="O80" s="3" t="s">
        <v>30</v>
      </c>
      <c r="P80" t="str">
        <f t="shared" si="1"/>
        <v>450012398410</v>
      </c>
      <c r="Q80" s="7" cm="1">
        <f t="array" ref="Q80:S80">VLOOKUP(P80,Hoja1!C:F,{2,3,4},FALSE)</f>
        <v>46132</v>
      </c>
      <c r="R80" t="str">
        <v>EFO</v>
      </c>
      <c r="S80" t="str">
        <v>1000009051 GRUPO RP AICHI S.A.S.</v>
      </c>
    </row>
    <row r="81" spans="1:19" x14ac:dyDescent="0.3">
      <c r="A81" s="2" t="s">
        <v>14</v>
      </c>
      <c r="B81" s="3" t="s">
        <v>14</v>
      </c>
      <c r="C81" s="3" t="s">
        <v>228</v>
      </c>
      <c r="D81" s="3" t="s">
        <v>14</v>
      </c>
      <c r="E81" s="3" t="s">
        <v>194</v>
      </c>
      <c r="F81" s="4">
        <v>46119</v>
      </c>
      <c r="G81" s="3" t="s">
        <v>27</v>
      </c>
      <c r="H81" s="6">
        <v>18682.84</v>
      </c>
      <c r="I81" s="3" t="s">
        <v>18</v>
      </c>
      <c r="J81" s="3" t="s">
        <v>19</v>
      </c>
      <c r="K81" s="3" t="s">
        <v>14</v>
      </c>
      <c r="L81" s="3" t="s">
        <v>229</v>
      </c>
      <c r="M81" s="4">
        <v>46132</v>
      </c>
      <c r="N81" s="3" t="s">
        <v>230</v>
      </c>
      <c r="O81" s="3" t="s">
        <v>30</v>
      </c>
      <c r="P81" t="str">
        <f t="shared" si="1"/>
        <v>450012553310</v>
      </c>
      <c r="Q81" s="7" cm="1">
        <f t="array" ref="Q81:S81">VLOOKUP(P81,Hoja1!C:F,{2,3,4},FALSE)</f>
        <v>46112</v>
      </c>
      <c r="R81" t="str">
        <v>EFO</v>
      </c>
      <c r="S81" t="str">
        <v>1000001268 BULONERA FENIX S.R.L</v>
      </c>
    </row>
    <row r="82" spans="1:19" x14ac:dyDescent="0.3">
      <c r="A82" s="2" t="s">
        <v>14</v>
      </c>
      <c r="B82" s="3" t="s">
        <v>14</v>
      </c>
      <c r="C82" s="3" t="s">
        <v>231</v>
      </c>
      <c r="D82" s="3" t="s">
        <v>14</v>
      </c>
      <c r="E82" s="3" t="s">
        <v>194</v>
      </c>
      <c r="F82" s="4">
        <v>46093</v>
      </c>
      <c r="G82" s="3" t="s">
        <v>27</v>
      </c>
      <c r="H82" s="6">
        <v>176436.35</v>
      </c>
      <c r="I82" s="3" t="s">
        <v>18</v>
      </c>
      <c r="J82" s="3" t="s">
        <v>19</v>
      </c>
      <c r="K82" s="3" t="s">
        <v>14</v>
      </c>
      <c r="L82" s="3" t="s">
        <v>232</v>
      </c>
      <c r="M82" s="4">
        <v>46132</v>
      </c>
      <c r="N82" s="3" t="s">
        <v>233</v>
      </c>
      <c r="O82" s="3" t="s">
        <v>30</v>
      </c>
      <c r="P82" t="str">
        <f t="shared" si="1"/>
        <v>450012553410</v>
      </c>
      <c r="Q82" s="7" cm="1">
        <f t="array" ref="Q82:S82">VLOOKUP(P82,Hoja1!C:F,{2,3,4},FALSE)</f>
        <v>46092</v>
      </c>
      <c r="R82" t="str">
        <v>EFO</v>
      </c>
      <c r="S82" t="str">
        <v>1000000572 GRUAS SAN BLAS S.A</v>
      </c>
    </row>
    <row r="83" spans="1:19" x14ac:dyDescent="0.3">
      <c r="A83" s="2" t="s">
        <v>14</v>
      </c>
      <c r="B83" s="3" t="s">
        <v>14</v>
      </c>
      <c r="C83" s="3" t="s">
        <v>234</v>
      </c>
      <c r="D83" s="3" t="s">
        <v>14</v>
      </c>
      <c r="E83" s="3" t="s">
        <v>194</v>
      </c>
      <c r="F83" s="4">
        <v>46132</v>
      </c>
      <c r="G83" s="3" t="s">
        <v>27</v>
      </c>
      <c r="H83" s="6">
        <v>7980</v>
      </c>
      <c r="I83" s="3" t="s">
        <v>18</v>
      </c>
      <c r="J83" s="3" t="s">
        <v>19</v>
      </c>
      <c r="K83" s="3" t="s">
        <v>14</v>
      </c>
      <c r="L83" s="3" t="s">
        <v>198</v>
      </c>
      <c r="M83" s="4">
        <v>46132</v>
      </c>
      <c r="N83" s="3" t="s">
        <v>235</v>
      </c>
      <c r="O83" s="3" t="s">
        <v>30</v>
      </c>
      <c r="P83" t="str">
        <f t="shared" si="1"/>
        <v>450012553810</v>
      </c>
      <c r="Q83" s="7" cm="1">
        <f t="array" ref="Q83:S83">VLOOKUP(P83,Hoja1!C:F,{2,3,4},FALSE)</f>
        <v>46059</v>
      </c>
      <c r="R83" t="str">
        <v>EFO</v>
      </c>
      <c r="S83" t="str">
        <v>1000000929 ANTINORO FRANCISCO ERNESTO</v>
      </c>
    </row>
    <row r="84" spans="1:19" x14ac:dyDescent="0.3">
      <c r="A84" s="2" t="s">
        <v>14</v>
      </c>
      <c r="B84" s="3" t="s">
        <v>14</v>
      </c>
      <c r="C84" s="3" t="s">
        <v>236</v>
      </c>
      <c r="D84" s="3" t="s">
        <v>14</v>
      </c>
      <c r="E84" s="3" t="s">
        <v>194</v>
      </c>
      <c r="F84" s="4">
        <v>46108</v>
      </c>
      <c r="G84" s="3" t="s">
        <v>27</v>
      </c>
      <c r="H84" s="6">
        <v>1608396.8</v>
      </c>
      <c r="I84" s="3" t="s">
        <v>18</v>
      </c>
      <c r="J84" s="3" t="s">
        <v>19</v>
      </c>
      <c r="K84" s="3" t="s">
        <v>14</v>
      </c>
      <c r="L84" s="3" t="s">
        <v>232</v>
      </c>
      <c r="M84" s="4">
        <v>46134</v>
      </c>
      <c r="N84" s="3" t="s">
        <v>237</v>
      </c>
      <c r="O84" s="3" t="s">
        <v>30</v>
      </c>
      <c r="P84" t="str">
        <f t="shared" si="1"/>
        <v>450012209710</v>
      </c>
      <c r="Q84" s="7" cm="1">
        <f t="array" ref="Q84:S84">VLOOKUP(P84,Hoja1!C:F,{2,3,4},FALSE)</f>
        <v>46122</v>
      </c>
      <c r="R84" t="str">
        <v>C03</v>
      </c>
      <c r="S84" t="str">
        <v>1000000572 GRUAS SAN BLAS S.A</v>
      </c>
    </row>
    <row r="85" spans="1:19" x14ac:dyDescent="0.3">
      <c r="A85" s="2" t="s">
        <v>14</v>
      </c>
      <c r="B85" s="3" t="s">
        <v>14</v>
      </c>
      <c r="C85" s="3" t="s">
        <v>238</v>
      </c>
      <c r="D85" s="3" t="s">
        <v>32</v>
      </c>
      <c r="E85" s="3" t="s">
        <v>194</v>
      </c>
      <c r="F85" s="4">
        <v>46128</v>
      </c>
      <c r="G85" s="3" t="s">
        <v>27</v>
      </c>
      <c r="H85" s="6">
        <v>1180481.76</v>
      </c>
      <c r="I85" s="3" t="s">
        <v>18</v>
      </c>
      <c r="J85" s="3" t="s">
        <v>19</v>
      </c>
      <c r="K85" s="3" t="s">
        <v>14</v>
      </c>
      <c r="L85" s="3" t="s">
        <v>62</v>
      </c>
      <c r="M85" s="4">
        <v>46134</v>
      </c>
      <c r="N85" s="3" t="s">
        <v>64</v>
      </c>
      <c r="O85" s="3" t="s">
        <v>35</v>
      </c>
      <c r="P85" t="str">
        <f t="shared" si="1"/>
        <v>450012074430</v>
      </c>
      <c r="Q85" s="7" cm="1">
        <f t="array" ref="Q85:S85">VLOOKUP(P85,Hoja1!C:F,{2,3,4},FALSE)</f>
        <v>46121</v>
      </c>
      <c r="R85" t="str">
        <v>C11</v>
      </c>
      <c r="S85" t="str">
        <v>1000012787 FELRRO SRL</v>
      </c>
    </row>
    <row r="86" spans="1:19" x14ac:dyDescent="0.3">
      <c r="A86" s="2" t="s">
        <v>14</v>
      </c>
      <c r="B86" s="3" t="s">
        <v>14</v>
      </c>
      <c r="C86" s="3" t="s">
        <v>238</v>
      </c>
      <c r="D86" s="3" t="s">
        <v>32</v>
      </c>
      <c r="E86" s="3" t="s">
        <v>194</v>
      </c>
      <c r="F86" s="4">
        <v>46128</v>
      </c>
      <c r="G86" s="3" t="s">
        <v>27</v>
      </c>
      <c r="H86" s="6">
        <v>1205487.3600000001</v>
      </c>
      <c r="I86" s="3" t="s">
        <v>18</v>
      </c>
      <c r="J86" s="3" t="s">
        <v>19</v>
      </c>
      <c r="K86" s="3" t="s">
        <v>14</v>
      </c>
      <c r="L86" s="3" t="s">
        <v>62</v>
      </c>
      <c r="M86" s="4">
        <v>46134</v>
      </c>
      <c r="N86" s="3" t="s">
        <v>64</v>
      </c>
      <c r="O86" s="3" t="s">
        <v>23</v>
      </c>
      <c r="P86" t="str">
        <f t="shared" si="1"/>
        <v>450012074440</v>
      </c>
      <c r="Q86" s="7" cm="1">
        <f t="array" ref="Q86:S86">VLOOKUP(P86,Hoja1!C:F,{2,3,4},FALSE)</f>
        <v>46121</v>
      </c>
      <c r="R86" t="str">
        <v>C11</v>
      </c>
      <c r="S86" t="str">
        <v>1000012787 FELRRO SRL</v>
      </c>
    </row>
    <row r="87" spans="1:19" x14ac:dyDescent="0.3">
      <c r="A87" s="2" t="s">
        <v>14</v>
      </c>
      <c r="B87" s="3" t="s">
        <v>14</v>
      </c>
      <c r="C87" s="3" t="s">
        <v>238</v>
      </c>
      <c r="D87" s="3" t="s">
        <v>32</v>
      </c>
      <c r="E87" s="3" t="s">
        <v>194</v>
      </c>
      <c r="F87" s="4">
        <v>46128</v>
      </c>
      <c r="G87" s="3" t="s">
        <v>27</v>
      </c>
      <c r="H87" s="6">
        <v>495763.20000000001</v>
      </c>
      <c r="I87" s="3" t="s">
        <v>18</v>
      </c>
      <c r="J87" s="3" t="s">
        <v>19</v>
      </c>
      <c r="K87" s="3" t="s">
        <v>14</v>
      </c>
      <c r="L87" s="3" t="s">
        <v>62</v>
      </c>
      <c r="M87" s="4">
        <v>46134</v>
      </c>
      <c r="N87" s="3" t="s">
        <v>64</v>
      </c>
      <c r="O87" s="3" t="s">
        <v>52</v>
      </c>
      <c r="P87" t="str">
        <f t="shared" si="1"/>
        <v>450012074480</v>
      </c>
      <c r="Q87" s="7" cm="1">
        <f t="array" ref="Q87:S87">VLOOKUP(P87,Hoja1!C:F,{2,3,4},FALSE)</f>
        <v>46121</v>
      </c>
      <c r="R87" t="str">
        <v>C11</v>
      </c>
      <c r="S87" t="str">
        <v>1000012787 FELRRO SRL</v>
      </c>
    </row>
    <row r="88" spans="1:19" x14ac:dyDescent="0.3">
      <c r="A88" s="2" t="s">
        <v>14</v>
      </c>
      <c r="B88" s="3" t="s">
        <v>14</v>
      </c>
      <c r="C88" s="3" t="s">
        <v>238</v>
      </c>
      <c r="D88" s="3" t="s">
        <v>32</v>
      </c>
      <c r="E88" s="3" t="s">
        <v>194</v>
      </c>
      <c r="F88" s="4">
        <v>46128</v>
      </c>
      <c r="G88" s="3" t="s">
        <v>27</v>
      </c>
      <c r="H88" s="6">
        <v>377937.9</v>
      </c>
      <c r="I88" s="3" t="s">
        <v>18</v>
      </c>
      <c r="J88" s="3" t="s">
        <v>19</v>
      </c>
      <c r="K88" s="3" t="s">
        <v>14</v>
      </c>
      <c r="L88" s="3" t="s">
        <v>62</v>
      </c>
      <c r="M88" s="4">
        <v>46134</v>
      </c>
      <c r="N88" s="3" t="s">
        <v>64</v>
      </c>
      <c r="O88" s="3" t="s">
        <v>138</v>
      </c>
      <c r="P88" t="str">
        <f t="shared" si="1"/>
        <v>450012074490</v>
      </c>
      <c r="Q88" s="7" cm="1">
        <f t="array" ref="Q88:S88">VLOOKUP(P88,Hoja1!C:F,{2,3,4},FALSE)</f>
        <v>46121</v>
      </c>
      <c r="R88" t="str">
        <v>C11</v>
      </c>
      <c r="S88" t="str">
        <v>1000012787 FELRRO SRL</v>
      </c>
    </row>
    <row r="89" spans="1:19" x14ac:dyDescent="0.3">
      <c r="A89" s="2" t="s">
        <v>14</v>
      </c>
      <c r="B89" s="3" t="s">
        <v>14</v>
      </c>
      <c r="C89" s="3" t="s">
        <v>238</v>
      </c>
      <c r="D89" s="3" t="s">
        <v>32</v>
      </c>
      <c r="E89" s="3" t="s">
        <v>194</v>
      </c>
      <c r="F89" s="4">
        <v>46128</v>
      </c>
      <c r="G89" s="3" t="s">
        <v>27</v>
      </c>
      <c r="H89" s="6">
        <v>271528.2</v>
      </c>
      <c r="I89" s="3" t="s">
        <v>18</v>
      </c>
      <c r="J89" s="3" t="s">
        <v>19</v>
      </c>
      <c r="K89" s="3" t="s">
        <v>14</v>
      </c>
      <c r="L89" s="3" t="s">
        <v>62</v>
      </c>
      <c r="M89" s="4">
        <v>46134</v>
      </c>
      <c r="N89" s="3" t="s">
        <v>64</v>
      </c>
      <c r="O89" s="3" t="s">
        <v>45</v>
      </c>
      <c r="P89" t="str">
        <f t="shared" si="1"/>
        <v>4500120744100</v>
      </c>
      <c r="Q89" s="7" cm="1">
        <f t="array" ref="Q89:S89">VLOOKUP(P89,Hoja1!C:F,{2,3,4},FALSE)</f>
        <v>46121</v>
      </c>
      <c r="R89" t="str">
        <v>C11</v>
      </c>
      <c r="S89" t="str">
        <v>1000012787 FELRRO SRL</v>
      </c>
    </row>
    <row r="90" spans="1:19" x14ac:dyDescent="0.3">
      <c r="A90" s="2" t="s">
        <v>14</v>
      </c>
      <c r="B90" s="3" t="s">
        <v>14</v>
      </c>
      <c r="C90" s="3" t="s">
        <v>239</v>
      </c>
      <c r="D90" s="3" t="s">
        <v>14</v>
      </c>
      <c r="E90" s="3" t="s">
        <v>194</v>
      </c>
      <c r="F90" s="4">
        <v>46134</v>
      </c>
      <c r="G90" s="3" t="s">
        <v>27</v>
      </c>
      <c r="H90" s="6">
        <v>65460</v>
      </c>
      <c r="I90" s="3" t="s">
        <v>18</v>
      </c>
      <c r="J90" s="3" t="s">
        <v>19</v>
      </c>
      <c r="K90" s="3" t="s">
        <v>14</v>
      </c>
      <c r="L90" s="3" t="s">
        <v>240</v>
      </c>
      <c r="M90" s="4">
        <v>46135</v>
      </c>
      <c r="N90" s="3" t="s">
        <v>241</v>
      </c>
      <c r="O90" s="3" t="s">
        <v>172</v>
      </c>
      <c r="P90" t="str">
        <f t="shared" si="1"/>
        <v>4500125118480</v>
      </c>
      <c r="Q90" s="7" cm="1">
        <f t="array" ref="Q90:S90">VLOOKUP(P90,Hoja1!C:F,{2,3,4},FALSE)</f>
        <v>46133</v>
      </c>
      <c r="R90" t="str">
        <v>C27</v>
      </c>
      <c r="S90" t="str">
        <v>1000011415 SI (SERVICIOS INDUSTRIALES) SIERRA</v>
      </c>
    </row>
    <row r="91" spans="1:19" x14ac:dyDescent="0.3">
      <c r="A91" s="2" t="s">
        <v>14</v>
      </c>
      <c r="B91" s="3" t="s">
        <v>14</v>
      </c>
      <c r="C91" s="3" t="s">
        <v>242</v>
      </c>
      <c r="D91" s="3" t="s">
        <v>32</v>
      </c>
      <c r="E91" s="3" t="s">
        <v>194</v>
      </c>
      <c r="F91" s="4">
        <v>46140</v>
      </c>
      <c r="G91" s="3" t="s">
        <v>27</v>
      </c>
      <c r="H91" s="6">
        <v>10986.05</v>
      </c>
      <c r="I91" s="3" t="s">
        <v>18</v>
      </c>
      <c r="J91" s="3" t="s">
        <v>39</v>
      </c>
      <c r="K91" s="3" t="s">
        <v>14</v>
      </c>
      <c r="L91" s="3" t="s">
        <v>243</v>
      </c>
      <c r="M91" s="4">
        <v>46141</v>
      </c>
      <c r="N91" s="3" t="s">
        <v>244</v>
      </c>
      <c r="O91" s="3" t="s">
        <v>30</v>
      </c>
      <c r="P91" t="str">
        <f t="shared" si="1"/>
        <v>450011932910</v>
      </c>
      <c r="Q91" s="7" cm="1">
        <f t="array" ref="Q91:S91">VLOOKUP(P91,Hoja1!C:F,{2,3,4},FALSE)</f>
        <v>46234</v>
      </c>
      <c r="R91" t="str">
        <v>C21</v>
      </c>
      <c r="S91" t="str">
        <v>1000005043 LA RONTONDA DE DANIEL MORAN</v>
      </c>
    </row>
    <row r="92" spans="1:19" x14ac:dyDescent="0.3">
      <c r="A92" s="2" t="s">
        <v>14</v>
      </c>
      <c r="B92" s="3" t="s">
        <v>14</v>
      </c>
      <c r="C92" s="3" t="s">
        <v>245</v>
      </c>
      <c r="D92" s="3" t="s">
        <v>14</v>
      </c>
      <c r="E92" s="3" t="s">
        <v>194</v>
      </c>
      <c r="F92" s="4">
        <v>46122</v>
      </c>
      <c r="G92" s="3" t="s">
        <v>27</v>
      </c>
      <c r="H92" s="6">
        <v>16000</v>
      </c>
      <c r="I92" s="3" t="s">
        <v>18</v>
      </c>
      <c r="J92" s="3" t="s">
        <v>19</v>
      </c>
      <c r="K92" s="3" t="s">
        <v>14</v>
      </c>
      <c r="L92" s="3" t="s">
        <v>246</v>
      </c>
      <c r="M92" s="4">
        <v>46146</v>
      </c>
      <c r="N92" s="3" t="s">
        <v>247</v>
      </c>
      <c r="O92" s="3" t="s">
        <v>144</v>
      </c>
      <c r="P92" t="str">
        <f t="shared" si="1"/>
        <v>450011578350</v>
      </c>
      <c r="Q92" s="7" cm="1">
        <f t="array" ref="Q92:S92">VLOOKUP(P92,Hoja1!C:F,{2,3,4},FALSE)</f>
        <v>46142</v>
      </c>
      <c r="R92" t="str">
        <v>C24</v>
      </c>
      <c r="S92" t="str">
        <v>1000000185 BUREAU VERITAS ARG. S.A.</v>
      </c>
    </row>
    <row r="93" spans="1:19" x14ac:dyDescent="0.3">
      <c r="A93" s="2" t="s">
        <v>14</v>
      </c>
      <c r="B93" s="3" t="s">
        <v>14</v>
      </c>
      <c r="C93" s="3" t="s">
        <v>248</v>
      </c>
      <c r="D93" s="3" t="s">
        <v>14</v>
      </c>
      <c r="E93" s="3" t="s">
        <v>194</v>
      </c>
      <c r="F93" s="4">
        <v>46146</v>
      </c>
      <c r="G93" s="3" t="s">
        <v>27</v>
      </c>
      <c r="H93" s="6">
        <v>275400</v>
      </c>
      <c r="I93" s="3" t="s">
        <v>18</v>
      </c>
      <c r="J93" s="3" t="s">
        <v>19</v>
      </c>
      <c r="K93" s="3" t="s">
        <v>14</v>
      </c>
      <c r="L93" s="3" t="s">
        <v>221</v>
      </c>
      <c r="M93" s="4">
        <v>46146</v>
      </c>
      <c r="N93" s="3" t="s">
        <v>222</v>
      </c>
      <c r="O93" s="3" t="s">
        <v>30</v>
      </c>
      <c r="P93" t="str">
        <f t="shared" si="1"/>
        <v>450011874510</v>
      </c>
      <c r="Q93" s="7" cm="1">
        <f t="array" ref="Q93:S93">VLOOKUP(P93,Hoja1!C:F,{2,3,4},FALSE)</f>
        <v>46387</v>
      </c>
      <c r="R93" t="str">
        <v>C24</v>
      </c>
      <c r="S93" t="str">
        <v>1000000026 NEURALSOFT S.R.L.</v>
      </c>
    </row>
    <row r="94" spans="1:19" x14ac:dyDescent="0.3">
      <c r="A94" s="2" t="s">
        <v>14</v>
      </c>
      <c r="B94" s="3" t="s">
        <v>14</v>
      </c>
      <c r="C94" s="3" t="s">
        <v>249</v>
      </c>
      <c r="D94" s="3" t="s">
        <v>14</v>
      </c>
      <c r="E94" s="3" t="s">
        <v>194</v>
      </c>
      <c r="F94" s="4">
        <v>46135</v>
      </c>
      <c r="G94" s="3" t="s">
        <v>17</v>
      </c>
      <c r="H94" s="5">
        <v>-11000</v>
      </c>
      <c r="I94" s="3" t="s">
        <v>18</v>
      </c>
      <c r="J94" s="3" t="s">
        <v>250</v>
      </c>
      <c r="K94" s="3" t="s">
        <v>14</v>
      </c>
      <c r="L94" s="3" t="s">
        <v>251</v>
      </c>
      <c r="M94" s="4">
        <v>46136</v>
      </c>
      <c r="N94" s="3" t="s">
        <v>252</v>
      </c>
      <c r="O94" s="3" t="s">
        <v>30</v>
      </c>
      <c r="P94" t="str">
        <f t="shared" si="1"/>
        <v>450012589410</v>
      </c>
      <c r="Q94" s="7" cm="1">
        <f t="array" ref="Q94:S94">VLOOKUP(P94,Hoja1!C:F,{2,3,4},FALSE)</f>
        <v>46142</v>
      </c>
      <c r="R94" t="str">
        <v>C42</v>
      </c>
      <c r="S94" t="str">
        <v>1000000452 INGENIERIA BOGGIO S.A</v>
      </c>
    </row>
    <row r="95" spans="1:19" x14ac:dyDescent="0.3">
      <c r="A95" s="2" t="s">
        <v>14</v>
      </c>
      <c r="B95" s="3" t="s">
        <v>14</v>
      </c>
      <c r="C95" s="3" t="s">
        <v>253</v>
      </c>
      <c r="D95" s="3" t="s">
        <v>14</v>
      </c>
      <c r="E95" s="3" t="s">
        <v>194</v>
      </c>
      <c r="F95" s="4">
        <v>46132</v>
      </c>
      <c r="G95" s="3" t="s">
        <v>27</v>
      </c>
      <c r="H95" s="6">
        <v>143356</v>
      </c>
      <c r="I95" s="3" t="s">
        <v>18</v>
      </c>
      <c r="J95" s="3" t="s">
        <v>19</v>
      </c>
      <c r="K95" s="3" t="s">
        <v>14</v>
      </c>
      <c r="L95" s="3" t="s">
        <v>254</v>
      </c>
      <c r="M95" s="4">
        <v>46149</v>
      </c>
      <c r="N95" s="3" t="s">
        <v>255</v>
      </c>
      <c r="O95" s="3" t="s">
        <v>30</v>
      </c>
      <c r="P95" t="str">
        <f t="shared" si="1"/>
        <v>450012547210</v>
      </c>
      <c r="Q95" s="7" cm="1">
        <f t="array" ref="Q95:S95">VLOOKUP(P95,Hoja1!C:F,{2,3,4},FALSE)</f>
        <v>46259</v>
      </c>
      <c r="R95" t="str">
        <v>C38</v>
      </c>
      <c r="S95" t="str">
        <v>1000010401 BASUALDO NECCHI MARCOS GABRIEL</v>
      </c>
    </row>
    <row r="96" spans="1:19" x14ac:dyDescent="0.3">
      <c r="A96" s="2" t="s">
        <v>14</v>
      </c>
      <c r="B96" s="3" t="s">
        <v>14</v>
      </c>
      <c r="C96" s="3" t="s">
        <v>256</v>
      </c>
      <c r="D96" s="3" t="s">
        <v>14</v>
      </c>
      <c r="E96" s="3" t="s">
        <v>194</v>
      </c>
      <c r="F96" s="4">
        <v>46132</v>
      </c>
      <c r="G96" s="3" t="s">
        <v>27</v>
      </c>
      <c r="H96" s="6">
        <v>143356</v>
      </c>
      <c r="I96" s="3" t="s">
        <v>18</v>
      </c>
      <c r="J96" s="3" t="s">
        <v>19</v>
      </c>
      <c r="K96" s="3" t="s">
        <v>14</v>
      </c>
      <c r="L96" s="3" t="s">
        <v>254</v>
      </c>
      <c r="M96" s="4">
        <v>46149</v>
      </c>
      <c r="N96" s="3" t="s">
        <v>255</v>
      </c>
      <c r="O96" s="3" t="s">
        <v>22</v>
      </c>
      <c r="P96" t="str">
        <f t="shared" si="1"/>
        <v>450012547220</v>
      </c>
      <c r="Q96" s="7" cm="1">
        <f t="array" ref="Q96:S96">VLOOKUP(P96,Hoja1!C:F,{2,3,4},FALSE)</f>
        <v>46259</v>
      </c>
      <c r="R96" t="str">
        <v>C38</v>
      </c>
      <c r="S96" t="str">
        <v>1000010401 BASUALDO NECCHI MARCOS GABRIEL</v>
      </c>
    </row>
    <row r="97" spans="1:19" x14ac:dyDescent="0.3">
      <c r="A97" s="2" t="s">
        <v>14</v>
      </c>
      <c r="B97" s="3" t="s">
        <v>14</v>
      </c>
      <c r="C97" s="3" t="s">
        <v>257</v>
      </c>
      <c r="D97" s="3" t="s">
        <v>14</v>
      </c>
      <c r="E97" s="3" t="s">
        <v>194</v>
      </c>
      <c r="F97" s="4">
        <v>46150</v>
      </c>
      <c r="G97" s="3" t="s">
        <v>27</v>
      </c>
      <c r="H97" s="6">
        <v>39802.6</v>
      </c>
      <c r="I97" s="3" t="s">
        <v>18</v>
      </c>
      <c r="J97" s="3" t="s">
        <v>19</v>
      </c>
      <c r="K97" s="3" t="s">
        <v>14</v>
      </c>
      <c r="L97" s="3" t="s">
        <v>232</v>
      </c>
      <c r="M97" s="4">
        <v>46153</v>
      </c>
      <c r="N97" s="3" t="s">
        <v>258</v>
      </c>
      <c r="O97" s="3" t="s">
        <v>30</v>
      </c>
      <c r="P97" t="str">
        <f t="shared" si="1"/>
        <v>450012728510</v>
      </c>
      <c r="Q97" s="7" cm="1">
        <f t="array" ref="Q97:S97">VLOOKUP(P97,Hoja1!C:F,{2,3,4},FALSE)</f>
        <v>46155</v>
      </c>
      <c r="R97" t="str">
        <v>EFO</v>
      </c>
      <c r="S97" t="str">
        <v>1000000572 GRUAS SAN BLAS S.A</v>
      </c>
    </row>
    <row r="98" spans="1:19" x14ac:dyDescent="0.3">
      <c r="A98" s="2" t="s">
        <v>14</v>
      </c>
      <c r="B98" s="3" t="s">
        <v>14</v>
      </c>
      <c r="C98" s="3" t="s">
        <v>259</v>
      </c>
      <c r="D98" s="3" t="s">
        <v>14</v>
      </c>
      <c r="E98" s="3" t="s">
        <v>194</v>
      </c>
      <c r="F98" s="4">
        <v>46132</v>
      </c>
      <c r="G98" s="3" t="s">
        <v>27</v>
      </c>
      <c r="H98" s="6">
        <v>32000</v>
      </c>
      <c r="I98" s="3" t="s">
        <v>18</v>
      </c>
      <c r="J98" s="3" t="s">
        <v>19</v>
      </c>
      <c r="K98" s="3" t="s">
        <v>14</v>
      </c>
      <c r="L98" s="3" t="s">
        <v>246</v>
      </c>
      <c r="M98" s="4">
        <v>46154</v>
      </c>
      <c r="N98" s="3" t="s">
        <v>247</v>
      </c>
      <c r="O98" s="3" t="s">
        <v>144</v>
      </c>
      <c r="P98" t="str">
        <f t="shared" si="1"/>
        <v>450011578350</v>
      </c>
      <c r="Q98" s="7" cm="1">
        <f t="array" ref="Q98:S98">VLOOKUP(P98,Hoja1!C:F,{2,3,4},FALSE)</f>
        <v>46142</v>
      </c>
      <c r="R98" t="str">
        <v>C24</v>
      </c>
      <c r="S98" t="str">
        <v>1000000185 BUREAU VERITAS ARG. S.A.</v>
      </c>
    </row>
    <row r="99" spans="1:19" x14ac:dyDescent="0.3">
      <c r="A99" s="2" t="s">
        <v>14</v>
      </c>
      <c r="B99" s="3" t="s">
        <v>14</v>
      </c>
      <c r="C99" s="3" t="s">
        <v>260</v>
      </c>
      <c r="D99" s="3" t="s">
        <v>32</v>
      </c>
      <c r="E99" s="3" t="s">
        <v>194</v>
      </c>
      <c r="F99" s="4">
        <v>46148</v>
      </c>
      <c r="G99" s="3" t="s">
        <v>27</v>
      </c>
      <c r="H99" s="6">
        <v>150000</v>
      </c>
      <c r="I99" s="3" t="s">
        <v>18</v>
      </c>
      <c r="J99" s="3" t="s">
        <v>19</v>
      </c>
      <c r="K99" s="3" t="s">
        <v>14</v>
      </c>
      <c r="L99" s="3" t="s">
        <v>181</v>
      </c>
      <c r="M99" s="4">
        <v>46156</v>
      </c>
      <c r="N99" s="3" t="s">
        <v>261</v>
      </c>
      <c r="O99" s="3" t="s">
        <v>30</v>
      </c>
      <c r="P99" t="str">
        <f t="shared" si="1"/>
        <v>450012237610</v>
      </c>
      <c r="Q99" s="7" cm="1">
        <f t="array" ref="Q99:S99">VLOOKUP(P99,Hoja1!C:F,{2,3,4},FALSE)</f>
        <v>46174</v>
      </c>
      <c r="R99" t="str">
        <v>EFO</v>
      </c>
      <c r="S99" t="str">
        <v>1000011461 CONTRERAS BRIAN ALEXANDER</v>
      </c>
    </row>
    <row r="100" spans="1:19" x14ac:dyDescent="0.3">
      <c r="A100" s="2" t="s">
        <v>14</v>
      </c>
      <c r="B100" s="3" t="s">
        <v>14</v>
      </c>
      <c r="C100" s="3" t="s">
        <v>260</v>
      </c>
      <c r="D100" s="3" t="s">
        <v>32</v>
      </c>
      <c r="E100" s="3" t="s">
        <v>194</v>
      </c>
      <c r="F100" s="4">
        <v>46148</v>
      </c>
      <c r="G100" s="3" t="s">
        <v>27</v>
      </c>
      <c r="H100" s="6">
        <v>120000</v>
      </c>
      <c r="I100" s="3" t="s">
        <v>18</v>
      </c>
      <c r="J100" s="3" t="s">
        <v>19</v>
      </c>
      <c r="K100" s="3" t="s">
        <v>14</v>
      </c>
      <c r="L100" s="3" t="s">
        <v>181</v>
      </c>
      <c r="M100" s="4">
        <v>46156</v>
      </c>
      <c r="N100" s="3" t="s">
        <v>261</v>
      </c>
      <c r="O100" s="3" t="s">
        <v>22</v>
      </c>
      <c r="P100" t="str">
        <f t="shared" si="1"/>
        <v>450012237620</v>
      </c>
      <c r="Q100" s="7" cm="1">
        <f t="array" ref="Q100:S100">VLOOKUP(P100,Hoja1!C:F,{2,3,4},FALSE)</f>
        <v>46174</v>
      </c>
      <c r="R100" t="str">
        <v>EFO</v>
      </c>
      <c r="S100" t="str">
        <v>1000011461 CONTRERAS BRIAN ALEXANDER</v>
      </c>
    </row>
    <row r="101" spans="1:19" x14ac:dyDescent="0.3">
      <c r="A101" s="2" t="s">
        <v>14</v>
      </c>
      <c r="B101" s="3" t="s">
        <v>14</v>
      </c>
      <c r="C101" s="3" t="s">
        <v>260</v>
      </c>
      <c r="D101" s="3" t="s">
        <v>32</v>
      </c>
      <c r="E101" s="3" t="s">
        <v>194</v>
      </c>
      <c r="F101" s="4">
        <v>46148</v>
      </c>
      <c r="G101" s="3" t="s">
        <v>27</v>
      </c>
      <c r="H101" s="6">
        <v>1496956.52</v>
      </c>
      <c r="I101" s="3" t="s">
        <v>18</v>
      </c>
      <c r="J101" s="3" t="s">
        <v>19</v>
      </c>
      <c r="K101" s="3" t="s">
        <v>14</v>
      </c>
      <c r="L101" s="3" t="s">
        <v>181</v>
      </c>
      <c r="M101" s="4">
        <v>46156</v>
      </c>
      <c r="N101" s="3" t="s">
        <v>261</v>
      </c>
      <c r="O101" s="3" t="s">
        <v>35</v>
      </c>
      <c r="P101" t="str">
        <f t="shared" si="1"/>
        <v>450012237630</v>
      </c>
      <c r="Q101" s="7" cm="1">
        <f t="array" ref="Q101:S101">VLOOKUP(P101,Hoja1!C:F,{2,3,4},FALSE)</f>
        <v>46174</v>
      </c>
      <c r="R101" t="str">
        <v>EFO</v>
      </c>
      <c r="S101" t="str">
        <v>1000011461 CONTRERAS BRIAN ALEXANDER</v>
      </c>
    </row>
    <row r="102" spans="1:19" x14ac:dyDescent="0.3">
      <c r="A102" s="2" t="s">
        <v>14</v>
      </c>
      <c r="B102" s="3" t="s">
        <v>14</v>
      </c>
      <c r="C102" s="3" t="s">
        <v>260</v>
      </c>
      <c r="D102" s="3" t="s">
        <v>32</v>
      </c>
      <c r="E102" s="3" t="s">
        <v>194</v>
      </c>
      <c r="F102" s="4">
        <v>46148</v>
      </c>
      <c r="G102" s="3" t="s">
        <v>27</v>
      </c>
      <c r="H102" s="6">
        <v>60000</v>
      </c>
      <c r="I102" s="3" t="s">
        <v>18</v>
      </c>
      <c r="J102" s="3" t="s">
        <v>19</v>
      </c>
      <c r="K102" s="3" t="s">
        <v>14</v>
      </c>
      <c r="L102" s="3" t="s">
        <v>181</v>
      </c>
      <c r="M102" s="4">
        <v>46156</v>
      </c>
      <c r="N102" s="3" t="s">
        <v>261</v>
      </c>
      <c r="O102" s="3" t="s">
        <v>141</v>
      </c>
      <c r="P102" t="str">
        <f t="shared" si="1"/>
        <v>450012237660</v>
      </c>
      <c r="Q102" s="7" cm="1">
        <f t="array" ref="Q102:S102">VLOOKUP(P102,Hoja1!C:F,{2,3,4},FALSE)</f>
        <v>46174</v>
      </c>
      <c r="R102" t="str">
        <v>EFO</v>
      </c>
      <c r="S102" t="str">
        <v>1000011461 CONTRERAS BRIAN ALEXANDER</v>
      </c>
    </row>
    <row r="103" spans="1:19" x14ac:dyDescent="0.3">
      <c r="A103" s="2" t="s">
        <v>14</v>
      </c>
      <c r="B103" s="3" t="s">
        <v>14</v>
      </c>
      <c r="C103" s="3" t="s">
        <v>262</v>
      </c>
      <c r="D103" s="3" t="s">
        <v>14</v>
      </c>
      <c r="E103" s="3" t="s">
        <v>194</v>
      </c>
      <c r="F103" s="4">
        <v>46154</v>
      </c>
      <c r="G103" s="3" t="s">
        <v>27</v>
      </c>
      <c r="H103" s="6">
        <v>191700</v>
      </c>
      <c r="I103" s="3" t="s">
        <v>18</v>
      </c>
      <c r="J103" s="3" t="s">
        <v>39</v>
      </c>
      <c r="K103" s="3" t="s">
        <v>14</v>
      </c>
      <c r="L103" s="3" t="s">
        <v>263</v>
      </c>
      <c r="M103" s="4">
        <v>46161</v>
      </c>
      <c r="N103" s="3" t="s">
        <v>264</v>
      </c>
      <c r="O103" s="3" t="s">
        <v>30</v>
      </c>
      <c r="P103" t="str">
        <f t="shared" si="1"/>
        <v>450012738710</v>
      </c>
      <c r="Q103" s="7" cm="1">
        <f t="array" ref="Q103:S103">VLOOKUP(P103,Hoja1!C:F,{2,3,4},FALSE)</f>
        <v>46538</v>
      </c>
      <c r="R103" t="str">
        <v>C24</v>
      </c>
      <c r="S103" t="str">
        <v>1000011891 MACHAIN LUCIANO</v>
      </c>
    </row>
    <row r="104" spans="1:19" x14ac:dyDescent="0.3">
      <c r="A104" s="2" t="s">
        <v>14</v>
      </c>
      <c r="B104" s="3" t="s">
        <v>14</v>
      </c>
      <c r="C104" s="3" t="s">
        <v>265</v>
      </c>
      <c r="D104" s="3" t="s">
        <v>14</v>
      </c>
      <c r="E104" s="3" t="s">
        <v>194</v>
      </c>
      <c r="F104" s="4">
        <v>46136</v>
      </c>
      <c r="G104" s="3" t="s">
        <v>27</v>
      </c>
      <c r="H104" s="6">
        <v>72346.2</v>
      </c>
      <c r="I104" s="3" t="s">
        <v>18</v>
      </c>
      <c r="J104" s="3" t="s">
        <v>19</v>
      </c>
      <c r="K104" s="3" t="s">
        <v>14</v>
      </c>
      <c r="L104" s="3" t="s">
        <v>266</v>
      </c>
      <c r="M104" s="4">
        <v>46161</v>
      </c>
      <c r="N104" s="3" t="s">
        <v>267</v>
      </c>
      <c r="O104" s="3" t="s">
        <v>35</v>
      </c>
      <c r="P104" t="str">
        <f t="shared" si="1"/>
        <v>450012548330</v>
      </c>
      <c r="Q104" s="7" cm="1">
        <f t="array" ref="Q104:S104">VLOOKUP(P104,Hoja1!C:F,{2,3,4},FALSE)</f>
        <v>46136</v>
      </c>
      <c r="R104" t="str">
        <v>C19</v>
      </c>
      <c r="S104" t="str">
        <v>1000000530 RIVESTIMENTO SRL</v>
      </c>
    </row>
    <row r="105" spans="1:19" x14ac:dyDescent="0.3">
      <c r="A105" s="2" t="s">
        <v>14</v>
      </c>
      <c r="B105" s="3" t="s">
        <v>14</v>
      </c>
      <c r="C105" s="3" t="s">
        <v>268</v>
      </c>
      <c r="D105" s="3" t="s">
        <v>14</v>
      </c>
      <c r="E105" s="3" t="s">
        <v>194</v>
      </c>
      <c r="F105" s="4">
        <v>46154</v>
      </c>
      <c r="G105" s="3" t="s">
        <v>27</v>
      </c>
      <c r="H105" s="6">
        <v>305640</v>
      </c>
      <c r="I105" s="3" t="s">
        <v>18</v>
      </c>
      <c r="J105" s="3" t="s">
        <v>19</v>
      </c>
      <c r="K105" s="3" t="s">
        <v>14</v>
      </c>
      <c r="L105" s="3" t="s">
        <v>269</v>
      </c>
      <c r="M105" s="4">
        <v>46162</v>
      </c>
      <c r="N105" s="3" t="s">
        <v>270</v>
      </c>
      <c r="O105" s="3" t="s">
        <v>173</v>
      </c>
      <c r="P105" t="str">
        <f t="shared" si="1"/>
        <v>4500126929290</v>
      </c>
      <c r="Q105" s="7" cm="1">
        <f t="array" ref="Q105:S105">VLOOKUP(P105,Hoja1!C:F,{2,3,4},FALSE)</f>
        <v>46203</v>
      </c>
      <c r="R105" t="str">
        <v>C03</v>
      </c>
      <c r="S105" t="str">
        <v>1000000190 FERNANDEZ INSUA S.A.</v>
      </c>
    </row>
    <row r="106" spans="1:19" x14ac:dyDescent="0.3">
      <c r="A106" s="2" t="s">
        <v>14</v>
      </c>
      <c r="B106" s="3" t="s">
        <v>14</v>
      </c>
      <c r="C106" s="3" t="s">
        <v>271</v>
      </c>
      <c r="D106" s="3" t="s">
        <v>14</v>
      </c>
      <c r="E106" s="3" t="s">
        <v>194</v>
      </c>
      <c r="F106" s="4">
        <v>46151</v>
      </c>
      <c r="G106" s="3" t="s">
        <v>27</v>
      </c>
      <c r="H106" s="6">
        <v>40500</v>
      </c>
      <c r="I106" s="3" t="s">
        <v>18</v>
      </c>
      <c r="J106" s="3" t="s">
        <v>19</v>
      </c>
      <c r="K106" s="3" t="s">
        <v>14</v>
      </c>
      <c r="L106" s="3" t="s">
        <v>198</v>
      </c>
      <c r="M106" s="4">
        <v>46169</v>
      </c>
      <c r="N106" s="3" t="s">
        <v>272</v>
      </c>
      <c r="O106" s="3" t="s">
        <v>30</v>
      </c>
      <c r="P106" t="str">
        <f t="shared" si="1"/>
        <v>450012866510</v>
      </c>
      <c r="Q106" s="7" cm="1">
        <f t="array" ref="Q106:S106">VLOOKUP(P106,Hoja1!C:F,{2,3,4},FALSE)</f>
        <v>46150</v>
      </c>
      <c r="R106" t="str">
        <v>EFO</v>
      </c>
      <c r="S106" t="str">
        <v>1000000929 ANTINORO FRANCISCO ERNESTO</v>
      </c>
    </row>
    <row r="107" spans="1:19" x14ac:dyDescent="0.3">
      <c r="A107" s="2" t="s">
        <v>14</v>
      </c>
      <c r="B107" s="3" t="s">
        <v>14</v>
      </c>
      <c r="C107" s="3" t="s">
        <v>273</v>
      </c>
      <c r="D107" s="3" t="s">
        <v>14</v>
      </c>
      <c r="E107" s="3" t="s">
        <v>194</v>
      </c>
      <c r="F107" s="4">
        <v>46160</v>
      </c>
      <c r="G107" s="3" t="s">
        <v>27</v>
      </c>
      <c r="H107" s="6">
        <v>170968</v>
      </c>
      <c r="I107" s="3" t="s">
        <v>18</v>
      </c>
      <c r="J107" s="3" t="s">
        <v>19</v>
      </c>
      <c r="K107" s="3" t="s">
        <v>14</v>
      </c>
      <c r="L107" s="3" t="s">
        <v>274</v>
      </c>
      <c r="M107" s="4">
        <v>46169</v>
      </c>
      <c r="N107" s="3" t="s">
        <v>275</v>
      </c>
      <c r="O107" s="3" t="s">
        <v>22</v>
      </c>
      <c r="P107" t="str">
        <f t="shared" si="1"/>
        <v>450012866420</v>
      </c>
      <c r="Q107" s="7" cm="1">
        <f t="array" ref="Q107:S107">VLOOKUP(P107,Hoja1!C:F,{2,3,4},FALSE)</f>
        <v>46181</v>
      </c>
      <c r="R107" t="str">
        <v>EFO</v>
      </c>
      <c r="S107" t="str">
        <v>1000000072 BERTEC S.A</v>
      </c>
    </row>
    <row r="108" spans="1:19" x14ac:dyDescent="0.3">
      <c r="A108" s="2" t="s">
        <v>14</v>
      </c>
      <c r="B108" s="3" t="s">
        <v>14</v>
      </c>
      <c r="C108" s="3" t="s">
        <v>276</v>
      </c>
      <c r="D108" s="3" t="s">
        <v>14</v>
      </c>
      <c r="E108" s="3" t="s">
        <v>194</v>
      </c>
      <c r="F108" s="4">
        <v>46160</v>
      </c>
      <c r="G108" s="3" t="s">
        <v>27</v>
      </c>
      <c r="H108" s="6">
        <v>111754</v>
      </c>
      <c r="I108" s="3" t="s">
        <v>18</v>
      </c>
      <c r="J108" s="3" t="s">
        <v>19</v>
      </c>
      <c r="K108" s="3" t="s">
        <v>14</v>
      </c>
      <c r="L108" s="3" t="s">
        <v>274</v>
      </c>
      <c r="M108" s="4">
        <v>46169</v>
      </c>
      <c r="N108" s="3" t="s">
        <v>277</v>
      </c>
      <c r="O108" s="3" t="s">
        <v>30</v>
      </c>
      <c r="P108" t="str">
        <f t="shared" si="1"/>
        <v>450012866310</v>
      </c>
      <c r="Q108" s="7" cm="1">
        <f t="array" ref="Q108:S108">VLOOKUP(P108,Hoja1!C:F,{2,3,4},FALSE)</f>
        <v>46188</v>
      </c>
      <c r="R108" t="str">
        <v>EFO</v>
      </c>
      <c r="S108" t="str">
        <v>1000000072 BERTEC S.A</v>
      </c>
    </row>
    <row r="109" spans="1:19" x14ac:dyDescent="0.3">
      <c r="A109" s="2" t="s">
        <v>14</v>
      </c>
      <c r="B109" s="3" t="s">
        <v>14</v>
      </c>
      <c r="C109" s="3" t="s">
        <v>278</v>
      </c>
      <c r="D109" s="3" t="s">
        <v>14</v>
      </c>
      <c r="E109" s="3" t="s">
        <v>194</v>
      </c>
      <c r="F109" s="4">
        <v>46168</v>
      </c>
      <c r="G109" s="3" t="s">
        <v>27</v>
      </c>
      <c r="H109" s="6">
        <v>5216498.28</v>
      </c>
      <c r="I109" s="3" t="s">
        <v>18</v>
      </c>
      <c r="J109" s="3" t="s">
        <v>19</v>
      </c>
      <c r="K109" s="3" t="s">
        <v>14</v>
      </c>
      <c r="L109" s="3" t="s">
        <v>279</v>
      </c>
      <c r="M109" s="4">
        <v>46170</v>
      </c>
      <c r="N109" s="3" t="s">
        <v>280</v>
      </c>
      <c r="O109" s="3" t="s">
        <v>30</v>
      </c>
      <c r="P109" t="str">
        <f t="shared" si="1"/>
        <v>450012861210</v>
      </c>
      <c r="Q109" s="7" cm="1">
        <f t="array" ref="Q109:S109">VLOOKUP(P109,Hoja1!C:F,{2,3,4},FALSE)</f>
        <v>46295</v>
      </c>
      <c r="R109" t="str">
        <v>C15</v>
      </c>
      <c r="S109" t="str">
        <v>1000010190 ANDREANI LOGISTICA SA</v>
      </c>
    </row>
    <row r="110" spans="1:19" x14ac:dyDescent="0.3">
      <c r="A110" s="2" t="s">
        <v>14</v>
      </c>
      <c r="B110" s="3" t="s">
        <v>14</v>
      </c>
      <c r="C110" s="3" t="s">
        <v>281</v>
      </c>
      <c r="D110" s="3" t="s">
        <v>32</v>
      </c>
      <c r="E110" s="3" t="s">
        <v>194</v>
      </c>
      <c r="F110" s="4">
        <v>46142</v>
      </c>
      <c r="G110" s="3" t="s">
        <v>27</v>
      </c>
      <c r="H110" s="6">
        <v>1856261</v>
      </c>
      <c r="I110" s="3" t="s">
        <v>18</v>
      </c>
      <c r="J110" s="3" t="s">
        <v>19</v>
      </c>
      <c r="K110" s="3" t="s">
        <v>14</v>
      </c>
      <c r="L110" s="3" t="s">
        <v>62</v>
      </c>
      <c r="M110" s="4">
        <v>46174</v>
      </c>
      <c r="N110" s="3" t="s">
        <v>282</v>
      </c>
      <c r="O110" s="3" t="s">
        <v>30</v>
      </c>
      <c r="P110" t="str">
        <f t="shared" si="1"/>
        <v>450012100410</v>
      </c>
      <c r="Q110" s="7" cm="1">
        <f t="array" ref="Q110:S110">VLOOKUP(P110,Hoja1!C:F,{2,3,4},FALSE)</f>
        <v>46121</v>
      </c>
      <c r="R110" t="str">
        <v>C11</v>
      </c>
      <c r="S110" t="str">
        <v>1000012787 FELRRO SRL</v>
      </c>
    </row>
    <row r="111" spans="1:19" x14ac:dyDescent="0.3">
      <c r="A111" s="2" t="s">
        <v>14</v>
      </c>
      <c r="B111" s="3" t="s">
        <v>14</v>
      </c>
      <c r="C111" s="3" t="s">
        <v>283</v>
      </c>
      <c r="D111" s="3" t="s">
        <v>14</v>
      </c>
      <c r="E111" s="3" t="s">
        <v>194</v>
      </c>
      <c r="F111" s="4">
        <v>46174</v>
      </c>
      <c r="G111" s="3" t="s">
        <v>27</v>
      </c>
      <c r="H111" s="6">
        <v>275400</v>
      </c>
      <c r="I111" s="3" t="s">
        <v>18</v>
      </c>
      <c r="J111" s="3" t="s">
        <v>19</v>
      </c>
      <c r="K111" s="3" t="s">
        <v>14</v>
      </c>
      <c r="L111" s="3" t="s">
        <v>221</v>
      </c>
      <c r="M111" s="4">
        <v>46175</v>
      </c>
      <c r="N111" s="3" t="s">
        <v>222</v>
      </c>
      <c r="O111" s="3" t="s">
        <v>30</v>
      </c>
      <c r="P111" t="str">
        <f t="shared" si="1"/>
        <v>450011874510</v>
      </c>
      <c r="Q111" s="7" cm="1">
        <f t="array" ref="Q111:S111">VLOOKUP(P111,Hoja1!C:F,{2,3,4},FALSE)</f>
        <v>46387</v>
      </c>
      <c r="R111" t="str">
        <v>C24</v>
      </c>
      <c r="S111" t="str">
        <v>1000000026 NEURALSOFT S.R.L.</v>
      </c>
    </row>
    <row r="112" spans="1:19" x14ac:dyDescent="0.3">
      <c r="A112" s="2" t="s">
        <v>14</v>
      </c>
      <c r="B112" s="3" t="s">
        <v>14</v>
      </c>
      <c r="C112" s="3" t="s">
        <v>284</v>
      </c>
      <c r="D112" s="3" t="s">
        <v>14</v>
      </c>
      <c r="E112" s="3" t="s">
        <v>194</v>
      </c>
      <c r="F112" s="4">
        <v>46142</v>
      </c>
      <c r="G112" s="3" t="s">
        <v>27</v>
      </c>
      <c r="H112" s="6">
        <v>549982.76</v>
      </c>
      <c r="I112" s="3" t="s">
        <v>18</v>
      </c>
      <c r="J112" s="3" t="s">
        <v>19</v>
      </c>
      <c r="K112" s="3" t="s">
        <v>14</v>
      </c>
      <c r="L112" s="3" t="s">
        <v>285</v>
      </c>
      <c r="M112" s="4">
        <v>46176</v>
      </c>
      <c r="N112" s="3" t="s">
        <v>286</v>
      </c>
      <c r="O112" s="3" t="s">
        <v>30</v>
      </c>
      <c r="P112" t="str">
        <f t="shared" si="1"/>
        <v>450012510110</v>
      </c>
      <c r="Q112" s="7" cm="1">
        <f t="array" ref="Q112:S112">VLOOKUP(P112,Hoja1!C:F,{2,3,4},FALSE)</f>
        <v>46157</v>
      </c>
      <c r="R112" t="str">
        <v>C42</v>
      </c>
      <c r="S112" t="str">
        <v>1000008600 AUTOMOTORES MEGA S.A.</v>
      </c>
    </row>
    <row r="113" spans="1:19" x14ac:dyDescent="0.3">
      <c r="A113" s="2" t="s">
        <v>14</v>
      </c>
      <c r="B113" s="3" t="s">
        <v>14</v>
      </c>
      <c r="C113" s="3" t="s">
        <v>287</v>
      </c>
      <c r="D113" s="3" t="s">
        <v>14</v>
      </c>
      <c r="E113" s="3" t="s">
        <v>194</v>
      </c>
      <c r="F113" s="4">
        <v>46153</v>
      </c>
      <c r="G113" s="3" t="s">
        <v>27</v>
      </c>
      <c r="H113" s="6">
        <v>8449</v>
      </c>
      <c r="I113" s="3" t="s">
        <v>18</v>
      </c>
      <c r="J113" s="3" t="s">
        <v>19</v>
      </c>
      <c r="K113" s="3" t="s">
        <v>14</v>
      </c>
      <c r="L113" s="3" t="s">
        <v>125</v>
      </c>
      <c r="M113" s="4">
        <v>46184</v>
      </c>
      <c r="N113" s="3" t="s">
        <v>288</v>
      </c>
      <c r="O113" s="3" t="s">
        <v>30</v>
      </c>
      <c r="P113" t="str">
        <f t="shared" si="1"/>
        <v>450012993610</v>
      </c>
      <c r="Q113" s="7" cm="1">
        <f t="array" ref="Q113:S113">VLOOKUP(P113,Hoja1!C:F,{2,3,4},FALSE)</f>
        <v>46204</v>
      </c>
      <c r="R113" t="str">
        <v>EFO</v>
      </c>
      <c r="S113" t="str">
        <v>1000001470 SUDAMERICANA CAMIONES SA</v>
      </c>
    </row>
    <row r="114" spans="1:19" x14ac:dyDescent="0.3">
      <c r="A114" s="2" t="s">
        <v>14</v>
      </c>
      <c r="B114" s="3" t="s">
        <v>14</v>
      </c>
      <c r="C114" s="3" t="s">
        <v>287</v>
      </c>
      <c r="D114" s="3" t="s">
        <v>14</v>
      </c>
      <c r="E114" s="3" t="s">
        <v>194</v>
      </c>
      <c r="F114" s="4">
        <v>46153</v>
      </c>
      <c r="G114" s="3" t="s">
        <v>27</v>
      </c>
      <c r="H114" s="6">
        <v>424537.4</v>
      </c>
      <c r="I114" s="3" t="s">
        <v>18</v>
      </c>
      <c r="J114" s="3" t="s">
        <v>19</v>
      </c>
      <c r="K114" s="3" t="s">
        <v>14</v>
      </c>
      <c r="L114" s="3" t="s">
        <v>125</v>
      </c>
      <c r="M114" s="4">
        <v>46184</v>
      </c>
      <c r="N114" s="3" t="s">
        <v>288</v>
      </c>
      <c r="O114" s="3" t="s">
        <v>22</v>
      </c>
      <c r="P114" t="str">
        <f t="shared" si="1"/>
        <v>450012993620</v>
      </c>
      <c r="Q114" s="7" cm="1">
        <f t="array" ref="Q114:S114">VLOOKUP(P114,Hoja1!C:F,{2,3,4},FALSE)</f>
        <v>46204</v>
      </c>
      <c r="R114" t="str">
        <v>EFO</v>
      </c>
      <c r="S114" t="str">
        <v>1000001470 SUDAMERICANA CAMIONES SA</v>
      </c>
    </row>
    <row r="115" spans="1:19" x14ac:dyDescent="0.3">
      <c r="A115" s="2" t="s">
        <v>14</v>
      </c>
      <c r="B115" s="3" t="s">
        <v>14</v>
      </c>
      <c r="C115" s="3" t="s">
        <v>287</v>
      </c>
      <c r="D115" s="3" t="s">
        <v>14</v>
      </c>
      <c r="E115" s="3" t="s">
        <v>194</v>
      </c>
      <c r="F115" s="4">
        <v>46153</v>
      </c>
      <c r="G115" s="3" t="s">
        <v>27</v>
      </c>
      <c r="H115" s="6">
        <v>39561.199999999997</v>
      </c>
      <c r="I115" s="3" t="s">
        <v>18</v>
      </c>
      <c r="J115" s="3" t="s">
        <v>19</v>
      </c>
      <c r="K115" s="3" t="s">
        <v>14</v>
      </c>
      <c r="L115" s="3" t="s">
        <v>125</v>
      </c>
      <c r="M115" s="4">
        <v>46184</v>
      </c>
      <c r="N115" s="3" t="s">
        <v>288</v>
      </c>
      <c r="O115" s="3" t="s">
        <v>144</v>
      </c>
      <c r="P115" t="str">
        <f t="shared" si="1"/>
        <v>450012993650</v>
      </c>
      <c r="Q115" s="7" cm="1">
        <f t="array" ref="Q115:S115">VLOOKUP(P115,Hoja1!C:F,{2,3,4},FALSE)</f>
        <v>46204</v>
      </c>
      <c r="R115" t="str">
        <v>EFO</v>
      </c>
      <c r="S115" t="str">
        <v>1000001470 SUDAMERICANA CAMIONES SA</v>
      </c>
    </row>
    <row r="116" spans="1:19" x14ac:dyDescent="0.3">
      <c r="A116" s="2" t="s">
        <v>14</v>
      </c>
      <c r="B116" s="3" t="s">
        <v>14</v>
      </c>
      <c r="C116" s="3" t="s">
        <v>287</v>
      </c>
      <c r="D116" s="3" t="s">
        <v>14</v>
      </c>
      <c r="E116" s="3" t="s">
        <v>194</v>
      </c>
      <c r="F116" s="4">
        <v>46153</v>
      </c>
      <c r="G116" s="3" t="s">
        <v>27</v>
      </c>
      <c r="H116" s="6">
        <v>39447.599999999999</v>
      </c>
      <c r="I116" s="3" t="s">
        <v>18</v>
      </c>
      <c r="J116" s="3" t="s">
        <v>19</v>
      </c>
      <c r="K116" s="3" t="s">
        <v>14</v>
      </c>
      <c r="L116" s="3" t="s">
        <v>125</v>
      </c>
      <c r="M116" s="4">
        <v>46184</v>
      </c>
      <c r="N116" s="3" t="s">
        <v>288</v>
      </c>
      <c r="O116" s="3" t="s">
        <v>141</v>
      </c>
      <c r="P116" t="str">
        <f t="shared" si="1"/>
        <v>450012993660</v>
      </c>
      <c r="Q116" s="7" cm="1">
        <f t="array" ref="Q116:S116">VLOOKUP(P116,Hoja1!C:F,{2,3,4},FALSE)</f>
        <v>46204</v>
      </c>
      <c r="R116" t="str">
        <v>EFO</v>
      </c>
      <c r="S116" t="str">
        <v>1000001470 SUDAMERICANA CAMIONES SA</v>
      </c>
    </row>
    <row r="117" spans="1:19" x14ac:dyDescent="0.3">
      <c r="A117" s="2" t="s">
        <v>14</v>
      </c>
      <c r="B117" s="3" t="s">
        <v>14</v>
      </c>
      <c r="C117" s="3" t="s">
        <v>287</v>
      </c>
      <c r="D117" s="3" t="s">
        <v>14</v>
      </c>
      <c r="E117" s="3" t="s">
        <v>194</v>
      </c>
      <c r="F117" s="4">
        <v>46153</v>
      </c>
      <c r="G117" s="3" t="s">
        <v>27</v>
      </c>
      <c r="H117" s="6">
        <v>11274.8</v>
      </c>
      <c r="I117" s="3" t="s">
        <v>18</v>
      </c>
      <c r="J117" s="3" t="s">
        <v>19</v>
      </c>
      <c r="K117" s="3" t="s">
        <v>14</v>
      </c>
      <c r="L117" s="3" t="s">
        <v>125</v>
      </c>
      <c r="M117" s="4">
        <v>46184</v>
      </c>
      <c r="N117" s="3" t="s">
        <v>288</v>
      </c>
      <c r="O117" s="3" t="s">
        <v>134</v>
      </c>
      <c r="P117" t="str">
        <f t="shared" si="1"/>
        <v>450012993670</v>
      </c>
      <c r="Q117" s="7" cm="1">
        <f t="array" ref="Q117:S117">VLOOKUP(P117,Hoja1!C:F,{2,3,4},FALSE)</f>
        <v>46204</v>
      </c>
      <c r="R117" t="str">
        <v>EFO</v>
      </c>
      <c r="S117" t="str">
        <v>1000001470 SUDAMERICANA CAMIONES SA</v>
      </c>
    </row>
    <row r="118" spans="1:19" x14ac:dyDescent="0.3">
      <c r="A118" s="2" t="s">
        <v>14</v>
      </c>
      <c r="B118" s="3" t="s">
        <v>14</v>
      </c>
      <c r="C118" s="3" t="s">
        <v>287</v>
      </c>
      <c r="D118" s="3" t="s">
        <v>14</v>
      </c>
      <c r="E118" s="3" t="s">
        <v>194</v>
      </c>
      <c r="F118" s="4">
        <v>46153</v>
      </c>
      <c r="G118" s="3" t="s">
        <v>27</v>
      </c>
      <c r="H118" s="6">
        <v>179360.2</v>
      </c>
      <c r="I118" s="3" t="s">
        <v>18</v>
      </c>
      <c r="J118" s="3" t="s">
        <v>19</v>
      </c>
      <c r="K118" s="3" t="s">
        <v>14</v>
      </c>
      <c r="L118" s="3" t="s">
        <v>125</v>
      </c>
      <c r="M118" s="4">
        <v>46184</v>
      </c>
      <c r="N118" s="3" t="s">
        <v>288</v>
      </c>
      <c r="O118" s="3" t="s">
        <v>52</v>
      </c>
      <c r="P118" t="str">
        <f t="shared" si="1"/>
        <v>450012993680</v>
      </c>
      <c r="Q118" s="7" cm="1">
        <f t="array" ref="Q118:S118">VLOOKUP(P118,Hoja1!C:F,{2,3,4},FALSE)</f>
        <v>46204</v>
      </c>
      <c r="R118" t="str">
        <v>EFO</v>
      </c>
      <c r="S118" t="str">
        <v>1000001470 SUDAMERICANA CAMIONES SA</v>
      </c>
    </row>
    <row r="119" spans="1:19" x14ac:dyDescent="0.3">
      <c r="A119" s="2" t="s">
        <v>14</v>
      </c>
      <c r="B119" s="3" t="s">
        <v>14</v>
      </c>
      <c r="C119" s="3" t="s">
        <v>287</v>
      </c>
      <c r="D119" s="3" t="s">
        <v>14</v>
      </c>
      <c r="E119" s="3" t="s">
        <v>194</v>
      </c>
      <c r="F119" s="4">
        <v>46153</v>
      </c>
      <c r="G119" s="3" t="s">
        <v>27</v>
      </c>
      <c r="H119" s="6">
        <v>11274.8</v>
      </c>
      <c r="I119" s="3" t="s">
        <v>18</v>
      </c>
      <c r="J119" s="3" t="s">
        <v>19</v>
      </c>
      <c r="K119" s="3" t="s">
        <v>14</v>
      </c>
      <c r="L119" s="3" t="s">
        <v>125</v>
      </c>
      <c r="M119" s="4">
        <v>46184</v>
      </c>
      <c r="N119" s="3" t="s">
        <v>288</v>
      </c>
      <c r="O119" s="3" t="s">
        <v>138</v>
      </c>
      <c r="P119" t="str">
        <f t="shared" si="1"/>
        <v>450012993690</v>
      </c>
      <c r="Q119" s="7" cm="1">
        <f t="array" ref="Q119:S119">VLOOKUP(P119,Hoja1!C:F,{2,3,4},FALSE)</f>
        <v>46204</v>
      </c>
      <c r="R119" t="str">
        <v>EFO</v>
      </c>
      <c r="S119" t="str">
        <v>1000001470 SUDAMERICANA CAMIONES SA</v>
      </c>
    </row>
    <row r="120" spans="1:19" x14ac:dyDescent="0.3">
      <c r="A120" s="2" t="s">
        <v>14</v>
      </c>
      <c r="B120" s="3" t="s">
        <v>14</v>
      </c>
      <c r="C120" s="3" t="s">
        <v>289</v>
      </c>
      <c r="D120" s="3" t="s">
        <v>14</v>
      </c>
      <c r="E120" s="3" t="s">
        <v>194</v>
      </c>
      <c r="F120" s="4">
        <v>46155</v>
      </c>
      <c r="G120" s="3" t="s">
        <v>27</v>
      </c>
      <c r="H120" s="6">
        <v>22002.3</v>
      </c>
      <c r="I120" s="3" t="s">
        <v>18</v>
      </c>
      <c r="J120" s="3" t="s">
        <v>19</v>
      </c>
      <c r="K120" s="3" t="s">
        <v>14</v>
      </c>
      <c r="L120" s="3" t="s">
        <v>125</v>
      </c>
      <c r="M120" s="4">
        <v>46184</v>
      </c>
      <c r="N120" s="3" t="s">
        <v>288</v>
      </c>
      <c r="O120" s="3" t="s">
        <v>35</v>
      </c>
      <c r="P120" t="str">
        <f t="shared" si="1"/>
        <v>450012993630</v>
      </c>
      <c r="Q120" s="7" cm="1">
        <f t="array" ref="Q120:S120">VLOOKUP(P120,Hoja1!C:F,{2,3,4},FALSE)</f>
        <v>46204</v>
      </c>
      <c r="R120" t="str">
        <v>EFO</v>
      </c>
      <c r="S120" t="str">
        <v>1000001470 SUDAMERICANA CAMIONES SA</v>
      </c>
    </row>
    <row r="121" spans="1:19" x14ac:dyDescent="0.3">
      <c r="A121" s="2" t="s">
        <v>14</v>
      </c>
      <c r="B121" s="3" t="s">
        <v>14</v>
      </c>
      <c r="C121" s="3" t="s">
        <v>289</v>
      </c>
      <c r="D121" s="3" t="s">
        <v>14</v>
      </c>
      <c r="E121" s="3" t="s">
        <v>194</v>
      </c>
      <c r="F121" s="4">
        <v>46155</v>
      </c>
      <c r="G121" s="3" t="s">
        <v>27</v>
      </c>
      <c r="H121" s="6">
        <v>685204.45</v>
      </c>
      <c r="I121" s="3" t="s">
        <v>18</v>
      </c>
      <c r="J121" s="3" t="s">
        <v>19</v>
      </c>
      <c r="K121" s="3" t="s">
        <v>14</v>
      </c>
      <c r="L121" s="3" t="s">
        <v>125</v>
      </c>
      <c r="M121" s="4">
        <v>46184</v>
      </c>
      <c r="N121" s="3" t="s">
        <v>288</v>
      </c>
      <c r="O121" s="3" t="s">
        <v>23</v>
      </c>
      <c r="P121" t="str">
        <f t="shared" si="1"/>
        <v>450012993640</v>
      </c>
      <c r="Q121" s="7" cm="1">
        <f t="array" ref="Q121:S121">VLOOKUP(P121,Hoja1!C:F,{2,3,4},FALSE)</f>
        <v>46204</v>
      </c>
      <c r="R121" t="str">
        <v>EFO</v>
      </c>
      <c r="S121" t="str">
        <v>1000001470 SUDAMERICANA CAMIONES SA</v>
      </c>
    </row>
    <row r="122" spans="1:19" x14ac:dyDescent="0.3">
      <c r="A122" s="2" t="s">
        <v>14</v>
      </c>
      <c r="B122" s="3" t="s">
        <v>14</v>
      </c>
      <c r="C122" s="3" t="s">
        <v>289</v>
      </c>
      <c r="D122" s="3" t="s">
        <v>14</v>
      </c>
      <c r="E122" s="3" t="s">
        <v>194</v>
      </c>
      <c r="F122" s="4">
        <v>46155</v>
      </c>
      <c r="G122" s="3" t="s">
        <v>27</v>
      </c>
      <c r="H122" s="6">
        <v>1818140.25</v>
      </c>
      <c r="I122" s="3" t="s">
        <v>18</v>
      </c>
      <c r="J122" s="3" t="s">
        <v>19</v>
      </c>
      <c r="K122" s="3" t="s">
        <v>14</v>
      </c>
      <c r="L122" s="3" t="s">
        <v>125</v>
      </c>
      <c r="M122" s="4">
        <v>46184</v>
      </c>
      <c r="N122" s="3" t="s">
        <v>290</v>
      </c>
      <c r="O122" s="3" t="s">
        <v>30</v>
      </c>
      <c r="P122" t="str">
        <f t="shared" si="1"/>
        <v>450012890910</v>
      </c>
      <c r="Q122" s="7" cm="1">
        <f t="array" ref="Q122:S122">VLOOKUP(P122,Hoja1!C:F,{2,3,4},FALSE)</f>
        <v>46158</v>
      </c>
      <c r="R122" t="str">
        <v>EFO</v>
      </c>
      <c r="S122" t="str">
        <v>1000001470 SUDAMERICANA CAMIONES SA</v>
      </c>
    </row>
    <row r="123" spans="1:19" x14ac:dyDescent="0.3">
      <c r="A123" s="2" t="s">
        <v>14</v>
      </c>
      <c r="B123" s="3" t="s">
        <v>14</v>
      </c>
      <c r="C123" s="3" t="s">
        <v>291</v>
      </c>
      <c r="D123" s="3" t="s">
        <v>14</v>
      </c>
      <c r="E123" s="3" t="s">
        <v>194</v>
      </c>
      <c r="F123" s="4">
        <v>46176</v>
      </c>
      <c r="G123" s="3" t="s">
        <v>27</v>
      </c>
      <c r="H123" s="6">
        <v>131833.31</v>
      </c>
      <c r="I123" s="3" t="s">
        <v>18</v>
      </c>
      <c r="J123" s="3" t="s">
        <v>19</v>
      </c>
      <c r="K123" s="3" t="s">
        <v>14</v>
      </c>
      <c r="L123" s="3" t="s">
        <v>226</v>
      </c>
      <c r="M123" s="4">
        <v>46184</v>
      </c>
      <c r="N123" s="3" t="s">
        <v>292</v>
      </c>
      <c r="O123" s="3" t="s">
        <v>35</v>
      </c>
      <c r="P123" t="str">
        <f t="shared" si="1"/>
        <v>450012925930</v>
      </c>
      <c r="Q123" s="7" cm="1">
        <f t="array" ref="Q123:S123">VLOOKUP(P123,Hoja1!C:F,{2,3,4},FALSE)</f>
        <v>46191</v>
      </c>
      <c r="R123" t="str">
        <v>EFO</v>
      </c>
      <c r="S123" t="str">
        <v>1000009051 GRUPO RP AICHI S.A.S.</v>
      </c>
    </row>
    <row r="124" spans="1:19" x14ac:dyDescent="0.3">
      <c r="A124" s="2" t="s">
        <v>14</v>
      </c>
      <c r="B124" s="3" t="s">
        <v>14</v>
      </c>
      <c r="C124" s="3" t="s">
        <v>293</v>
      </c>
      <c r="D124" s="3" t="s">
        <v>14</v>
      </c>
      <c r="E124" s="3" t="s">
        <v>194</v>
      </c>
      <c r="F124" s="4">
        <v>45813</v>
      </c>
      <c r="G124" s="3" t="s">
        <v>27</v>
      </c>
      <c r="H124" s="6">
        <v>7087619</v>
      </c>
      <c r="I124" s="3" t="s">
        <v>18</v>
      </c>
      <c r="J124" s="3" t="s">
        <v>39</v>
      </c>
      <c r="K124" s="3" t="s">
        <v>14</v>
      </c>
      <c r="L124" s="3" t="s">
        <v>294</v>
      </c>
      <c r="M124" s="4">
        <v>45869</v>
      </c>
      <c r="N124" s="3" t="s">
        <v>295</v>
      </c>
      <c r="O124" s="3" t="s">
        <v>30</v>
      </c>
      <c r="P124" t="str">
        <f t="shared" si="1"/>
        <v>450009616810</v>
      </c>
      <c r="Q124" s="7" cm="1">
        <f t="array" ref="Q124:S124">VLOOKUP(P124,Hoja1!C:F,{2,3,4},FALSE)</f>
        <v>45833</v>
      </c>
      <c r="R124" t="str">
        <v>C03</v>
      </c>
      <c r="S124" t="str">
        <v>2000000106 IME-GMBH</v>
      </c>
    </row>
    <row r="125" spans="1:19" x14ac:dyDescent="0.3">
      <c r="A125" s="2" t="s">
        <v>14</v>
      </c>
      <c r="B125" s="3" t="s">
        <v>14</v>
      </c>
      <c r="C125" s="3" t="s">
        <v>296</v>
      </c>
      <c r="D125" s="3" t="s">
        <v>14</v>
      </c>
      <c r="E125" s="3" t="s">
        <v>194</v>
      </c>
      <c r="F125" s="4">
        <v>46192</v>
      </c>
      <c r="G125" s="3" t="s">
        <v>27</v>
      </c>
      <c r="H125" s="6">
        <v>12965.4</v>
      </c>
      <c r="I125" s="3" t="s">
        <v>18</v>
      </c>
      <c r="J125" s="3" t="s">
        <v>19</v>
      </c>
      <c r="K125" s="3" t="s">
        <v>14</v>
      </c>
      <c r="L125" s="3" t="s">
        <v>216</v>
      </c>
      <c r="M125" s="4">
        <v>46197</v>
      </c>
      <c r="N125" s="3" t="s">
        <v>297</v>
      </c>
      <c r="O125" s="3" t="s">
        <v>30</v>
      </c>
      <c r="P125" t="str">
        <f t="shared" si="1"/>
        <v>450013080810</v>
      </c>
      <c r="Q125" s="7" cm="1">
        <f t="array" ref="Q125:S125">VLOOKUP(P125,Hoja1!C:F,{2,3,4},FALSE)</f>
        <v>46206</v>
      </c>
      <c r="R125" t="str">
        <v>C38</v>
      </c>
      <c r="S125" t="str">
        <v>1000000861 TUBI-FLEX S.A.</v>
      </c>
    </row>
    <row r="126" spans="1:19" x14ac:dyDescent="0.3">
      <c r="A126" s="2" t="s">
        <v>14</v>
      </c>
      <c r="B126" s="3" t="s">
        <v>14</v>
      </c>
      <c r="C126" s="3" t="s">
        <v>298</v>
      </c>
      <c r="D126" s="3" t="s">
        <v>14</v>
      </c>
      <c r="E126" s="3" t="s">
        <v>194</v>
      </c>
      <c r="F126" s="4">
        <v>46198</v>
      </c>
      <c r="G126" s="3" t="s">
        <v>27</v>
      </c>
      <c r="H126" s="6">
        <v>282355.87</v>
      </c>
      <c r="I126" s="3" t="s">
        <v>18</v>
      </c>
      <c r="J126" s="3" t="s">
        <v>250</v>
      </c>
      <c r="K126" s="3" t="s">
        <v>14</v>
      </c>
      <c r="L126" s="3" t="s">
        <v>299</v>
      </c>
      <c r="M126" s="4">
        <v>46198</v>
      </c>
      <c r="N126" s="3" t="s">
        <v>300</v>
      </c>
      <c r="O126" s="3" t="s">
        <v>135</v>
      </c>
      <c r="P126" t="str">
        <f t="shared" si="1"/>
        <v>4500130908340</v>
      </c>
      <c r="Q126" s="7" cm="1">
        <f t="array" ref="Q126:S126">VLOOKUP(P126,Hoja1!C:F,{2,3,4},FALSE)</f>
        <v>46299</v>
      </c>
      <c r="R126" t="str">
        <v>C03</v>
      </c>
      <c r="S126" t="str">
        <v>1000000571 TOYOTA ARGENTINA S.A.</v>
      </c>
    </row>
    <row r="127" spans="1:19" x14ac:dyDescent="0.3">
      <c r="A127" s="2" t="s">
        <v>14</v>
      </c>
      <c r="B127" s="3" t="s">
        <v>14</v>
      </c>
      <c r="C127" s="3" t="s">
        <v>301</v>
      </c>
      <c r="D127" s="3" t="s">
        <v>14</v>
      </c>
      <c r="E127" s="3" t="s">
        <v>194</v>
      </c>
      <c r="F127" s="4">
        <v>46198</v>
      </c>
      <c r="G127" s="3" t="s">
        <v>27</v>
      </c>
      <c r="H127" s="6">
        <v>282355.87</v>
      </c>
      <c r="I127" s="3" t="s">
        <v>18</v>
      </c>
      <c r="J127" s="3" t="s">
        <v>250</v>
      </c>
      <c r="K127" s="3" t="s">
        <v>14</v>
      </c>
      <c r="L127" s="3" t="s">
        <v>299</v>
      </c>
      <c r="M127" s="4">
        <v>46198</v>
      </c>
      <c r="N127" s="3" t="s">
        <v>300</v>
      </c>
      <c r="O127" s="3" t="s">
        <v>135</v>
      </c>
      <c r="P127" t="str">
        <f t="shared" si="1"/>
        <v>4500130908340</v>
      </c>
      <c r="Q127" s="7" cm="1">
        <f t="array" ref="Q127:S127">VLOOKUP(P127,Hoja1!C:F,{2,3,4},FALSE)</f>
        <v>46299</v>
      </c>
      <c r="R127" t="str">
        <v>C03</v>
      </c>
      <c r="S127" t="str">
        <v>1000000571 TOYOTA ARGENTINA S.A.</v>
      </c>
    </row>
    <row r="128" spans="1:19" x14ac:dyDescent="0.3">
      <c r="A128" s="2" t="s">
        <v>14</v>
      </c>
      <c r="B128" s="3" t="s">
        <v>14</v>
      </c>
      <c r="C128" s="3" t="s">
        <v>302</v>
      </c>
      <c r="D128" s="3" t="s">
        <v>14</v>
      </c>
      <c r="E128" s="3" t="s">
        <v>194</v>
      </c>
      <c r="F128" s="4">
        <v>46198</v>
      </c>
      <c r="G128" s="3" t="s">
        <v>27</v>
      </c>
      <c r="H128" s="6">
        <v>282355.87</v>
      </c>
      <c r="I128" s="3" t="s">
        <v>18</v>
      </c>
      <c r="J128" s="3" t="s">
        <v>250</v>
      </c>
      <c r="K128" s="3" t="s">
        <v>14</v>
      </c>
      <c r="L128" s="3" t="s">
        <v>299</v>
      </c>
      <c r="M128" s="4">
        <v>46198</v>
      </c>
      <c r="N128" s="3" t="s">
        <v>300</v>
      </c>
      <c r="O128" s="3" t="s">
        <v>135</v>
      </c>
      <c r="P128" t="str">
        <f t="shared" si="1"/>
        <v>4500130908340</v>
      </c>
      <c r="Q128" s="7" cm="1">
        <f t="array" ref="Q128:S128">VLOOKUP(P128,Hoja1!C:F,{2,3,4},FALSE)</f>
        <v>46299</v>
      </c>
      <c r="R128" t="str">
        <v>C03</v>
      </c>
      <c r="S128" t="str">
        <v>1000000571 TOYOTA ARGENTINA S.A.</v>
      </c>
    </row>
    <row r="129" spans="1:19" x14ac:dyDescent="0.3">
      <c r="A129" s="2" t="s">
        <v>14</v>
      </c>
      <c r="B129" s="3" t="s">
        <v>14</v>
      </c>
      <c r="C129" s="3" t="s">
        <v>303</v>
      </c>
      <c r="D129" s="3" t="s">
        <v>14</v>
      </c>
      <c r="E129" s="3" t="s">
        <v>194</v>
      </c>
      <c r="F129" s="4">
        <v>46198</v>
      </c>
      <c r="G129" s="3" t="s">
        <v>27</v>
      </c>
      <c r="H129" s="6">
        <v>282355.87</v>
      </c>
      <c r="I129" s="3" t="s">
        <v>18</v>
      </c>
      <c r="J129" s="3" t="s">
        <v>250</v>
      </c>
      <c r="K129" s="3" t="s">
        <v>14</v>
      </c>
      <c r="L129" s="3" t="s">
        <v>299</v>
      </c>
      <c r="M129" s="4">
        <v>46198</v>
      </c>
      <c r="N129" s="3" t="s">
        <v>300</v>
      </c>
      <c r="O129" s="3" t="s">
        <v>135</v>
      </c>
      <c r="P129" t="str">
        <f t="shared" si="1"/>
        <v>4500130908340</v>
      </c>
      <c r="Q129" s="7" cm="1">
        <f t="array" ref="Q129:S129">VLOOKUP(P129,Hoja1!C:F,{2,3,4},FALSE)</f>
        <v>46299</v>
      </c>
      <c r="R129" t="str">
        <v>C03</v>
      </c>
      <c r="S129" t="str">
        <v>1000000571 TOYOTA ARGENTINA S.A.</v>
      </c>
    </row>
    <row r="130" spans="1:19" x14ac:dyDescent="0.3">
      <c r="A130" s="2" t="s">
        <v>14</v>
      </c>
      <c r="B130" s="3" t="s">
        <v>14</v>
      </c>
      <c r="C130" s="3" t="s">
        <v>304</v>
      </c>
      <c r="D130" s="3" t="s">
        <v>14</v>
      </c>
      <c r="E130" s="3" t="s">
        <v>194</v>
      </c>
      <c r="F130" s="4">
        <v>46198</v>
      </c>
      <c r="G130" s="3" t="s">
        <v>27</v>
      </c>
      <c r="H130" s="6">
        <v>282355.87</v>
      </c>
      <c r="I130" s="3" t="s">
        <v>18</v>
      </c>
      <c r="J130" s="3" t="s">
        <v>250</v>
      </c>
      <c r="K130" s="3" t="s">
        <v>14</v>
      </c>
      <c r="L130" s="3" t="s">
        <v>299</v>
      </c>
      <c r="M130" s="4">
        <v>46198</v>
      </c>
      <c r="N130" s="3" t="s">
        <v>300</v>
      </c>
      <c r="O130" s="3" t="s">
        <v>135</v>
      </c>
      <c r="P130" t="str">
        <f t="shared" si="1"/>
        <v>4500130908340</v>
      </c>
      <c r="Q130" s="7" cm="1">
        <f t="array" ref="Q130:S130">VLOOKUP(P130,Hoja1!C:F,{2,3,4},FALSE)</f>
        <v>46299</v>
      </c>
      <c r="R130" t="str">
        <v>C03</v>
      </c>
      <c r="S130" t="str">
        <v>1000000571 TOYOTA ARGENTINA S.A.</v>
      </c>
    </row>
    <row r="131" spans="1:19" x14ac:dyDescent="0.3">
      <c r="A131" s="2" t="s">
        <v>14</v>
      </c>
      <c r="B131" s="3" t="s">
        <v>14</v>
      </c>
      <c r="C131" s="3" t="s">
        <v>305</v>
      </c>
      <c r="D131" s="3" t="s">
        <v>14</v>
      </c>
      <c r="E131" s="3" t="s">
        <v>194</v>
      </c>
      <c r="F131" s="4">
        <v>46198</v>
      </c>
      <c r="G131" s="3" t="s">
        <v>27</v>
      </c>
      <c r="H131" s="6">
        <v>282355.87</v>
      </c>
      <c r="I131" s="3" t="s">
        <v>18</v>
      </c>
      <c r="J131" s="3" t="s">
        <v>250</v>
      </c>
      <c r="K131" s="3" t="s">
        <v>14</v>
      </c>
      <c r="L131" s="3" t="s">
        <v>299</v>
      </c>
      <c r="M131" s="4">
        <v>46198</v>
      </c>
      <c r="N131" s="3" t="s">
        <v>300</v>
      </c>
      <c r="O131" s="3" t="s">
        <v>135</v>
      </c>
      <c r="P131" t="str">
        <f t="shared" ref="P131:P194" si="2">_xlfn.CONCAT(N131:O131)</f>
        <v>4500130908340</v>
      </c>
      <c r="Q131" s="7" cm="1">
        <f t="array" ref="Q131:S131">VLOOKUP(P131,Hoja1!C:F,{2,3,4},FALSE)</f>
        <v>46299</v>
      </c>
      <c r="R131" t="str">
        <v>C03</v>
      </c>
      <c r="S131" t="str">
        <v>1000000571 TOYOTA ARGENTINA S.A.</v>
      </c>
    </row>
    <row r="132" spans="1:19" x14ac:dyDescent="0.3">
      <c r="A132" s="2" t="s">
        <v>14</v>
      </c>
      <c r="B132" s="3" t="s">
        <v>14</v>
      </c>
      <c r="C132" s="3" t="s">
        <v>306</v>
      </c>
      <c r="D132" s="3" t="s">
        <v>14</v>
      </c>
      <c r="E132" s="3" t="s">
        <v>194</v>
      </c>
      <c r="F132" s="4">
        <v>46198</v>
      </c>
      <c r="G132" s="3" t="s">
        <v>27</v>
      </c>
      <c r="H132" s="6">
        <v>282355.87</v>
      </c>
      <c r="I132" s="3" t="s">
        <v>18</v>
      </c>
      <c r="J132" s="3" t="s">
        <v>250</v>
      </c>
      <c r="K132" s="3" t="s">
        <v>14</v>
      </c>
      <c r="L132" s="3" t="s">
        <v>299</v>
      </c>
      <c r="M132" s="4">
        <v>46198</v>
      </c>
      <c r="N132" s="3" t="s">
        <v>300</v>
      </c>
      <c r="O132" s="3" t="s">
        <v>135</v>
      </c>
      <c r="P132" t="str">
        <f t="shared" si="2"/>
        <v>4500130908340</v>
      </c>
      <c r="Q132" s="7" cm="1">
        <f t="array" ref="Q132:S132">VLOOKUP(P132,Hoja1!C:F,{2,3,4},FALSE)</f>
        <v>46299</v>
      </c>
      <c r="R132" t="str">
        <v>C03</v>
      </c>
      <c r="S132" t="str">
        <v>1000000571 TOYOTA ARGENTINA S.A.</v>
      </c>
    </row>
    <row r="133" spans="1:19" x14ac:dyDescent="0.3">
      <c r="A133" s="2" t="s">
        <v>14</v>
      </c>
      <c r="B133" s="3" t="s">
        <v>14</v>
      </c>
      <c r="C133" s="3" t="s">
        <v>307</v>
      </c>
      <c r="D133" s="3" t="s">
        <v>14</v>
      </c>
      <c r="E133" s="3" t="s">
        <v>194</v>
      </c>
      <c r="F133" s="4">
        <v>46198</v>
      </c>
      <c r="G133" s="3" t="s">
        <v>27</v>
      </c>
      <c r="H133" s="6">
        <v>282355.87</v>
      </c>
      <c r="I133" s="3" t="s">
        <v>18</v>
      </c>
      <c r="J133" s="3" t="s">
        <v>250</v>
      </c>
      <c r="K133" s="3" t="s">
        <v>14</v>
      </c>
      <c r="L133" s="3" t="s">
        <v>299</v>
      </c>
      <c r="M133" s="4">
        <v>46198</v>
      </c>
      <c r="N133" s="3" t="s">
        <v>300</v>
      </c>
      <c r="O133" s="3" t="s">
        <v>135</v>
      </c>
      <c r="P133" t="str">
        <f t="shared" si="2"/>
        <v>4500130908340</v>
      </c>
      <c r="Q133" s="7" cm="1">
        <f t="array" ref="Q133:S133">VLOOKUP(P133,Hoja1!C:F,{2,3,4},FALSE)</f>
        <v>46299</v>
      </c>
      <c r="R133" t="str">
        <v>C03</v>
      </c>
      <c r="S133" t="str">
        <v>1000000571 TOYOTA ARGENTINA S.A.</v>
      </c>
    </row>
    <row r="134" spans="1:19" x14ac:dyDescent="0.3">
      <c r="A134" s="2" t="s">
        <v>14</v>
      </c>
      <c r="B134" s="3" t="s">
        <v>14</v>
      </c>
      <c r="C134" s="3" t="s">
        <v>308</v>
      </c>
      <c r="D134" s="3" t="s">
        <v>14</v>
      </c>
      <c r="E134" s="3" t="s">
        <v>194</v>
      </c>
      <c r="F134" s="4">
        <v>46198</v>
      </c>
      <c r="G134" s="3" t="s">
        <v>27</v>
      </c>
      <c r="H134" s="6">
        <v>282355.87</v>
      </c>
      <c r="I134" s="3" t="s">
        <v>18</v>
      </c>
      <c r="J134" s="3" t="s">
        <v>250</v>
      </c>
      <c r="K134" s="3" t="s">
        <v>14</v>
      </c>
      <c r="L134" s="3" t="s">
        <v>299</v>
      </c>
      <c r="M134" s="4">
        <v>46198</v>
      </c>
      <c r="N134" s="3" t="s">
        <v>300</v>
      </c>
      <c r="O134" s="3" t="s">
        <v>135</v>
      </c>
      <c r="P134" t="str">
        <f t="shared" si="2"/>
        <v>4500130908340</v>
      </c>
      <c r="Q134" s="7" cm="1">
        <f t="array" ref="Q134:S134">VLOOKUP(P134,Hoja1!C:F,{2,3,4},FALSE)</f>
        <v>46299</v>
      </c>
      <c r="R134" t="str">
        <v>C03</v>
      </c>
      <c r="S134" t="str">
        <v>1000000571 TOYOTA ARGENTINA S.A.</v>
      </c>
    </row>
    <row r="135" spans="1:19" x14ac:dyDescent="0.3">
      <c r="A135" s="2" t="s">
        <v>14</v>
      </c>
      <c r="B135" s="3" t="s">
        <v>14</v>
      </c>
      <c r="C135" s="3" t="s">
        <v>309</v>
      </c>
      <c r="D135" s="3" t="s">
        <v>14</v>
      </c>
      <c r="E135" s="3" t="s">
        <v>194</v>
      </c>
      <c r="F135" s="4">
        <v>46198</v>
      </c>
      <c r="G135" s="3" t="s">
        <v>27</v>
      </c>
      <c r="H135" s="6">
        <v>282355.87</v>
      </c>
      <c r="I135" s="3" t="s">
        <v>18</v>
      </c>
      <c r="J135" s="3" t="s">
        <v>250</v>
      </c>
      <c r="K135" s="3" t="s">
        <v>14</v>
      </c>
      <c r="L135" s="3" t="s">
        <v>299</v>
      </c>
      <c r="M135" s="4">
        <v>46198</v>
      </c>
      <c r="N135" s="3" t="s">
        <v>300</v>
      </c>
      <c r="O135" s="3" t="s">
        <v>135</v>
      </c>
      <c r="P135" t="str">
        <f t="shared" si="2"/>
        <v>4500130908340</v>
      </c>
      <c r="Q135" s="7" cm="1">
        <f t="array" ref="Q135:S135">VLOOKUP(P135,Hoja1!C:F,{2,3,4},FALSE)</f>
        <v>46299</v>
      </c>
      <c r="R135" t="str">
        <v>C03</v>
      </c>
      <c r="S135" t="str">
        <v>1000000571 TOYOTA ARGENTINA S.A.</v>
      </c>
    </row>
    <row r="136" spans="1:19" x14ac:dyDescent="0.3">
      <c r="A136" s="2" t="s">
        <v>14</v>
      </c>
      <c r="B136" s="3" t="s">
        <v>14</v>
      </c>
      <c r="C136" s="3" t="s">
        <v>310</v>
      </c>
      <c r="D136" s="3" t="s">
        <v>14</v>
      </c>
      <c r="E136" s="3" t="s">
        <v>194</v>
      </c>
      <c r="F136" s="4">
        <v>46198</v>
      </c>
      <c r="G136" s="3" t="s">
        <v>27</v>
      </c>
      <c r="H136" s="6">
        <v>282355.87</v>
      </c>
      <c r="I136" s="3" t="s">
        <v>18</v>
      </c>
      <c r="J136" s="3" t="s">
        <v>250</v>
      </c>
      <c r="K136" s="3" t="s">
        <v>14</v>
      </c>
      <c r="L136" s="3" t="s">
        <v>299</v>
      </c>
      <c r="M136" s="4">
        <v>46198</v>
      </c>
      <c r="N136" s="3" t="s">
        <v>300</v>
      </c>
      <c r="O136" s="3" t="s">
        <v>135</v>
      </c>
      <c r="P136" t="str">
        <f t="shared" si="2"/>
        <v>4500130908340</v>
      </c>
      <c r="Q136" s="7" cm="1">
        <f t="array" ref="Q136:S136">VLOOKUP(P136,Hoja1!C:F,{2,3,4},FALSE)</f>
        <v>46299</v>
      </c>
      <c r="R136" t="str">
        <v>C03</v>
      </c>
      <c r="S136" t="str">
        <v>1000000571 TOYOTA ARGENTINA S.A.</v>
      </c>
    </row>
    <row r="137" spans="1:19" x14ac:dyDescent="0.3">
      <c r="A137" s="2" t="s">
        <v>14</v>
      </c>
      <c r="B137" s="3" t="s">
        <v>14</v>
      </c>
      <c r="C137" s="3" t="s">
        <v>311</v>
      </c>
      <c r="D137" s="3" t="s">
        <v>14</v>
      </c>
      <c r="E137" s="3" t="s">
        <v>194</v>
      </c>
      <c r="F137" s="4">
        <v>46198</v>
      </c>
      <c r="G137" s="3" t="s">
        <v>27</v>
      </c>
      <c r="H137" s="6">
        <v>282355.87</v>
      </c>
      <c r="I137" s="3" t="s">
        <v>18</v>
      </c>
      <c r="J137" s="3" t="s">
        <v>250</v>
      </c>
      <c r="K137" s="3" t="s">
        <v>14</v>
      </c>
      <c r="L137" s="3" t="s">
        <v>299</v>
      </c>
      <c r="M137" s="4">
        <v>46198</v>
      </c>
      <c r="N137" s="3" t="s">
        <v>300</v>
      </c>
      <c r="O137" s="3" t="s">
        <v>135</v>
      </c>
      <c r="P137" t="str">
        <f t="shared" si="2"/>
        <v>4500130908340</v>
      </c>
      <c r="Q137" s="7" cm="1">
        <f t="array" ref="Q137:S137">VLOOKUP(P137,Hoja1!C:F,{2,3,4},FALSE)</f>
        <v>46299</v>
      </c>
      <c r="R137" t="str">
        <v>C03</v>
      </c>
      <c r="S137" t="str">
        <v>1000000571 TOYOTA ARGENTINA S.A.</v>
      </c>
    </row>
    <row r="138" spans="1:19" x14ac:dyDescent="0.3">
      <c r="A138" s="2" t="s">
        <v>14</v>
      </c>
      <c r="B138" s="3" t="s">
        <v>14</v>
      </c>
      <c r="C138" s="3" t="s">
        <v>312</v>
      </c>
      <c r="D138" s="3" t="s">
        <v>14</v>
      </c>
      <c r="E138" s="3" t="s">
        <v>194</v>
      </c>
      <c r="F138" s="4">
        <v>46198</v>
      </c>
      <c r="G138" s="3" t="s">
        <v>27</v>
      </c>
      <c r="H138" s="6">
        <v>282355.87</v>
      </c>
      <c r="I138" s="3" t="s">
        <v>18</v>
      </c>
      <c r="J138" s="3" t="s">
        <v>250</v>
      </c>
      <c r="K138" s="3" t="s">
        <v>14</v>
      </c>
      <c r="L138" s="3" t="s">
        <v>299</v>
      </c>
      <c r="M138" s="4">
        <v>46198</v>
      </c>
      <c r="N138" s="3" t="s">
        <v>300</v>
      </c>
      <c r="O138" s="3" t="s">
        <v>135</v>
      </c>
      <c r="P138" t="str">
        <f t="shared" si="2"/>
        <v>4500130908340</v>
      </c>
      <c r="Q138" s="7" cm="1">
        <f t="array" ref="Q138:S138">VLOOKUP(P138,Hoja1!C:F,{2,3,4},FALSE)</f>
        <v>46299</v>
      </c>
      <c r="R138" t="str">
        <v>C03</v>
      </c>
      <c r="S138" t="str">
        <v>1000000571 TOYOTA ARGENTINA S.A.</v>
      </c>
    </row>
    <row r="139" spans="1:19" x14ac:dyDescent="0.3">
      <c r="A139" s="2" t="s">
        <v>14</v>
      </c>
      <c r="B139" s="3" t="s">
        <v>14</v>
      </c>
      <c r="C139" s="3" t="s">
        <v>313</v>
      </c>
      <c r="D139" s="3" t="s">
        <v>14</v>
      </c>
      <c r="E139" s="3" t="s">
        <v>194</v>
      </c>
      <c r="F139" s="4">
        <v>46198</v>
      </c>
      <c r="G139" s="3" t="s">
        <v>27</v>
      </c>
      <c r="H139" s="6">
        <v>282355.87</v>
      </c>
      <c r="I139" s="3" t="s">
        <v>18</v>
      </c>
      <c r="J139" s="3" t="s">
        <v>250</v>
      </c>
      <c r="K139" s="3" t="s">
        <v>14</v>
      </c>
      <c r="L139" s="3" t="s">
        <v>299</v>
      </c>
      <c r="M139" s="4">
        <v>46198</v>
      </c>
      <c r="N139" s="3" t="s">
        <v>300</v>
      </c>
      <c r="O139" s="3" t="s">
        <v>135</v>
      </c>
      <c r="P139" t="str">
        <f t="shared" si="2"/>
        <v>4500130908340</v>
      </c>
      <c r="Q139" s="7" cm="1">
        <f t="array" ref="Q139:S139">VLOOKUP(P139,Hoja1!C:F,{2,3,4},FALSE)</f>
        <v>46299</v>
      </c>
      <c r="R139" t="str">
        <v>C03</v>
      </c>
      <c r="S139" t="str">
        <v>1000000571 TOYOTA ARGENTINA S.A.</v>
      </c>
    </row>
    <row r="140" spans="1:19" x14ac:dyDescent="0.3">
      <c r="A140" s="2" t="s">
        <v>14</v>
      </c>
      <c r="B140" s="3" t="s">
        <v>14</v>
      </c>
      <c r="C140" s="3" t="s">
        <v>314</v>
      </c>
      <c r="D140" s="3" t="s">
        <v>14</v>
      </c>
      <c r="E140" s="3" t="s">
        <v>194</v>
      </c>
      <c r="F140" s="4">
        <v>46198</v>
      </c>
      <c r="G140" s="3" t="s">
        <v>27</v>
      </c>
      <c r="H140" s="6">
        <v>282355.87</v>
      </c>
      <c r="I140" s="3" t="s">
        <v>18</v>
      </c>
      <c r="J140" s="3" t="s">
        <v>250</v>
      </c>
      <c r="K140" s="3" t="s">
        <v>14</v>
      </c>
      <c r="L140" s="3" t="s">
        <v>299</v>
      </c>
      <c r="M140" s="4">
        <v>46199</v>
      </c>
      <c r="N140" s="3" t="s">
        <v>300</v>
      </c>
      <c r="O140" s="3" t="s">
        <v>135</v>
      </c>
      <c r="P140" t="str">
        <f t="shared" si="2"/>
        <v>4500130908340</v>
      </c>
      <c r="Q140" s="7" cm="1">
        <f t="array" ref="Q140:S140">VLOOKUP(P140,Hoja1!C:F,{2,3,4},FALSE)</f>
        <v>46299</v>
      </c>
      <c r="R140" t="str">
        <v>C03</v>
      </c>
      <c r="S140" t="str">
        <v>1000000571 TOYOTA ARGENTINA S.A.</v>
      </c>
    </row>
    <row r="141" spans="1:19" x14ac:dyDescent="0.3">
      <c r="A141" s="2" t="s">
        <v>14</v>
      </c>
      <c r="B141" s="3" t="s">
        <v>14</v>
      </c>
      <c r="C141" s="3" t="s">
        <v>315</v>
      </c>
      <c r="D141" s="3" t="s">
        <v>14</v>
      </c>
      <c r="E141" s="3" t="s">
        <v>194</v>
      </c>
      <c r="F141" s="4">
        <v>46198</v>
      </c>
      <c r="G141" s="3" t="s">
        <v>27</v>
      </c>
      <c r="H141" s="6">
        <v>282355.87</v>
      </c>
      <c r="I141" s="3" t="s">
        <v>18</v>
      </c>
      <c r="J141" s="3" t="s">
        <v>250</v>
      </c>
      <c r="K141" s="3" t="s">
        <v>14</v>
      </c>
      <c r="L141" s="3" t="s">
        <v>299</v>
      </c>
      <c r="M141" s="4">
        <v>46199</v>
      </c>
      <c r="N141" s="3" t="s">
        <v>300</v>
      </c>
      <c r="O141" s="3" t="s">
        <v>135</v>
      </c>
      <c r="P141" t="str">
        <f t="shared" si="2"/>
        <v>4500130908340</v>
      </c>
      <c r="Q141" s="7" cm="1">
        <f t="array" ref="Q141:S141">VLOOKUP(P141,Hoja1!C:F,{2,3,4},FALSE)</f>
        <v>46299</v>
      </c>
      <c r="R141" t="str">
        <v>C03</v>
      </c>
      <c r="S141" t="str">
        <v>1000000571 TOYOTA ARGENTINA S.A.</v>
      </c>
    </row>
    <row r="142" spans="1:19" x14ac:dyDescent="0.3">
      <c r="A142" s="2" t="s">
        <v>14</v>
      </c>
      <c r="B142" s="3" t="s">
        <v>14</v>
      </c>
      <c r="C142" s="3" t="s">
        <v>316</v>
      </c>
      <c r="D142" s="3" t="s">
        <v>14</v>
      </c>
      <c r="E142" s="3" t="s">
        <v>194</v>
      </c>
      <c r="F142" s="4">
        <v>46199</v>
      </c>
      <c r="G142" s="3" t="s">
        <v>27</v>
      </c>
      <c r="H142" s="6">
        <v>282355.87</v>
      </c>
      <c r="I142" s="3" t="s">
        <v>18</v>
      </c>
      <c r="J142" s="3" t="s">
        <v>250</v>
      </c>
      <c r="K142" s="3" t="s">
        <v>14</v>
      </c>
      <c r="L142" s="3" t="s">
        <v>299</v>
      </c>
      <c r="M142" s="4">
        <v>46199</v>
      </c>
      <c r="N142" s="3" t="s">
        <v>300</v>
      </c>
      <c r="O142" s="3" t="s">
        <v>135</v>
      </c>
      <c r="P142" t="str">
        <f t="shared" si="2"/>
        <v>4500130908340</v>
      </c>
      <c r="Q142" s="7" cm="1">
        <f t="array" ref="Q142:S142">VLOOKUP(P142,Hoja1!C:F,{2,3,4},FALSE)</f>
        <v>46299</v>
      </c>
      <c r="R142" t="str">
        <v>C03</v>
      </c>
      <c r="S142" t="str">
        <v>1000000571 TOYOTA ARGENTINA S.A.</v>
      </c>
    </row>
    <row r="143" spans="1:19" x14ac:dyDescent="0.3">
      <c r="A143" s="2" t="s">
        <v>14</v>
      </c>
      <c r="B143" s="3" t="s">
        <v>14</v>
      </c>
      <c r="C143" s="3" t="s">
        <v>317</v>
      </c>
      <c r="D143" s="3" t="s">
        <v>14</v>
      </c>
      <c r="E143" s="3" t="s">
        <v>194</v>
      </c>
      <c r="F143" s="4">
        <v>46199</v>
      </c>
      <c r="G143" s="3" t="s">
        <v>27</v>
      </c>
      <c r="H143" s="6">
        <v>282355.87</v>
      </c>
      <c r="I143" s="3" t="s">
        <v>18</v>
      </c>
      <c r="J143" s="3" t="s">
        <v>250</v>
      </c>
      <c r="K143" s="3" t="s">
        <v>14</v>
      </c>
      <c r="L143" s="3" t="s">
        <v>299</v>
      </c>
      <c r="M143" s="4">
        <v>46199</v>
      </c>
      <c r="N143" s="3" t="s">
        <v>300</v>
      </c>
      <c r="O143" s="3" t="s">
        <v>135</v>
      </c>
      <c r="P143" t="str">
        <f t="shared" si="2"/>
        <v>4500130908340</v>
      </c>
      <c r="Q143" s="7" cm="1">
        <f t="array" ref="Q143:S143">VLOOKUP(P143,Hoja1!C:F,{2,3,4},FALSE)</f>
        <v>46299</v>
      </c>
      <c r="R143" t="str">
        <v>C03</v>
      </c>
      <c r="S143" t="str">
        <v>1000000571 TOYOTA ARGENTINA S.A.</v>
      </c>
    </row>
    <row r="144" spans="1:19" x14ac:dyDescent="0.3">
      <c r="A144" s="2" t="s">
        <v>14</v>
      </c>
      <c r="B144" s="3" t="s">
        <v>14</v>
      </c>
      <c r="C144" s="3" t="s">
        <v>318</v>
      </c>
      <c r="D144" s="3" t="s">
        <v>14</v>
      </c>
      <c r="E144" s="3" t="s">
        <v>194</v>
      </c>
      <c r="F144" s="4">
        <v>46199</v>
      </c>
      <c r="G144" s="3" t="s">
        <v>27</v>
      </c>
      <c r="H144" s="6">
        <v>282355.87</v>
      </c>
      <c r="I144" s="3" t="s">
        <v>18</v>
      </c>
      <c r="J144" s="3" t="s">
        <v>250</v>
      </c>
      <c r="K144" s="3" t="s">
        <v>14</v>
      </c>
      <c r="L144" s="3" t="s">
        <v>299</v>
      </c>
      <c r="M144" s="4">
        <v>46199</v>
      </c>
      <c r="N144" s="3" t="s">
        <v>300</v>
      </c>
      <c r="O144" s="3" t="s">
        <v>135</v>
      </c>
      <c r="P144" t="str">
        <f t="shared" si="2"/>
        <v>4500130908340</v>
      </c>
      <c r="Q144" s="7" cm="1">
        <f t="array" ref="Q144:S144">VLOOKUP(P144,Hoja1!C:F,{2,3,4},FALSE)</f>
        <v>46299</v>
      </c>
      <c r="R144" t="str">
        <v>C03</v>
      </c>
      <c r="S144" t="str">
        <v>1000000571 TOYOTA ARGENTINA S.A.</v>
      </c>
    </row>
    <row r="145" spans="1:19" x14ac:dyDescent="0.3">
      <c r="A145" s="2" t="s">
        <v>14</v>
      </c>
      <c r="B145" s="3" t="s">
        <v>14</v>
      </c>
      <c r="C145" s="3" t="s">
        <v>319</v>
      </c>
      <c r="D145" s="3" t="s">
        <v>14</v>
      </c>
      <c r="E145" s="3" t="s">
        <v>194</v>
      </c>
      <c r="F145" s="4">
        <v>46192</v>
      </c>
      <c r="G145" s="3" t="s">
        <v>27</v>
      </c>
      <c r="H145" s="6">
        <v>1890119</v>
      </c>
      <c r="I145" s="3" t="s">
        <v>18</v>
      </c>
      <c r="J145" s="3" t="s">
        <v>39</v>
      </c>
      <c r="K145" s="3" t="s">
        <v>14</v>
      </c>
      <c r="L145" s="3" t="s">
        <v>320</v>
      </c>
      <c r="M145" s="4">
        <v>46202</v>
      </c>
      <c r="N145" s="3" t="s">
        <v>321</v>
      </c>
      <c r="O145" s="3" t="s">
        <v>30</v>
      </c>
      <c r="P145" t="str">
        <f t="shared" si="2"/>
        <v>450012906810</v>
      </c>
      <c r="Q145" s="7" cm="1">
        <f t="array" ref="Q145:S145">VLOOKUP(P145,Hoja1!C:F,{2,3,4},FALSE)</f>
        <v>46250</v>
      </c>
      <c r="R145" t="str">
        <v>C21</v>
      </c>
      <c r="S145" t="str">
        <v>1000000038 YPF S.A.</v>
      </c>
    </row>
    <row r="146" spans="1:19" x14ac:dyDescent="0.3">
      <c r="A146" s="2" t="s">
        <v>14</v>
      </c>
      <c r="B146" s="3" t="s">
        <v>14</v>
      </c>
      <c r="C146" s="3" t="s">
        <v>319</v>
      </c>
      <c r="D146" s="3" t="s">
        <v>14</v>
      </c>
      <c r="E146" s="3" t="s">
        <v>194</v>
      </c>
      <c r="F146" s="4">
        <v>46192</v>
      </c>
      <c r="G146" s="3" t="s">
        <v>27</v>
      </c>
      <c r="H146" s="6">
        <v>215446</v>
      </c>
      <c r="I146" s="3" t="s">
        <v>18</v>
      </c>
      <c r="J146" s="3" t="s">
        <v>39</v>
      </c>
      <c r="K146" s="3" t="s">
        <v>14</v>
      </c>
      <c r="L146" s="3" t="s">
        <v>320</v>
      </c>
      <c r="M146" s="4">
        <v>46202</v>
      </c>
      <c r="N146" s="3" t="s">
        <v>321</v>
      </c>
      <c r="O146" s="3" t="s">
        <v>30</v>
      </c>
      <c r="P146" t="str">
        <f t="shared" si="2"/>
        <v>450012906810</v>
      </c>
      <c r="Q146" s="7" cm="1">
        <f t="array" ref="Q146:S146">VLOOKUP(P146,Hoja1!C:F,{2,3,4},FALSE)</f>
        <v>46250</v>
      </c>
      <c r="R146" t="str">
        <v>C21</v>
      </c>
      <c r="S146" t="str">
        <v>1000000038 YPF S.A.</v>
      </c>
    </row>
    <row r="147" spans="1:19" x14ac:dyDescent="0.3">
      <c r="A147" s="2" t="s">
        <v>14</v>
      </c>
      <c r="B147" s="3" t="s">
        <v>14</v>
      </c>
      <c r="C147" s="3" t="s">
        <v>322</v>
      </c>
      <c r="D147" s="3" t="s">
        <v>14</v>
      </c>
      <c r="E147" s="3" t="s">
        <v>194</v>
      </c>
      <c r="F147" s="4">
        <v>46202</v>
      </c>
      <c r="G147" s="3" t="s">
        <v>27</v>
      </c>
      <c r="H147" s="6">
        <v>282355.87</v>
      </c>
      <c r="I147" s="3" t="s">
        <v>18</v>
      </c>
      <c r="J147" s="3" t="s">
        <v>250</v>
      </c>
      <c r="K147" s="3" t="s">
        <v>14</v>
      </c>
      <c r="L147" s="3" t="s">
        <v>299</v>
      </c>
      <c r="M147" s="4">
        <v>46203</v>
      </c>
      <c r="N147" s="3" t="s">
        <v>300</v>
      </c>
      <c r="O147" s="3" t="s">
        <v>135</v>
      </c>
      <c r="P147" t="str">
        <f t="shared" si="2"/>
        <v>4500130908340</v>
      </c>
      <c r="Q147" s="7" cm="1">
        <f t="array" ref="Q147:S147">VLOOKUP(P147,Hoja1!C:F,{2,3,4},FALSE)</f>
        <v>46299</v>
      </c>
      <c r="R147" t="str">
        <v>C03</v>
      </c>
      <c r="S147" t="str">
        <v>1000000571 TOYOTA ARGENTINA S.A.</v>
      </c>
    </row>
    <row r="148" spans="1:19" x14ac:dyDescent="0.3">
      <c r="A148" s="2" t="s">
        <v>14</v>
      </c>
      <c r="B148" s="3" t="s">
        <v>14</v>
      </c>
      <c r="C148" s="3" t="s">
        <v>323</v>
      </c>
      <c r="D148" s="3" t="s">
        <v>14</v>
      </c>
      <c r="E148" s="3" t="s">
        <v>194</v>
      </c>
      <c r="F148" s="4">
        <v>46202</v>
      </c>
      <c r="G148" s="3" t="s">
        <v>27</v>
      </c>
      <c r="H148" s="6">
        <v>282355.87</v>
      </c>
      <c r="I148" s="3" t="s">
        <v>18</v>
      </c>
      <c r="J148" s="3" t="s">
        <v>250</v>
      </c>
      <c r="K148" s="3" t="s">
        <v>14</v>
      </c>
      <c r="L148" s="3" t="s">
        <v>299</v>
      </c>
      <c r="M148" s="4">
        <v>46203</v>
      </c>
      <c r="N148" s="3" t="s">
        <v>300</v>
      </c>
      <c r="O148" s="3" t="s">
        <v>135</v>
      </c>
      <c r="P148" t="str">
        <f t="shared" si="2"/>
        <v>4500130908340</v>
      </c>
      <c r="Q148" s="7" cm="1">
        <f t="array" ref="Q148:S148">VLOOKUP(P148,Hoja1!C:F,{2,3,4},FALSE)</f>
        <v>46299</v>
      </c>
      <c r="R148" t="str">
        <v>C03</v>
      </c>
      <c r="S148" t="str">
        <v>1000000571 TOYOTA ARGENTINA S.A.</v>
      </c>
    </row>
    <row r="149" spans="1:19" x14ac:dyDescent="0.3">
      <c r="A149" s="2" t="s">
        <v>14</v>
      </c>
      <c r="B149" s="3" t="s">
        <v>14</v>
      </c>
      <c r="C149" s="3" t="s">
        <v>324</v>
      </c>
      <c r="D149" s="3" t="s">
        <v>14</v>
      </c>
      <c r="E149" s="3" t="s">
        <v>194</v>
      </c>
      <c r="F149" s="4">
        <v>46202</v>
      </c>
      <c r="G149" s="3" t="s">
        <v>27</v>
      </c>
      <c r="H149" s="6">
        <v>282355.87</v>
      </c>
      <c r="I149" s="3" t="s">
        <v>18</v>
      </c>
      <c r="J149" s="3" t="s">
        <v>250</v>
      </c>
      <c r="K149" s="3" t="s">
        <v>14</v>
      </c>
      <c r="L149" s="3" t="s">
        <v>299</v>
      </c>
      <c r="M149" s="4">
        <v>46203</v>
      </c>
      <c r="N149" s="3" t="s">
        <v>300</v>
      </c>
      <c r="O149" s="3" t="s">
        <v>135</v>
      </c>
      <c r="P149" t="str">
        <f t="shared" si="2"/>
        <v>4500130908340</v>
      </c>
      <c r="Q149" s="7" cm="1">
        <f t="array" ref="Q149:S149">VLOOKUP(P149,Hoja1!C:F,{2,3,4},FALSE)</f>
        <v>46299</v>
      </c>
      <c r="R149" t="str">
        <v>C03</v>
      </c>
      <c r="S149" t="str">
        <v>1000000571 TOYOTA ARGENTINA S.A.</v>
      </c>
    </row>
    <row r="150" spans="1:19" x14ac:dyDescent="0.3">
      <c r="A150" s="2" t="s">
        <v>14</v>
      </c>
      <c r="B150" s="3" t="s">
        <v>14</v>
      </c>
      <c r="C150" s="3" t="s">
        <v>325</v>
      </c>
      <c r="D150" s="3" t="s">
        <v>14</v>
      </c>
      <c r="E150" s="3" t="s">
        <v>194</v>
      </c>
      <c r="F150" s="4">
        <v>46143</v>
      </c>
      <c r="G150" s="3" t="s">
        <v>17</v>
      </c>
      <c r="H150" s="5">
        <v>-4375841.8499999996</v>
      </c>
      <c r="I150" s="3" t="s">
        <v>18</v>
      </c>
      <c r="J150" s="3" t="s">
        <v>19</v>
      </c>
      <c r="K150" s="3" t="s">
        <v>14</v>
      </c>
      <c r="L150" s="3" t="s">
        <v>279</v>
      </c>
      <c r="M150" s="4">
        <v>46176</v>
      </c>
      <c r="N150" s="3" t="s">
        <v>280</v>
      </c>
      <c r="O150" s="3" t="s">
        <v>30</v>
      </c>
      <c r="P150" t="str">
        <f t="shared" si="2"/>
        <v>450012861210</v>
      </c>
      <c r="Q150" s="7" cm="1">
        <f t="array" ref="Q150:S150">VLOOKUP(P150,Hoja1!C:F,{2,3,4},FALSE)</f>
        <v>46295</v>
      </c>
      <c r="R150" t="str">
        <v>C15</v>
      </c>
      <c r="S150" t="str">
        <v>1000010190 ANDREANI LOGISTICA SA</v>
      </c>
    </row>
    <row r="151" spans="1:19" x14ac:dyDescent="0.3">
      <c r="A151" s="2" t="s">
        <v>14</v>
      </c>
      <c r="B151" s="3" t="s">
        <v>14</v>
      </c>
      <c r="C151" s="3" t="s">
        <v>326</v>
      </c>
      <c r="D151" s="3" t="s">
        <v>14</v>
      </c>
      <c r="E151" s="3" t="s">
        <v>194</v>
      </c>
      <c r="F151" s="4">
        <v>46198</v>
      </c>
      <c r="G151" s="3" t="s">
        <v>27</v>
      </c>
      <c r="H151" s="6">
        <v>282355.87</v>
      </c>
      <c r="I151" s="3" t="s">
        <v>18</v>
      </c>
      <c r="J151" s="3" t="s">
        <v>250</v>
      </c>
      <c r="K151" s="3" t="s">
        <v>14</v>
      </c>
      <c r="L151" s="3" t="s">
        <v>299</v>
      </c>
      <c r="M151" s="4">
        <v>46204</v>
      </c>
      <c r="N151" s="3" t="s">
        <v>300</v>
      </c>
      <c r="O151" s="3" t="s">
        <v>135</v>
      </c>
      <c r="P151" t="str">
        <f t="shared" si="2"/>
        <v>4500130908340</v>
      </c>
      <c r="Q151" s="7" cm="1">
        <f t="array" ref="Q151:S151">VLOOKUP(P151,Hoja1!C:F,{2,3,4},FALSE)</f>
        <v>46299</v>
      </c>
      <c r="R151" t="str">
        <v>C03</v>
      </c>
      <c r="S151" t="str">
        <v>1000000571 TOYOTA ARGENTINA S.A.</v>
      </c>
    </row>
    <row r="152" spans="1:19" x14ac:dyDescent="0.3">
      <c r="A152" s="2" t="s">
        <v>14</v>
      </c>
      <c r="B152" s="3" t="s">
        <v>14</v>
      </c>
      <c r="C152" s="3" t="s">
        <v>327</v>
      </c>
      <c r="D152" s="3" t="s">
        <v>14</v>
      </c>
      <c r="E152" s="3" t="s">
        <v>194</v>
      </c>
      <c r="F152" s="4">
        <v>46199</v>
      </c>
      <c r="G152" s="3" t="s">
        <v>27</v>
      </c>
      <c r="H152" s="6">
        <v>282355.87</v>
      </c>
      <c r="I152" s="3" t="s">
        <v>18</v>
      </c>
      <c r="J152" s="3" t="s">
        <v>250</v>
      </c>
      <c r="K152" s="3" t="s">
        <v>14</v>
      </c>
      <c r="L152" s="3" t="s">
        <v>299</v>
      </c>
      <c r="M152" s="4">
        <v>46204</v>
      </c>
      <c r="N152" s="3" t="s">
        <v>300</v>
      </c>
      <c r="O152" s="3" t="s">
        <v>135</v>
      </c>
      <c r="P152" t="str">
        <f t="shared" si="2"/>
        <v>4500130908340</v>
      </c>
      <c r="Q152" s="7" cm="1">
        <f t="array" ref="Q152:S152">VLOOKUP(P152,Hoja1!C:F,{2,3,4},FALSE)</f>
        <v>46299</v>
      </c>
      <c r="R152" t="str">
        <v>C03</v>
      </c>
      <c r="S152" t="str">
        <v>1000000571 TOYOTA ARGENTINA S.A.</v>
      </c>
    </row>
    <row r="153" spans="1:19" x14ac:dyDescent="0.3">
      <c r="A153" s="2" t="s">
        <v>14</v>
      </c>
      <c r="B153" s="3" t="s">
        <v>14</v>
      </c>
      <c r="C153" s="3" t="s">
        <v>328</v>
      </c>
      <c r="D153" s="3" t="s">
        <v>32</v>
      </c>
      <c r="E153" s="3" t="s">
        <v>194</v>
      </c>
      <c r="F153" s="4">
        <v>45808</v>
      </c>
      <c r="G153" s="3" t="s">
        <v>27</v>
      </c>
      <c r="H153" s="6">
        <v>8907.1299999999992</v>
      </c>
      <c r="I153" s="3" t="s">
        <v>18</v>
      </c>
      <c r="J153" s="3" t="s">
        <v>19</v>
      </c>
      <c r="K153" s="3" t="s">
        <v>14</v>
      </c>
      <c r="L153" s="3" t="s">
        <v>201</v>
      </c>
      <c r="M153" s="4">
        <v>45895</v>
      </c>
      <c r="N153" s="3" t="s">
        <v>202</v>
      </c>
      <c r="O153" s="3" t="s">
        <v>30</v>
      </c>
      <c r="P153" t="str">
        <f t="shared" si="2"/>
        <v>450008370310</v>
      </c>
      <c r="Q153" s="7" cm="1">
        <f t="array" ref="Q153:S153">VLOOKUP(P153,Hoja1!C:F,{2,3,4},FALSE)</f>
        <v>46233</v>
      </c>
      <c r="R153" t="str">
        <v>C15</v>
      </c>
      <c r="S153" t="str">
        <v>1000007158 EXPRESO LUJAN DE CUYO SA</v>
      </c>
    </row>
    <row r="154" spans="1:19" x14ac:dyDescent="0.3">
      <c r="A154" s="2" t="s">
        <v>14</v>
      </c>
      <c r="B154" s="3" t="s">
        <v>14</v>
      </c>
      <c r="C154" s="3" t="s">
        <v>329</v>
      </c>
      <c r="D154" s="3" t="s">
        <v>14</v>
      </c>
      <c r="E154" s="3" t="s">
        <v>194</v>
      </c>
      <c r="F154" s="4">
        <v>46204</v>
      </c>
      <c r="G154" s="3" t="s">
        <v>27</v>
      </c>
      <c r="H154" s="6">
        <v>275400</v>
      </c>
      <c r="I154" s="3" t="s">
        <v>18</v>
      </c>
      <c r="J154" s="3" t="s">
        <v>19</v>
      </c>
      <c r="K154" s="3" t="s">
        <v>14</v>
      </c>
      <c r="L154" s="3" t="s">
        <v>221</v>
      </c>
      <c r="M154" s="4">
        <v>46209</v>
      </c>
      <c r="N154" s="3" t="s">
        <v>222</v>
      </c>
      <c r="O154" s="3" t="s">
        <v>30</v>
      </c>
      <c r="P154" t="str">
        <f t="shared" si="2"/>
        <v>450011874510</v>
      </c>
      <c r="Q154" s="7" cm="1">
        <f t="array" ref="Q154:S154">VLOOKUP(P154,Hoja1!C:F,{2,3,4},FALSE)</f>
        <v>46387</v>
      </c>
      <c r="R154" t="str">
        <v>C24</v>
      </c>
      <c r="S154" t="str">
        <v>1000000026 NEURALSOFT S.R.L.</v>
      </c>
    </row>
    <row r="155" spans="1:19" x14ac:dyDescent="0.3">
      <c r="A155" s="2" t="s">
        <v>14</v>
      </c>
      <c r="B155" s="3" t="s">
        <v>14</v>
      </c>
      <c r="C155" s="3" t="s">
        <v>330</v>
      </c>
      <c r="D155" s="3" t="s">
        <v>14</v>
      </c>
      <c r="E155" s="3" t="s">
        <v>194</v>
      </c>
      <c r="F155" s="4">
        <v>46176</v>
      </c>
      <c r="G155" s="3" t="s">
        <v>27</v>
      </c>
      <c r="H155" s="6">
        <v>282355.87</v>
      </c>
      <c r="I155" s="3" t="s">
        <v>18</v>
      </c>
      <c r="J155" s="3" t="s">
        <v>250</v>
      </c>
      <c r="K155" s="3" t="s">
        <v>14</v>
      </c>
      <c r="L155" s="3" t="s">
        <v>299</v>
      </c>
      <c r="M155" s="4">
        <v>46209</v>
      </c>
      <c r="N155" s="3" t="s">
        <v>300</v>
      </c>
      <c r="O155" s="3" t="s">
        <v>135</v>
      </c>
      <c r="P155" t="str">
        <f t="shared" si="2"/>
        <v>4500130908340</v>
      </c>
      <c r="Q155" s="7" cm="1">
        <f t="array" ref="Q155:S155">VLOOKUP(P155,Hoja1!C:F,{2,3,4},FALSE)</f>
        <v>46299</v>
      </c>
      <c r="R155" t="str">
        <v>C03</v>
      </c>
      <c r="S155" t="str">
        <v>1000000571 TOYOTA ARGENTINA S.A.</v>
      </c>
    </row>
    <row r="156" spans="1:19" x14ac:dyDescent="0.3">
      <c r="A156" s="2" t="s">
        <v>14</v>
      </c>
      <c r="B156" s="3" t="s">
        <v>14</v>
      </c>
      <c r="C156" s="3" t="s">
        <v>331</v>
      </c>
      <c r="D156" s="3" t="s">
        <v>14</v>
      </c>
      <c r="E156" s="3" t="s">
        <v>194</v>
      </c>
      <c r="F156" s="4">
        <v>46209</v>
      </c>
      <c r="G156" s="3" t="s">
        <v>27</v>
      </c>
      <c r="H156" s="6">
        <v>282355.87</v>
      </c>
      <c r="I156" s="3" t="s">
        <v>18</v>
      </c>
      <c r="J156" s="3" t="s">
        <v>250</v>
      </c>
      <c r="K156" s="3" t="s">
        <v>14</v>
      </c>
      <c r="L156" s="3" t="s">
        <v>299</v>
      </c>
      <c r="M156" s="4">
        <v>46209</v>
      </c>
      <c r="N156" s="3" t="s">
        <v>300</v>
      </c>
      <c r="O156" s="3" t="s">
        <v>135</v>
      </c>
      <c r="P156" t="str">
        <f t="shared" si="2"/>
        <v>4500130908340</v>
      </c>
      <c r="Q156" s="7" cm="1">
        <f t="array" ref="Q156:S156">VLOOKUP(P156,Hoja1!C:F,{2,3,4},FALSE)</f>
        <v>46299</v>
      </c>
      <c r="R156" t="str">
        <v>C03</v>
      </c>
      <c r="S156" t="str">
        <v>1000000571 TOYOTA ARGENTINA S.A.</v>
      </c>
    </row>
    <row r="157" spans="1:19" x14ac:dyDescent="0.3">
      <c r="A157" s="2" t="s">
        <v>14</v>
      </c>
      <c r="B157" s="3" t="s">
        <v>14</v>
      </c>
      <c r="C157" s="3" t="s">
        <v>332</v>
      </c>
      <c r="D157" s="3" t="s">
        <v>14</v>
      </c>
      <c r="E157" s="3" t="s">
        <v>194</v>
      </c>
      <c r="F157" s="4">
        <v>46209</v>
      </c>
      <c r="G157" s="3" t="s">
        <v>27</v>
      </c>
      <c r="H157" s="6">
        <v>282355.87</v>
      </c>
      <c r="I157" s="3" t="s">
        <v>18</v>
      </c>
      <c r="J157" s="3" t="s">
        <v>250</v>
      </c>
      <c r="K157" s="3" t="s">
        <v>14</v>
      </c>
      <c r="L157" s="3" t="s">
        <v>299</v>
      </c>
      <c r="M157" s="4">
        <v>46209</v>
      </c>
      <c r="N157" s="3" t="s">
        <v>300</v>
      </c>
      <c r="O157" s="3" t="s">
        <v>135</v>
      </c>
      <c r="P157" t="str">
        <f t="shared" si="2"/>
        <v>4500130908340</v>
      </c>
      <c r="Q157" s="7" cm="1">
        <f t="array" ref="Q157:S157">VLOOKUP(P157,Hoja1!C:F,{2,3,4},FALSE)</f>
        <v>46299</v>
      </c>
      <c r="R157" t="str">
        <v>C03</v>
      </c>
      <c r="S157" t="str">
        <v>1000000571 TOYOTA ARGENTINA S.A.</v>
      </c>
    </row>
    <row r="158" spans="1:19" x14ac:dyDescent="0.3">
      <c r="A158" s="2" t="s">
        <v>14</v>
      </c>
      <c r="B158" s="3" t="s">
        <v>14</v>
      </c>
      <c r="C158" s="3" t="s">
        <v>333</v>
      </c>
      <c r="D158" s="3" t="s">
        <v>14</v>
      </c>
      <c r="E158" s="3" t="s">
        <v>194</v>
      </c>
      <c r="F158" s="4">
        <v>46206</v>
      </c>
      <c r="G158" s="3" t="s">
        <v>27</v>
      </c>
      <c r="H158" s="6">
        <v>282355.87</v>
      </c>
      <c r="I158" s="3" t="s">
        <v>18</v>
      </c>
      <c r="J158" s="3" t="s">
        <v>250</v>
      </c>
      <c r="K158" s="3" t="s">
        <v>14</v>
      </c>
      <c r="L158" s="3" t="s">
        <v>299</v>
      </c>
      <c r="M158" s="4">
        <v>46209</v>
      </c>
      <c r="N158" s="3" t="s">
        <v>300</v>
      </c>
      <c r="O158" s="3" t="s">
        <v>135</v>
      </c>
      <c r="P158" t="str">
        <f t="shared" si="2"/>
        <v>4500130908340</v>
      </c>
      <c r="Q158" s="7" cm="1">
        <f t="array" ref="Q158:S158">VLOOKUP(P158,Hoja1!C:F,{2,3,4},FALSE)</f>
        <v>46299</v>
      </c>
      <c r="R158" t="str">
        <v>C03</v>
      </c>
      <c r="S158" t="str">
        <v>1000000571 TOYOTA ARGENTINA S.A.</v>
      </c>
    </row>
    <row r="159" spans="1:19" x14ac:dyDescent="0.3">
      <c r="A159" s="2" t="s">
        <v>14</v>
      </c>
      <c r="B159" s="3" t="s">
        <v>14</v>
      </c>
      <c r="C159" s="3" t="s">
        <v>334</v>
      </c>
      <c r="D159" s="3" t="s">
        <v>32</v>
      </c>
      <c r="E159" s="3" t="s">
        <v>194</v>
      </c>
      <c r="F159" s="4">
        <v>46216</v>
      </c>
      <c r="G159" s="3" t="s">
        <v>27</v>
      </c>
      <c r="H159" s="6">
        <v>51443.34</v>
      </c>
      <c r="I159" s="3" t="s">
        <v>18</v>
      </c>
      <c r="J159" s="3" t="s">
        <v>39</v>
      </c>
      <c r="K159" s="3" t="s">
        <v>14</v>
      </c>
      <c r="L159" s="3" t="s">
        <v>335</v>
      </c>
      <c r="M159" s="4">
        <v>46220</v>
      </c>
      <c r="N159" s="3" t="s">
        <v>336</v>
      </c>
      <c r="O159" s="3" t="s">
        <v>30</v>
      </c>
      <c r="P159" t="str">
        <f t="shared" si="2"/>
        <v>450013124310</v>
      </c>
      <c r="Q159" s="7" cm="1">
        <f t="array" ref="Q159:S159">VLOOKUP(P159,Hoja1!C:F,{2,3,4},FALSE)</f>
        <v>46433</v>
      </c>
      <c r="R159" t="str">
        <v>C21</v>
      </c>
      <c r="S159" t="str">
        <v>1000013302 PETROTRES SA</v>
      </c>
    </row>
    <row r="160" spans="1:19" x14ac:dyDescent="0.3">
      <c r="A160" s="2" t="s">
        <v>14</v>
      </c>
      <c r="B160" s="3" t="s">
        <v>14</v>
      </c>
      <c r="C160" s="3" t="s">
        <v>334</v>
      </c>
      <c r="D160" s="3" t="s">
        <v>32</v>
      </c>
      <c r="E160" s="3" t="s">
        <v>194</v>
      </c>
      <c r="F160" s="4">
        <v>46216</v>
      </c>
      <c r="G160" s="3" t="s">
        <v>27</v>
      </c>
      <c r="H160" s="6">
        <v>3151.67</v>
      </c>
      <c r="I160" s="3" t="s">
        <v>18</v>
      </c>
      <c r="J160" s="3" t="s">
        <v>39</v>
      </c>
      <c r="K160" s="3" t="s">
        <v>14</v>
      </c>
      <c r="L160" s="3" t="s">
        <v>335</v>
      </c>
      <c r="M160" s="4">
        <v>46220</v>
      </c>
      <c r="N160" s="3" t="s">
        <v>336</v>
      </c>
      <c r="O160" s="3" t="s">
        <v>30</v>
      </c>
      <c r="P160" t="str">
        <f t="shared" si="2"/>
        <v>450013124310</v>
      </c>
      <c r="Q160" s="7" cm="1">
        <f t="array" ref="Q160:S160">VLOOKUP(P160,Hoja1!C:F,{2,3,4},FALSE)</f>
        <v>46433</v>
      </c>
      <c r="R160" t="str">
        <v>C21</v>
      </c>
      <c r="S160" t="str">
        <v>1000013302 PETROTRES SA</v>
      </c>
    </row>
    <row r="161" spans="1:19" x14ac:dyDescent="0.3">
      <c r="A161" s="2" t="s">
        <v>14</v>
      </c>
      <c r="B161" s="3" t="s">
        <v>14</v>
      </c>
      <c r="C161" s="3" t="s">
        <v>337</v>
      </c>
      <c r="D161" s="3" t="s">
        <v>14</v>
      </c>
      <c r="E161" s="3" t="s">
        <v>194</v>
      </c>
      <c r="F161" s="4">
        <v>46223</v>
      </c>
      <c r="G161" s="3" t="s">
        <v>27</v>
      </c>
      <c r="H161" s="6">
        <v>1436146.61</v>
      </c>
      <c r="I161" s="3" t="s">
        <v>18</v>
      </c>
      <c r="J161" s="3" t="s">
        <v>19</v>
      </c>
      <c r="K161" s="3" t="s">
        <v>14</v>
      </c>
      <c r="L161" s="3" t="s">
        <v>73</v>
      </c>
      <c r="M161" s="4">
        <v>46223</v>
      </c>
      <c r="N161" s="3" t="s">
        <v>338</v>
      </c>
      <c r="O161" s="3" t="s">
        <v>22</v>
      </c>
      <c r="P161" t="str">
        <f t="shared" si="2"/>
        <v>450013315420</v>
      </c>
      <c r="Q161" s="7" cm="1">
        <f t="array" ref="Q161:S161">VLOOKUP(P161,Hoja1!C:F,{2,3,4},FALSE)</f>
        <v>46326</v>
      </c>
      <c r="R161" t="str">
        <v>C21</v>
      </c>
      <c r="S161" t="str">
        <v>1000000808 GLOBAL OIL S.R.L.</v>
      </c>
    </row>
    <row r="162" spans="1:19" x14ac:dyDescent="0.3">
      <c r="A162" s="2" t="s">
        <v>14</v>
      </c>
      <c r="B162" s="3" t="s">
        <v>14</v>
      </c>
      <c r="C162" s="3" t="s">
        <v>337</v>
      </c>
      <c r="D162" s="3" t="s">
        <v>14</v>
      </c>
      <c r="E162" s="3" t="s">
        <v>194</v>
      </c>
      <c r="F162" s="4">
        <v>46223</v>
      </c>
      <c r="G162" s="3" t="s">
        <v>27</v>
      </c>
      <c r="H162" s="6">
        <v>19636</v>
      </c>
      <c r="I162" s="3" t="s">
        <v>18</v>
      </c>
      <c r="J162" s="3" t="s">
        <v>39</v>
      </c>
      <c r="K162" s="3" t="s">
        <v>14</v>
      </c>
      <c r="L162" s="3" t="s">
        <v>73</v>
      </c>
      <c r="M162" s="4">
        <v>46223</v>
      </c>
      <c r="N162" s="3" t="s">
        <v>338</v>
      </c>
      <c r="O162" s="3" t="s">
        <v>22</v>
      </c>
      <c r="P162" t="str">
        <f t="shared" si="2"/>
        <v>450013315420</v>
      </c>
      <c r="Q162" s="7" cm="1">
        <f t="array" ref="Q162:S162">VLOOKUP(P162,Hoja1!C:F,{2,3,4},FALSE)</f>
        <v>46326</v>
      </c>
      <c r="R162" t="str">
        <v>C21</v>
      </c>
      <c r="S162" t="str">
        <v>1000000808 GLOBAL OIL S.R.L.</v>
      </c>
    </row>
    <row r="163" spans="1:19" x14ac:dyDescent="0.3">
      <c r="A163" s="2" t="s">
        <v>14</v>
      </c>
      <c r="B163" s="3" t="s">
        <v>14</v>
      </c>
      <c r="C163" s="3" t="s">
        <v>339</v>
      </c>
      <c r="D163" s="3" t="s">
        <v>14</v>
      </c>
      <c r="E163" s="3" t="s">
        <v>194</v>
      </c>
      <c r="F163" s="4">
        <v>46203</v>
      </c>
      <c r="G163" s="3" t="s">
        <v>27</v>
      </c>
      <c r="H163" s="6">
        <v>161399.34</v>
      </c>
      <c r="I163" s="3" t="s">
        <v>18</v>
      </c>
      <c r="J163" s="3" t="s">
        <v>19</v>
      </c>
      <c r="K163" s="3" t="s">
        <v>14</v>
      </c>
      <c r="L163" s="3" t="s">
        <v>340</v>
      </c>
      <c r="M163" s="4">
        <v>46225</v>
      </c>
      <c r="N163" s="3" t="s">
        <v>341</v>
      </c>
      <c r="O163" s="3" t="s">
        <v>22</v>
      </c>
      <c r="P163" t="str">
        <f t="shared" si="2"/>
        <v>450013027120</v>
      </c>
      <c r="Q163" s="7" cm="1">
        <f t="array" ref="Q163:S163">VLOOKUP(P163,Hoja1!C:F,{2,3,4},FALSE)</f>
        <v>46195</v>
      </c>
      <c r="R163" t="str">
        <v>C03</v>
      </c>
      <c r="S163" t="str">
        <v>1000000062 FINNING ARGENTINA S.A.</v>
      </c>
    </row>
    <row r="164" spans="1:19" x14ac:dyDescent="0.3">
      <c r="A164" s="2" t="s">
        <v>14</v>
      </c>
      <c r="B164" s="3" t="s">
        <v>14</v>
      </c>
      <c r="C164" s="3" t="s">
        <v>342</v>
      </c>
      <c r="D164" s="3" t="s">
        <v>14</v>
      </c>
      <c r="E164" s="3" t="s">
        <v>194</v>
      </c>
      <c r="F164" s="4">
        <v>46226</v>
      </c>
      <c r="G164" s="3" t="s">
        <v>27</v>
      </c>
      <c r="H164" s="6">
        <v>49366.41</v>
      </c>
      <c r="I164" s="3" t="s">
        <v>18</v>
      </c>
      <c r="J164" s="3" t="s">
        <v>19</v>
      </c>
      <c r="K164" s="3" t="s">
        <v>14</v>
      </c>
      <c r="L164" s="3" t="s">
        <v>343</v>
      </c>
      <c r="M164" s="4">
        <v>46226</v>
      </c>
      <c r="N164" s="3" t="s">
        <v>344</v>
      </c>
      <c r="O164" s="3" t="s">
        <v>30</v>
      </c>
      <c r="P164" t="str">
        <f t="shared" si="2"/>
        <v>450013333310</v>
      </c>
      <c r="Q164" s="7" cm="1">
        <f t="array" ref="Q164:S164">VLOOKUP(P164,Hoja1!C:F,{2,3,4},FALSE)</f>
        <v>46301</v>
      </c>
      <c r="R164" t="str">
        <v>C42</v>
      </c>
      <c r="S164" t="str">
        <v>1000003230 RESORTES LACAS SRL</v>
      </c>
    </row>
    <row r="165" spans="1:19" x14ac:dyDescent="0.3">
      <c r="A165" s="2" t="s">
        <v>14</v>
      </c>
      <c r="B165" s="3" t="s">
        <v>14</v>
      </c>
      <c r="C165" s="3" t="s">
        <v>345</v>
      </c>
      <c r="D165" s="3" t="s">
        <v>14</v>
      </c>
      <c r="E165" s="3" t="s">
        <v>194</v>
      </c>
      <c r="F165" s="4">
        <v>46197</v>
      </c>
      <c r="G165" s="3" t="s">
        <v>17</v>
      </c>
      <c r="H165" s="5">
        <v>-27775</v>
      </c>
      <c r="I165" s="3" t="s">
        <v>18</v>
      </c>
      <c r="J165" s="3" t="s">
        <v>19</v>
      </c>
      <c r="K165" s="3" t="s">
        <v>14</v>
      </c>
      <c r="L165" s="3" t="s">
        <v>346</v>
      </c>
      <c r="M165" s="4">
        <v>46206</v>
      </c>
      <c r="N165" s="3" t="s">
        <v>347</v>
      </c>
      <c r="O165" s="3" t="s">
        <v>30</v>
      </c>
      <c r="P165" t="str">
        <f t="shared" si="2"/>
        <v>450013107610</v>
      </c>
      <c r="Q165" s="7" cm="1">
        <f t="array" ref="Q165:S165">VLOOKUP(P165,Hoja1!C:F,{2,3,4},FALSE)</f>
        <v>46202</v>
      </c>
      <c r="R165" t="str">
        <v>C38</v>
      </c>
      <c r="S165" t="str">
        <v>1000007907 CENTRO HIDRAULICO S.A.</v>
      </c>
    </row>
    <row r="166" spans="1:19" x14ac:dyDescent="0.3">
      <c r="A166" s="2" t="s">
        <v>14</v>
      </c>
      <c r="B166" s="3" t="s">
        <v>14</v>
      </c>
      <c r="C166" s="3" t="s">
        <v>348</v>
      </c>
      <c r="D166" s="3" t="s">
        <v>84</v>
      </c>
      <c r="E166" s="3" t="s">
        <v>194</v>
      </c>
      <c r="F166" s="4">
        <v>46219</v>
      </c>
      <c r="G166" s="3" t="s">
        <v>27</v>
      </c>
      <c r="H166" s="6">
        <v>1055559.7</v>
      </c>
      <c r="I166" s="3" t="s">
        <v>18</v>
      </c>
      <c r="J166" s="3" t="s">
        <v>19</v>
      </c>
      <c r="K166" s="3" t="s">
        <v>14</v>
      </c>
      <c r="L166" s="3" t="s">
        <v>91</v>
      </c>
      <c r="M166" s="4">
        <v>46230</v>
      </c>
      <c r="N166" s="3" t="s">
        <v>92</v>
      </c>
      <c r="O166" s="3" t="s">
        <v>22</v>
      </c>
      <c r="P166" t="str">
        <f t="shared" si="2"/>
        <v>450013262620</v>
      </c>
      <c r="Q166" s="7" cm="1">
        <f t="array" ref="Q166:S166">VLOOKUP(P166,Hoja1!C:F,{2,3,4},FALSE)</f>
        <v>46317</v>
      </c>
      <c r="R166" t="str">
        <v>C19</v>
      </c>
      <c r="S166" t="str">
        <v>1000000015 MADETEC S.A.</v>
      </c>
    </row>
    <row r="167" spans="1:19" x14ac:dyDescent="0.3">
      <c r="A167" s="2" t="s">
        <v>14</v>
      </c>
      <c r="B167" s="3" t="s">
        <v>14</v>
      </c>
      <c r="C167" s="3" t="s">
        <v>349</v>
      </c>
      <c r="D167" s="3" t="s">
        <v>14</v>
      </c>
      <c r="E167" s="3" t="s">
        <v>194</v>
      </c>
      <c r="F167" s="4">
        <v>46225</v>
      </c>
      <c r="G167" s="3" t="s">
        <v>27</v>
      </c>
      <c r="H167" s="6">
        <v>56550</v>
      </c>
      <c r="I167" s="3" t="s">
        <v>18</v>
      </c>
      <c r="J167" s="3" t="s">
        <v>19</v>
      </c>
      <c r="K167" s="3" t="s">
        <v>14</v>
      </c>
      <c r="L167" s="3" t="s">
        <v>207</v>
      </c>
      <c r="M167" s="4">
        <v>46230</v>
      </c>
      <c r="N167" s="3" t="s">
        <v>208</v>
      </c>
      <c r="O167" s="3" t="s">
        <v>23</v>
      </c>
      <c r="P167" t="str">
        <f t="shared" si="2"/>
        <v>450005708040</v>
      </c>
      <c r="Q167" s="7" cm="1">
        <f t="array" ref="Q167:S167">VLOOKUP(P167,Hoja1!C:F,{2,3,4},FALSE)</f>
        <v>46386</v>
      </c>
      <c r="R167" t="str">
        <v>C25</v>
      </c>
      <c r="S167" t="str">
        <v>1000008581 IZAZA PAULA SOLEDAD</v>
      </c>
    </row>
    <row r="168" spans="1:19" x14ac:dyDescent="0.3">
      <c r="A168" s="2" t="s">
        <v>14</v>
      </c>
      <c r="B168" s="3" t="s">
        <v>14</v>
      </c>
      <c r="C168" s="3" t="s">
        <v>350</v>
      </c>
      <c r="D168" s="3" t="s">
        <v>14</v>
      </c>
      <c r="E168" s="3" t="s">
        <v>194</v>
      </c>
      <c r="F168" s="4">
        <v>46136</v>
      </c>
      <c r="G168" s="3" t="s">
        <v>27</v>
      </c>
      <c r="H168" s="6">
        <v>3755920</v>
      </c>
      <c r="I168" s="3" t="s">
        <v>18</v>
      </c>
      <c r="J168" s="3" t="s">
        <v>39</v>
      </c>
      <c r="K168" s="3" t="s">
        <v>14</v>
      </c>
      <c r="L168" s="3" t="s">
        <v>351</v>
      </c>
      <c r="M168" s="4">
        <v>46231</v>
      </c>
      <c r="N168" s="3" t="s">
        <v>352</v>
      </c>
      <c r="O168" s="3" t="s">
        <v>30</v>
      </c>
      <c r="P168" t="str">
        <f t="shared" si="2"/>
        <v>450012424510</v>
      </c>
      <c r="Q168" s="7" cm="1">
        <f t="array" ref="Q168:S168">VLOOKUP(P168,Hoja1!C:F,{2,3,4},FALSE)</f>
        <v>46308</v>
      </c>
      <c r="R168" t="str">
        <v>C03</v>
      </c>
      <c r="S168" t="str">
        <v>2000000157 SITECH SOUTHERN CONE S.P.A.</v>
      </c>
    </row>
    <row r="169" spans="1:19" x14ac:dyDescent="0.3">
      <c r="A169" s="2" t="s">
        <v>14</v>
      </c>
      <c r="B169" s="3" t="s">
        <v>14</v>
      </c>
      <c r="C169" s="3" t="s">
        <v>353</v>
      </c>
      <c r="D169" s="3" t="s">
        <v>14</v>
      </c>
      <c r="E169" s="3" t="s">
        <v>194</v>
      </c>
      <c r="F169" s="4">
        <v>46230</v>
      </c>
      <c r="G169" s="3" t="s">
        <v>27</v>
      </c>
      <c r="H169" s="6">
        <v>468828.8</v>
      </c>
      <c r="I169" s="3" t="s">
        <v>18</v>
      </c>
      <c r="J169" s="3" t="s">
        <v>19</v>
      </c>
      <c r="K169" s="3" t="s">
        <v>14</v>
      </c>
      <c r="L169" s="3" t="s">
        <v>274</v>
      </c>
      <c r="M169" s="4">
        <v>46231</v>
      </c>
      <c r="N169" s="3" t="s">
        <v>354</v>
      </c>
      <c r="O169" s="3" t="s">
        <v>30</v>
      </c>
      <c r="P169" t="str">
        <f t="shared" si="2"/>
        <v>450013397210</v>
      </c>
      <c r="Q169" s="7" cm="1">
        <f t="array" ref="Q169:S169">VLOOKUP(P169,Hoja1!C:F,{2,3,4},FALSE)</f>
        <v>46216</v>
      </c>
      <c r="R169" t="str">
        <v>EFO</v>
      </c>
      <c r="S169" t="str">
        <v>1000000072 BERTEC S.A</v>
      </c>
    </row>
    <row r="170" spans="1:19" x14ac:dyDescent="0.3">
      <c r="A170" s="2" t="s">
        <v>14</v>
      </c>
      <c r="B170" s="3" t="s">
        <v>14</v>
      </c>
      <c r="C170" s="3" t="s">
        <v>353</v>
      </c>
      <c r="D170" s="3" t="s">
        <v>14</v>
      </c>
      <c r="E170" s="3" t="s">
        <v>194</v>
      </c>
      <c r="F170" s="4">
        <v>46230</v>
      </c>
      <c r="G170" s="3" t="s">
        <v>27</v>
      </c>
      <c r="H170" s="6">
        <v>85241.600000000006</v>
      </c>
      <c r="I170" s="3" t="s">
        <v>18</v>
      </c>
      <c r="J170" s="3" t="s">
        <v>19</v>
      </c>
      <c r="K170" s="3" t="s">
        <v>14</v>
      </c>
      <c r="L170" s="3" t="s">
        <v>274</v>
      </c>
      <c r="M170" s="4">
        <v>46231</v>
      </c>
      <c r="N170" s="3" t="s">
        <v>354</v>
      </c>
      <c r="O170" s="3" t="s">
        <v>22</v>
      </c>
      <c r="P170" t="str">
        <f t="shared" si="2"/>
        <v>450013397220</v>
      </c>
      <c r="Q170" s="7" cm="1">
        <f t="array" ref="Q170:S170">VLOOKUP(P170,Hoja1!C:F,{2,3,4},FALSE)</f>
        <v>46216</v>
      </c>
      <c r="R170" t="str">
        <v>EFO</v>
      </c>
      <c r="S170" t="str">
        <v>1000000072 BERTEC S.A</v>
      </c>
    </row>
    <row r="171" spans="1:19" x14ac:dyDescent="0.3">
      <c r="A171" s="2" t="s">
        <v>14</v>
      </c>
      <c r="B171" s="3" t="s">
        <v>14</v>
      </c>
      <c r="C171" s="3" t="s">
        <v>353</v>
      </c>
      <c r="D171" s="3" t="s">
        <v>14</v>
      </c>
      <c r="E171" s="3" t="s">
        <v>194</v>
      </c>
      <c r="F171" s="4">
        <v>46230</v>
      </c>
      <c r="G171" s="3" t="s">
        <v>27</v>
      </c>
      <c r="H171" s="6">
        <v>42620.800000000003</v>
      </c>
      <c r="I171" s="3" t="s">
        <v>18</v>
      </c>
      <c r="J171" s="3" t="s">
        <v>19</v>
      </c>
      <c r="K171" s="3" t="s">
        <v>14</v>
      </c>
      <c r="L171" s="3" t="s">
        <v>274</v>
      </c>
      <c r="M171" s="4">
        <v>46231</v>
      </c>
      <c r="N171" s="3" t="s">
        <v>354</v>
      </c>
      <c r="O171" s="3" t="s">
        <v>35</v>
      </c>
      <c r="P171" t="str">
        <f t="shared" si="2"/>
        <v>450013397230</v>
      </c>
      <c r="Q171" s="7" cm="1">
        <f t="array" ref="Q171:S171">VLOOKUP(P171,Hoja1!C:F,{2,3,4},FALSE)</f>
        <v>46216</v>
      </c>
      <c r="R171" t="str">
        <v>EFO</v>
      </c>
      <c r="S171" t="str">
        <v>1000000072 BERTEC S.A</v>
      </c>
    </row>
    <row r="172" spans="1:19" x14ac:dyDescent="0.3">
      <c r="A172" s="2" t="s">
        <v>14</v>
      </c>
      <c r="B172" s="3" t="s">
        <v>14</v>
      </c>
      <c r="C172" s="3" t="s">
        <v>355</v>
      </c>
      <c r="D172" s="3" t="s">
        <v>14</v>
      </c>
      <c r="E172" s="3" t="s">
        <v>194</v>
      </c>
      <c r="F172" s="4">
        <v>46123</v>
      </c>
      <c r="G172" s="3" t="s">
        <v>27</v>
      </c>
      <c r="H172" s="6">
        <v>156000</v>
      </c>
      <c r="I172" s="3" t="s">
        <v>18</v>
      </c>
      <c r="J172" s="3" t="s">
        <v>19</v>
      </c>
      <c r="K172" s="3" t="s">
        <v>14</v>
      </c>
      <c r="L172" s="3" t="s">
        <v>207</v>
      </c>
      <c r="M172" s="4">
        <v>46233</v>
      </c>
      <c r="N172" s="3" t="s">
        <v>208</v>
      </c>
      <c r="O172" s="3" t="s">
        <v>23</v>
      </c>
      <c r="P172" t="str">
        <f t="shared" si="2"/>
        <v>450005708040</v>
      </c>
      <c r="Q172" s="7" cm="1">
        <f t="array" ref="Q172:S172">VLOOKUP(P172,Hoja1!C:F,{2,3,4},FALSE)</f>
        <v>46386</v>
      </c>
      <c r="R172" t="str">
        <v>C25</v>
      </c>
      <c r="S172" t="str">
        <v>1000008581 IZAZA PAULA SOLEDAD</v>
      </c>
    </row>
    <row r="173" spans="1:19" x14ac:dyDescent="0.3">
      <c r="A173" s="2" t="s">
        <v>14</v>
      </c>
      <c r="B173" s="3" t="s">
        <v>14</v>
      </c>
      <c r="C173" s="3" t="s">
        <v>356</v>
      </c>
      <c r="D173" s="3" t="s">
        <v>14</v>
      </c>
      <c r="E173" s="3" t="s">
        <v>194</v>
      </c>
      <c r="F173" s="4">
        <v>46237</v>
      </c>
      <c r="G173" s="3" t="s">
        <v>27</v>
      </c>
      <c r="H173" s="6">
        <v>275400</v>
      </c>
      <c r="I173" s="3" t="s">
        <v>18</v>
      </c>
      <c r="J173" s="3" t="s">
        <v>19</v>
      </c>
      <c r="K173" s="3" t="s">
        <v>14</v>
      </c>
      <c r="L173" s="3" t="s">
        <v>221</v>
      </c>
      <c r="M173" s="4">
        <v>46238</v>
      </c>
      <c r="N173" s="3" t="s">
        <v>222</v>
      </c>
      <c r="O173" s="3" t="s">
        <v>30</v>
      </c>
      <c r="P173" t="str">
        <f t="shared" si="2"/>
        <v>450011874510</v>
      </c>
      <c r="Q173" s="7" cm="1">
        <f t="array" ref="Q173:S173">VLOOKUP(P173,Hoja1!C:F,{2,3,4},FALSE)</f>
        <v>46387</v>
      </c>
      <c r="R173" t="str">
        <v>C24</v>
      </c>
      <c r="S173" t="str">
        <v>1000000026 NEURALSOFT S.R.L.</v>
      </c>
    </row>
    <row r="174" spans="1:19" x14ac:dyDescent="0.3">
      <c r="A174" s="2" t="s">
        <v>14</v>
      </c>
      <c r="B174" s="3" t="s">
        <v>14</v>
      </c>
      <c r="C174" s="3" t="s">
        <v>357</v>
      </c>
      <c r="D174" s="3" t="s">
        <v>32</v>
      </c>
      <c r="E174" s="3" t="s">
        <v>194</v>
      </c>
      <c r="F174" s="4">
        <v>46240</v>
      </c>
      <c r="G174" s="3" t="s">
        <v>27</v>
      </c>
      <c r="H174" s="6">
        <v>45666.43</v>
      </c>
      <c r="I174" s="3" t="s">
        <v>18</v>
      </c>
      <c r="J174" s="3" t="s">
        <v>39</v>
      </c>
      <c r="K174" s="3" t="s">
        <v>14</v>
      </c>
      <c r="L174" s="3" t="s">
        <v>335</v>
      </c>
      <c r="M174" s="4">
        <v>46240</v>
      </c>
      <c r="N174" s="3" t="s">
        <v>336</v>
      </c>
      <c r="O174" s="3" t="s">
        <v>30</v>
      </c>
      <c r="P174" t="str">
        <f t="shared" si="2"/>
        <v>450013124310</v>
      </c>
      <c r="Q174" s="7" cm="1">
        <f t="array" ref="Q174:S174">VLOOKUP(P174,Hoja1!C:F,{2,3,4},FALSE)</f>
        <v>46433</v>
      </c>
      <c r="R174" t="str">
        <v>C21</v>
      </c>
      <c r="S174" t="str">
        <v>1000013302 PETROTRES SA</v>
      </c>
    </row>
    <row r="175" spans="1:19" x14ac:dyDescent="0.3">
      <c r="A175" s="2" t="s">
        <v>14</v>
      </c>
      <c r="B175" s="3" t="s">
        <v>14</v>
      </c>
      <c r="C175" s="3" t="s">
        <v>357</v>
      </c>
      <c r="D175" s="3" t="s">
        <v>32</v>
      </c>
      <c r="E175" s="3" t="s">
        <v>194</v>
      </c>
      <c r="F175" s="4">
        <v>46240</v>
      </c>
      <c r="G175" s="3" t="s">
        <v>27</v>
      </c>
      <c r="H175" s="6">
        <v>2797.74</v>
      </c>
      <c r="I175" s="3" t="s">
        <v>18</v>
      </c>
      <c r="J175" s="3" t="s">
        <v>39</v>
      </c>
      <c r="K175" s="3" t="s">
        <v>14</v>
      </c>
      <c r="L175" s="3" t="s">
        <v>335</v>
      </c>
      <c r="M175" s="4">
        <v>46240</v>
      </c>
      <c r="N175" s="3" t="s">
        <v>336</v>
      </c>
      <c r="O175" s="3" t="s">
        <v>30</v>
      </c>
      <c r="P175" t="str">
        <f t="shared" si="2"/>
        <v>450013124310</v>
      </c>
      <c r="Q175" s="7" cm="1">
        <f t="array" ref="Q175:S175">VLOOKUP(P175,Hoja1!C:F,{2,3,4},FALSE)</f>
        <v>46433</v>
      </c>
      <c r="R175" t="str">
        <v>C21</v>
      </c>
      <c r="S175" t="str">
        <v>1000013302 PETROTRES SA</v>
      </c>
    </row>
    <row r="176" spans="1:19" x14ac:dyDescent="0.3">
      <c r="A176" s="2" t="s">
        <v>14</v>
      </c>
      <c r="B176" s="3" t="s">
        <v>14</v>
      </c>
      <c r="C176" s="3" t="s">
        <v>358</v>
      </c>
      <c r="D176" s="3" t="s">
        <v>32</v>
      </c>
      <c r="E176" s="3" t="s">
        <v>194</v>
      </c>
      <c r="F176" s="4">
        <v>46220</v>
      </c>
      <c r="G176" s="3" t="s">
        <v>27</v>
      </c>
      <c r="H176" s="6">
        <v>374000</v>
      </c>
      <c r="I176" s="3" t="s">
        <v>18</v>
      </c>
      <c r="J176" s="3" t="s">
        <v>19</v>
      </c>
      <c r="K176" s="3" t="s">
        <v>14</v>
      </c>
      <c r="L176" s="3" t="s">
        <v>359</v>
      </c>
      <c r="M176" s="4">
        <v>46246</v>
      </c>
      <c r="N176" s="3" t="s">
        <v>360</v>
      </c>
      <c r="O176" s="3" t="s">
        <v>30</v>
      </c>
      <c r="P176" t="str">
        <f t="shared" si="2"/>
        <v>450013334210</v>
      </c>
      <c r="Q176" s="7" cm="1">
        <f t="array" ref="Q176:S176">VLOOKUP(P176,Hoja1!C:F,{2,3,4},FALSE)</f>
        <v>46295</v>
      </c>
      <c r="R176" t="str">
        <v>C15</v>
      </c>
      <c r="S176" t="str">
        <v>1000011965 DIRECTO SUR S. R. L.</v>
      </c>
    </row>
    <row r="177" spans="1:19" x14ac:dyDescent="0.3">
      <c r="A177" s="2" t="s">
        <v>14</v>
      </c>
      <c r="B177" s="3" t="s">
        <v>14</v>
      </c>
      <c r="C177" s="3" t="s">
        <v>361</v>
      </c>
      <c r="D177" s="3" t="s">
        <v>32</v>
      </c>
      <c r="E177" s="3" t="s">
        <v>194</v>
      </c>
      <c r="F177" s="4">
        <v>46164</v>
      </c>
      <c r="G177" s="3" t="s">
        <v>27</v>
      </c>
      <c r="H177" s="6">
        <v>448453.32</v>
      </c>
      <c r="I177" s="3" t="s">
        <v>18</v>
      </c>
      <c r="J177" s="3" t="s">
        <v>19</v>
      </c>
      <c r="K177" s="3" t="s">
        <v>14</v>
      </c>
      <c r="L177" s="3" t="s">
        <v>359</v>
      </c>
      <c r="M177" s="4">
        <v>46246</v>
      </c>
      <c r="N177" s="3" t="s">
        <v>360</v>
      </c>
      <c r="O177" s="3" t="s">
        <v>30</v>
      </c>
      <c r="P177" t="str">
        <f t="shared" si="2"/>
        <v>450013334210</v>
      </c>
      <c r="Q177" s="7" cm="1">
        <f t="array" ref="Q177:S177">VLOOKUP(P177,Hoja1!C:F,{2,3,4},FALSE)</f>
        <v>46295</v>
      </c>
      <c r="R177" t="str">
        <v>C15</v>
      </c>
      <c r="S177" t="str">
        <v>1000011965 DIRECTO SUR S. R. L.</v>
      </c>
    </row>
    <row r="178" spans="1:19" x14ac:dyDescent="0.3">
      <c r="A178" s="2" t="s">
        <v>14</v>
      </c>
      <c r="B178" s="3" t="s">
        <v>14</v>
      </c>
      <c r="C178" s="3" t="s">
        <v>362</v>
      </c>
      <c r="D178" s="3" t="s">
        <v>32</v>
      </c>
      <c r="E178" s="3" t="s">
        <v>194</v>
      </c>
      <c r="F178" s="4">
        <v>46213</v>
      </c>
      <c r="G178" s="3" t="s">
        <v>27</v>
      </c>
      <c r="H178" s="6">
        <v>1947000</v>
      </c>
      <c r="I178" s="3" t="s">
        <v>18</v>
      </c>
      <c r="J178" s="3" t="s">
        <v>19</v>
      </c>
      <c r="K178" s="3" t="s">
        <v>14</v>
      </c>
      <c r="L178" s="3" t="s">
        <v>359</v>
      </c>
      <c r="M178" s="4">
        <v>46246</v>
      </c>
      <c r="N178" s="3" t="s">
        <v>360</v>
      </c>
      <c r="O178" s="3" t="s">
        <v>30</v>
      </c>
      <c r="P178" t="str">
        <f t="shared" si="2"/>
        <v>450013334210</v>
      </c>
      <c r="Q178" s="7" cm="1">
        <f t="array" ref="Q178:S178">VLOOKUP(P178,Hoja1!C:F,{2,3,4},FALSE)</f>
        <v>46295</v>
      </c>
      <c r="R178" t="str">
        <v>C15</v>
      </c>
      <c r="S178" t="str">
        <v>1000011965 DIRECTO SUR S. R. L.</v>
      </c>
    </row>
    <row r="179" spans="1:19" x14ac:dyDescent="0.3">
      <c r="A179" s="2" t="s">
        <v>14</v>
      </c>
      <c r="B179" s="3" t="s">
        <v>14</v>
      </c>
      <c r="C179" s="3" t="s">
        <v>363</v>
      </c>
      <c r="D179" s="3" t="s">
        <v>32</v>
      </c>
      <c r="E179" s="3" t="s">
        <v>194</v>
      </c>
      <c r="F179" s="4">
        <v>46171</v>
      </c>
      <c r="G179" s="3" t="s">
        <v>27</v>
      </c>
      <c r="H179" s="6">
        <v>2495700</v>
      </c>
      <c r="I179" s="3" t="s">
        <v>18</v>
      </c>
      <c r="J179" s="3" t="s">
        <v>19</v>
      </c>
      <c r="K179" s="3" t="s">
        <v>14</v>
      </c>
      <c r="L179" s="3" t="s">
        <v>359</v>
      </c>
      <c r="M179" s="4">
        <v>46246</v>
      </c>
      <c r="N179" s="3" t="s">
        <v>360</v>
      </c>
      <c r="O179" s="3" t="s">
        <v>30</v>
      </c>
      <c r="P179" t="str">
        <f t="shared" si="2"/>
        <v>450013334210</v>
      </c>
      <c r="Q179" s="7" cm="1">
        <f t="array" ref="Q179:S179">VLOOKUP(P179,Hoja1!C:F,{2,3,4},FALSE)</f>
        <v>46295</v>
      </c>
      <c r="R179" t="str">
        <v>C15</v>
      </c>
      <c r="S179" t="str">
        <v>1000011965 DIRECTO SUR S. R. L.</v>
      </c>
    </row>
    <row r="180" spans="1:19" x14ac:dyDescent="0.3">
      <c r="A180" s="2" t="s">
        <v>14</v>
      </c>
      <c r="B180" s="3" t="s">
        <v>14</v>
      </c>
      <c r="C180" s="3" t="s">
        <v>364</v>
      </c>
      <c r="D180" s="3" t="s">
        <v>14</v>
      </c>
      <c r="E180" s="3" t="s">
        <v>194</v>
      </c>
      <c r="F180" s="4">
        <v>46245</v>
      </c>
      <c r="G180" s="3" t="s">
        <v>27</v>
      </c>
      <c r="H180" s="6">
        <v>1267166.02</v>
      </c>
      <c r="I180" s="3" t="s">
        <v>18</v>
      </c>
      <c r="J180" s="3" t="s">
        <v>19</v>
      </c>
      <c r="K180" s="3" t="s">
        <v>14</v>
      </c>
      <c r="L180" s="3" t="s">
        <v>88</v>
      </c>
      <c r="M180" s="4">
        <v>46248</v>
      </c>
      <c r="N180" s="3" t="s">
        <v>89</v>
      </c>
      <c r="O180" s="3" t="s">
        <v>30</v>
      </c>
      <c r="P180" t="str">
        <f t="shared" si="2"/>
        <v>450011990410</v>
      </c>
      <c r="Q180" s="7" cm="1">
        <f t="array" ref="Q180:S180">VLOOKUP(P180,Hoja1!C:F,{2,3,4},FALSE)</f>
        <v>46284</v>
      </c>
      <c r="R180" t="str">
        <v>C21</v>
      </c>
      <c r="S180" t="str">
        <v>1000004906 FERRARO Y CIA S.A.</v>
      </c>
    </row>
    <row r="181" spans="1:19" x14ac:dyDescent="0.3">
      <c r="A181" s="2" t="s">
        <v>14</v>
      </c>
      <c r="B181" s="3" t="s">
        <v>14</v>
      </c>
      <c r="C181" s="3" t="s">
        <v>364</v>
      </c>
      <c r="D181" s="3" t="s">
        <v>14</v>
      </c>
      <c r="E181" s="3" t="s">
        <v>194</v>
      </c>
      <c r="F181" s="4">
        <v>46245</v>
      </c>
      <c r="G181" s="3" t="s">
        <v>27</v>
      </c>
      <c r="H181" s="6">
        <v>22545.26</v>
      </c>
      <c r="I181" s="3" t="s">
        <v>18</v>
      </c>
      <c r="J181" s="3" t="s">
        <v>39</v>
      </c>
      <c r="K181" s="3" t="s">
        <v>14</v>
      </c>
      <c r="L181" s="3" t="s">
        <v>88</v>
      </c>
      <c r="M181" s="4">
        <v>46248</v>
      </c>
      <c r="N181" s="3" t="s">
        <v>89</v>
      </c>
      <c r="O181" s="3" t="s">
        <v>30</v>
      </c>
      <c r="P181" t="str">
        <f t="shared" si="2"/>
        <v>450011990410</v>
      </c>
      <c r="Q181" s="7" cm="1">
        <f t="array" ref="Q181:S181">VLOOKUP(P181,Hoja1!C:F,{2,3,4},FALSE)</f>
        <v>46284</v>
      </c>
      <c r="R181" t="str">
        <v>C21</v>
      </c>
      <c r="S181" t="str">
        <v>1000004906 FERRARO Y CIA S.A.</v>
      </c>
    </row>
    <row r="182" spans="1:19" x14ac:dyDescent="0.3">
      <c r="A182" s="2" t="s">
        <v>14</v>
      </c>
      <c r="B182" s="3" t="s">
        <v>14</v>
      </c>
      <c r="C182" s="3" t="s">
        <v>364</v>
      </c>
      <c r="D182" s="3" t="s">
        <v>14</v>
      </c>
      <c r="E182" s="3" t="s">
        <v>194</v>
      </c>
      <c r="F182" s="4">
        <v>46245</v>
      </c>
      <c r="G182" s="3" t="s">
        <v>27</v>
      </c>
      <c r="H182" s="6">
        <v>197777</v>
      </c>
      <c r="I182" s="3" t="s">
        <v>18</v>
      </c>
      <c r="J182" s="3" t="s">
        <v>39</v>
      </c>
      <c r="K182" s="3" t="s">
        <v>14</v>
      </c>
      <c r="L182" s="3" t="s">
        <v>88</v>
      </c>
      <c r="M182" s="4">
        <v>46248</v>
      </c>
      <c r="N182" s="3" t="s">
        <v>89</v>
      </c>
      <c r="O182" s="3" t="s">
        <v>30</v>
      </c>
      <c r="P182" t="str">
        <f t="shared" si="2"/>
        <v>450011990410</v>
      </c>
      <c r="Q182" s="7" cm="1">
        <f t="array" ref="Q182:S182">VLOOKUP(P182,Hoja1!C:F,{2,3,4},FALSE)</f>
        <v>46284</v>
      </c>
      <c r="R182" t="str">
        <v>C21</v>
      </c>
      <c r="S182" t="str">
        <v>1000004906 FERRARO Y CIA S.A.</v>
      </c>
    </row>
    <row r="183" spans="1:19" x14ac:dyDescent="0.3">
      <c r="A183" s="2" t="s">
        <v>14</v>
      </c>
      <c r="B183" s="3" t="s">
        <v>14</v>
      </c>
      <c r="C183" s="3" t="s">
        <v>365</v>
      </c>
      <c r="D183" s="3" t="s">
        <v>14</v>
      </c>
      <c r="E183" s="3" t="s">
        <v>194</v>
      </c>
      <c r="F183" s="4">
        <v>45896</v>
      </c>
      <c r="G183" s="3" t="s">
        <v>27</v>
      </c>
      <c r="H183" s="6">
        <v>47281.5</v>
      </c>
      <c r="I183" s="3" t="s">
        <v>18</v>
      </c>
      <c r="J183" s="3" t="s">
        <v>19</v>
      </c>
      <c r="K183" s="3" t="s">
        <v>14</v>
      </c>
      <c r="L183" s="3" t="s">
        <v>366</v>
      </c>
      <c r="M183" s="4">
        <v>45947</v>
      </c>
      <c r="N183" s="3" t="s">
        <v>367</v>
      </c>
      <c r="O183" s="3" t="s">
        <v>22</v>
      </c>
      <c r="P183" t="str">
        <f t="shared" si="2"/>
        <v>450010489620</v>
      </c>
      <c r="Q183" s="7" cm="1">
        <f t="array" ref="Q183:S183">VLOOKUP(P183,Hoja1!C:F,{2,3,4},FALSE)</f>
        <v>45878</v>
      </c>
      <c r="R183" t="str">
        <v>C27</v>
      </c>
      <c r="S183" t="str">
        <v>1000000014 LOPEZ - FORCINITI S.A.</v>
      </c>
    </row>
    <row r="184" spans="1:19" x14ac:dyDescent="0.3">
      <c r="A184" s="2" t="s">
        <v>14</v>
      </c>
      <c r="B184" s="3" t="s">
        <v>14</v>
      </c>
      <c r="C184" s="3" t="s">
        <v>368</v>
      </c>
      <c r="D184" s="3" t="s">
        <v>32</v>
      </c>
      <c r="E184" s="3" t="s">
        <v>194</v>
      </c>
      <c r="F184" s="4">
        <v>46255</v>
      </c>
      <c r="G184" s="3" t="s">
        <v>27</v>
      </c>
      <c r="H184" s="6">
        <v>76949.66</v>
      </c>
      <c r="I184" s="3" t="s">
        <v>18</v>
      </c>
      <c r="J184" s="3" t="s">
        <v>39</v>
      </c>
      <c r="K184" s="3" t="s">
        <v>14</v>
      </c>
      <c r="L184" s="3" t="s">
        <v>335</v>
      </c>
      <c r="M184" s="4">
        <v>46255</v>
      </c>
      <c r="N184" s="3" t="s">
        <v>336</v>
      </c>
      <c r="O184" s="3" t="s">
        <v>30</v>
      </c>
      <c r="P184" t="str">
        <f t="shared" si="2"/>
        <v>450013124310</v>
      </c>
      <c r="Q184" s="7" cm="1">
        <f t="array" ref="Q184:S184">VLOOKUP(P184,Hoja1!C:F,{2,3,4},FALSE)</f>
        <v>46433</v>
      </c>
      <c r="R184" t="str">
        <v>C21</v>
      </c>
      <c r="S184" t="str">
        <v>1000013302 PETROTRES SA</v>
      </c>
    </row>
    <row r="185" spans="1:19" x14ac:dyDescent="0.3">
      <c r="A185" s="2" t="s">
        <v>14</v>
      </c>
      <c r="B185" s="3" t="s">
        <v>14</v>
      </c>
      <c r="C185" s="3" t="s">
        <v>368</v>
      </c>
      <c r="D185" s="3" t="s">
        <v>32</v>
      </c>
      <c r="E185" s="3" t="s">
        <v>194</v>
      </c>
      <c r="F185" s="4">
        <v>46255</v>
      </c>
      <c r="G185" s="3" t="s">
        <v>27</v>
      </c>
      <c r="H185" s="6">
        <v>4714.1099999999997</v>
      </c>
      <c r="I185" s="3" t="s">
        <v>18</v>
      </c>
      <c r="J185" s="3" t="s">
        <v>39</v>
      </c>
      <c r="K185" s="3" t="s">
        <v>14</v>
      </c>
      <c r="L185" s="3" t="s">
        <v>335</v>
      </c>
      <c r="M185" s="4">
        <v>46255</v>
      </c>
      <c r="N185" s="3" t="s">
        <v>336</v>
      </c>
      <c r="O185" s="3" t="s">
        <v>30</v>
      </c>
      <c r="P185" t="str">
        <f t="shared" si="2"/>
        <v>450013124310</v>
      </c>
      <c r="Q185" s="7" cm="1">
        <f t="array" ref="Q185:S185">VLOOKUP(P185,Hoja1!C:F,{2,3,4},FALSE)</f>
        <v>46433</v>
      </c>
      <c r="R185" t="str">
        <v>C21</v>
      </c>
      <c r="S185" t="str">
        <v>1000013302 PETROTRES SA</v>
      </c>
    </row>
    <row r="186" spans="1:19" x14ac:dyDescent="0.3">
      <c r="A186" s="2" t="s">
        <v>14</v>
      </c>
      <c r="B186" s="3" t="s">
        <v>14</v>
      </c>
      <c r="C186" s="3" t="s">
        <v>369</v>
      </c>
      <c r="D186" s="3" t="s">
        <v>14</v>
      </c>
      <c r="E186" s="3" t="s">
        <v>194</v>
      </c>
      <c r="F186" s="4">
        <v>46225</v>
      </c>
      <c r="G186" s="3" t="s">
        <v>17</v>
      </c>
      <c r="H186" s="5">
        <v>-319000</v>
      </c>
      <c r="I186" s="3" t="s">
        <v>18</v>
      </c>
      <c r="J186" s="3" t="s">
        <v>19</v>
      </c>
      <c r="K186" s="3" t="s">
        <v>14</v>
      </c>
      <c r="L186" s="3" t="s">
        <v>370</v>
      </c>
      <c r="M186" s="4">
        <v>46246</v>
      </c>
      <c r="N186" s="3" t="s">
        <v>371</v>
      </c>
      <c r="O186" s="3" t="s">
        <v>30</v>
      </c>
      <c r="P186" t="str">
        <f t="shared" si="2"/>
        <v>450013339310</v>
      </c>
      <c r="Q186" s="7" cm="1">
        <f t="array" ref="Q186:S186">VLOOKUP(P186,Hoja1!C:F,{2,3,4},FALSE)</f>
        <v>46231</v>
      </c>
      <c r="R186" t="str">
        <v>C38</v>
      </c>
      <c r="S186" t="str">
        <v>1000000050 ELASTICOS  SAITA S.R.L.</v>
      </c>
    </row>
    <row r="187" spans="1:19" x14ac:dyDescent="0.3">
      <c r="A187" s="2" t="s">
        <v>14</v>
      </c>
      <c r="B187" s="3" t="s">
        <v>14</v>
      </c>
      <c r="C187" s="3" t="s">
        <v>372</v>
      </c>
      <c r="D187" s="3" t="s">
        <v>14</v>
      </c>
      <c r="E187" s="3" t="s">
        <v>194</v>
      </c>
      <c r="F187" s="4">
        <v>46219</v>
      </c>
      <c r="G187" s="3" t="s">
        <v>17</v>
      </c>
      <c r="H187" s="5">
        <v>-1188000</v>
      </c>
      <c r="I187" s="3" t="s">
        <v>18</v>
      </c>
      <c r="J187" s="3" t="s">
        <v>19</v>
      </c>
      <c r="K187" s="3" t="s">
        <v>14</v>
      </c>
      <c r="L187" s="3" t="s">
        <v>370</v>
      </c>
      <c r="M187" s="4">
        <v>46235</v>
      </c>
      <c r="N187" s="3" t="s">
        <v>373</v>
      </c>
      <c r="O187" s="3" t="s">
        <v>30</v>
      </c>
      <c r="P187" t="str">
        <f t="shared" si="2"/>
        <v>450012743410</v>
      </c>
      <c r="Q187" s="7" cm="1">
        <f t="array" ref="Q187:S187">VLOOKUP(P187,Hoja1!C:F,{2,3,4},FALSE)</f>
        <v>46156</v>
      </c>
      <c r="R187" t="str">
        <v>C38</v>
      </c>
      <c r="S187" t="str">
        <v>1000000050 ELASTICOS  SAITA S.R.L.</v>
      </c>
    </row>
    <row r="188" spans="1:19" x14ac:dyDescent="0.3">
      <c r="A188" s="2" t="s">
        <v>14</v>
      </c>
      <c r="B188" s="3" t="s">
        <v>14</v>
      </c>
      <c r="C188" s="3" t="s">
        <v>374</v>
      </c>
      <c r="D188" s="3" t="s">
        <v>32</v>
      </c>
      <c r="E188" s="3" t="s">
        <v>194</v>
      </c>
      <c r="F188" s="4">
        <v>46218</v>
      </c>
      <c r="G188" s="3" t="s">
        <v>27</v>
      </c>
      <c r="H188" s="6">
        <v>21</v>
      </c>
      <c r="I188" s="3" t="s">
        <v>18</v>
      </c>
      <c r="J188" s="3" t="s">
        <v>19</v>
      </c>
      <c r="K188" s="3" t="s">
        <v>14</v>
      </c>
      <c r="L188" s="3" t="s">
        <v>375</v>
      </c>
      <c r="M188" s="4">
        <v>46265</v>
      </c>
      <c r="N188" s="3" t="s">
        <v>376</v>
      </c>
      <c r="O188" s="3" t="s">
        <v>30</v>
      </c>
      <c r="P188" t="str">
        <f t="shared" si="2"/>
        <v>450013023010</v>
      </c>
      <c r="Q188" s="7" cm="1">
        <f t="array" ref="Q188:S188">VLOOKUP(P188,Hoja1!C:F,{2,3,4},FALSE)</f>
        <v>46402</v>
      </c>
      <c r="R188" t="str">
        <v>C25</v>
      </c>
      <c r="S188" t="str">
        <v>1000000065 SA IMPORTADORA Y EXP. DE LA PA</v>
      </c>
    </row>
    <row r="189" spans="1:19" x14ac:dyDescent="0.3">
      <c r="A189" s="2" t="s">
        <v>14</v>
      </c>
      <c r="B189" s="3" t="s">
        <v>14</v>
      </c>
      <c r="C189" s="3" t="s">
        <v>377</v>
      </c>
      <c r="D189" s="3" t="s">
        <v>32</v>
      </c>
      <c r="E189" s="3" t="s">
        <v>194</v>
      </c>
      <c r="F189" s="4">
        <v>46262</v>
      </c>
      <c r="G189" s="3" t="s">
        <v>27</v>
      </c>
      <c r="H189" s="6">
        <v>32981.550000000003</v>
      </c>
      <c r="I189" s="3" t="s">
        <v>18</v>
      </c>
      <c r="J189" s="3" t="s">
        <v>39</v>
      </c>
      <c r="K189" s="3" t="s">
        <v>14</v>
      </c>
      <c r="L189" s="3" t="s">
        <v>335</v>
      </c>
      <c r="M189" s="4">
        <v>46266</v>
      </c>
      <c r="N189" s="3" t="s">
        <v>336</v>
      </c>
      <c r="O189" s="3" t="s">
        <v>30</v>
      </c>
      <c r="P189" t="str">
        <f t="shared" si="2"/>
        <v>450013124310</v>
      </c>
      <c r="Q189" s="7" cm="1">
        <f t="array" ref="Q189:S189">VLOOKUP(P189,Hoja1!C:F,{2,3,4},FALSE)</f>
        <v>46433</v>
      </c>
      <c r="R189" t="str">
        <v>C21</v>
      </c>
      <c r="S189" t="str">
        <v>1000013302 PETROTRES SA</v>
      </c>
    </row>
    <row r="190" spans="1:19" x14ac:dyDescent="0.3">
      <c r="A190" s="2" t="s">
        <v>14</v>
      </c>
      <c r="B190" s="3" t="s">
        <v>14</v>
      </c>
      <c r="C190" s="3" t="s">
        <v>377</v>
      </c>
      <c r="D190" s="3" t="s">
        <v>32</v>
      </c>
      <c r="E190" s="3" t="s">
        <v>194</v>
      </c>
      <c r="F190" s="4">
        <v>46262</v>
      </c>
      <c r="G190" s="3" t="s">
        <v>27</v>
      </c>
      <c r="H190" s="6">
        <v>2020.61</v>
      </c>
      <c r="I190" s="3" t="s">
        <v>18</v>
      </c>
      <c r="J190" s="3" t="s">
        <v>39</v>
      </c>
      <c r="K190" s="3" t="s">
        <v>14</v>
      </c>
      <c r="L190" s="3" t="s">
        <v>335</v>
      </c>
      <c r="M190" s="4">
        <v>46266</v>
      </c>
      <c r="N190" s="3" t="s">
        <v>336</v>
      </c>
      <c r="O190" s="3" t="s">
        <v>30</v>
      </c>
      <c r="P190" t="str">
        <f t="shared" si="2"/>
        <v>450013124310</v>
      </c>
      <c r="Q190" s="7" cm="1">
        <f t="array" ref="Q190:S190">VLOOKUP(P190,Hoja1!C:F,{2,3,4},FALSE)</f>
        <v>46433</v>
      </c>
      <c r="R190" t="str">
        <v>C21</v>
      </c>
      <c r="S190" t="str">
        <v>1000013302 PETROTRES SA</v>
      </c>
    </row>
    <row r="191" spans="1:19" x14ac:dyDescent="0.3">
      <c r="A191" s="2" t="s">
        <v>14</v>
      </c>
      <c r="B191" s="3" t="s">
        <v>14</v>
      </c>
      <c r="C191" s="3" t="s">
        <v>378</v>
      </c>
      <c r="D191" s="3" t="s">
        <v>32</v>
      </c>
      <c r="E191" s="3" t="s">
        <v>194</v>
      </c>
      <c r="F191" s="4">
        <v>46245</v>
      </c>
      <c r="G191" s="3" t="s">
        <v>27</v>
      </c>
      <c r="H191" s="6">
        <v>201123.20000000001</v>
      </c>
      <c r="I191" s="3" t="s">
        <v>18</v>
      </c>
      <c r="J191" s="3" t="s">
        <v>19</v>
      </c>
      <c r="K191" s="3" t="s">
        <v>14</v>
      </c>
      <c r="L191" s="3" t="s">
        <v>379</v>
      </c>
      <c r="M191" s="4">
        <v>46269</v>
      </c>
      <c r="N191" s="3" t="s">
        <v>380</v>
      </c>
      <c r="O191" s="3" t="s">
        <v>23</v>
      </c>
      <c r="P191" t="str">
        <f t="shared" si="2"/>
        <v>450013765340</v>
      </c>
      <c r="Q191" s="7" cm="1">
        <f t="array" ref="Q191:S191">VLOOKUP(P191,Hoja1!C:F,{2,3,4},FALSE)</f>
        <v>46248</v>
      </c>
      <c r="R191" t="str">
        <v>C08</v>
      </c>
      <c r="S191" t="str">
        <v>1000000134 SIPAR ACEROS S.A.</v>
      </c>
    </row>
    <row r="192" spans="1:19" x14ac:dyDescent="0.3">
      <c r="A192" s="2" t="s">
        <v>14</v>
      </c>
      <c r="B192" s="3" t="s">
        <v>14</v>
      </c>
      <c r="C192" s="3" t="s">
        <v>381</v>
      </c>
      <c r="D192" s="3" t="s">
        <v>14</v>
      </c>
      <c r="E192" s="3" t="s">
        <v>194</v>
      </c>
      <c r="F192" s="4">
        <v>45573</v>
      </c>
      <c r="G192" s="3" t="s">
        <v>27</v>
      </c>
      <c r="H192" s="6">
        <v>225520.98</v>
      </c>
      <c r="I192" s="3" t="s">
        <v>18</v>
      </c>
      <c r="J192" s="3" t="s">
        <v>19</v>
      </c>
      <c r="K192" s="3" t="s">
        <v>14</v>
      </c>
      <c r="L192" s="3" t="s">
        <v>73</v>
      </c>
      <c r="M192" s="4">
        <v>45573</v>
      </c>
      <c r="N192" s="3" t="s">
        <v>382</v>
      </c>
      <c r="O192" s="3" t="s">
        <v>30</v>
      </c>
      <c r="P192" t="str">
        <f t="shared" si="2"/>
        <v>450008540010</v>
      </c>
      <c r="Q192" s="7" cm="1">
        <f t="array" ref="Q192:S192">VLOOKUP(P192,Hoja1!C:F,{2,3,4},FALSE)</f>
        <v>45870</v>
      </c>
      <c r="R192" t="str">
        <v>C31</v>
      </c>
      <c r="S192" t="str">
        <v>1000000808 GLOBAL OIL S.R.L.</v>
      </c>
    </row>
    <row r="193" spans="1:19" x14ac:dyDescent="0.3">
      <c r="A193" s="2" t="s">
        <v>14</v>
      </c>
      <c r="B193" s="3" t="s">
        <v>14</v>
      </c>
      <c r="C193" s="3" t="s">
        <v>383</v>
      </c>
      <c r="D193" s="3" t="s">
        <v>32</v>
      </c>
      <c r="E193" s="3" t="s">
        <v>194</v>
      </c>
      <c r="F193" s="4">
        <v>46265</v>
      </c>
      <c r="G193" s="3" t="s">
        <v>27</v>
      </c>
      <c r="H193" s="6">
        <v>1050840</v>
      </c>
      <c r="I193" s="3" t="s">
        <v>18</v>
      </c>
      <c r="J193" s="3" t="s">
        <v>19</v>
      </c>
      <c r="K193" s="3" t="s">
        <v>14</v>
      </c>
      <c r="L193" s="3" t="s">
        <v>384</v>
      </c>
      <c r="M193" s="4">
        <v>46272</v>
      </c>
      <c r="N193" s="3" t="s">
        <v>385</v>
      </c>
      <c r="O193" s="3" t="s">
        <v>30</v>
      </c>
      <c r="P193" t="str">
        <f t="shared" si="2"/>
        <v>450013474110</v>
      </c>
      <c r="Q193" s="7" cm="1">
        <f t="array" ref="Q193:S193">VLOOKUP(P193,Hoja1!C:F,{2,3,4},FALSE)</f>
        <v>46310</v>
      </c>
      <c r="R193" t="str">
        <v>C08</v>
      </c>
      <c r="S193" t="str">
        <v>1000011378 AVILA ARGENTINA SOCIEDAD ANONIMAAVI</v>
      </c>
    </row>
    <row r="194" spans="1:19" x14ac:dyDescent="0.3">
      <c r="A194" s="2" t="s">
        <v>14</v>
      </c>
      <c r="B194" s="3" t="s">
        <v>14</v>
      </c>
      <c r="C194" s="3" t="s">
        <v>383</v>
      </c>
      <c r="D194" s="3" t="s">
        <v>32</v>
      </c>
      <c r="E194" s="3" t="s">
        <v>194</v>
      </c>
      <c r="F194" s="4">
        <v>46265</v>
      </c>
      <c r="G194" s="3" t="s">
        <v>27</v>
      </c>
      <c r="H194" s="6">
        <v>544320</v>
      </c>
      <c r="I194" s="3" t="s">
        <v>18</v>
      </c>
      <c r="J194" s="3" t="s">
        <v>19</v>
      </c>
      <c r="K194" s="3" t="s">
        <v>14</v>
      </c>
      <c r="L194" s="3" t="s">
        <v>384</v>
      </c>
      <c r="M194" s="4">
        <v>46272</v>
      </c>
      <c r="N194" s="3" t="s">
        <v>385</v>
      </c>
      <c r="O194" s="3" t="s">
        <v>22</v>
      </c>
      <c r="P194" t="str">
        <f t="shared" si="2"/>
        <v>450013474120</v>
      </c>
      <c r="Q194" s="7" cm="1">
        <f t="array" ref="Q194:S194">VLOOKUP(P194,Hoja1!C:F,{2,3,4},FALSE)</f>
        <v>46310</v>
      </c>
      <c r="R194" t="str">
        <v>C08</v>
      </c>
      <c r="S194" t="str">
        <v>1000011378 AVILA ARGENTINA SOCIEDAD ANONIMAAVI</v>
      </c>
    </row>
    <row r="195" spans="1:19" x14ac:dyDescent="0.3">
      <c r="A195" s="2" t="s">
        <v>14</v>
      </c>
      <c r="B195" s="3" t="s">
        <v>14</v>
      </c>
      <c r="C195" s="3" t="s">
        <v>386</v>
      </c>
      <c r="D195" s="3" t="s">
        <v>14</v>
      </c>
      <c r="E195" s="3" t="s">
        <v>194</v>
      </c>
      <c r="F195" s="4">
        <v>46266</v>
      </c>
      <c r="G195" s="3" t="s">
        <v>27</v>
      </c>
      <c r="H195" s="6">
        <v>275400</v>
      </c>
      <c r="I195" s="3" t="s">
        <v>18</v>
      </c>
      <c r="J195" s="3" t="s">
        <v>19</v>
      </c>
      <c r="K195" s="3" t="s">
        <v>14</v>
      </c>
      <c r="L195" s="3" t="s">
        <v>221</v>
      </c>
      <c r="M195" s="4">
        <v>46272</v>
      </c>
      <c r="N195" s="3" t="s">
        <v>222</v>
      </c>
      <c r="O195" s="3" t="s">
        <v>30</v>
      </c>
      <c r="P195" t="str">
        <f t="shared" ref="P195:P258" si="3">_xlfn.CONCAT(N195:O195)</f>
        <v>450011874510</v>
      </c>
      <c r="Q195" s="7" cm="1">
        <f t="array" ref="Q195:S195">VLOOKUP(P195,Hoja1!C:F,{2,3,4},FALSE)</f>
        <v>46387</v>
      </c>
      <c r="R195" t="str">
        <v>C24</v>
      </c>
      <c r="S195" t="str">
        <v>1000000026 NEURALSOFT S.R.L.</v>
      </c>
    </row>
    <row r="196" spans="1:19" x14ac:dyDescent="0.3">
      <c r="A196" s="2" t="s">
        <v>14</v>
      </c>
      <c r="B196" s="3" t="s">
        <v>14</v>
      </c>
      <c r="C196" s="3" t="s">
        <v>387</v>
      </c>
      <c r="D196" s="3" t="s">
        <v>14</v>
      </c>
      <c r="E196" s="3" t="s">
        <v>194</v>
      </c>
      <c r="F196" s="4">
        <v>46274</v>
      </c>
      <c r="G196" s="3" t="s">
        <v>27</v>
      </c>
      <c r="H196" s="6">
        <v>1246950</v>
      </c>
      <c r="I196" s="3" t="s">
        <v>18</v>
      </c>
      <c r="J196" s="3" t="s">
        <v>250</v>
      </c>
      <c r="K196" s="3" t="s">
        <v>14</v>
      </c>
      <c r="L196" s="3" t="s">
        <v>388</v>
      </c>
      <c r="M196" s="4">
        <v>46274</v>
      </c>
      <c r="N196" s="3" t="s">
        <v>389</v>
      </c>
      <c r="O196" s="3" t="s">
        <v>30</v>
      </c>
      <c r="P196" t="str">
        <f t="shared" si="3"/>
        <v>450013806710</v>
      </c>
      <c r="Q196" s="7" cm="1">
        <f t="array" ref="Q196:S196">VLOOKUP(P196,Hoja1!C:F,{2,3,4},FALSE)</f>
        <v>46297</v>
      </c>
      <c r="R196" t="str">
        <v>C20</v>
      </c>
      <c r="S196" t="str">
        <v>1000001192 HEELT  SRL</v>
      </c>
    </row>
    <row r="197" spans="1:19" x14ac:dyDescent="0.3">
      <c r="A197" s="2" t="s">
        <v>14</v>
      </c>
      <c r="B197" s="3" t="s">
        <v>14</v>
      </c>
      <c r="C197" s="3" t="s">
        <v>390</v>
      </c>
      <c r="D197" s="3" t="s">
        <v>14</v>
      </c>
      <c r="E197" s="3" t="s">
        <v>194</v>
      </c>
      <c r="F197" s="4">
        <v>46233</v>
      </c>
      <c r="G197" s="3" t="s">
        <v>27</v>
      </c>
      <c r="H197" s="6">
        <v>1453166.76</v>
      </c>
      <c r="I197" s="3" t="s">
        <v>18</v>
      </c>
      <c r="J197" s="3" t="s">
        <v>19</v>
      </c>
      <c r="K197" s="3" t="s">
        <v>14</v>
      </c>
      <c r="L197" s="3" t="s">
        <v>391</v>
      </c>
      <c r="M197" s="4">
        <v>46275</v>
      </c>
      <c r="N197" s="3" t="s">
        <v>392</v>
      </c>
      <c r="O197" s="3" t="s">
        <v>30</v>
      </c>
      <c r="P197" t="str">
        <f t="shared" si="3"/>
        <v>450013339610</v>
      </c>
      <c r="Q197" s="7" cm="1">
        <f t="array" ref="Q197:S197">VLOOKUP(P197,Hoja1!C:F,{2,3,4},FALSE)</f>
        <v>46230</v>
      </c>
      <c r="R197" t="str">
        <v>EFO</v>
      </c>
      <c r="S197" t="str">
        <v>1000002626 GANDINI DANIEL HORACIO</v>
      </c>
    </row>
    <row r="198" spans="1:19" x14ac:dyDescent="0.3">
      <c r="A198" s="2" t="s">
        <v>14</v>
      </c>
      <c r="B198" s="3" t="s">
        <v>14</v>
      </c>
      <c r="C198" s="3" t="s">
        <v>393</v>
      </c>
      <c r="D198" s="3" t="s">
        <v>84</v>
      </c>
      <c r="E198" s="3" t="s">
        <v>194</v>
      </c>
      <c r="F198" s="4">
        <v>46276</v>
      </c>
      <c r="G198" s="3" t="s">
        <v>27</v>
      </c>
      <c r="H198" s="6">
        <v>254982.89</v>
      </c>
      <c r="I198" s="3" t="s">
        <v>18</v>
      </c>
      <c r="J198" s="3" t="s">
        <v>19</v>
      </c>
      <c r="K198" s="3" t="s">
        <v>14</v>
      </c>
      <c r="L198" s="3" t="s">
        <v>94</v>
      </c>
      <c r="M198" s="4">
        <v>46276</v>
      </c>
      <c r="N198" s="3" t="s">
        <v>394</v>
      </c>
      <c r="O198" s="3" t="s">
        <v>30</v>
      </c>
      <c r="P198" t="str">
        <f t="shared" si="3"/>
        <v>450013829910</v>
      </c>
      <c r="Q198" s="7" cm="1">
        <f t="array" ref="Q198:S198">VLOOKUP(P198,Hoja1!C:F,{2,3,4},FALSE)</f>
        <v>46309</v>
      </c>
      <c r="R198" t="str">
        <v>C19</v>
      </c>
      <c r="S198" t="str">
        <v>1000003158 EMILIA MASSARELLI SRL</v>
      </c>
    </row>
    <row r="199" spans="1:19" x14ac:dyDescent="0.3">
      <c r="A199" s="2" t="s">
        <v>14</v>
      </c>
      <c r="B199" s="3" t="s">
        <v>14</v>
      </c>
      <c r="C199" s="3" t="s">
        <v>393</v>
      </c>
      <c r="D199" s="3" t="s">
        <v>84</v>
      </c>
      <c r="E199" s="3" t="s">
        <v>194</v>
      </c>
      <c r="F199" s="4">
        <v>46276</v>
      </c>
      <c r="G199" s="3" t="s">
        <v>27</v>
      </c>
      <c r="H199" s="6">
        <v>254991.89</v>
      </c>
      <c r="I199" s="3" t="s">
        <v>18</v>
      </c>
      <c r="J199" s="3" t="s">
        <v>19</v>
      </c>
      <c r="K199" s="3" t="s">
        <v>14</v>
      </c>
      <c r="L199" s="3" t="s">
        <v>94</v>
      </c>
      <c r="M199" s="4">
        <v>46276</v>
      </c>
      <c r="N199" s="3" t="s">
        <v>394</v>
      </c>
      <c r="O199" s="3" t="s">
        <v>22</v>
      </c>
      <c r="P199" t="str">
        <f t="shared" si="3"/>
        <v>450013829920</v>
      </c>
      <c r="Q199" s="7" cm="1">
        <f t="array" ref="Q199:S199">VLOOKUP(P199,Hoja1!C:F,{2,3,4},FALSE)</f>
        <v>46309</v>
      </c>
      <c r="R199" t="str">
        <v>C19</v>
      </c>
      <c r="S199" t="str">
        <v>1000003158 EMILIA MASSARELLI SRL</v>
      </c>
    </row>
    <row r="200" spans="1:19" x14ac:dyDescent="0.3">
      <c r="A200" s="2" t="s">
        <v>14</v>
      </c>
      <c r="B200" s="3" t="s">
        <v>14</v>
      </c>
      <c r="C200" s="3" t="s">
        <v>393</v>
      </c>
      <c r="D200" s="3" t="s">
        <v>84</v>
      </c>
      <c r="E200" s="3" t="s">
        <v>194</v>
      </c>
      <c r="F200" s="4">
        <v>46276</v>
      </c>
      <c r="G200" s="3" t="s">
        <v>27</v>
      </c>
      <c r="H200" s="6">
        <v>254993.89</v>
      </c>
      <c r="I200" s="3" t="s">
        <v>18</v>
      </c>
      <c r="J200" s="3" t="s">
        <v>19</v>
      </c>
      <c r="K200" s="3" t="s">
        <v>14</v>
      </c>
      <c r="L200" s="3" t="s">
        <v>94</v>
      </c>
      <c r="M200" s="4">
        <v>46276</v>
      </c>
      <c r="N200" s="3" t="s">
        <v>394</v>
      </c>
      <c r="O200" s="3" t="s">
        <v>35</v>
      </c>
      <c r="P200" t="str">
        <f t="shared" si="3"/>
        <v>450013829930</v>
      </c>
      <c r="Q200" s="7" cm="1">
        <f t="array" ref="Q200:S200">VLOOKUP(P200,Hoja1!C:F,{2,3,4},FALSE)</f>
        <v>46309</v>
      </c>
      <c r="R200" t="str">
        <v>C19</v>
      </c>
      <c r="S200" t="str">
        <v>1000003158 EMILIA MASSARELLI SRL</v>
      </c>
    </row>
    <row r="201" spans="1:19" x14ac:dyDescent="0.3">
      <c r="A201" s="2" t="s">
        <v>14</v>
      </c>
      <c r="B201" s="3" t="s">
        <v>14</v>
      </c>
      <c r="C201" s="3" t="s">
        <v>393</v>
      </c>
      <c r="D201" s="3" t="s">
        <v>84</v>
      </c>
      <c r="E201" s="3" t="s">
        <v>194</v>
      </c>
      <c r="F201" s="4">
        <v>46276</v>
      </c>
      <c r="G201" s="3" t="s">
        <v>27</v>
      </c>
      <c r="H201" s="6">
        <v>254993.89</v>
      </c>
      <c r="I201" s="3" t="s">
        <v>18</v>
      </c>
      <c r="J201" s="3" t="s">
        <v>19</v>
      </c>
      <c r="K201" s="3" t="s">
        <v>14</v>
      </c>
      <c r="L201" s="3" t="s">
        <v>94</v>
      </c>
      <c r="M201" s="4">
        <v>46276</v>
      </c>
      <c r="N201" s="3" t="s">
        <v>394</v>
      </c>
      <c r="O201" s="3" t="s">
        <v>23</v>
      </c>
      <c r="P201" t="str">
        <f t="shared" si="3"/>
        <v>450013829940</v>
      </c>
      <c r="Q201" s="7" cm="1">
        <f t="array" ref="Q201:S201">VLOOKUP(P201,Hoja1!C:F,{2,3,4},FALSE)</f>
        <v>46309</v>
      </c>
      <c r="R201" t="str">
        <v>C19</v>
      </c>
      <c r="S201" t="str">
        <v>1000003158 EMILIA MASSARELLI SRL</v>
      </c>
    </row>
    <row r="202" spans="1:19" x14ac:dyDescent="0.3">
      <c r="A202" s="2" t="s">
        <v>14</v>
      </c>
      <c r="B202" s="3" t="s">
        <v>14</v>
      </c>
      <c r="C202" s="3" t="s">
        <v>393</v>
      </c>
      <c r="D202" s="3" t="s">
        <v>84</v>
      </c>
      <c r="E202" s="3" t="s">
        <v>194</v>
      </c>
      <c r="F202" s="4">
        <v>46276</v>
      </c>
      <c r="G202" s="3" t="s">
        <v>27</v>
      </c>
      <c r="H202" s="6">
        <v>254993.89</v>
      </c>
      <c r="I202" s="3" t="s">
        <v>18</v>
      </c>
      <c r="J202" s="3" t="s">
        <v>19</v>
      </c>
      <c r="K202" s="3" t="s">
        <v>14</v>
      </c>
      <c r="L202" s="3" t="s">
        <v>94</v>
      </c>
      <c r="M202" s="4">
        <v>46276</v>
      </c>
      <c r="N202" s="3" t="s">
        <v>394</v>
      </c>
      <c r="O202" s="3" t="s">
        <v>144</v>
      </c>
      <c r="P202" t="str">
        <f t="shared" si="3"/>
        <v>450013829950</v>
      </c>
      <c r="Q202" s="7" cm="1">
        <f t="array" ref="Q202:S202">VLOOKUP(P202,Hoja1!C:F,{2,3,4},FALSE)</f>
        <v>46309</v>
      </c>
      <c r="R202" t="str">
        <v>C19</v>
      </c>
      <c r="S202" t="str">
        <v>1000003158 EMILIA MASSARELLI SRL</v>
      </c>
    </row>
    <row r="203" spans="1:19" x14ac:dyDescent="0.3">
      <c r="A203" s="2" t="s">
        <v>14</v>
      </c>
      <c r="B203" s="3" t="s">
        <v>14</v>
      </c>
      <c r="C203" s="3" t="s">
        <v>393</v>
      </c>
      <c r="D203" s="3" t="s">
        <v>84</v>
      </c>
      <c r="E203" s="3" t="s">
        <v>194</v>
      </c>
      <c r="F203" s="4">
        <v>46276</v>
      </c>
      <c r="G203" s="3" t="s">
        <v>27</v>
      </c>
      <c r="H203" s="6">
        <v>254993.89</v>
      </c>
      <c r="I203" s="3" t="s">
        <v>18</v>
      </c>
      <c r="J203" s="3" t="s">
        <v>19</v>
      </c>
      <c r="K203" s="3" t="s">
        <v>14</v>
      </c>
      <c r="L203" s="3" t="s">
        <v>94</v>
      </c>
      <c r="M203" s="4">
        <v>46276</v>
      </c>
      <c r="N203" s="3" t="s">
        <v>394</v>
      </c>
      <c r="O203" s="3" t="s">
        <v>141</v>
      </c>
      <c r="P203" t="str">
        <f t="shared" si="3"/>
        <v>450013829960</v>
      </c>
      <c r="Q203" s="7" cm="1">
        <f t="array" ref="Q203:S203">VLOOKUP(P203,Hoja1!C:F,{2,3,4},FALSE)</f>
        <v>46309</v>
      </c>
      <c r="R203" t="str">
        <v>C19</v>
      </c>
      <c r="S203" t="str">
        <v>1000003158 EMILIA MASSARELLI SRL</v>
      </c>
    </row>
    <row r="204" spans="1:19" x14ac:dyDescent="0.3">
      <c r="A204" s="2" t="s">
        <v>14</v>
      </c>
      <c r="B204" s="3" t="s">
        <v>14</v>
      </c>
      <c r="C204" s="3" t="s">
        <v>393</v>
      </c>
      <c r="D204" s="3" t="s">
        <v>84</v>
      </c>
      <c r="E204" s="3" t="s">
        <v>194</v>
      </c>
      <c r="F204" s="4">
        <v>46276</v>
      </c>
      <c r="G204" s="3" t="s">
        <v>27</v>
      </c>
      <c r="H204" s="6">
        <v>939547.28</v>
      </c>
      <c r="I204" s="3" t="s">
        <v>18</v>
      </c>
      <c r="J204" s="3" t="s">
        <v>19</v>
      </c>
      <c r="K204" s="3" t="s">
        <v>14</v>
      </c>
      <c r="L204" s="3" t="s">
        <v>94</v>
      </c>
      <c r="M204" s="4">
        <v>46276</v>
      </c>
      <c r="N204" s="3" t="s">
        <v>394</v>
      </c>
      <c r="O204" s="3" t="s">
        <v>134</v>
      </c>
      <c r="P204" t="str">
        <f t="shared" si="3"/>
        <v>450013829970</v>
      </c>
      <c r="Q204" s="7" cm="1">
        <f t="array" ref="Q204:S204">VLOOKUP(P204,Hoja1!C:F,{2,3,4},FALSE)</f>
        <v>46309</v>
      </c>
      <c r="R204" t="str">
        <v>C19</v>
      </c>
      <c r="S204" t="str">
        <v>1000003158 EMILIA MASSARELLI SRL</v>
      </c>
    </row>
    <row r="205" spans="1:19" x14ac:dyDescent="0.3">
      <c r="A205" s="2" t="s">
        <v>14</v>
      </c>
      <c r="B205" s="3" t="s">
        <v>14</v>
      </c>
      <c r="C205" s="3" t="s">
        <v>393</v>
      </c>
      <c r="D205" s="3" t="s">
        <v>84</v>
      </c>
      <c r="E205" s="3" t="s">
        <v>194</v>
      </c>
      <c r="F205" s="4">
        <v>46276</v>
      </c>
      <c r="G205" s="3" t="s">
        <v>27</v>
      </c>
      <c r="H205" s="6">
        <v>939547.09</v>
      </c>
      <c r="I205" s="3" t="s">
        <v>18</v>
      </c>
      <c r="J205" s="3" t="s">
        <v>19</v>
      </c>
      <c r="K205" s="3" t="s">
        <v>14</v>
      </c>
      <c r="L205" s="3" t="s">
        <v>94</v>
      </c>
      <c r="M205" s="4">
        <v>46276</v>
      </c>
      <c r="N205" s="3" t="s">
        <v>394</v>
      </c>
      <c r="O205" s="3" t="s">
        <v>52</v>
      </c>
      <c r="P205" t="str">
        <f t="shared" si="3"/>
        <v>450013829980</v>
      </c>
      <c r="Q205" s="7" cm="1">
        <f t="array" ref="Q205:S205">VLOOKUP(P205,Hoja1!C:F,{2,3,4},FALSE)</f>
        <v>46309</v>
      </c>
      <c r="R205" t="str">
        <v>C19</v>
      </c>
      <c r="S205" t="str">
        <v>1000003158 EMILIA MASSARELLI SRL</v>
      </c>
    </row>
    <row r="206" spans="1:19" x14ac:dyDescent="0.3">
      <c r="A206" s="2" t="s">
        <v>14</v>
      </c>
      <c r="B206" s="3" t="s">
        <v>14</v>
      </c>
      <c r="C206" s="3" t="s">
        <v>395</v>
      </c>
      <c r="D206" s="3" t="s">
        <v>32</v>
      </c>
      <c r="E206" s="3" t="s">
        <v>194</v>
      </c>
      <c r="F206" s="4">
        <v>46274</v>
      </c>
      <c r="G206" s="3" t="s">
        <v>27</v>
      </c>
      <c r="H206" s="6">
        <v>175000</v>
      </c>
      <c r="I206" s="3" t="s">
        <v>18</v>
      </c>
      <c r="J206" s="3" t="s">
        <v>39</v>
      </c>
      <c r="K206" s="3" t="s">
        <v>14</v>
      </c>
      <c r="L206" s="3" t="s">
        <v>396</v>
      </c>
      <c r="M206" s="4">
        <v>46281</v>
      </c>
      <c r="N206" s="3" t="s">
        <v>397</v>
      </c>
      <c r="O206" s="3" t="s">
        <v>35</v>
      </c>
      <c r="P206" t="str">
        <f t="shared" si="3"/>
        <v>450013218630</v>
      </c>
      <c r="Q206" s="7" cm="1">
        <f t="array" ref="Q206:S206">VLOOKUP(P206,Hoja1!C:F,{2,3,4},FALSE)</f>
        <v>46387</v>
      </c>
      <c r="R206" t="str">
        <v>C25</v>
      </c>
      <c r="S206" t="str">
        <v>1000011567 MALDONADO ELVA</v>
      </c>
    </row>
    <row r="207" spans="1:19" x14ac:dyDescent="0.3">
      <c r="A207" s="2" t="s">
        <v>14</v>
      </c>
      <c r="B207" s="3" t="s">
        <v>14</v>
      </c>
      <c r="C207" s="3" t="s">
        <v>398</v>
      </c>
      <c r="D207" s="3" t="s">
        <v>14</v>
      </c>
      <c r="E207" s="3" t="s">
        <v>194</v>
      </c>
      <c r="F207" s="4">
        <v>46259</v>
      </c>
      <c r="G207" s="3" t="s">
        <v>27</v>
      </c>
      <c r="H207" s="6">
        <v>895123.71</v>
      </c>
      <c r="I207" s="3" t="s">
        <v>18</v>
      </c>
      <c r="J207" s="3" t="s">
        <v>19</v>
      </c>
      <c r="K207" s="3" t="s">
        <v>14</v>
      </c>
      <c r="L207" s="3" t="s">
        <v>399</v>
      </c>
      <c r="M207" s="4">
        <v>46282</v>
      </c>
      <c r="N207" s="3" t="s">
        <v>400</v>
      </c>
      <c r="O207" s="3" t="s">
        <v>144</v>
      </c>
      <c r="P207" t="str">
        <f t="shared" si="3"/>
        <v>450013021250</v>
      </c>
      <c r="Q207" s="7" cm="1">
        <f t="array" ref="Q207:S207">VLOOKUP(P207,Hoja1!C:F,{2,3,4},FALSE)</f>
        <v>46304</v>
      </c>
      <c r="R207" t="str">
        <v>G04</v>
      </c>
      <c r="S207" t="str">
        <v>1000000561 ESCANDINAVIA DEL PLATA SA</v>
      </c>
    </row>
    <row r="208" spans="1:19" x14ac:dyDescent="0.3">
      <c r="A208" s="2" t="s">
        <v>14</v>
      </c>
      <c r="B208" s="3" t="s">
        <v>14</v>
      </c>
      <c r="C208" s="3" t="s">
        <v>401</v>
      </c>
      <c r="D208" s="3" t="s">
        <v>14</v>
      </c>
      <c r="E208" s="3" t="s">
        <v>194</v>
      </c>
      <c r="F208" s="4">
        <v>46282</v>
      </c>
      <c r="G208" s="3" t="s">
        <v>27</v>
      </c>
      <c r="H208" s="6">
        <v>2082216.35</v>
      </c>
      <c r="I208" s="3" t="s">
        <v>18</v>
      </c>
      <c r="J208" s="3" t="s">
        <v>39</v>
      </c>
      <c r="K208" s="3" t="s">
        <v>14</v>
      </c>
      <c r="L208" s="3" t="s">
        <v>73</v>
      </c>
      <c r="M208" s="4">
        <v>46283</v>
      </c>
      <c r="N208" s="3" t="s">
        <v>402</v>
      </c>
      <c r="O208" s="3" t="s">
        <v>30</v>
      </c>
      <c r="P208" t="str">
        <f t="shared" si="3"/>
        <v>450013790610</v>
      </c>
      <c r="Q208" s="7" cm="1">
        <f t="array" ref="Q208:S208">VLOOKUP(P208,Hoja1!C:F,{2,3,4},FALSE)</f>
        <v>46295</v>
      </c>
      <c r="R208" t="str">
        <v>C21</v>
      </c>
      <c r="S208" t="str">
        <v>1000000808 GLOBAL OIL S.R.L.</v>
      </c>
    </row>
    <row r="209" spans="1:19" x14ac:dyDescent="0.3">
      <c r="A209" s="2" t="s">
        <v>14</v>
      </c>
      <c r="B209" s="3" t="s">
        <v>14</v>
      </c>
      <c r="C209" s="3" t="s">
        <v>401</v>
      </c>
      <c r="D209" s="3" t="s">
        <v>14</v>
      </c>
      <c r="E209" s="3" t="s">
        <v>194</v>
      </c>
      <c r="F209" s="4">
        <v>46282</v>
      </c>
      <c r="G209" s="3" t="s">
        <v>27</v>
      </c>
      <c r="H209" s="6">
        <v>438223.72</v>
      </c>
      <c r="I209" s="3" t="s">
        <v>18</v>
      </c>
      <c r="J209" s="3" t="s">
        <v>39</v>
      </c>
      <c r="K209" s="3" t="s">
        <v>14</v>
      </c>
      <c r="L209" s="3" t="s">
        <v>73</v>
      </c>
      <c r="M209" s="4">
        <v>46283</v>
      </c>
      <c r="N209" s="3" t="s">
        <v>402</v>
      </c>
      <c r="O209" s="3" t="s">
        <v>30</v>
      </c>
      <c r="P209" t="str">
        <f t="shared" si="3"/>
        <v>450013790610</v>
      </c>
      <c r="Q209" s="7" cm="1">
        <f t="array" ref="Q209:S209">VLOOKUP(P209,Hoja1!C:F,{2,3,4},FALSE)</f>
        <v>46295</v>
      </c>
      <c r="R209" t="str">
        <v>C21</v>
      </c>
      <c r="S209" t="str">
        <v>1000000808 GLOBAL OIL S.R.L.</v>
      </c>
    </row>
    <row r="210" spans="1:19" x14ac:dyDescent="0.3">
      <c r="A210" s="2" t="s">
        <v>14</v>
      </c>
      <c r="B210" s="3" t="s">
        <v>14</v>
      </c>
      <c r="C210" s="3" t="s">
        <v>403</v>
      </c>
      <c r="D210" s="3" t="s">
        <v>14</v>
      </c>
      <c r="E210" s="3" t="s">
        <v>194</v>
      </c>
      <c r="F210" s="4">
        <v>46283</v>
      </c>
      <c r="G210" s="3" t="s">
        <v>27</v>
      </c>
      <c r="H210" s="6">
        <v>544432.39</v>
      </c>
      <c r="I210" s="3" t="s">
        <v>18</v>
      </c>
      <c r="J210" s="3" t="s">
        <v>19</v>
      </c>
      <c r="K210" s="3" t="s">
        <v>14</v>
      </c>
      <c r="L210" s="3" t="s">
        <v>340</v>
      </c>
      <c r="M210" s="4">
        <v>46286</v>
      </c>
      <c r="N210" s="3" t="s">
        <v>404</v>
      </c>
      <c r="O210" s="3" t="s">
        <v>137</v>
      </c>
      <c r="P210" t="str">
        <f t="shared" si="3"/>
        <v>4500136768230</v>
      </c>
      <c r="Q210" s="7" cm="1">
        <f t="array" ref="Q210:S210">VLOOKUP(P210,Hoja1!C:F,{2,3,4},FALSE)</f>
        <v>46283</v>
      </c>
      <c r="R210" t="str">
        <v>C03</v>
      </c>
      <c r="S210" t="str">
        <v>1000000062 FINNING ARGENTINA S.A.</v>
      </c>
    </row>
    <row r="211" spans="1:19" x14ac:dyDescent="0.3">
      <c r="A211" s="2" t="s">
        <v>14</v>
      </c>
      <c r="B211" s="3" t="s">
        <v>14</v>
      </c>
      <c r="C211" s="3" t="s">
        <v>405</v>
      </c>
      <c r="D211" s="3" t="s">
        <v>14</v>
      </c>
      <c r="E211" s="3" t="s">
        <v>194</v>
      </c>
      <c r="F211" s="4">
        <v>46269</v>
      </c>
      <c r="G211" s="3" t="s">
        <v>27</v>
      </c>
      <c r="H211" s="6">
        <v>75500</v>
      </c>
      <c r="I211" s="3" t="s">
        <v>18</v>
      </c>
      <c r="J211" s="3" t="s">
        <v>19</v>
      </c>
      <c r="K211" s="3" t="s">
        <v>14</v>
      </c>
      <c r="L211" s="3" t="s">
        <v>114</v>
      </c>
      <c r="M211" s="4">
        <v>46287</v>
      </c>
      <c r="N211" s="3" t="s">
        <v>115</v>
      </c>
      <c r="O211" s="3" t="s">
        <v>23</v>
      </c>
      <c r="P211" t="str">
        <f t="shared" si="3"/>
        <v>450008010140</v>
      </c>
      <c r="Q211" s="7" cm="1">
        <f t="array" ref="Q211:S211">VLOOKUP(P211,Hoja1!C:F,{2,3,4},FALSE)</f>
        <v>46386</v>
      </c>
      <c r="R211" t="str">
        <v>C24</v>
      </c>
      <c r="S211" t="str">
        <v>1000000486 BRAVO ENERGY ARGENTINA S.C.A.</v>
      </c>
    </row>
    <row r="212" spans="1:19" x14ac:dyDescent="0.3">
      <c r="A212" s="2" t="s">
        <v>14</v>
      </c>
      <c r="B212" s="3" t="s">
        <v>14</v>
      </c>
      <c r="C212" s="3" t="s">
        <v>406</v>
      </c>
      <c r="D212" s="3" t="s">
        <v>14</v>
      </c>
      <c r="E212" s="3" t="s">
        <v>194</v>
      </c>
      <c r="F212" s="4">
        <v>46287</v>
      </c>
      <c r="G212" s="3" t="s">
        <v>27</v>
      </c>
      <c r="H212" s="6">
        <v>3520918.19</v>
      </c>
      <c r="I212" s="3" t="s">
        <v>18</v>
      </c>
      <c r="J212" s="3" t="s">
        <v>39</v>
      </c>
      <c r="K212" s="3" t="s">
        <v>14</v>
      </c>
      <c r="L212" s="3" t="s">
        <v>73</v>
      </c>
      <c r="M212" s="4">
        <v>46289</v>
      </c>
      <c r="N212" s="3" t="s">
        <v>402</v>
      </c>
      <c r="O212" s="3" t="s">
        <v>30</v>
      </c>
      <c r="P212" t="str">
        <f t="shared" si="3"/>
        <v>450013790610</v>
      </c>
      <c r="Q212" s="7" cm="1">
        <f t="array" ref="Q212:S212">VLOOKUP(P212,Hoja1!C:F,{2,3,4},FALSE)</f>
        <v>46295</v>
      </c>
      <c r="R212" t="str">
        <v>C21</v>
      </c>
      <c r="S212" t="str">
        <v>1000000808 GLOBAL OIL S.R.L.</v>
      </c>
    </row>
    <row r="213" spans="1:19" x14ac:dyDescent="0.3">
      <c r="A213" s="2" t="s">
        <v>14</v>
      </c>
      <c r="B213" s="3" t="s">
        <v>14</v>
      </c>
      <c r="C213" s="3" t="s">
        <v>406</v>
      </c>
      <c r="D213" s="3" t="s">
        <v>14</v>
      </c>
      <c r="E213" s="3" t="s">
        <v>194</v>
      </c>
      <c r="F213" s="4">
        <v>46287</v>
      </c>
      <c r="G213" s="3" t="s">
        <v>27</v>
      </c>
      <c r="H213" s="6">
        <v>741013.24</v>
      </c>
      <c r="I213" s="3" t="s">
        <v>18</v>
      </c>
      <c r="J213" s="3" t="s">
        <v>39</v>
      </c>
      <c r="K213" s="3" t="s">
        <v>14</v>
      </c>
      <c r="L213" s="3" t="s">
        <v>73</v>
      </c>
      <c r="M213" s="4">
        <v>46289</v>
      </c>
      <c r="N213" s="3" t="s">
        <v>402</v>
      </c>
      <c r="O213" s="3" t="s">
        <v>30</v>
      </c>
      <c r="P213" t="str">
        <f t="shared" si="3"/>
        <v>450013790610</v>
      </c>
      <c r="Q213" s="7" cm="1">
        <f t="array" ref="Q213:S213">VLOOKUP(P213,Hoja1!C:F,{2,3,4},FALSE)</f>
        <v>46295</v>
      </c>
      <c r="R213" t="str">
        <v>C21</v>
      </c>
      <c r="S213" t="str">
        <v>1000000808 GLOBAL OIL S.R.L.</v>
      </c>
    </row>
    <row r="214" spans="1:19" x14ac:dyDescent="0.3">
      <c r="A214" s="2" t="s">
        <v>14</v>
      </c>
      <c r="B214" s="3" t="s">
        <v>14</v>
      </c>
      <c r="C214" s="3" t="s">
        <v>407</v>
      </c>
      <c r="D214" s="3" t="s">
        <v>14</v>
      </c>
      <c r="E214" s="3" t="s">
        <v>194</v>
      </c>
      <c r="F214" s="4">
        <v>46272</v>
      </c>
      <c r="G214" s="3" t="s">
        <v>27</v>
      </c>
      <c r="H214" s="6">
        <v>15979.63</v>
      </c>
      <c r="I214" s="3" t="s">
        <v>18</v>
      </c>
      <c r="J214" s="3" t="s">
        <v>19</v>
      </c>
      <c r="K214" s="3" t="s">
        <v>14</v>
      </c>
      <c r="L214" s="3" t="s">
        <v>408</v>
      </c>
      <c r="M214" s="4">
        <v>46293</v>
      </c>
      <c r="N214" s="3" t="s">
        <v>409</v>
      </c>
      <c r="O214" s="3" t="s">
        <v>22</v>
      </c>
      <c r="P214" t="str">
        <f t="shared" si="3"/>
        <v>450013784120</v>
      </c>
      <c r="Q214" s="7" cm="1">
        <f t="array" ref="Q214:S214">VLOOKUP(P214,Hoja1!C:F,{2,3,4},FALSE)</f>
        <v>46282</v>
      </c>
      <c r="R214" t="str">
        <v>C27</v>
      </c>
      <c r="S214" t="str">
        <v>1000001306 JAR COMPUTACION SRL</v>
      </c>
    </row>
    <row r="215" spans="1:19" x14ac:dyDescent="0.3">
      <c r="A215" s="2" t="s">
        <v>14</v>
      </c>
      <c r="B215" s="3" t="s">
        <v>14</v>
      </c>
      <c r="C215" s="3" t="s">
        <v>410</v>
      </c>
      <c r="D215" s="3" t="s">
        <v>14</v>
      </c>
      <c r="E215" s="3" t="s">
        <v>194</v>
      </c>
      <c r="F215" s="4">
        <v>46265</v>
      </c>
      <c r="G215" s="3" t="s">
        <v>27</v>
      </c>
      <c r="H215" s="6">
        <v>933312.66</v>
      </c>
      <c r="I215" s="3" t="s">
        <v>18</v>
      </c>
      <c r="J215" s="3" t="s">
        <v>19</v>
      </c>
      <c r="K215" s="3" t="s">
        <v>14</v>
      </c>
      <c r="L215" s="3" t="s">
        <v>340</v>
      </c>
      <c r="M215" s="4">
        <v>46293</v>
      </c>
      <c r="N215" s="3" t="s">
        <v>404</v>
      </c>
      <c r="O215" s="3" t="s">
        <v>137</v>
      </c>
      <c r="P215" t="str">
        <f t="shared" si="3"/>
        <v>4500136768230</v>
      </c>
      <c r="Q215" s="7" cm="1">
        <f t="array" ref="Q215:S215">VLOOKUP(P215,Hoja1!C:F,{2,3,4},FALSE)</f>
        <v>46283</v>
      </c>
      <c r="R215" t="str">
        <v>C03</v>
      </c>
      <c r="S215" t="str">
        <v>1000000062 FINNING ARGENTINA S.A.</v>
      </c>
    </row>
    <row r="216" spans="1:19" x14ac:dyDescent="0.3">
      <c r="A216" s="2" t="s">
        <v>14</v>
      </c>
      <c r="B216" s="3" t="s">
        <v>14</v>
      </c>
      <c r="C216" s="3" t="s">
        <v>411</v>
      </c>
      <c r="D216" s="3" t="s">
        <v>14</v>
      </c>
      <c r="E216" s="3" t="s">
        <v>194</v>
      </c>
      <c r="F216" s="4">
        <v>46286</v>
      </c>
      <c r="G216" s="3" t="s">
        <v>17</v>
      </c>
      <c r="H216" s="5">
        <v>-28549.1</v>
      </c>
      <c r="I216" s="3" t="s">
        <v>18</v>
      </c>
      <c r="J216" s="3" t="s">
        <v>19</v>
      </c>
      <c r="K216" s="3" t="s">
        <v>14</v>
      </c>
      <c r="L216" s="3" t="s">
        <v>412</v>
      </c>
      <c r="M216" s="4">
        <v>46289</v>
      </c>
      <c r="N216" s="3" t="s">
        <v>413</v>
      </c>
      <c r="O216" s="3" t="s">
        <v>35</v>
      </c>
      <c r="P216" t="str">
        <f t="shared" si="3"/>
        <v>450013891230</v>
      </c>
      <c r="Q216" s="7" cm="1">
        <f t="array" ref="Q216:S216">VLOOKUP(P216,Hoja1!C:F,{2,3,4},FALSE)</f>
        <v>46290</v>
      </c>
      <c r="R216" t="str">
        <v>C11</v>
      </c>
      <c r="S216" t="str">
        <v>1000000093 ELECTRICIDAD SERRA S.R.L.</v>
      </c>
    </row>
    <row r="217" spans="1:19" x14ac:dyDescent="0.3">
      <c r="A217" s="2" t="s">
        <v>14</v>
      </c>
      <c r="B217" s="3" t="s">
        <v>14</v>
      </c>
      <c r="C217" s="3" t="s">
        <v>411</v>
      </c>
      <c r="D217" s="3" t="s">
        <v>14</v>
      </c>
      <c r="E217" s="3" t="s">
        <v>194</v>
      </c>
      <c r="F217" s="4">
        <v>46286</v>
      </c>
      <c r="G217" s="3" t="s">
        <v>17</v>
      </c>
      <c r="H217" s="5">
        <v>-46325.760000000002</v>
      </c>
      <c r="I217" s="3" t="s">
        <v>18</v>
      </c>
      <c r="J217" s="3" t="s">
        <v>19</v>
      </c>
      <c r="K217" s="3" t="s">
        <v>14</v>
      </c>
      <c r="L217" s="3" t="s">
        <v>412</v>
      </c>
      <c r="M217" s="4">
        <v>46289</v>
      </c>
      <c r="N217" s="3" t="s">
        <v>413</v>
      </c>
      <c r="O217" s="3" t="s">
        <v>52</v>
      </c>
      <c r="P217" t="str">
        <f t="shared" si="3"/>
        <v>450013891280</v>
      </c>
      <c r="Q217" s="7" cm="1">
        <f t="array" ref="Q217:S217">VLOOKUP(P217,Hoja1!C:F,{2,3,4},FALSE)</f>
        <v>46290</v>
      </c>
      <c r="R217" t="str">
        <v>C11</v>
      </c>
      <c r="S217" t="str">
        <v>1000000093 ELECTRICIDAD SERRA S.R.L.</v>
      </c>
    </row>
    <row r="218" spans="1:19" x14ac:dyDescent="0.3">
      <c r="A218" s="2" t="s">
        <v>14</v>
      </c>
      <c r="B218" s="3" t="s">
        <v>14</v>
      </c>
      <c r="C218" s="3" t="s">
        <v>411</v>
      </c>
      <c r="D218" s="3" t="s">
        <v>14</v>
      </c>
      <c r="E218" s="3" t="s">
        <v>194</v>
      </c>
      <c r="F218" s="4">
        <v>46286</v>
      </c>
      <c r="G218" s="3" t="s">
        <v>17</v>
      </c>
      <c r="H218" s="5">
        <v>-21664.2</v>
      </c>
      <c r="I218" s="3" t="s">
        <v>18</v>
      </c>
      <c r="J218" s="3" t="s">
        <v>250</v>
      </c>
      <c r="K218" s="3" t="s">
        <v>14</v>
      </c>
      <c r="L218" s="3" t="s">
        <v>412</v>
      </c>
      <c r="M218" s="4">
        <v>46289</v>
      </c>
      <c r="N218" s="3" t="s">
        <v>413</v>
      </c>
      <c r="O218" s="3" t="s">
        <v>138</v>
      </c>
      <c r="P218" t="str">
        <f t="shared" si="3"/>
        <v>450013891290</v>
      </c>
      <c r="Q218" s="7" cm="1">
        <f t="array" ref="Q218:S218">VLOOKUP(P218,Hoja1!C:F,{2,3,4},FALSE)</f>
        <v>46290</v>
      </c>
      <c r="R218" t="str">
        <v>C11</v>
      </c>
      <c r="S218" t="str">
        <v>1000000093 ELECTRICIDAD SERRA S.R.L.</v>
      </c>
    </row>
    <row r="219" spans="1:19" x14ac:dyDescent="0.3">
      <c r="A219" s="2" t="s">
        <v>14</v>
      </c>
      <c r="B219" s="3" t="s">
        <v>14</v>
      </c>
      <c r="C219" s="3" t="s">
        <v>411</v>
      </c>
      <c r="D219" s="3" t="s">
        <v>14</v>
      </c>
      <c r="E219" s="3" t="s">
        <v>194</v>
      </c>
      <c r="F219" s="4">
        <v>46286</v>
      </c>
      <c r="G219" s="3" t="s">
        <v>17</v>
      </c>
      <c r="H219" s="5">
        <v>-3931.1</v>
      </c>
      <c r="I219" s="3" t="s">
        <v>18</v>
      </c>
      <c r="J219" s="3" t="s">
        <v>19</v>
      </c>
      <c r="K219" s="3" t="s">
        <v>14</v>
      </c>
      <c r="L219" s="3" t="s">
        <v>412</v>
      </c>
      <c r="M219" s="4">
        <v>46289</v>
      </c>
      <c r="N219" s="3" t="s">
        <v>413</v>
      </c>
      <c r="O219" s="3" t="s">
        <v>156</v>
      </c>
      <c r="P219" t="str">
        <f t="shared" si="3"/>
        <v>4500138912110</v>
      </c>
      <c r="Q219" s="7" cm="1">
        <f t="array" ref="Q219:S219">VLOOKUP(P219,Hoja1!C:F,{2,3,4},FALSE)</f>
        <v>46290</v>
      </c>
      <c r="R219" t="str">
        <v>C11</v>
      </c>
      <c r="S219" t="str">
        <v>1000000093 ELECTRICIDAD SERRA S.R.L.</v>
      </c>
    </row>
    <row r="220" spans="1:19" x14ac:dyDescent="0.3">
      <c r="A220" s="2" t="s">
        <v>14</v>
      </c>
      <c r="B220" s="3" t="s">
        <v>14</v>
      </c>
      <c r="C220" s="3" t="s">
        <v>411</v>
      </c>
      <c r="D220" s="3" t="s">
        <v>14</v>
      </c>
      <c r="E220" s="3" t="s">
        <v>194</v>
      </c>
      <c r="F220" s="4">
        <v>46286</v>
      </c>
      <c r="G220" s="3" t="s">
        <v>17</v>
      </c>
      <c r="H220" s="5">
        <v>-25388</v>
      </c>
      <c r="I220" s="3" t="s">
        <v>18</v>
      </c>
      <c r="J220" s="3" t="s">
        <v>19</v>
      </c>
      <c r="K220" s="3" t="s">
        <v>14</v>
      </c>
      <c r="L220" s="3" t="s">
        <v>412</v>
      </c>
      <c r="M220" s="4">
        <v>46289</v>
      </c>
      <c r="N220" s="3" t="s">
        <v>413</v>
      </c>
      <c r="O220" s="3" t="s">
        <v>132</v>
      </c>
      <c r="P220" t="str">
        <f t="shared" si="3"/>
        <v>4500138912120</v>
      </c>
      <c r="Q220" s="7" cm="1">
        <f t="array" ref="Q220:S220">VLOOKUP(P220,Hoja1!C:F,{2,3,4},FALSE)</f>
        <v>46290</v>
      </c>
      <c r="R220" t="str">
        <v>C11</v>
      </c>
      <c r="S220" t="str">
        <v>1000000093 ELECTRICIDAD SERRA S.R.L.</v>
      </c>
    </row>
    <row r="221" spans="1:19" x14ac:dyDescent="0.3">
      <c r="A221" s="2" t="s">
        <v>14</v>
      </c>
      <c r="B221" s="3" t="s">
        <v>14</v>
      </c>
      <c r="C221" s="3" t="s">
        <v>411</v>
      </c>
      <c r="D221" s="3" t="s">
        <v>14</v>
      </c>
      <c r="E221" s="3" t="s">
        <v>194</v>
      </c>
      <c r="F221" s="4">
        <v>46286</v>
      </c>
      <c r="G221" s="3" t="s">
        <v>17</v>
      </c>
      <c r="H221" s="5">
        <v>-17819.2</v>
      </c>
      <c r="I221" s="3" t="s">
        <v>18</v>
      </c>
      <c r="J221" s="3" t="s">
        <v>250</v>
      </c>
      <c r="K221" s="3" t="s">
        <v>14</v>
      </c>
      <c r="L221" s="3" t="s">
        <v>412</v>
      </c>
      <c r="M221" s="4">
        <v>46289</v>
      </c>
      <c r="N221" s="3" t="s">
        <v>413</v>
      </c>
      <c r="O221" s="3" t="s">
        <v>142</v>
      </c>
      <c r="P221" t="str">
        <f t="shared" si="3"/>
        <v>4500138912130</v>
      </c>
      <c r="Q221" s="7" cm="1">
        <f t="array" ref="Q221:S221">VLOOKUP(P221,Hoja1!C:F,{2,3,4},FALSE)</f>
        <v>46290</v>
      </c>
      <c r="R221" t="str">
        <v>C11</v>
      </c>
      <c r="S221" t="str">
        <v>1000000093 ELECTRICIDAD SERRA S.R.L.</v>
      </c>
    </row>
    <row r="222" spans="1:19" x14ac:dyDescent="0.3">
      <c r="A222" s="2" t="s">
        <v>14</v>
      </c>
      <c r="B222" s="3" t="s">
        <v>14</v>
      </c>
      <c r="C222" s="3" t="s">
        <v>411</v>
      </c>
      <c r="D222" s="3" t="s">
        <v>14</v>
      </c>
      <c r="E222" s="3" t="s">
        <v>194</v>
      </c>
      <c r="F222" s="4">
        <v>46286</v>
      </c>
      <c r="G222" s="3" t="s">
        <v>17</v>
      </c>
      <c r="H222" s="5">
        <v>-44920</v>
      </c>
      <c r="I222" s="3" t="s">
        <v>18</v>
      </c>
      <c r="J222" s="3" t="s">
        <v>19</v>
      </c>
      <c r="K222" s="3" t="s">
        <v>14</v>
      </c>
      <c r="L222" s="3" t="s">
        <v>412</v>
      </c>
      <c r="M222" s="4">
        <v>46289</v>
      </c>
      <c r="N222" s="3" t="s">
        <v>413</v>
      </c>
      <c r="O222" s="3" t="s">
        <v>131</v>
      </c>
      <c r="P222" t="str">
        <f t="shared" si="3"/>
        <v>4500138912140</v>
      </c>
      <c r="Q222" s="7" cm="1">
        <f t="array" ref="Q222:S222">VLOOKUP(P222,Hoja1!C:F,{2,3,4},FALSE)</f>
        <v>46290</v>
      </c>
      <c r="R222" t="str">
        <v>C11</v>
      </c>
      <c r="S222" t="str">
        <v>1000000093 ELECTRICIDAD SERRA S.R.L.</v>
      </c>
    </row>
    <row r="223" spans="1:19" x14ac:dyDescent="0.3">
      <c r="A223" s="2" t="s">
        <v>14</v>
      </c>
      <c r="B223" s="3" t="s">
        <v>14</v>
      </c>
      <c r="C223" s="3" t="s">
        <v>411</v>
      </c>
      <c r="D223" s="3" t="s">
        <v>14</v>
      </c>
      <c r="E223" s="3" t="s">
        <v>194</v>
      </c>
      <c r="F223" s="4">
        <v>46286</v>
      </c>
      <c r="G223" s="3" t="s">
        <v>17</v>
      </c>
      <c r="H223" s="5">
        <v>-28880.6</v>
      </c>
      <c r="I223" s="3" t="s">
        <v>18</v>
      </c>
      <c r="J223" s="3" t="s">
        <v>19</v>
      </c>
      <c r="K223" s="3" t="s">
        <v>14</v>
      </c>
      <c r="L223" s="3" t="s">
        <v>412</v>
      </c>
      <c r="M223" s="4">
        <v>46289</v>
      </c>
      <c r="N223" s="3" t="s">
        <v>413</v>
      </c>
      <c r="O223" s="3" t="s">
        <v>68</v>
      </c>
      <c r="P223" t="str">
        <f t="shared" si="3"/>
        <v>4500138912150</v>
      </c>
      <c r="Q223" s="7" cm="1">
        <f t="array" ref="Q223:S223">VLOOKUP(P223,Hoja1!C:F,{2,3,4},FALSE)</f>
        <v>46290</v>
      </c>
      <c r="R223" t="str">
        <v>C11</v>
      </c>
      <c r="S223" t="str">
        <v>1000000093 ELECTRICIDAD SERRA S.R.L.</v>
      </c>
    </row>
    <row r="224" spans="1:19" x14ac:dyDescent="0.3">
      <c r="A224" s="2" t="s">
        <v>14</v>
      </c>
      <c r="B224" s="3" t="s">
        <v>14</v>
      </c>
      <c r="C224" s="3" t="s">
        <v>411</v>
      </c>
      <c r="D224" s="3" t="s">
        <v>14</v>
      </c>
      <c r="E224" s="3" t="s">
        <v>194</v>
      </c>
      <c r="F224" s="4">
        <v>46286</v>
      </c>
      <c r="G224" s="3" t="s">
        <v>17</v>
      </c>
      <c r="H224" s="5">
        <v>-12601.4</v>
      </c>
      <c r="I224" s="3" t="s">
        <v>18</v>
      </c>
      <c r="J224" s="3" t="s">
        <v>19</v>
      </c>
      <c r="K224" s="3" t="s">
        <v>14</v>
      </c>
      <c r="L224" s="3" t="s">
        <v>412</v>
      </c>
      <c r="M224" s="4">
        <v>46289</v>
      </c>
      <c r="N224" s="3" t="s">
        <v>413</v>
      </c>
      <c r="O224" s="3" t="s">
        <v>129</v>
      </c>
      <c r="P224" t="str">
        <f t="shared" si="3"/>
        <v>4500138912160</v>
      </c>
      <c r="Q224" s="7" cm="1">
        <f t="array" ref="Q224:S224">VLOOKUP(P224,Hoja1!C:F,{2,3,4},FALSE)</f>
        <v>46290</v>
      </c>
      <c r="R224" t="str">
        <v>C11</v>
      </c>
      <c r="S224" t="str">
        <v>1000000093 ELECTRICIDAD SERRA S.R.L.</v>
      </c>
    </row>
    <row r="225" spans="1:19" x14ac:dyDescent="0.3">
      <c r="A225" s="2" t="s">
        <v>14</v>
      </c>
      <c r="B225" s="3" t="s">
        <v>14</v>
      </c>
      <c r="C225" s="3" t="s">
        <v>411</v>
      </c>
      <c r="D225" s="3" t="s">
        <v>14</v>
      </c>
      <c r="E225" s="3" t="s">
        <v>194</v>
      </c>
      <c r="F225" s="4">
        <v>46286</v>
      </c>
      <c r="G225" s="3" t="s">
        <v>17</v>
      </c>
      <c r="H225" s="5">
        <v>-18445</v>
      </c>
      <c r="I225" s="3" t="s">
        <v>18</v>
      </c>
      <c r="J225" s="3" t="s">
        <v>19</v>
      </c>
      <c r="K225" s="3" t="s">
        <v>14</v>
      </c>
      <c r="L225" s="3" t="s">
        <v>412</v>
      </c>
      <c r="M225" s="4">
        <v>46289</v>
      </c>
      <c r="N225" s="3" t="s">
        <v>413</v>
      </c>
      <c r="O225" s="3" t="s">
        <v>53</v>
      </c>
      <c r="P225" t="str">
        <f t="shared" si="3"/>
        <v>4500138912170</v>
      </c>
      <c r="Q225" s="7" cm="1">
        <f t="array" ref="Q225:S225">VLOOKUP(P225,Hoja1!C:F,{2,3,4},FALSE)</f>
        <v>46290</v>
      </c>
      <c r="R225" t="str">
        <v>C11</v>
      </c>
      <c r="S225" t="str">
        <v>1000000093 ELECTRICIDAD SERRA S.R.L.</v>
      </c>
    </row>
    <row r="226" spans="1:19" x14ac:dyDescent="0.3">
      <c r="A226" s="2" t="s">
        <v>14</v>
      </c>
      <c r="B226" s="3" t="s">
        <v>14</v>
      </c>
      <c r="C226" s="3" t="s">
        <v>411</v>
      </c>
      <c r="D226" s="3" t="s">
        <v>14</v>
      </c>
      <c r="E226" s="3" t="s">
        <v>194</v>
      </c>
      <c r="F226" s="4">
        <v>46286</v>
      </c>
      <c r="G226" s="3" t="s">
        <v>17</v>
      </c>
      <c r="H226" s="5">
        <v>-47174.400000000001</v>
      </c>
      <c r="I226" s="3" t="s">
        <v>18</v>
      </c>
      <c r="J226" s="3" t="s">
        <v>19</v>
      </c>
      <c r="K226" s="3" t="s">
        <v>14</v>
      </c>
      <c r="L226" s="3" t="s">
        <v>412</v>
      </c>
      <c r="M226" s="4">
        <v>46289</v>
      </c>
      <c r="N226" s="3" t="s">
        <v>413</v>
      </c>
      <c r="O226" s="3" t="s">
        <v>130</v>
      </c>
      <c r="P226" t="str">
        <f t="shared" si="3"/>
        <v>4500138912180</v>
      </c>
      <c r="Q226" s="7" cm="1">
        <f t="array" ref="Q226:S226">VLOOKUP(P226,Hoja1!C:F,{2,3,4},FALSE)</f>
        <v>46290</v>
      </c>
      <c r="R226" t="str">
        <v>C11</v>
      </c>
      <c r="S226" t="str">
        <v>1000000093 ELECTRICIDAD SERRA S.R.L.</v>
      </c>
    </row>
    <row r="227" spans="1:19" x14ac:dyDescent="0.3">
      <c r="A227" s="2" t="s">
        <v>14</v>
      </c>
      <c r="B227" s="3" t="s">
        <v>14</v>
      </c>
      <c r="C227" s="3" t="s">
        <v>414</v>
      </c>
      <c r="D227" s="3" t="s">
        <v>14</v>
      </c>
      <c r="E227" s="3" t="s">
        <v>194</v>
      </c>
      <c r="F227" s="4">
        <v>46261</v>
      </c>
      <c r="G227" s="3" t="s">
        <v>27</v>
      </c>
      <c r="H227" s="6">
        <v>5683.23</v>
      </c>
      <c r="I227" s="3" t="s">
        <v>18</v>
      </c>
      <c r="J227" s="3" t="s">
        <v>19</v>
      </c>
      <c r="K227" s="3" t="s">
        <v>14</v>
      </c>
      <c r="L227" s="3" t="s">
        <v>117</v>
      </c>
      <c r="M227" s="4">
        <v>46293</v>
      </c>
      <c r="N227" s="3" t="s">
        <v>415</v>
      </c>
      <c r="O227" s="3" t="s">
        <v>141</v>
      </c>
      <c r="P227" t="str">
        <f t="shared" si="3"/>
        <v>450013684060</v>
      </c>
      <c r="Q227" s="7" cm="1">
        <f t="array" ref="Q227:S227">VLOOKUP(P227,Hoja1!C:F,{2,3,4},FALSE)</f>
        <v>46280</v>
      </c>
      <c r="R227" t="str">
        <v>C03</v>
      </c>
      <c r="S227" t="str">
        <v>1000001129 AGRONORTE S.R.L.</v>
      </c>
    </row>
    <row r="228" spans="1:19" x14ac:dyDescent="0.3">
      <c r="A228" s="2" t="s">
        <v>14</v>
      </c>
      <c r="B228" s="3" t="s">
        <v>14</v>
      </c>
      <c r="C228" s="3" t="s">
        <v>416</v>
      </c>
      <c r="D228" s="3" t="s">
        <v>25</v>
      </c>
      <c r="E228" s="3" t="s">
        <v>194</v>
      </c>
      <c r="F228" s="4">
        <v>46294</v>
      </c>
      <c r="G228" s="3" t="s">
        <v>27</v>
      </c>
      <c r="H228" s="6">
        <v>783900</v>
      </c>
      <c r="I228" s="3" t="s">
        <v>18</v>
      </c>
      <c r="J228" s="3" t="s">
        <v>19</v>
      </c>
      <c r="K228" s="3" t="s">
        <v>14</v>
      </c>
      <c r="L228" s="3" t="s">
        <v>417</v>
      </c>
      <c r="M228" s="4">
        <v>46294</v>
      </c>
      <c r="N228" s="3" t="s">
        <v>418</v>
      </c>
      <c r="O228" s="3" t="s">
        <v>30</v>
      </c>
      <c r="P228" t="str">
        <f t="shared" si="3"/>
        <v>450013139910</v>
      </c>
      <c r="Q228" s="7" cm="1">
        <f t="array" ref="Q228:S228">VLOOKUP(P228,Hoja1!C:F,{2,3,4},FALSE)</f>
        <v>46568</v>
      </c>
      <c r="R228" t="str">
        <v>C14</v>
      </c>
      <c r="S228" t="str">
        <v>1000005191 INDAQUIM SA</v>
      </c>
    </row>
    <row r="229" spans="1:19" x14ac:dyDescent="0.3">
      <c r="A229" s="2" t="s">
        <v>14</v>
      </c>
      <c r="B229" s="3" t="s">
        <v>14</v>
      </c>
      <c r="C229" s="3" t="s">
        <v>419</v>
      </c>
      <c r="D229" s="3" t="s">
        <v>84</v>
      </c>
      <c r="E229" s="3" t="s">
        <v>194</v>
      </c>
      <c r="F229" s="4">
        <v>46294</v>
      </c>
      <c r="G229" s="3" t="s">
        <v>27</v>
      </c>
      <c r="H229" s="6">
        <v>124432</v>
      </c>
      <c r="I229" s="3" t="s">
        <v>18</v>
      </c>
      <c r="J229" s="3" t="s">
        <v>19</v>
      </c>
      <c r="K229" s="3" t="s">
        <v>14</v>
      </c>
      <c r="L229" s="3" t="s">
        <v>420</v>
      </c>
      <c r="M229" s="4">
        <v>46294</v>
      </c>
      <c r="N229" s="3" t="s">
        <v>421</v>
      </c>
      <c r="O229" s="3" t="s">
        <v>30</v>
      </c>
      <c r="P229" t="str">
        <f t="shared" si="3"/>
        <v>450013978310</v>
      </c>
      <c r="Q229" s="7" cm="1">
        <f t="array" ref="Q229:S229">VLOOKUP(P229,Hoja1!C:F,{2,3,4},FALSE)</f>
        <v>46309</v>
      </c>
      <c r="R229" t="str">
        <v>C06</v>
      </c>
      <c r="S229" t="str">
        <v>1000013631 TANKE S A</v>
      </c>
    </row>
    <row r="230" spans="1:19" x14ac:dyDescent="0.3">
      <c r="A230" s="2" t="s">
        <v>14</v>
      </c>
      <c r="B230" s="3" t="s">
        <v>14</v>
      </c>
      <c r="C230" s="3" t="s">
        <v>422</v>
      </c>
      <c r="D230" s="3" t="s">
        <v>14</v>
      </c>
      <c r="E230" s="3" t="s">
        <v>194</v>
      </c>
      <c r="F230" s="4">
        <v>46294</v>
      </c>
      <c r="G230" s="3" t="s">
        <v>27</v>
      </c>
      <c r="H230" s="6">
        <v>1870498.74</v>
      </c>
      <c r="I230" s="3" t="s">
        <v>18</v>
      </c>
      <c r="J230" s="3" t="s">
        <v>39</v>
      </c>
      <c r="K230" s="3" t="s">
        <v>14</v>
      </c>
      <c r="L230" s="3" t="s">
        <v>73</v>
      </c>
      <c r="M230" s="4">
        <v>46295</v>
      </c>
      <c r="N230" s="3" t="s">
        <v>402</v>
      </c>
      <c r="O230" s="3" t="s">
        <v>30</v>
      </c>
      <c r="P230" t="str">
        <f t="shared" si="3"/>
        <v>450013790610</v>
      </c>
      <c r="Q230" s="7" cm="1">
        <f t="array" ref="Q230:S230">VLOOKUP(P230,Hoja1!C:F,{2,3,4},FALSE)</f>
        <v>46295</v>
      </c>
      <c r="R230" t="str">
        <v>C21</v>
      </c>
      <c r="S230" t="str">
        <v>1000000808 GLOBAL OIL S.R.L.</v>
      </c>
    </row>
    <row r="231" spans="1:19" x14ac:dyDescent="0.3">
      <c r="A231" s="2" t="s">
        <v>14</v>
      </c>
      <c r="B231" s="3" t="s">
        <v>14</v>
      </c>
      <c r="C231" s="3" t="s">
        <v>422</v>
      </c>
      <c r="D231" s="3" t="s">
        <v>14</v>
      </c>
      <c r="E231" s="3" t="s">
        <v>194</v>
      </c>
      <c r="F231" s="4">
        <v>46294</v>
      </c>
      <c r="G231" s="3" t="s">
        <v>27</v>
      </c>
      <c r="H231" s="6">
        <v>393665.59</v>
      </c>
      <c r="I231" s="3" t="s">
        <v>18</v>
      </c>
      <c r="J231" s="3" t="s">
        <v>39</v>
      </c>
      <c r="K231" s="3" t="s">
        <v>14</v>
      </c>
      <c r="L231" s="3" t="s">
        <v>73</v>
      </c>
      <c r="M231" s="4">
        <v>46295</v>
      </c>
      <c r="N231" s="3" t="s">
        <v>402</v>
      </c>
      <c r="O231" s="3" t="s">
        <v>30</v>
      </c>
      <c r="P231" t="str">
        <f t="shared" si="3"/>
        <v>450013790610</v>
      </c>
      <c r="Q231" s="7" cm="1">
        <f t="array" ref="Q231:S231">VLOOKUP(P231,Hoja1!C:F,{2,3,4},FALSE)</f>
        <v>46295</v>
      </c>
      <c r="R231" t="str">
        <v>C21</v>
      </c>
      <c r="S231" t="str">
        <v>1000000808 GLOBAL OIL S.R.L.</v>
      </c>
    </row>
    <row r="232" spans="1:19" x14ac:dyDescent="0.3">
      <c r="A232" s="2" t="s">
        <v>14</v>
      </c>
      <c r="B232" s="3" t="s">
        <v>14</v>
      </c>
      <c r="C232" s="3" t="s">
        <v>423</v>
      </c>
      <c r="D232" s="3" t="s">
        <v>14</v>
      </c>
      <c r="E232" s="3" t="s">
        <v>194</v>
      </c>
      <c r="F232" s="4">
        <v>46295</v>
      </c>
      <c r="G232" s="3" t="s">
        <v>27</v>
      </c>
      <c r="H232" s="6">
        <v>61983.48</v>
      </c>
      <c r="I232" s="3" t="s">
        <v>18</v>
      </c>
      <c r="J232" s="3" t="s">
        <v>19</v>
      </c>
      <c r="K232" s="3" t="s">
        <v>14</v>
      </c>
      <c r="L232" s="3" t="s">
        <v>424</v>
      </c>
      <c r="M232" s="4">
        <v>46295</v>
      </c>
      <c r="N232" s="3" t="s">
        <v>425</v>
      </c>
      <c r="O232" s="3" t="s">
        <v>30</v>
      </c>
      <c r="P232" t="str">
        <f t="shared" si="3"/>
        <v>450013979910</v>
      </c>
      <c r="Q232" s="7" cm="1">
        <f t="array" ref="Q232:S232">VLOOKUP(P232,Hoja1!C:F,{2,3,4},FALSE)</f>
        <v>46304</v>
      </c>
      <c r="R232" t="str">
        <v>C17</v>
      </c>
      <c r="S232" t="str">
        <v>1000005102 EL ARTE DEL SELLO SRL</v>
      </c>
    </row>
    <row r="233" spans="1:19" x14ac:dyDescent="0.3">
      <c r="A233" s="2" t="s">
        <v>14</v>
      </c>
      <c r="B233" s="3" t="s">
        <v>14</v>
      </c>
      <c r="C233" s="3" t="s">
        <v>426</v>
      </c>
      <c r="D233" s="3" t="s">
        <v>32</v>
      </c>
      <c r="E233" s="3" t="s">
        <v>194</v>
      </c>
      <c r="F233" s="4">
        <v>46294</v>
      </c>
      <c r="G233" s="3" t="s">
        <v>27</v>
      </c>
      <c r="H233" s="6">
        <v>450240</v>
      </c>
      <c r="I233" s="3" t="s">
        <v>18</v>
      </c>
      <c r="J233" s="3" t="s">
        <v>19</v>
      </c>
      <c r="K233" s="3" t="s">
        <v>14</v>
      </c>
      <c r="L233" s="3" t="s">
        <v>427</v>
      </c>
      <c r="M233" s="4">
        <v>46295</v>
      </c>
      <c r="N233" s="3" t="s">
        <v>428</v>
      </c>
      <c r="O233" s="3" t="s">
        <v>30</v>
      </c>
      <c r="P233" t="str">
        <f t="shared" si="3"/>
        <v>450013971610</v>
      </c>
      <c r="Q233" s="7" cm="1">
        <f t="array" ref="Q233:S233">VLOOKUP(P233,Hoja1!C:F,{2,3,4},FALSE)</f>
        <v>46300</v>
      </c>
      <c r="R233" t="str">
        <v>377</v>
      </c>
      <c r="S233" t="str">
        <v>1000008956 PERIMETRAR S.A.S.</v>
      </c>
    </row>
    <row r="234" spans="1:19" x14ac:dyDescent="0.3">
      <c r="A234" s="2" t="s">
        <v>14</v>
      </c>
      <c r="B234" s="3" t="s">
        <v>14</v>
      </c>
      <c r="C234" s="3" t="s">
        <v>426</v>
      </c>
      <c r="D234" s="3" t="s">
        <v>32</v>
      </c>
      <c r="E234" s="3" t="s">
        <v>194</v>
      </c>
      <c r="F234" s="4">
        <v>46294</v>
      </c>
      <c r="G234" s="3" t="s">
        <v>27</v>
      </c>
      <c r="H234" s="6">
        <v>225120</v>
      </c>
      <c r="I234" s="3" t="s">
        <v>18</v>
      </c>
      <c r="J234" s="3" t="s">
        <v>19</v>
      </c>
      <c r="K234" s="3" t="s">
        <v>14</v>
      </c>
      <c r="L234" s="3" t="s">
        <v>427</v>
      </c>
      <c r="M234" s="4">
        <v>46295</v>
      </c>
      <c r="N234" s="3" t="s">
        <v>428</v>
      </c>
      <c r="O234" s="3" t="s">
        <v>22</v>
      </c>
      <c r="P234" t="str">
        <f t="shared" si="3"/>
        <v>450013971620</v>
      </c>
      <c r="Q234" s="7" cm="1">
        <f t="array" ref="Q234:S234">VLOOKUP(P234,Hoja1!C:F,{2,3,4},FALSE)</f>
        <v>46300</v>
      </c>
      <c r="R234" t="str">
        <v>377</v>
      </c>
      <c r="S234" t="str">
        <v>1000008956 PERIMETRAR S.A.S.</v>
      </c>
    </row>
    <row r="235" spans="1:19" x14ac:dyDescent="0.3">
      <c r="A235" s="2" t="s">
        <v>14</v>
      </c>
      <c r="B235" s="3" t="s">
        <v>14</v>
      </c>
      <c r="C235" s="3" t="s">
        <v>426</v>
      </c>
      <c r="D235" s="3" t="s">
        <v>32</v>
      </c>
      <c r="E235" s="3" t="s">
        <v>194</v>
      </c>
      <c r="F235" s="4">
        <v>46294</v>
      </c>
      <c r="G235" s="3" t="s">
        <v>27</v>
      </c>
      <c r="H235" s="6">
        <v>574933.53</v>
      </c>
      <c r="I235" s="3" t="s">
        <v>18</v>
      </c>
      <c r="J235" s="3" t="s">
        <v>19</v>
      </c>
      <c r="K235" s="3" t="s">
        <v>14</v>
      </c>
      <c r="L235" s="3" t="s">
        <v>427</v>
      </c>
      <c r="M235" s="4">
        <v>46295</v>
      </c>
      <c r="N235" s="3" t="s">
        <v>428</v>
      </c>
      <c r="O235" s="3" t="s">
        <v>35</v>
      </c>
      <c r="P235" t="str">
        <f t="shared" si="3"/>
        <v>450013971630</v>
      </c>
      <c r="Q235" s="7" cm="1">
        <f t="array" ref="Q235:S235">VLOOKUP(P235,Hoja1!C:F,{2,3,4},FALSE)</f>
        <v>46300</v>
      </c>
      <c r="R235" t="str">
        <v>377</v>
      </c>
      <c r="S235" t="str">
        <v>1000008956 PERIMETRAR S.A.S.</v>
      </c>
    </row>
    <row r="236" spans="1:19" x14ac:dyDescent="0.3">
      <c r="A236" s="2" t="s">
        <v>14</v>
      </c>
      <c r="B236" s="3" t="s">
        <v>14</v>
      </c>
      <c r="C236" s="3" t="s">
        <v>426</v>
      </c>
      <c r="D236" s="3" t="s">
        <v>32</v>
      </c>
      <c r="E236" s="3" t="s">
        <v>194</v>
      </c>
      <c r="F236" s="4">
        <v>46294</v>
      </c>
      <c r="G236" s="3" t="s">
        <v>27</v>
      </c>
      <c r="H236" s="6">
        <v>383180</v>
      </c>
      <c r="I236" s="3" t="s">
        <v>18</v>
      </c>
      <c r="J236" s="3" t="s">
        <v>19</v>
      </c>
      <c r="K236" s="3" t="s">
        <v>14</v>
      </c>
      <c r="L236" s="3" t="s">
        <v>427</v>
      </c>
      <c r="M236" s="4">
        <v>46295</v>
      </c>
      <c r="N236" s="3" t="s">
        <v>428</v>
      </c>
      <c r="O236" s="3" t="s">
        <v>23</v>
      </c>
      <c r="P236" t="str">
        <f t="shared" si="3"/>
        <v>450013971640</v>
      </c>
      <c r="Q236" s="7" cm="1">
        <f t="array" ref="Q236:S236">VLOOKUP(P236,Hoja1!C:F,{2,3,4},FALSE)</f>
        <v>46300</v>
      </c>
      <c r="R236" t="str">
        <v>377</v>
      </c>
      <c r="S236" t="str">
        <v>1000008956 PERIMETRAR S.A.S.</v>
      </c>
    </row>
    <row r="237" spans="1:19" x14ac:dyDescent="0.3">
      <c r="A237" s="2" t="s">
        <v>14</v>
      </c>
      <c r="B237" s="3" t="s">
        <v>14</v>
      </c>
      <c r="C237" s="3" t="s">
        <v>426</v>
      </c>
      <c r="D237" s="3" t="s">
        <v>32</v>
      </c>
      <c r="E237" s="3" t="s">
        <v>194</v>
      </c>
      <c r="F237" s="4">
        <v>46294</v>
      </c>
      <c r="G237" s="3" t="s">
        <v>27</v>
      </c>
      <c r="H237" s="6">
        <v>589260</v>
      </c>
      <c r="I237" s="3" t="s">
        <v>18</v>
      </c>
      <c r="J237" s="3" t="s">
        <v>19</v>
      </c>
      <c r="K237" s="3" t="s">
        <v>14</v>
      </c>
      <c r="L237" s="3" t="s">
        <v>427</v>
      </c>
      <c r="M237" s="4">
        <v>46295</v>
      </c>
      <c r="N237" s="3" t="s">
        <v>428</v>
      </c>
      <c r="O237" s="3" t="s">
        <v>144</v>
      </c>
      <c r="P237" t="str">
        <f t="shared" si="3"/>
        <v>450013971650</v>
      </c>
      <c r="Q237" s="7" cm="1">
        <f t="array" ref="Q237:S237">VLOOKUP(P237,Hoja1!C:F,{2,3,4},FALSE)</f>
        <v>46300</v>
      </c>
      <c r="R237" t="str">
        <v>377</v>
      </c>
      <c r="S237" t="str">
        <v>1000008956 PERIMETRAR S.A.S.</v>
      </c>
    </row>
    <row r="238" spans="1:19" x14ac:dyDescent="0.3">
      <c r="A238" s="2" t="s">
        <v>14</v>
      </c>
      <c r="B238" s="3" t="s">
        <v>14</v>
      </c>
      <c r="C238" s="3" t="s">
        <v>426</v>
      </c>
      <c r="D238" s="3" t="s">
        <v>32</v>
      </c>
      <c r="E238" s="3" t="s">
        <v>194</v>
      </c>
      <c r="F238" s="4">
        <v>46294</v>
      </c>
      <c r="G238" s="3" t="s">
        <v>27</v>
      </c>
      <c r="H238" s="6">
        <v>55614</v>
      </c>
      <c r="I238" s="3" t="s">
        <v>18</v>
      </c>
      <c r="J238" s="3" t="s">
        <v>19</v>
      </c>
      <c r="K238" s="3" t="s">
        <v>14</v>
      </c>
      <c r="L238" s="3" t="s">
        <v>427</v>
      </c>
      <c r="M238" s="4">
        <v>46295</v>
      </c>
      <c r="N238" s="3" t="s">
        <v>428</v>
      </c>
      <c r="O238" s="3" t="s">
        <v>141</v>
      </c>
      <c r="P238" t="str">
        <f t="shared" si="3"/>
        <v>450013971660</v>
      </c>
      <c r="Q238" s="7" cm="1">
        <f t="array" ref="Q238:S238">VLOOKUP(P238,Hoja1!C:F,{2,3,4},FALSE)</f>
        <v>46300</v>
      </c>
      <c r="R238" t="str">
        <v>377</v>
      </c>
      <c r="S238" t="str">
        <v>1000008956 PERIMETRAR S.A.S.</v>
      </c>
    </row>
    <row r="239" spans="1:19" x14ac:dyDescent="0.3">
      <c r="A239" s="2" t="s">
        <v>14</v>
      </c>
      <c r="B239" s="3" t="s">
        <v>14</v>
      </c>
      <c r="C239" s="3" t="s">
        <v>426</v>
      </c>
      <c r="D239" s="3" t="s">
        <v>32</v>
      </c>
      <c r="E239" s="3" t="s">
        <v>194</v>
      </c>
      <c r="F239" s="4">
        <v>46294</v>
      </c>
      <c r="G239" s="3" t="s">
        <v>27</v>
      </c>
      <c r="H239" s="6">
        <v>148783.32</v>
      </c>
      <c r="I239" s="3" t="s">
        <v>18</v>
      </c>
      <c r="J239" s="3" t="s">
        <v>19</v>
      </c>
      <c r="K239" s="3" t="s">
        <v>14</v>
      </c>
      <c r="L239" s="3" t="s">
        <v>427</v>
      </c>
      <c r="M239" s="4">
        <v>46295</v>
      </c>
      <c r="N239" s="3" t="s">
        <v>428</v>
      </c>
      <c r="O239" s="3" t="s">
        <v>134</v>
      </c>
      <c r="P239" t="str">
        <f t="shared" si="3"/>
        <v>450013971670</v>
      </c>
      <c r="Q239" s="7" cm="1">
        <f t="array" ref="Q239:S239">VLOOKUP(P239,Hoja1!C:F,{2,3,4},FALSE)</f>
        <v>46300</v>
      </c>
      <c r="R239" t="str">
        <v>377</v>
      </c>
      <c r="S239" t="str">
        <v>1000008956 PERIMETRAR S.A.S.</v>
      </c>
    </row>
    <row r="240" spans="1:19" x14ac:dyDescent="0.3">
      <c r="A240" s="2" t="s">
        <v>14</v>
      </c>
      <c r="B240" s="3" t="s">
        <v>14</v>
      </c>
      <c r="C240" s="3" t="s">
        <v>426</v>
      </c>
      <c r="D240" s="3" t="s">
        <v>32</v>
      </c>
      <c r="E240" s="3" t="s">
        <v>194</v>
      </c>
      <c r="F240" s="4">
        <v>46294</v>
      </c>
      <c r="G240" s="3" t="s">
        <v>27</v>
      </c>
      <c r="H240" s="6">
        <v>172550</v>
      </c>
      <c r="I240" s="3" t="s">
        <v>18</v>
      </c>
      <c r="J240" s="3" t="s">
        <v>19</v>
      </c>
      <c r="K240" s="3" t="s">
        <v>14</v>
      </c>
      <c r="L240" s="3" t="s">
        <v>427</v>
      </c>
      <c r="M240" s="4">
        <v>46295</v>
      </c>
      <c r="N240" s="3" t="s">
        <v>428</v>
      </c>
      <c r="O240" s="3" t="s">
        <v>52</v>
      </c>
      <c r="P240" t="str">
        <f t="shared" si="3"/>
        <v>450013971680</v>
      </c>
      <c r="Q240" s="7" cm="1">
        <f t="array" ref="Q240:S240">VLOOKUP(P240,Hoja1!C:F,{2,3,4},FALSE)</f>
        <v>46300</v>
      </c>
      <c r="R240" t="str">
        <v>377</v>
      </c>
      <c r="S240" t="str">
        <v>1000008956 PERIMETRAR S.A.S.</v>
      </c>
    </row>
    <row r="241" spans="1:19" x14ac:dyDescent="0.3">
      <c r="A241" s="2" t="s">
        <v>14</v>
      </c>
      <c r="B241" s="3" t="s">
        <v>14</v>
      </c>
      <c r="C241" s="3" t="s">
        <v>426</v>
      </c>
      <c r="D241" s="3" t="s">
        <v>32</v>
      </c>
      <c r="E241" s="3" t="s">
        <v>194</v>
      </c>
      <c r="F241" s="4">
        <v>46294</v>
      </c>
      <c r="G241" s="3" t="s">
        <v>27</v>
      </c>
      <c r="H241" s="6">
        <v>481040</v>
      </c>
      <c r="I241" s="3" t="s">
        <v>18</v>
      </c>
      <c r="J241" s="3" t="s">
        <v>19</v>
      </c>
      <c r="K241" s="3" t="s">
        <v>14</v>
      </c>
      <c r="L241" s="3" t="s">
        <v>427</v>
      </c>
      <c r="M241" s="4">
        <v>46295</v>
      </c>
      <c r="N241" s="3" t="s">
        <v>428</v>
      </c>
      <c r="O241" s="3" t="s">
        <v>138</v>
      </c>
      <c r="P241" t="str">
        <f t="shared" si="3"/>
        <v>450013971690</v>
      </c>
      <c r="Q241" s="7" cm="1">
        <f t="array" ref="Q241:S241">VLOOKUP(P241,Hoja1!C:F,{2,3,4},FALSE)</f>
        <v>46300</v>
      </c>
      <c r="R241" t="str">
        <v>377</v>
      </c>
      <c r="S241" t="str">
        <v>1000008956 PERIMETRAR S.A.S.</v>
      </c>
    </row>
    <row r="242" spans="1:19" x14ac:dyDescent="0.3">
      <c r="A242" s="2" t="s">
        <v>14</v>
      </c>
      <c r="B242" s="3" t="s">
        <v>14</v>
      </c>
      <c r="C242" s="3" t="s">
        <v>426</v>
      </c>
      <c r="D242" s="3" t="s">
        <v>32</v>
      </c>
      <c r="E242" s="3" t="s">
        <v>194</v>
      </c>
      <c r="F242" s="4">
        <v>46294</v>
      </c>
      <c r="G242" s="3" t="s">
        <v>27</v>
      </c>
      <c r="H242" s="6">
        <v>6440</v>
      </c>
      <c r="I242" s="3" t="s">
        <v>18</v>
      </c>
      <c r="J242" s="3" t="s">
        <v>19</v>
      </c>
      <c r="K242" s="3" t="s">
        <v>14</v>
      </c>
      <c r="L242" s="3" t="s">
        <v>427</v>
      </c>
      <c r="M242" s="4">
        <v>46295</v>
      </c>
      <c r="N242" s="3" t="s">
        <v>428</v>
      </c>
      <c r="O242" s="3" t="s">
        <v>142</v>
      </c>
      <c r="P242" t="str">
        <f t="shared" si="3"/>
        <v>4500139716130</v>
      </c>
      <c r="Q242" s="7" cm="1">
        <f t="array" ref="Q242:S242">VLOOKUP(P242,Hoja1!C:F,{2,3,4},FALSE)</f>
        <v>46300</v>
      </c>
      <c r="R242" t="str">
        <v>377</v>
      </c>
      <c r="S242" t="str">
        <v>1000008956 PERIMETRAR S.A.S.</v>
      </c>
    </row>
    <row r="243" spans="1:19" x14ac:dyDescent="0.3">
      <c r="A243" s="2" t="s">
        <v>14</v>
      </c>
      <c r="B243" s="3" t="s">
        <v>14</v>
      </c>
      <c r="C243" s="3" t="s">
        <v>426</v>
      </c>
      <c r="D243" s="3" t="s">
        <v>32</v>
      </c>
      <c r="E243" s="3" t="s">
        <v>194</v>
      </c>
      <c r="F243" s="4">
        <v>46294</v>
      </c>
      <c r="G243" s="3" t="s">
        <v>27</v>
      </c>
      <c r="H243" s="6">
        <v>5320</v>
      </c>
      <c r="I243" s="3" t="s">
        <v>18</v>
      </c>
      <c r="J243" s="3" t="s">
        <v>19</v>
      </c>
      <c r="K243" s="3" t="s">
        <v>14</v>
      </c>
      <c r="L243" s="3" t="s">
        <v>427</v>
      </c>
      <c r="M243" s="4">
        <v>46295</v>
      </c>
      <c r="N243" s="3" t="s">
        <v>428</v>
      </c>
      <c r="O243" s="3" t="s">
        <v>131</v>
      </c>
      <c r="P243" t="str">
        <f t="shared" si="3"/>
        <v>4500139716140</v>
      </c>
      <c r="Q243" s="7" cm="1">
        <f t="array" ref="Q243:S243">VLOOKUP(P243,Hoja1!C:F,{2,3,4},FALSE)</f>
        <v>46300</v>
      </c>
      <c r="R243" t="str">
        <v>377</v>
      </c>
      <c r="S243" t="str">
        <v>1000008956 PERIMETRAR S.A.S.</v>
      </c>
    </row>
    <row r="244" spans="1:19" x14ac:dyDescent="0.3">
      <c r="A244" s="2" t="s">
        <v>14</v>
      </c>
      <c r="B244" s="3" t="s">
        <v>14</v>
      </c>
      <c r="C244" s="3" t="s">
        <v>429</v>
      </c>
      <c r="D244" s="3" t="s">
        <v>14</v>
      </c>
      <c r="E244" s="3" t="s">
        <v>194</v>
      </c>
      <c r="F244" s="4">
        <v>46295</v>
      </c>
      <c r="G244" s="3" t="s">
        <v>27</v>
      </c>
      <c r="H244" s="6">
        <v>803767.69</v>
      </c>
      <c r="I244" s="3" t="s">
        <v>18</v>
      </c>
      <c r="J244" s="3" t="s">
        <v>19</v>
      </c>
      <c r="K244" s="3" t="s">
        <v>14</v>
      </c>
      <c r="L244" s="3" t="s">
        <v>430</v>
      </c>
      <c r="M244" s="4">
        <v>46295</v>
      </c>
      <c r="N244" s="3" t="s">
        <v>431</v>
      </c>
      <c r="O244" s="3" t="s">
        <v>30</v>
      </c>
      <c r="P244" t="str">
        <f t="shared" si="3"/>
        <v>450013987910</v>
      </c>
      <c r="Q244" s="7" cm="1">
        <f t="array" ref="Q244:S244">VLOOKUP(P244,Hoja1!C:F,{2,3,4},FALSE)</f>
        <v>46300</v>
      </c>
      <c r="R244" t="str">
        <v>C19</v>
      </c>
      <c r="S244" t="str">
        <v>1000000355 TORRI S.R.L.</v>
      </c>
    </row>
    <row r="245" spans="1:19" x14ac:dyDescent="0.3">
      <c r="A245" s="2" t="s">
        <v>14</v>
      </c>
      <c r="B245" s="3" t="s">
        <v>14</v>
      </c>
      <c r="C245" s="3" t="s">
        <v>435</v>
      </c>
      <c r="D245" s="3" t="s">
        <v>32</v>
      </c>
      <c r="E245" s="3" t="s">
        <v>194</v>
      </c>
      <c r="F245" s="4">
        <v>46295</v>
      </c>
      <c r="G245" s="3" t="s">
        <v>27</v>
      </c>
      <c r="H245" s="6">
        <v>366359.22</v>
      </c>
      <c r="I245" s="3" t="s">
        <v>18</v>
      </c>
      <c r="J245" s="3" t="s">
        <v>39</v>
      </c>
      <c r="K245" s="3" t="s">
        <v>14</v>
      </c>
      <c r="L245" s="3" t="s">
        <v>73</v>
      </c>
      <c r="M245" s="4">
        <v>46296</v>
      </c>
      <c r="N245" s="3" t="s">
        <v>436</v>
      </c>
      <c r="O245" s="3" t="s">
        <v>30</v>
      </c>
      <c r="P245" t="str">
        <f t="shared" si="3"/>
        <v>450013922410</v>
      </c>
      <c r="Q245" s="7" cm="1">
        <f t="array" ref="Q245:S245">VLOOKUP(P245,Hoja1!C:F,{2,3,4},FALSE)</f>
        <v>46326</v>
      </c>
      <c r="R245" t="str">
        <v>C21</v>
      </c>
      <c r="S245" t="str">
        <v>1000000808 GLOBAL OIL S.R.L.</v>
      </c>
    </row>
    <row r="246" spans="1:19" x14ac:dyDescent="0.3">
      <c r="A246" s="2" t="s">
        <v>14</v>
      </c>
      <c r="B246" s="3" t="s">
        <v>14</v>
      </c>
      <c r="C246" s="3" t="s">
        <v>445</v>
      </c>
      <c r="D246" s="3" t="s">
        <v>14</v>
      </c>
      <c r="E246" s="3" t="s">
        <v>194</v>
      </c>
      <c r="F246" s="4">
        <v>46296</v>
      </c>
      <c r="G246" s="3" t="s">
        <v>27</v>
      </c>
      <c r="H246" s="6">
        <v>2716992.51</v>
      </c>
      <c r="I246" s="3" t="s">
        <v>18</v>
      </c>
      <c r="J246" s="3" t="s">
        <v>19</v>
      </c>
      <c r="K246" s="3" t="s">
        <v>14</v>
      </c>
      <c r="L246" s="3" t="s">
        <v>446</v>
      </c>
      <c r="M246" s="4">
        <v>46296</v>
      </c>
      <c r="N246" s="3" t="s">
        <v>447</v>
      </c>
      <c r="O246" s="3" t="s">
        <v>30</v>
      </c>
      <c r="P246" t="str">
        <f t="shared" si="3"/>
        <v>450013985610</v>
      </c>
      <c r="Q246" s="7" cm="1">
        <f t="array" ref="Q246:S246">VLOOKUP(P246,Hoja1!C:F,{2,3,4},FALSE)</f>
        <v>46298</v>
      </c>
      <c r="R246" t="str">
        <v>378</v>
      </c>
      <c r="S246" t="str">
        <v>1000012797 INGENIERIA Y REPRESENTACIONES BAHIE</v>
      </c>
    </row>
    <row r="247" spans="1:19" x14ac:dyDescent="0.3">
      <c r="A247" s="2" t="s">
        <v>14</v>
      </c>
      <c r="B247" s="3" t="s">
        <v>14</v>
      </c>
      <c r="C247" s="3" t="s">
        <v>450</v>
      </c>
      <c r="D247" s="3" t="s">
        <v>32</v>
      </c>
      <c r="E247" s="3" t="s">
        <v>194</v>
      </c>
      <c r="F247" s="4">
        <v>46295</v>
      </c>
      <c r="G247" s="3" t="s">
        <v>27</v>
      </c>
      <c r="H247" s="6">
        <v>259262.03</v>
      </c>
      <c r="I247" s="3" t="s">
        <v>18</v>
      </c>
      <c r="J247" s="3" t="s">
        <v>39</v>
      </c>
      <c r="K247" s="3" t="s">
        <v>14</v>
      </c>
      <c r="L247" s="3" t="s">
        <v>335</v>
      </c>
      <c r="M247" s="4">
        <v>46296</v>
      </c>
      <c r="N247" s="3" t="s">
        <v>336</v>
      </c>
      <c r="O247" s="3" t="s">
        <v>30</v>
      </c>
      <c r="P247" t="str">
        <f t="shared" si="3"/>
        <v>450013124310</v>
      </c>
      <c r="Q247" s="7" cm="1">
        <f t="array" ref="Q247:S247">VLOOKUP(P247,Hoja1!C:F,{2,3,4},FALSE)</f>
        <v>46433</v>
      </c>
      <c r="R247" t="str">
        <v>C21</v>
      </c>
      <c r="S247" t="str">
        <v>1000013302 PETROTRES SA</v>
      </c>
    </row>
    <row r="248" spans="1:19" x14ac:dyDescent="0.3">
      <c r="A248" s="2" t="s">
        <v>14</v>
      </c>
      <c r="B248" s="3" t="s">
        <v>14</v>
      </c>
      <c r="C248" s="3" t="s">
        <v>450</v>
      </c>
      <c r="D248" s="3" t="s">
        <v>32</v>
      </c>
      <c r="E248" s="3" t="s">
        <v>194</v>
      </c>
      <c r="F248" s="4">
        <v>46295</v>
      </c>
      <c r="G248" s="3" t="s">
        <v>27</v>
      </c>
      <c r="H248" s="6">
        <v>15883.66</v>
      </c>
      <c r="I248" s="3" t="s">
        <v>18</v>
      </c>
      <c r="J248" s="3" t="s">
        <v>39</v>
      </c>
      <c r="K248" s="3" t="s">
        <v>14</v>
      </c>
      <c r="L248" s="3" t="s">
        <v>335</v>
      </c>
      <c r="M248" s="4">
        <v>46296</v>
      </c>
      <c r="N248" s="3" t="s">
        <v>336</v>
      </c>
      <c r="O248" s="3" t="s">
        <v>30</v>
      </c>
      <c r="P248" t="str">
        <f t="shared" si="3"/>
        <v>450013124310</v>
      </c>
      <c r="Q248" s="7" cm="1">
        <f t="array" ref="Q248:S248">VLOOKUP(P248,Hoja1!C:F,{2,3,4},FALSE)</f>
        <v>46433</v>
      </c>
      <c r="R248" t="str">
        <v>C21</v>
      </c>
      <c r="S248" t="str">
        <v>1000013302 PETROTRES SA</v>
      </c>
    </row>
    <row r="249" spans="1:19" x14ac:dyDescent="0.3">
      <c r="A249" s="2" t="s">
        <v>14</v>
      </c>
      <c r="B249" s="3" t="s">
        <v>14</v>
      </c>
      <c r="C249" s="3" t="s">
        <v>451</v>
      </c>
      <c r="D249" s="3" t="s">
        <v>14</v>
      </c>
      <c r="E249" s="3" t="s">
        <v>194</v>
      </c>
      <c r="F249" s="4">
        <v>46296</v>
      </c>
      <c r="G249" s="3" t="s">
        <v>27</v>
      </c>
      <c r="H249" s="6">
        <v>4279650</v>
      </c>
      <c r="I249" s="3" t="s">
        <v>18</v>
      </c>
      <c r="J249" s="3" t="s">
        <v>19</v>
      </c>
      <c r="K249" s="3" t="s">
        <v>14</v>
      </c>
      <c r="L249" s="3" t="s">
        <v>452</v>
      </c>
      <c r="M249" s="4">
        <v>46296</v>
      </c>
      <c r="N249" s="3" t="s">
        <v>453</v>
      </c>
      <c r="O249" s="3" t="s">
        <v>22</v>
      </c>
      <c r="P249" t="str">
        <f t="shared" si="3"/>
        <v>450013966120</v>
      </c>
      <c r="Q249" s="7" cm="1">
        <f t="array" ref="Q249:S249">VLOOKUP(P249,Hoja1!C:F,{2,3,4},FALSE)</f>
        <v>46304</v>
      </c>
      <c r="R249" t="str">
        <v>C27</v>
      </c>
      <c r="S249" t="str">
        <v>1000012710 URQUIOLA FERNANDO ANTONIO</v>
      </c>
    </row>
    <row r="250" spans="1:19" x14ac:dyDescent="0.3">
      <c r="A250" s="2" t="s">
        <v>14</v>
      </c>
      <c r="B250" s="3" t="s">
        <v>14</v>
      </c>
      <c r="C250" s="3" t="s">
        <v>454</v>
      </c>
      <c r="D250" s="3" t="s">
        <v>14</v>
      </c>
      <c r="E250" s="3" t="s">
        <v>194</v>
      </c>
      <c r="F250" s="4">
        <v>46296</v>
      </c>
      <c r="G250" s="3" t="s">
        <v>27</v>
      </c>
      <c r="H250" s="6">
        <v>2519215.9700000002</v>
      </c>
      <c r="I250" s="3" t="s">
        <v>18</v>
      </c>
      <c r="J250" s="3" t="s">
        <v>19</v>
      </c>
      <c r="K250" s="3" t="s">
        <v>14</v>
      </c>
      <c r="L250" s="3" t="s">
        <v>452</v>
      </c>
      <c r="M250" s="4">
        <v>46296</v>
      </c>
      <c r="N250" s="3" t="s">
        <v>453</v>
      </c>
      <c r="O250" s="3" t="s">
        <v>22</v>
      </c>
      <c r="P250" t="str">
        <f t="shared" si="3"/>
        <v>450013966120</v>
      </c>
      <c r="Q250" s="7" cm="1">
        <f t="array" ref="Q250:S250">VLOOKUP(P250,Hoja1!C:F,{2,3,4},FALSE)</f>
        <v>46304</v>
      </c>
      <c r="R250" t="str">
        <v>C27</v>
      </c>
      <c r="S250" t="str">
        <v>1000012710 URQUIOLA FERNANDO ANTONIO</v>
      </c>
    </row>
    <row r="251" spans="1:19" x14ac:dyDescent="0.3">
      <c r="A251" s="2" t="s">
        <v>14</v>
      </c>
      <c r="B251" s="3" t="s">
        <v>14</v>
      </c>
      <c r="C251" s="3" t="s">
        <v>455</v>
      </c>
      <c r="D251" s="3" t="s">
        <v>14</v>
      </c>
      <c r="E251" s="3" t="s">
        <v>194</v>
      </c>
      <c r="F251" s="4">
        <v>46296</v>
      </c>
      <c r="G251" s="3" t="s">
        <v>27</v>
      </c>
      <c r="H251" s="6">
        <v>1889663.8</v>
      </c>
      <c r="I251" s="3" t="s">
        <v>18</v>
      </c>
      <c r="J251" s="3" t="s">
        <v>19</v>
      </c>
      <c r="K251" s="3" t="s">
        <v>14</v>
      </c>
      <c r="L251" s="3" t="s">
        <v>430</v>
      </c>
      <c r="M251" s="4">
        <v>46296</v>
      </c>
      <c r="N251" s="3" t="s">
        <v>456</v>
      </c>
      <c r="O251" s="3" t="s">
        <v>30</v>
      </c>
      <c r="P251" t="str">
        <f t="shared" si="3"/>
        <v>450013995510</v>
      </c>
      <c r="Q251" s="7" cm="1">
        <f t="array" ref="Q251:S251">VLOOKUP(P251,Hoja1!C:F,{2,3,4},FALSE)</f>
        <v>46305</v>
      </c>
      <c r="R251" t="str">
        <v>C19</v>
      </c>
      <c r="S251" t="str">
        <v>1000000355 TORRI S.R.L.</v>
      </c>
    </row>
    <row r="252" spans="1:19" x14ac:dyDescent="0.3">
      <c r="A252" s="2" t="s">
        <v>14</v>
      </c>
      <c r="B252" s="3" t="s">
        <v>14</v>
      </c>
      <c r="C252" s="3" t="s">
        <v>460</v>
      </c>
      <c r="D252" s="3" t="s">
        <v>14</v>
      </c>
      <c r="E252" s="3" t="s">
        <v>194</v>
      </c>
      <c r="F252" s="4">
        <v>46296</v>
      </c>
      <c r="G252" s="3" t="s">
        <v>27</v>
      </c>
      <c r="H252" s="6">
        <v>134545.45000000001</v>
      </c>
      <c r="I252" s="3" t="s">
        <v>18</v>
      </c>
      <c r="J252" s="3" t="s">
        <v>19</v>
      </c>
      <c r="K252" s="3" t="s">
        <v>14</v>
      </c>
      <c r="L252" s="3" t="s">
        <v>461</v>
      </c>
      <c r="M252" s="4">
        <v>46296</v>
      </c>
      <c r="N252" s="3" t="s">
        <v>462</v>
      </c>
      <c r="O252" s="3" t="s">
        <v>30</v>
      </c>
      <c r="P252" t="str">
        <f t="shared" si="3"/>
        <v>450013997310</v>
      </c>
      <c r="Q252" s="7" cm="1">
        <f t="array" ref="Q252:S252">VLOOKUP(P252,Hoja1!C:F,{2,3,4},FALSE)</f>
        <v>46311</v>
      </c>
      <c r="R252" t="str">
        <v>C17</v>
      </c>
      <c r="S252" t="str">
        <v>1000008021 GIORLANDO AGROPECUARIA SRL</v>
      </c>
    </row>
    <row r="253" spans="1:19" x14ac:dyDescent="0.3">
      <c r="A253" s="2" t="s">
        <v>14</v>
      </c>
      <c r="B253" s="3" t="s">
        <v>14</v>
      </c>
      <c r="C253" s="3" t="s">
        <v>2260</v>
      </c>
      <c r="D253" s="3" t="s">
        <v>14</v>
      </c>
      <c r="E253" s="3" t="s">
        <v>194</v>
      </c>
      <c r="F253" s="4">
        <v>46296</v>
      </c>
      <c r="G253" s="3" t="s">
        <v>27</v>
      </c>
      <c r="H253" s="6">
        <v>14049.59</v>
      </c>
      <c r="I253" s="3" t="s">
        <v>18</v>
      </c>
      <c r="J253" s="3" t="s">
        <v>19</v>
      </c>
      <c r="K253" s="3" t="s">
        <v>14</v>
      </c>
      <c r="L253" s="3" t="s">
        <v>2261</v>
      </c>
      <c r="M253" s="4">
        <v>46296</v>
      </c>
      <c r="N253" s="3" t="s">
        <v>2262</v>
      </c>
      <c r="O253" s="3" t="s">
        <v>30</v>
      </c>
      <c r="P253" t="str">
        <f t="shared" si="3"/>
        <v>450014001010</v>
      </c>
      <c r="Q253" s="7" cm="1">
        <f t="array" ref="Q253:S253">VLOOKUP(P253,Hoja1!C:F,{2,3,4},FALSE)</f>
        <v>46297</v>
      </c>
      <c r="R253" t="str">
        <v>C03</v>
      </c>
      <c r="S253" t="str">
        <v>1000000099 DIST. MOTOR METAL ROSARIO SRL</v>
      </c>
    </row>
    <row r="254" spans="1:19" x14ac:dyDescent="0.3">
      <c r="A254" s="2" t="s">
        <v>14</v>
      </c>
      <c r="B254" s="3" t="s">
        <v>14</v>
      </c>
      <c r="C254" s="3" t="s">
        <v>2263</v>
      </c>
      <c r="D254" s="3" t="s">
        <v>14</v>
      </c>
      <c r="E254" s="3" t="s">
        <v>194</v>
      </c>
      <c r="F254" s="4">
        <v>46176</v>
      </c>
      <c r="G254" s="3" t="s">
        <v>27</v>
      </c>
      <c r="H254" s="6">
        <v>318060</v>
      </c>
      <c r="I254" s="3" t="s">
        <v>18</v>
      </c>
      <c r="J254" s="3" t="s">
        <v>19</v>
      </c>
      <c r="K254" s="3" t="s">
        <v>14</v>
      </c>
      <c r="L254" s="3" t="s">
        <v>2130</v>
      </c>
      <c r="M254" s="4">
        <v>46297</v>
      </c>
      <c r="N254" s="3" t="s">
        <v>2131</v>
      </c>
      <c r="O254" s="3" t="s">
        <v>30</v>
      </c>
      <c r="P254" t="str">
        <f t="shared" si="3"/>
        <v>450011998910</v>
      </c>
      <c r="Q254" s="7" cm="1">
        <f t="array" ref="Q254:S254">VLOOKUP(P254,Hoja1!C:F,{2,3,4},FALSE)</f>
        <v>46432</v>
      </c>
      <c r="R254" t="str">
        <v>C24</v>
      </c>
      <c r="S254" t="str">
        <v>1000008037 OMEDES MARTIN MARCELO</v>
      </c>
    </row>
    <row r="255" spans="1:19" x14ac:dyDescent="0.3">
      <c r="A255" s="2" t="s">
        <v>14</v>
      </c>
      <c r="B255" s="3" t="s">
        <v>14</v>
      </c>
      <c r="C255" s="3" t="s">
        <v>2264</v>
      </c>
      <c r="D255" s="3" t="s">
        <v>14</v>
      </c>
      <c r="E255" s="3" t="s">
        <v>194</v>
      </c>
      <c r="F255" s="4">
        <v>46209</v>
      </c>
      <c r="G255" s="3" t="s">
        <v>27</v>
      </c>
      <c r="H255" s="6">
        <v>318060</v>
      </c>
      <c r="I255" s="3" t="s">
        <v>18</v>
      </c>
      <c r="J255" s="3" t="s">
        <v>19</v>
      </c>
      <c r="K255" s="3" t="s">
        <v>14</v>
      </c>
      <c r="L255" s="3" t="s">
        <v>2130</v>
      </c>
      <c r="M255" s="4">
        <v>46297</v>
      </c>
      <c r="N255" s="3" t="s">
        <v>2131</v>
      </c>
      <c r="O255" s="3" t="s">
        <v>30</v>
      </c>
      <c r="P255" t="str">
        <f t="shared" si="3"/>
        <v>450011998910</v>
      </c>
      <c r="Q255" s="7" cm="1">
        <f t="array" ref="Q255:S255">VLOOKUP(P255,Hoja1!C:F,{2,3,4},FALSE)</f>
        <v>46432</v>
      </c>
      <c r="R255" t="str">
        <v>C24</v>
      </c>
      <c r="S255" t="str">
        <v>1000008037 OMEDES MARTIN MARCELO</v>
      </c>
    </row>
    <row r="256" spans="1:19" x14ac:dyDescent="0.3">
      <c r="A256" s="2" t="s">
        <v>14</v>
      </c>
      <c r="B256" s="3" t="s">
        <v>14</v>
      </c>
      <c r="C256" s="3" t="s">
        <v>2724</v>
      </c>
      <c r="D256" s="3" t="s">
        <v>14</v>
      </c>
      <c r="E256" s="3" t="s">
        <v>194</v>
      </c>
      <c r="F256" s="4">
        <v>46240</v>
      </c>
      <c r="G256" s="3" t="s">
        <v>27</v>
      </c>
      <c r="H256" s="6">
        <v>318060</v>
      </c>
      <c r="I256" s="3" t="s">
        <v>18</v>
      </c>
      <c r="J256" s="3" t="s">
        <v>19</v>
      </c>
      <c r="K256" s="3" t="s">
        <v>14</v>
      </c>
      <c r="L256" s="3" t="s">
        <v>2130</v>
      </c>
      <c r="M256" s="4">
        <v>46297</v>
      </c>
      <c r="N256" s="3" t="s">
        <v>2131</v>
      </c>
      <c r="O256" s="3" t="s">
        <v>30</v>
      </c>
      <c r="P256" t="str">
        <f t="shared" si="3"/>
        <v>450011998910</v>
      </c>
      <c r="Q256" s="7" cm="1">
        <f t="array" ref="Q256:S256">VLOOKUP(P256,Hoja1!C:F,{2,3,4},FALSE)</f>
        <v>46432</v>
      </c>
      <c r="R256" t="str">
        <v>C24</v>
      </c>
      <c r="S256" t="str">
        <v>1000008037 OMEDES MARTIN MARCELO</v>
      </c>
    </row>
    <row r="257" spans="1:19" x14ac:dyDescent="0.3">
      <c r="A257" s="2" t="s">
        <v>14</v>
      </c>
      <c r="B257" s="3" t="s">
        <v>14</v>
      </c>
      <c r="C257" s="3" t="s">
        <v>2724</v>
      </c>
      <c r="D257" s="3" t="s">
        <v>14</v>
      </c>
      <c r="E257" s="3" t="s">
        <v>194</v>
      </c>
      <c r="F257" s="4">
        <v>46240</v>
      </c>
      <c r="G257" s="3" t="s">
        <v>27</v>
      </c>
      <c r="H257" s="6">
        <v>53740</v>
      </c>
      <c r="I257" s="3" t="s">
        <v>18</v>
      </c>
      <c r="J257" s="3" t="s">
        <v>19</v>
      </c>
      <c r="K257" s="3" t="s">
        <v>14</v>
      </c>
      <c r="L257" s="3" t="s">
        <v>2130</v>
      </c>
      <c r="M257" s="4">
        <v>46297</v>
      </c>
      <c r="N257" s="3" t="s">
        <v>2363</v>
      </c>
      <c r="O257" s="3" t="s">
        <v>35</v>
      </c>
      <c r="P257" t="str">
        <f t="shared" si="3"/>
        <v>450014003330</v>
      </c>
      <c r="Q257" s="7" cm="1">
        <f t="array" ref="Q257:S257">VLOOKUP(P257,Hoja1!C:F,{2,3,4},FALSE)</f>
        <v>46432</v>
      </c>
      <c r="R257" t="str">
        <v>C24</v>
      </c>
      <c r="S257" t="str">
        <v>1000008037 OMEDES MARTIN MARCELO</v>
      </c>
    </row>
    <row r="258" spans="1:19" x14ac:dyDescent="0.3">
      <c r="A258" s="2" t="s">
        <v>14</v>
      </c>
      <c r="B258" s="3" t="s">
        <v>14</v>
      </c>
      <c r="C258" s="3" t="s">
        <v>2265</v>
      </c>
      <c r="D258" s="3" t="s">
        <v>14</v>
      </c>
      <c r="E258" s="3" t="s">
        <v>194</v>
      </c>
      <c r="F258" s="4">
        <v>46268</v>
      </c>
      <c r="G258" s="3" t="s">
        <v>27</v>
      </c>
      <c r="H258" s="6">
        <v>318060</v>
      </c>
      <c r="I258" s="3" t="s">
        <v>18</v>
      </c>
      <c r="J258" s="3" t="s">
        <v>19</v>
      </c>
      <c r="K258" s="3" t="s">
        <v>14</v>
      </c>
      <c r="L258" s="3" t="s">
        <v>2130</v>
      </c>
      <c r="M258" s="4">
        <v>46297</v>
      </c>
      <c r="N258" s="3" t="s">
        <v>2131</v>
      </c>
      <c r="O258" s="3" t="s">
        <v>30</v>
      </c>
      <c r="P258" t="str">
        <f t="shared" si="3"/>
        <v>450011998910</v>
      </c>
      <c r="Q258" s="7" cm="1">
        <f t="array" ref="Q258:S258">VLOOKUP(P258,Hoja1!C:F,{2,3,4},FALSE)</f>
        <v>46432</v>
      </c>
      <c r="R258" t="str">
        <v>C24</v>
      </c>
      <c r="S258" t="str">
        <v>1000008037 OMEDES MARTIN MARCELO</v>
      </c>
    </row>
    <row r="259" spans="1:19" x14ac:dyDescent="0.3">
      <c r="A259" s="2" t="s">
        <v>14</v>
      </c>
      <c r="B259" s="3" t="s">
        <v>14</v>
      </c>
      <c r="C259" s="3" t="s">
        <v>2725</v>
      </c>
      <c r="D259" s="3" t="s">
        <v>14</v>
      </c>
      <c r="E259" s="3" t="s">
        <v>194</v>
      </c>
      <c r="F259" s="4">
        <v>46283</v>
      </c>
      <c r="G259" s="3" t="s">
        <v>27</v>
      </c>
      <c r="H259" s="6">
        <v>60000</v>
      </c>
      <c r="I259" s="3" t="s">
        <v>18</v>
      </c>
      <c r="J259" s="3" t="s">
        <v>19</v>
      </c>
      <c r="K259" s="3" t="s">
        <v>14</v>
      </c>
      <c r="L259" s="3" t="s">
        <v>1573</v>
      </c>
      <c r="M259" s="4">
        <v>46297</v>
      </c>
      <c r="N259" s="3" t="s">
        <v>1574</v>
      </c>
      <c r="O259" s="3" t="s">
        <v>30</v>
      </c>
      <c r="P259" t="str">
        <f t="shared" ref="P259:P322" si="4">_xlfn.CONCAT(N259:O259)</f>
        <v>450013888710</v>
      </c>
      <c r="Q259" s="7" cm="1">
        <f t="array" ref="Q259:S259">VLOOKUP(P259,Hoja1!C:F,{2,3,4},FALSE)</f>
        <v>46286</v>
      </c>
      <c r="R259" t="str">
        <v>C38</v>
      </c>
      <c r="S259" t="str">
        <v>1000000523 FRENOS Y EMBRAGUES LITORAL SRL</v>
      </c>
    </row>
    <row r="260" spans="1:19" x14ac:dyDescent="0.3">
      <c r="A260" s="2" t="s">
        <v>14</v>
      </c>
      <c r="B260" s="3" t="s">
        <v>14</v>
      </c>
      <c r="C260" s="3" t="s">
        <v>2725</v>
      </c>
      <c r="D260" s="3" t="s">
        <v>14</v>
      </c>
      <c r="E260" s="3" t="s">
        <v>194</v>
      </c>
      <c r="F260" s="4">
        <v>46283</v>
      </c>
      <c r="G260" s="3" t="s">
        <v>27</v>
      </c>
      <c r="H260" s="6">
        <v>30000</v>
      </c>
      <c r="I260" s="3" t="s">
        <v>18</v>
      </c>
      <c r="J260" s="3" t="s">
        <v>19</v>
      </c>
      <c r="K260" s="3" t="s">
        <v>14</v>
      </c>
      <c r="L260" s="3" t="s">
        <v>1573</v>
      </c>
      <c r="M260" s="4">
        <v>46297</v>
      </c>
      <c r="N260" s="3" t="s">
        <v>1574</v>
      </c>
      <c r="O260" s="3" t="s">
        <v>22</v>
      </c>
      <c r="P260" t="str">
        <f t="shared" si="4"/>
        <v>450013888720</v>
      </c>
      <c r="Q260" s="7" cm="1">
        <f t="array" ref="Q260:S260">VLOOKUP(P260,Hoja1!C:F,{2,3,4},FALSE)</f>
        <v>46286</v>
      </c>
      <c r="R260" t="str">
        <v>C38</v>
      </c>
      <c r="S260" t="str">
        <v>1000000523 FRENOS Y EMBRAGUES LITORAL SRL</v>
      </c>
    </row>
    <row r="261" spans="1:19" x14ac:dyDescent="0.3">
      <c r="A261" s="2" t="s">
        <v>14</v>
      </c>
      <c r="B261" s="3" t="s">
        <v>14</v>
      </c>
      <c r="C261" s="3" t="s">
        <v>2726</v>
      </c>
      <c r="D261" s="3" t="s">
        <v>14</v>
      </c>
      <c r="E261" s="3" t="s">
        <v>194</v>
      </c>
      <c r="F261" s="4">
        <v>46283</v>
      </c>
      <c r="G261" s="3" t="s">
        <v>27</v>
      </c>
      <c r="H261" s="6">
        <v>1928874</v>
      </c>
      <c r="I261" s="3" t="s">
        <v>18</v>
      </c>
      <c r="J261" s="3" t="s">
        <v>19</v>
      </c>
      <c r="K261" s="3" t="s">
        <v>14</v>
      </c>
      <c r="L261" s="3" t="s">
        <v>1289</v>
      </c>
      <c r="M261" s="4">
        <v>46297</v>
      </c>
      <c r="N261" s="3" t="s">
        <v>1624</v>
      </c>
      <c r="O261" s="3" t="s">
        <v>30</v>
      </c>
      <c r="P261" t="str">
        <f t="shared" si="4"/>
        <v>450013862010</v>
      </c>
      <c r="Q261" s="7" cm="1">
        <f t="array" ref="Q261:S261">VLOOKUP(P261,Hoja1!C:F,{2,3,4},FALSE)</f>
        <v>46290</v>
      </c>
      <c r="R261" t="str">
        <v>G04</v>
      </c>
      <c r="S261" t="str">
        <v>1000000907 SERVICIOS VIALES DE STA. FE SA</v>
      </c>
    </row>
    <row r="262" spans="1:19" x14ac:dyDescent="0.3">
      <c r="A262" s="2" t="s">
        <v>14</v>
      </c>
      <c r="B262" s="3" t="s">
        <v>14</v>
      </c>
      <c r="C262" s="3" t="s">
        <v>2727</v>
      </c>
      <c r="D262" s="3" t="s">
        <v>14</v>
      </c>
      <c r="E262" s="3" t="s">
        <v>194</v>
      </c>
      <c r="F262" s="4">
        <v>46283</v>
      </c>
      <c r="G262" s="3" t="s">
        <v>27</v>
      </c>
      <c r="H262" s="6">
        <v>23700.32</v>
      </c>
      <c r="I262" s="3" t="s">
        <v>18</v>
      </c>
      <c r="J262" s="3" t="s">
        <v>19</v>
      </c>
      <c r="K262" s="3" t="s">
        <v>14</v>
      </c>
      <c r="L262" s="3" t="s">
        <v>1748</v>
      </c>
      <c r="M262" s="4">
        <v>46297</v>
      </c>
      <c r="N262" s="3" t="s">
        <v>1749</v>
      </c>
      <c r="O262" s="3" t="s">
        <v>30</v>
      </c>
      <c r="P262" t="str">
        <f t="shared" si="4"/>
        <v>450013882410</v>
      </c>
      <c r="Q262" s="7" cm="1">
        <f t="array" ref="Q262:S262">VLOOKUP(P262,Hoja1!C:F,{2,3,4},FALSE)</f>
        <v>46294</v>
      </c>
      <c r="R262" t="str">
        <v>C03</v>
      </c>
      <c r="S262" t="str">
        <v>1000000257 RODAMAR SRL</v>
      </c>
    </row>
    <row r="263" spans="1:19" x14ac:dyDescent="0.3">
      <c r="A263" s="2" t="s">
        <v>14</v>
      </c>
      <c r="B263" s="3" t="s">
        <v>14</v>
      </c>
      <c r="C263" s="3" t="s">
        <v>2728</v>
      </c>
      <c r="D263" s="3" t="s">
        <v>14</v>
      </c>
      <c r="E263" s="3" t="s">
        <v>194</v>
      </c>
      <c r="F263" s="4">
        <v>46295</v>
      </c>
      <c r="G263" s="3" t="s">
        <v>27</v>
      </c>
      <c r="H263" s="6">
        <v>455820</v>
      </c>
      <c r="I263" s="3" t="s">
        <v>18</v>
      </c>
      <c r="J263" s="3" t="s">
        <v>19</v>
      </c>
      <c r="K263" s="3" t="s">
        <v>14</v>
      </c>
      <c r="L263" s="3" t="s">
        <v>997</v>
      </c>
      <c r="M263" s="4">
        <v>46297</v>
      </c>
      <c r="N263" s="3" t="s">
        <v>2190</v>
      </c>
      <c r="O263" s="3" t="s">
        <v>22</v>
      </c>
      <c r="P263" t="str">
        <f t="shared" si="4"/>
        <v>450013941920</v>
      </c>
      <c r="Q263" s="7" cm="1">
        <f t="array" ref="Q263:S263">VLOOKUP(P263,Hoja1!C:F,{2,3,4},FALSE)</f>
        <v>46301</v>
      </c>
      <c r="R263" t="str">
        <v>C22</v>
      </c>
      <c r="S263" t="str">
        <v>1000000003 ARROYITO MAQUINARIAS S.R.L.</v>
      </c>
    </row>
    <row r="264" spans="1:19" x14ac:dyDescent="0.3">
      <c r="A264" s="2" t="s">
        <v>14</v>
      </c>
      <c r="B264" s="3" t="s">
        <v>14</v>
      </c>
      <c r="C264" s="3" t="s">
        <v>2805</v>
      </c>
      <c r="D264" s="3" t="s">
        <v>14</v>
      </c>
      <c r="E264" s="3" t="s">
        <v>194</v>
      </c>
      <c r="F264" s="4">
        <v>46286</v>
      </c>
      <c r="G264" s="3" t="s">
        <v>27</v>
      </c>
      <c r="H264" s="6">
        <v>304000</v>
      </c>
      <c r="I264" s="3" t="s">
        <v>18</v>
      </c>
      <c r="J264" s="3" t="s">
        <v>19</v>
      </c>
      <c r="K264" s="3" t="s">
        <v>14</v>
      </c>
      <c r="L264" s="3" t="s">
        <v>269</v>
      </c>
      <c r="M264" s="4">
        <v>46297</v>
      </c>
      <c r="N264" s="3" t="s">
        <v>459</v>
      </c>
      <c r="O264" s="3" t="s">
        <v>133</v>
      </c>
      <c r="P264" t="str">
        <f t="shared" si="4"/>
        <v>4500137125280</v>
      </c>
      <c r="Q264" s="7" cm="1">
        <f t="array" ref="Q264:S264">VLOOKUP(P264,Hoja1!C:F,{2,3,4},FALSE)</f>
        <v>46295</v>
      </c>
      <c r="R264" t="str">
        <v>C03</v>
      </c>
      <c r="S264" t="str">
        <v>1000000190 FERNANDEZ INSUA S.A.</v>
      </c>
    </row>
    <row r="265" spans="1:19" x14ac:dyDescent="0.3">
      <c r="A265" s="2" t="s">
        <v>14</v>
      </c>
      <c r="B265" s="3" t="s">
        <v>14</v>
      </c>
      <c r="C265" s="3" t="s">
        <v>2805</v>
      </c>
      <c r="D265" s="3" t="s">
        <v>14</v>
      </c>
      <c r="E265" s="3" t="s">
        <v>194</v>
      </c>
      <c r="F265" s="4">
        <v>46286</v>
      </c>
      <c r="G265" s="3" t="s">
        <v>27</v>
      </c>
      <c r="H265" s="6">
        <v>144400</v>
      </c>
      <c r="I265" s="3" t="s">
        <v>18</v>
      </c>
      <c r="J265" s="3" t="s">
        <v>19</v>
      </c>
      <c r="K265" s="3" t="s">
        <v>14</v>
      </c>
      <c r="L265" s="3" t="s">
        <v>269</v>
      </c>
      <c r="M265" s="4">
        <v>46297</v>
      </c>
      <c r="N265" s="3" t="s">
        <v>459</v>
      </c>
      <c r="O265" s="3" t="s">
        <v>22</v>
      </c>
      <c r="P265" t="str">
        <f t="shared" si="4"/>
        <v>450013712520</v>
      </c>
      <c r="Q265" s="7" cm="1">
        <f t="array" ref="Q265:S265">VLOOKUP(P265,Hoja1!C:F,{2,3,4},FALSE)</f>
        <v>46295</v>
      </c>
      <c r="R265" t="str">
        <v>C03</v>
      </c>
      <c r="S265" t="str">
        <v>1000000190 FERNANDEZ INSUA S.A.</v>
      </c>
    </row>
    <row r="266" spans="1:19" x14ac:dyDescent="0.3">
      <c r="A266" s="2" t="s">
        <v>14</v>
      </c>
      <c r="B266" s="3" t="s">
        <v>14</v>
      </c>
      <c r="C266" s="3" t="s">
        <v>2805</v>
      </c>
      <c r="D266" s="3" t="s">
        <v>14</v>
      </c>
      <c r="E266" s="3" t="s">
        <v>194</v>
      </c>
      <c r="F266" s="4">
        <v>46286</v>
      </c>
      <c r="G266" s="3" t="s">
        <v>27</v>
      </c>
      <c r="H266" s="6">
        <v>54720</v>
      </c>
      <c r="I266" s="3" t="s">
        <v>18</v>
      </c>
      <c r="J266" s="3" t="s">
        <v>19</v>
      </c>
      <c r="K266" s="3" t="s">
        <v>14</v>
      </c>
      <c r="L266" s="3" t="s">
        <v>269</v>
      </c>
      <c r="M266" s="4">
        <v>46297</v>
      </c>
      <c r="N266" s="3" t="s">
        <v>459</v>
      </c>
      <c r="O266" s="3" t="s">
        <v>173</v>
      </c>
      <c r="P266" t="str">
        <f t="shared" si="4"/>
        <v>4500137125290</v>
      </c>
      <c r="Q266" s="7" cm="1">
        <f t="array" ref="Q266:S266">VLOOKUP(P266,Hoja1!C:F,{2,3,4},FALSE)</f>
        <v>46295</v>
      </c>
      <c r="R266" t="str">
        <v>C03</v>
      </c>
      <c r="S266" t="str">
        <v>1000000190 FERNANDEZ INSUA S.A.</v>
      </c>
    </row>
    <row r="267" spans="1:19" x14ac:dyDescent="0.3">
      <c r="A267" s="2" t="s">
        <v>14</v>
      </c>
      <c r="B267" s="3" t="s">
        <v>14</v>
      </c>
      <c r="C267" s="3" t="s">
        <v>2805</v>
      </c>
      <c r="D267" s="3" t="s">
        <v>14</v>
      </c>
      <c r="E267" s="3" t="s">
        <v>194</v>
      </c>
      <c r="F267" s="4">
        <v>46286</v>
      </c>
      <c r="G267" s="3" t="s">
        <v>27</v>
      </c>
      <c r="H267" s="6">
        <v>21280</v>
      </c>
      <c r="I267" s="3" t="s">
        <v>18</v>
      </c>
      <c r="J267" s="3" t="s">
        <v>19</v>
      </c>
      <c r="K267" s="3" t="s">
        <v>14</v>
      </c>
      <c r="L267" s="3" t="s">
        <v>269</v>
      </c>
      <c r="M267" s="4">
        <v>46297</v>
      </c>
      <c r="N267" s="3" t="s">
        <v>459</v>
      </c>
      <c r="O267" s="3" t="s">
        <v>23</v>
      </c>
      <c r="P267" t="str">
        <f t="shared" si="4"/>
        <v>450013712540</v>
      </c>
      <c r="Q267" s="7" cm="1">
        <f t="array" ref="Q267:S267">VLOOKUP(P267,Hoja1!C:F,{2,3,4},FALSE)</f>
        <v>46295</v>
      </c>
      <c r="R267" t="str">
        <v>C03</v>
      </c>
      <c r="S267" t="str">
        <v>1000000190 FERNANDEZ INSUA S.A.</v>
      </c>
    </row>
    <row r="268" spans="1:19" x14ac:dyDescent="0.3">
      <c r="A268" s="2" t="s">
        <v>14</v>
      </c>
      <c r="B268" s="3" t="s">
        <v>14</v>
      </c>
      <c r="C268" s="3" t="s">
        <v>2729</v>
      </c>
      <c r="D268" s="3" t="s">
        <v>14</v>
      </c>
      <c r="E268" s="3" t="s">
        <v>194</v>
      </c>
      <c r="F268" s="4">
        <v>46283</v>
      </c>
      <c r="G268" s="3" t="s">
        <v>27</v>
      </c>
      <c r="H268" s="6">
        <v>619430</v>
      </c>
      <c r="I268" s="3" t="s">
        <v>18</v>
      </c>
      <c r="J268" s="3" t="s">
        <v>19</v>
      </c>
      <c r="K268" s="3" t="s">
        <v>14</v>
      </c>
      <c r="L268" s="3" t="s">
        <v>2102</v>
      </c>
      <c r="M268" s="4">
        <v>46297</v>
      </c>
      <c r="N268" s="3" t="s">
        <v>2390</v>
      </c>
      <c r="O268" s="3" t="s">
        <v>30</v>
      </c>
      <c r="P268" t="str">
        <f t="shared" si="4"/>
        <v>450013888110</v>
      </c>
      <c r="Q268" s="7" cm="1">
        <f t="array" ref="Q268:S268">VLOOKUP(P268,Hoja1!C:F,{2,3,4},FALSE)</f>
        <v>46290</v>
      </c>
      <c r="R268" t="str">
        <v>C38</v>
      </c>
      <c r="S268" t="str">
        <v>1000000273 SALVADOR Y BARBIERI S.R.L.</v>
      </c>
    </row>
    <row r="269" spans="1:19" x14ac:dyDescent="0.3">
      <c r="A269" s="2" t="s">
        <v>14</v>
      </c>
      <c r="B269" s="3" t="s">
        <v>14</v>
      </c>
      <c r="C269" s="3" t="s">
        <v>2806</v>
      </c>
      <c r="D269" s="3" t="s">
        <v>14</v>
      </c>
      <c r="E269" s="3" t="s">
        <v>194</v>
      </c>
      <c r="F269" s="4">
        <v>46295</v>
      </c>
      <c r="G269" s="3" t="s">
        <v>27</v>
      </c>
      <c r="H269" s="6">
        <v>23042.1</v>
      </c>
      <c r="I269" s="3" t="s">
        <v>18</v>
      </c>
      <c r="J269" s="3" t="s">
        <v>19</v>
      </c>
      <c r="K269" s="3" t="s">
        <v>14</v>
      </c>
      <c r="L269" s="3" t="s">
        <v>1051</v>
      </c>
      <c r="M269" s="4">
        <v>46297</v>
      </c>
      <c r="N269" s="3" t="s">
        <v>2167</v>
      </c>
      <c r="O269" s="3" t="s">
        <v>30</v>
      </c>
      <c r="P269" t="str">
        <f t="shared" si="4"/>
        <v>450013946310</v>
      </c>
      <c r="Q269" s="7" cm="1">
        <f t="array" ref="Q269:S269">VLOOKUP(P269,Hoja1!C:F,{2,3,4},FALSE)</f>
        <v>46294</v>
      </c>
      <c r="R269" t="str">
        <v>C11</v>
      </c>
      <c r="S269" t="str">
        <v>1000001432 ELECTRINET SRL</v>
      </c>
    </row>
    <row r="270" spans="1:19" x14ac:dyDescent="0.3">
      <c r="A270" s="2" t="s">
        <v>14</v>
      </c>
      <c r="B270" s="3" t="s">
        <v>14</v>
      </c>
      <c r="C270" s="3" t="s">
        <v>2730</v>
      </c>
      <c r="D270" s="3" t="s">
        <v>14</v>
      </c>
      <c r="E270" s="3" t="s">
        <v>194</v>
      </c>
      <c r="F270" s="4">
        <v>46282</v>
      </c>
      <c r="G270" s="3" t="s">
        <v>27</v>
      </c>
      <c r="H270" s="6">
        <v>1495052.1</v>
      </c>
      <c r="I270" s="3" t="s">
        <v>18</v>
      </c>
      <c r="J270" s="3" t="s">
        <v>19</v>
      </c>
      <c r="K270" s="3" t="s">
        <v>14</v>
      </c>
      <c r="L270" s="3" t="s">
        <v>2102</v>
      </c>
      <c r="M270" s="4">
        <v>46297</v>
      </c>
      <c r="N270" s="3" t="s">
        <v>2103</v>
      </c>
      <c r="O270" s="3" t="s">
        <v>30</v>
      </c>
      <c r="P270" t="str">
        <f t="shared" si="4"/>
        <v>450013865310</v>
      </c>
      <c r="Q270" s="7" cm="1">
        <f t="array" ref="Q270:S270">VLOOKUP(P270,Hoja1!C:F,{2,3,4},FALSE)</f>
        <v>46290</v>
      </c>
      <c r="R270" t="str">
        <v>F07</v>
      </c>
      <c r="S270" t="str">
        <v>1000000273 SALVADOR Y BARBIERI S.R.L.</v>
      </c>
    </row>
    <row r="271" spans="1:19" x14ac:dyDescent="0.3">
      <c r="A271" s="2" t="s">
        <v>14</v>
      </c>
      <c r="B271" s="3" t="s">
        <v>14</v>
      </c>
      <c r="C271" s="3" t="s">
        <v>2807</v>
      </c>
      <c r="D271" s="3" t="s">
        <v>14</v>
      </c>
      <c r="E271" s="3" t="s">
        <v>194</v>
      </c>
      <c r="F271" s="4">
        <v>46296</v>
      </c>
      <c r="G271" s="3" t="s">
        <v>27</v>
      </c>
      <c r="H271" s="6">
        <v>8516.24</v>
      </c>
      <c r="I271" s="3" t="s">
        <v>18</v>
      </c>
      <c r="J271" s="3" t="s">
        <v>250</v>
      </c>
      <c r="K271" s="3" t="s">
        <v>14</v>
      </c>
      <c r="L271" s="3" t="s">
        <v>412</v>
      </c>
      <c r="M271" s="4">
        <v>46297</v>
      </c>
      <c r="N271" s="3" t="s">
        <v>2376</v>
      </c>
      <c r="O271" s="3" t="s">
        <v>30</v>
      </c>
      <c r="P271" t="str">
        <f t="shared" si="4"/>
        <v>450013925710</v>
      </c>
      <c r="Q271" s="7" cm="1">
        <f t="array" ref="Q271:S271">VLOOKUP(P271,Hoja1!C:F,{2,3,4},FALSE)</f>
        <v>46295</v>
      </c>
      <c r="R271" t="str">
        <v>C11</v>
      </c>
      <c r="S271" t="str">
        <v>1000000093 ELECTRICIDAD SERRA S.R.L.</v>
      </c>
    </row>
    <row r="272" spans="1:19" x14ac:dyDescent="0.3">
      <c r="A272" s="2" t="s">
        <v>14</v>
      </c>
      <c r="B272" s="3" t="s">
        <v>14</v>
      </c>
      <c r="C272" s="3" t="s">
        <v>2807</v>
      </c>
      <c r="D272" s="3" t="s">
        <v>14</v>
      </c>
      <c r="E272" s="3" t="s">
        <v>194</v>
      </c>
      <c r="F272" s="4">
        <v>46296</v>
      </c>
      <c r="G272" s="3" t="s">
        <v>27</v>
      </c>
      <c r="H272" s="6">
        <v>2317.98</v>
      </c>
      <c r="I272" s="3" t="s">
        <v>18</v>
      </c>
      <c r="J272" s="3" t="s">
        <v>19</v>
      </c>
      <c r="K272" s="3" t="s">
        <v>14</v>
      </c>
      <c r="L272" s="3" t="s">
        <v>412</v>
      </c>
      <c r="M272" s="4">
        <v>46297</v>
      </c>
      <c r="N272" s="3" t="s">
        <v>2376</v>
      </c>
      <c r="O272" s="3" t="s">
        <v>22</v>
      </c>
      <c r="P272" t="str">
        <f t="shared" si="4"/>
        <v>450013925720</v>
      </c>
      <c r="Q272" s="7" cm="1">
        <f t="array" ref="Q272:S272">VLOOKUP(P272,Hoja1!C:F,{2,3,4},FALSE)</f>
        <v>46295</v>
      </c>
      <c r="R272" t="str">
        <v>C11</v>
      </c>
      <c r="S272" t="str">
        <v>1000000093 ELECTRICIDAD SERRA S.R.L.</v>
      </c>
    </row>
    <row r="273" spans="1:19" x14ac:dyDescent="0.3">
      <c r="A273" s="2" t="s">
        <v>14</v>
      </c>
      <c r="B273" s="3" t="s">
        <v>14</v>
      </c>
      <c r="C273" s="3" t="s">
        <v>2808</v>
      </c>
      <c r="D273" s="3" t="s">
        <v>14</v>
      </c>
      <c r="E273" s="3" t="s">
        <v>194</v>
      </c>
      <c r="F273" s="4">
        <v>46287</v>
      </c>
      <c r="G273" s="3" t="s">
        <v>27</v>
      </c>
      <c r="H273" s="6">
        <v>98247.5</v>
      </c>
      <c r="I273" s="3" t="s">
        <v>18</v>
      </c>
      <c r="J273" s="3" t="s">
        <v>19</v>
      </c>
      <c r="K273" s="3" t="s">
        <v>14</v>
      </c>
      <c r="L273" s="3" t="s">
        <v>1727</v>
      </c>
      <c r="M273" s="4">
        <v>46297</v>
      </c>
      <c r="N273" s="3" t="s">
        <v>1728</v>
      </c>
      <c r="O273" s="3" t="s">
        <v>22</v>
      </c>
      <c r="P273" t="str">
        <f t="shared" si="4"/>
        <v>450013902020</v>
      </c>
      <c r="Q273" s="7" cm="1">
        <f t="array" ref="Q273:S273">VLOOKUP(P273,Hoja1!C:F,{2,3,4},FALSE)</f>
        <v>46302</v>
      </c>
      <c r="R273" t="str">
        <v>C03</v>
      </c>
      <c r="S273" t="str">
        <v>1000002138 AMERICAN HEAVY PARTS S.R.L.</v>
      </c>
    </row>
    <row r="274" spans="1:19" x14ac:dyDescent="0.3">
      <c r="A274" s="2" t="s">
        <v>14</v>
      </c>
      <c r="B274" s="3" t="s">
        <v>14</v>
      </c>
      <c r="C274" s="3" t="s">
        <v>2808</v>
      </c>
      <c r="D274" s="3" t="s">
        <v>14</v>
      </c>
      <c r="E274" s="3" t="s">
        <v>194</v>
      </c>
      <c r="F274" s="4">
        <v>46287</v>
      </c>
      <c r="G274" s="3" t="s">
        <v>27</v>
      </c>
      <c r="H274" s="6">
        <v>169288</v>
      </c>
      <c r="I274" s="3" t="s">
        <v>18</v>
      </c>
      <c r="J274" s="3" t="s">
        <v>19</v>
      </c>
      <c r="K274" s="3" t="s">
        <v>14</v>
      </c>
      <c r="L274" s="3" t="s">
        <v>1727</v>
      </c>
      <c r="M274" s="4">
        <v>46297</v>
      </c>
      <c r="N274" s="3" t="s">
        <v>1728</v>
      </c>
      <c r="O274" s="3" t="s">
        <v>35</v>
      </c>
      <c r="P274" t="str">
        <f t="shared" si="4"/>
        <v>450013902030</v>
      </c>
      <c r="Q274" s="7" cm="1">
        <f t="array" ref="Q274:S274">VLOOKUP(P274,Hoja1!C:F,{2,3,4},FALSE)</f>
        <v>46290</v>
      </c>
      <c r="R274" t="str">
        <v>C03</v>
      </c>
      <c r="S274" t="str">
        <v>1000002138 AMERICAN HEAVY PARTS S.R.L.</v>
      </c>
    </row>
    <row r="275" spans="1:19" x14ac:dyDescent="0.3">
      <c r="A275" s="2" t="s">
        <v>14</v>
      </c>
      <c r="B275" s="3" t="s">
        <v>14</v>
      </c>
      <c r="C275" s="3" t="s">
        <v>2808</v>
      </c>
      <c r="D275" s="3" t="s">
        <v>14</v>
      </c>
      <c r="E275" s="3" t="s">
        <v>194</v>
      </c>
      <c r="F275" s="4">
        <v>46287</v>
      </c>
      <c r="G275" s="3" t="s">
        <v>27</v>
      </c>
      <c r="H275" s="6">
        <v>58948.5</v>
      </c>
      <c r="I275" s="3" t="s">
        <v>18</v>
      </c>
      <c r="J275" s="3" t="s">
        <v>19</v>
      </c>
      <c r="K275" s="3" t="s">
        <v>14</v>
      </c>
      <c r="L275" s="3" t="s">
        <v>1727</v>
      </c>
      <c r="M275" s="4">
        <v>46297</v>
      </c>
      <c r="N275" s="3" t="s">
        <v>1728</v>
      </c>
      <c r="O275" s="3" t="s">
        <v>23</v>
      </c>
      <c r="P275" t="str">
        <f t="shared" si="4"/>
        <v>450013902040</v>
      </c>
      <c r="Q275" s="7" cm="1">
        <f t="array" ref="Q275:S275">VLOOKUP(P275,Hoja1!C:F,{2,3,4},FALSE)</f>
        <v>46290</v>
      </c>
      <c r="R275" t="str">
        <v>C03</v>
      </c>
      <c r="S275" t="str">
        <v>1000002138 AMERICAN HEAVY PARTS S.R.L.</v>
      </c>
    </row>
    <row r="276" spans="1:19" x14ac:dyDescent="0.3">
      <c r="A276" s="2" t="s">
        <v>14</v>
      </c>
      <c r="B276" s="3" t="s">
        <v>14</v>
      </c>
      <c r="C276" s="3" t="s">
        <v>2808</v>
      </c>
      <c r="D276" s="3" t="s">
        <v>14</v>
      </c>
      <c r="E276" s="3" t="s">
        <v>194</v>
      </c>
      <c r="F276" s="4">
        <v>46287</v>
      </c>
      <c r="G276" s="3" t="s">
        <v>27</v>
      </c>
      <c r="H276" s="6">
        <v>337215.65</v>
      </c>
      <c r="I276" s="3" t="s">
        <v>18</v>
      </c>
      <c r="J276" s="3" t="s">
        <v>19</v>
      </c>
      <c r="K276" s="3" t="s">
        <v>14</v>
      </c>
      <c r="L276" s="3" t="s">
        <v>1727</v>
      </c>
      <c r="M276" s="4">
        <v>46297</v>
      </c>
      <c r="N276" s="3" t="s">
        <v>1728</v>
      </c>
      <c r="O276" s="3" t="s">
        <v>144</v>
      </c>
      <c r="P276" t="str">
        <f t="shared" si="4"/>
        <v>450013902050</v>
      </c>
      <c r="Q276" s="7" cm="1">
        <f t="array" ref="Q276:S276">VLOOKUP(P276,Hoja1!C:F,{2,3,4},FALSE)</f>
        <v>46290</v>
      </c>
      <c r="R276" t="str">
        <v>C03</v>
      </c>
      <c r="S276" t="str">
        <v>1000002138 AMERICAN HEAVY PARTS S.R.L.</v>
      </c>
    </row>
    <row r="277" spans="1:19" x14ac:dyDescent="0.3">
      <c r="A277" s="2" t="s">
        <v>14</v>
      </c>
      <c r="B277" s="3" t="s">
        <v>14</v>
      </c>
      <c r="C277" s="3" t="s">
        <v>2808</v>
      </c>
      <c r="D277" s="3" t="s">
        <v>14</v>
      </c>
      <c r="E277" s="3" t="s">
        <v>194</v>
      </c>
      <c r="F277" s="4">
        <v>46287</v>
      </c>
      <c r="G277" s="3" t="s">
        <v>27</v>
      </c>
      <c r="H277" s="6">
        <v>17835.7</v>
      </c>
      <c r="I277" s="3" t="s">
        <v>18</v>
      </c>
      <c r="J277" s="3" t="s">
        <v>19</v>
      </c>
      <c r="K277" s="3" t="s">
        <v>14</v>
      </c>
      <c r="L277" s="3" t="s">
        <v>1727</v>
      </c>
      <c r="M277" s="4">
        <v>46297</v>
      </c>
      <c r="N277" s="3" t="s">
        <v>1728</v>
      </c>
      <c r="O277" s="3" t="s">
        <v>141</v>
      </c>
      <c r="P277" t="str">
        <f t="shared" si="4"/>
        <v>450013902060</v>
      </c>
      <c r="Q277" s="7" cm="1">
        <f t="array" ref="Q277:S277">VLOOKUP(P277,Hoja1!C:F,{2,3,4},FALSE)</f>
        <v>46290</v>
      </c>
      <c r="R277" t="str">
        <v>C03</v>
      </c>
      <c r="S277" t="str">
        <v>1000002138 AMERICAN HEAVY PARTS S.R.L.</v>
      </c>
    </row>
    <row r="278" spans="1:19" x14ac:dyDescent="0.3">
      <c r="A278" s="2" t="s">
        <v>14</v>
      </c>
      <c r="B278" s="3" t="s">
        <v>14</v>
      </c>
      <c r="C278" s="3" t="s">
        <v>2809</v>
      </c>
      <c r="D278" s="3" t="s">
        <v>14</v>
      </c>
      <c r="E278" s="3" t="s">
        <v>194</v>
      </c>
      <c r="F278" s="4">
        <v>46295</v>
      </c>
      <c r="G278" s="3" t="s">
        <v>27</v>
      </c>
      <c r="H278" s="6">
        <v>69595.600000000006</v>
      </c>
      <c r="I278" s="3" t="s">
        <v>18</v>
      </c>
      <c r="J278" s="3" t="s">
        <v>19</v>
      </c>
      <c r="K278" s="3" t="s">
        <v>14</v>
      </c>
      <c r="L278" s="3" t="s">
        <v>1051</v>
      </c>
      <c r="M278" s="4">
        <v>46297</v>
      </c>
      <c r="N278" s="3" t="s">
        <v>2095</v>
      </c>
      <c r="O278" s="3" t="s">
        <v>30</v>
      </c>
      <c r="P278" t="str">
        <f t="shared" si="4"/>
        <v>450013891810</v>
      </c>
      <c r="Q278" s="7" cm="1">
        <f t="array" ref="Q278:S278">VLOOKUP(P278,Hoja1!C:F,{2,3,4},FALSE)</f>
        <v>46290</v>
      </c>
      <c r="R278" t="str">
        <v>C11</v>
      </c>
      <c r="S278" t="str">
        <v>1000001432 ELECTRINET SRL</v>
      </c>
    </row>
    <row r="279" spans="1:19" x14ac:dyDescent="0.3">
      <c r="A279" s="2" t="s">
        <v>14</v>
      </c>
      <c r="B279" s="3" t="s">
        <v>14</v>
      </c>
      <c r="C279" s="3" t="s">
        <v>2809</v>
      </c>
      <c r="D279" s="3" t="s">
        <v>14</v>
      </c>
      <c r="E279" s="3" t="s">
        <v>194</v>
      </c>
      <c r="F279" s="4">
        <v>46295</v>
      </c>
      <c r="G279" s="3" t="s">
        <v>27</v>
      </c>
      <c r="H279" s="6">
        <v>393551</v>
      </c>
      <c r="I279" s="3" t="s">
        <v>18</v>
      </c>
      <c r="J279" s="3" t="s">
        <v>19</v>
      </c>
      <c r="K279" s="3" t="s">
        <v>14</v>
      </c>
      <c r="L279" s="3" t="s">
        <v>1051</v>
      </c>
      <c r="M279" s="4">
        <v>46297</v>
      </c>
      <c r="N279" s="3" t="s">
        <v>2095</v>
      </c>
      <c r="O279" s="3" t="s">
        <v>22</v>
      </c>
      <c r="P279" t="str">
        <f t="shared" si="4"/>
        <v>450013891820</v>
      </c>
      <c r="Q279" s="7" cm="1">
        <f t="array" ref="Q279:S279">VLOOKUP(P279,Hoja1!C:F,{2,3,4},FALSE)</f>
        <v>46290</v>
      </c>
      <c r="R279" t="str">
        <v>C11</v>
      </c>
      <c r="S279" t="str">
        <v>1000001432 ELECTRINET SRL</v>
      </c>
    </row>
    <row r="280" spans="1:19" x14ac:dyDescent="0.3">
      <c r="A280" s="2" t="s">
        <v>14</v>
      </c>
      <c r="B280" s="3" t="s">
        <v>14</v>
      </c>
      <c r="C280" s="3" t="s">
        <v>2809</v>
      </c>
      <c r="D280" s="3" t="s">
        <v>14</v>
      </c>
      <c r="E280" s="3" t="s">
        <v>194</v>
      </c>
      <c r="F280" s="4">
        <v>46295</v>
      </c>
      <c r="G280" s="3" t="s">
        <v>27</v>
      </c>
      <c r="H280" s="6">
        <v>82698.149999999994</v>
      </c>
      <c r="I280" s="3" t="s">
        <v>18</v>
      </c>
      <c r="J280" s="3" t="s">
        <v>19</v>
      </c>
      <c r="K280" s="3" t="s">
        <v>14</v>
      </c>
      <c r="L280" s="3" t="s">
        <v>1051</v>
      </c>
      <c r="M280" s="4">
        <v>46297</v>
      </c>
      <c r="N280" s="3" t="s">
        <v>2095</v>
      </c>
      <c r="O280" s="3" t="s">
        <v>35</v>
      </c>
      <c r="P280" t="str">
        <f t="shared" si="4"/>
        <v>450013891830</v>
      </c>
      <c r="Q280" s="7" cm="1">
        <f t="array" ref="Q280:S280">VLOOKUP(P280,Hoja1!C:F,{2,3,4},FALSE)</f>
        <v>46290</v>
      </c>
      <c r="R280" t="str">
        <v>C11</v>
      </c>
      <c r="S280" t="str">
        <v>1000001432 ELECTRINET SRL</v>
      </c>
    </row>
    <row r="281" spans="1:19" x14ac:dyDescent="0.3">
      <c r="A281" s="2" t="s">
        <v>14</v>
      </c>
      <c r="B281" s="3" t="s">
        <v>14</v>
      </c>
      <c r="C281" s="3" t="s">
        <v>2809</v>
      </c>
      <c r="D281" s="3" t="s">
        <v>14</v>
      </c>
      <c r="E281" s="3" t="s">
        <v>194</v>
      </c>
      <c r="F281" s="4">
        <v>46295</v>
      </c>
      <c r="G281" s="3" t="s">
        <v>27</v>
      </c>
      <c r="H281" s="6">
        <v>67355.8</v>
      </c>
      <c r="I281" s="3" t="s">
        <v>18</v>
      </c>
      <c r="J281" s="3" t="s">
        <v>19</v>
      </c>
      <c r="K281" s="3" t="s">
        <v>14</v>
      </c>
      <c r="L281" s="3" t="s">
        <v>1051</v>
      </c>
      <c r="M281" s="4">
        <v>46297</v>
      </c>
      <c r="N281" s="3" t="s">
        <v>2095</v>
      </c>
      <c r="O281" s="3" t="s">
        <v>23</v>
      </c>
      <c r="P281" t="str">
        <f t="shared" si="4"/>
        <v>450013891840</v>
      </c>
      <c r="Q281" s="7" cm="1">
        <f t="array" ref="Q281:S281">VLOOKUP(P281,Hoja1!C:F,{2,3,4},FALSE)</f>
        <v>46290</v>
      </c>
      <c r="R281" t="str">
        <v>C11</v>
      </c>
      <c r="S281" t="str">
        <v>1000001432 ELECTRINET SRL</v>
      </c>
    </row>
    <row r="282" spans="1:19" x14ac:dyDescent="0.3">
      <c r="A282" s="2" t="s">
        <v>14</v>
      </c>
      <c r="B282" s="3" t="s">
        <v>14</v>
      </c>
      <c r="C282" s="3" t="s">
        <v>2809</v>
      </c>
      <c r="D282" s="3" t="s">
        <v>14</v>
      </c>
      <c r="E282" s="3" t="s">
        <v>194</v>
      </c>
      <c r="F282" s="4">
        <v>46295</v>
      </c>
      <c r="G282" s="3" t="s">
        <v>27</v>
      </c>
      <c r="H282" s="6">
        <v>586976.35</v>
      </c>
      <c r="I282" s="3" t="s">
        <v>18</v>
      </c>
      <c r="J282" s="3" t="s">
        <v>19</v>
      </c>
      <c r="K282" s="3" t="s">
        <v>14</v>
      </c>
      <c r="L282" s="3" t="s">
        <v>1051</v>
      </c>
      <c r="M282" s="4">
        <v>46297</v>
      </c>
      <c r="N282" s="3" t="s">
        <v>2095</v>
      </c>
      <c r="O282" s="3" t="s">
        <v>144</v>
      </c>
      <c r="P282" t="str">
        <f t="shared" si="4"/>
        <v>450013891850</v>
      </c>
      <c r="Q282" s="7" cm="1">
        <f t="array" ref="Q282:S282">VLOOKUP(P282,Hoja1!C:F,{2,3,4},FALSE)</f>
        <v>46290</v>
      </c>
      <c r="R282" t="str">
        <v>C11</v>
      </c>
      <c r="S282" t="str">
        <v>1000001432 ELECTRINET SRL</v>
      </c>
    </row>
    <row r="283" spans="1:19" x14ac:dyDescent="0.3">
      <c r="A283" s="2" t="s">
        <v>14</v>
      </c>
      <c r="B283" s="3" t="s">
        <v>14</v>
      </c>
      <c r="C283" s="3" t="s">
        <v>2809</v>
      </c>
      <c r="D283" s="3" t="s">
        <v>14</v>
      </c>
      <c r="E283" s="3" t="s">
        <v>194</v>
      </c>
      <c r="F283" s="4">
        <v>46295</v>
      </c>
      <c r="G283" s="3" t="s">
        <v>27</v>
      </c>
      <c r="H283" s="6">
        <v>258785.7</v>
      </c>
      <c r="I283" s="3" t="s">
        <v>18</v>
      </c>
      <c r="J283" s="3" t="s">
        <v>19</v>
      </c>
      <c r="K283" s="3" t="s">
        <v>14</v>
      </c>
      <c r="L283" s="3" t="s">
        <v>1051</v>
      </c>
      <c r="M283" s="4">
        <v>46297</v>
      </c>
      <c r="N283" s="3" t="s">
        <v>2095</v>
      </c>
      <c r="O283" s="3" t="s">
        <v>141</v>
      </c>
      <c r="P283" t="str">
        <f t="shared" si="4"/>
        <v>450013891860</v>
      </c>
      <c r="Q283" s="7" cm="1">
        <f t="array" ref="Q283:S283">VLOOKUP(P283,Hoja1!C:F,{2,3,4},FALSE)</f>
        <v>46290</v>
      </c>
      <c r="R283" t="str">
        <v>C11</v>
      </c>
      <c r="S283" t="str">
        <v>1000001432 ELECTRINET SRL</v>
      </c>
    </row>
    <row r="284" spans="1:19" x14ac:dyDescent="0.3">
      <c r="A284" s="2" t="s">
        <v>14</v>
      </c>
      <c r="B284" s="3" t="s">
        <v>14</v>
      </c>
      <c r="C284" s="3" t="s">
        <v>2809</v>
      </c>
      <c r="D284" s="3" t="s">
        <v>14</v>
      </c>
      <c r="E284" s="3" t="s">
        <v>194</v>
      </c>
      <c r="F284" s="4">
        <v>46295</v>
      </c>
      <c r="G284" s="3" t="s">
        <v>27</v>
      </c>
      <c r="H284" s="6">
        <v>349924</v>
      </c>
      <c r="I284" s="3" t="s">
        <v>18</v>
      </c>
      <c r="J284" s="3" t="s">
        <v>19</v>
      </c>
      <c r="K284" s="3" t="s">
        <v>14</v>
      </c>
      <c r="L284" s="3" t="s">
        <v>1051</v>
      </c>
      <c r="M284" s="4">
        <v>46297</v>
      </c>
      <c r="N284" s="3" t="s">
        <v>2095</v>
      </c>
      <c r="O284" s="3" t="s">
        <v>134</v>
      </c>
      <c r="P284" t="str">
        <f t="shared" si="4"/>
        <v>450013891870</v>
      </c>
      <c r="Q284" s="7" cm="1">
        <f t="array" ref="Q284:S284">VLOOKUP(P284,Hoja1!C:F,{2,3,4},FALSE)</f>
        <v>46290</v>
      </c>
      <c r="R284" t="str">
        <v>C11</v>
      </c>
      <c r="S284" t="str">
        <v>1000001432 ELECTRINET SRL</v>
      </c>
    </row>
    <row r="285" spans="1:19" x14ac:dyDescent="0.3">
      <c r="A285" s="2" t="s">
        <v>14</v>
      </c>
      <c r="B285" s="3" t="s">
        <v>14</v>
      </c>
      <c r="C285" s="3" t="s">
        <v>2810</v>
      </c>
      <c r="D285" s="3" t="s">
        <v>14</v>
      </c>
      <c r="E285" s="3" t="s">
        <v>194</v>
      </c>
      <c r="F285" s="4">
        <v>46289</v>
      </c>
      <c r="G285" s="3" t="s">
        <v>27</v>
      </c>
      <c r="H285" s="6">
        <v>995722.8</v>
      </c>
      <c r="I285" s="3" t="s">
        <v>18</v>
      </c>
      <c r="J285" s="3" t="s">
        <v>19</v>
      </c>
      <c r="K285" s="3" t="s">
        <v>14</v>
      </c>
      <c r="L285" s="3" t="s">
        <v>1748</v>
      </c>
      <c r="M285" s="4">
        <v>46297</v>
      </c>
      <c r="N285" s="3" t="s">
        <v>2055</v>
      </c>
      <c r="O285" s="3" t="s">
        <v>30</v>
      </c>
      <c r="P285" t="str">
        <f t="shared" si="4"/>
        <v>450013876510</v>
      </c>
      <c r="Q285" s="7" cm="1">
        <f t="array" ref="Q285:S285">VLOOKUP(P285,Hoja1!C:F,{2,3,4},FALSE)</f>
        <v>46297</v>
      </c>
      <c r="R285" t="str">
        <v>C42</v>
      </c>
      <c r="S285" t="str">
        <v>1000000257 RODAMAR SRL</v>
      </c>
    </row>
    <row r="286" spans="1:19" x14ac:dyDescent="0.3">
      <c r="A286" s="2" t="s">
        <v>14</v>
      </c>
      <c r="B286" s="3" t="s">
        <v>14</v>
      </c>
      <c r="C286" s="3" t="s">
        <v>2810</v>
      </c>
      <c r="D286" s="3" t="s">
        <v>14</v>
      </c>
      <c r="E286" s="3" t="s">
        <v>194</v>
      </c>
      <c r="F286" s="4">
        <v>46289</v>
      </c>
      <c r="G286" s="3" t="s">
        <v>27</v>
      </c>
      <c r="H286" s="6">
        <v>214271</v>
      </c>
      <c r="I286" s="3" t="s">
        <v>18</v>
      </c>
      <c r="J286" s="3" t="s">
        <v>19</v>
      </c>
      <c r="K286" s="3" t="s">
        <v>14</v>
      </c>
      <c r="L286" s="3" t="s">
        <v>1748</v>
      </c>
      <c r="M286" s="4">
        <v>46297</v>
      </c>
      <c r="N286" s="3" t="s">
        <v>2055</v>
      </c>
      <c r="O286" s="3" t="s">
        <v>22</v>
      </c>
      <c r="P286" t="str">
        <f t="shared" si="4"/>
        <v>450013876520</v>
      </c>
      <c r="Q286" s="7" cm="1">
        <f t="array" ref="Q286:S286">VLOOKUP(P286,Hoja1!C:F,{2,3,4},FALSE)</f>
        <v>46297</v>
      </c>
      <c r="R286" t="str">
        <v>C42</v>
      </c>
      <c r="S286" t="str">
        <v>1000000257 RODAMAR SRL</v>
      </c>
    </row>
    <row r="287" spans="1:19" x14ac:dyDescent="0.3">
      <c r="A287" s="2" t="s">
        <v>14</v>
      </c>
      <c r="B287" s="3" t="s">
        <v>14</v>
      </c>
      <c r="C287" s="3" t="s">
        <v>2810</v>
      </c>
      <c r="D287" s="3" t="s">
        <v>14</v>
      </c>
      <c r="E287" s="3" t="s">
        <v>194</v>
      </c>
      <c r="F287" s="4">
        <v>46289</v>
      </c>
      <c r="G287" s="3" t="s">
        <v>27</v>
      </c>
      <c r="H287" s="6">
        <v>277216.90000000002</v>
      </c>
      <c r="I287" s="3" t="s">
        <v>18</v>
      </c>
      <c r="J287" s="3" t="s">
        <v>19</v>
      </c>
      <c r="K287" s="3" t="s">
        <v>14</v>
      </c>
      <c r="L287" s="3" t="s">
        <v>1748</v>
      </c>
      <c r="M287" s="4">
        <v>46297</v>
      </c>
      <c r="N287" s="3" t="s">
        <v>2055</v>
      </c>
      <c r="O287" s="3" t="s">
        <v>35</v>
      </c>
      <c r="P287" t="str">
        <f t="shared" si="4"/>
        <v>450013876530</v>
      </c>
      <c r="Q287" s="7" cm="1">
        <f t="array" ref="Q287:S287">VLOOKUP(P287,Hoja1!C:F,{2,3,4},FALSE)</f>
        <v>46297</v>
      </c>
      <c r="R287" t="str">
        <v>C42</v>
      </c>
      <c r="S287" t="str">
        <v>1000000257 RODAMAR SRL</v>
      </c>
    </row>
    <row r="288" spans="1:19" x14ac:dyDescent="0.3">
      <c r="A288" s="2" t="s">
        <v>14</v>
      </c>
      <c r="B288" s="3" t="s">
        <v>14</v>
      </c>
      <c r="C288" s="3" t="s">
        <v>2811</v>
      </c>
      <c r="D288" s="3" t="s">
        <v>14</v>
      </c>
      <c r="E288" s="3" t="s">
        <v>194</v>
      </c>
      <c r="F288" s="4">
        <v>46227</v>
      </c>
      <c r="G288" s="3" t="s">
        <v>27</v>
      </c>
      <c r="H288" s="6">
        <v>876033.05</v>
      </c>
      <c r="I288" s="3" t="s">
        <v>18</v>
      </c>
      <c r="J288" s="3" t="s">
        <v>19</v>
      </c>
      <c r="K288" s="3" t="s">
        <v>14</v>
      </c>
      <c r="L288" s="3" t="s">
        <v>1039</v>
      </c>
      <c r="M288" s="4">
        <v>46297</v>
      </c>
      <c r="N288" s="3" t="s">
        <v>1040</v>
      </c>
      <c r="O288" s="3" t="s">
        <v>30</v>
      </c>
      <c r="P288" t="str">
        <f t="shared" si="4"/>
        <v>450013481510</v>
      </c>
      <c r="Q288" s="7" cm="1">
        <f t="array" ref="Q288:S288">VLOOKUP(P288,Hoja1!C:F,{2,3,4},FALSE)</f>
        <v>46246</v>
      </c>
      <c r="R288" t="str">
        <v>C38</v>
      </c>
      <c r="S288" t="str">
        <v>1000002753 FEDERICO ENGEL TALLER FEDERICO</v>
      </c>
    </row>
    <row r="289" spans="1:19" x14ac:dyDescent="0.3">
      <c r="A289" s="2" t="s">
        <v>14</v>
      </c>
      <c r="B289" s="3" t="s">
        <v>14</v>
      </c>
      <c r="C289" s="3" t="s">
        <v>2812</v>
      </c>
      <c r="D289" s="3" t="s">
        <v>14</v>
      </c>
      <c r="E289" s="3" t="s">
        <v>194</v>
      </c>
      <c r="F289" s="4">
        <v>46294</v>
      </c>
      <c r="G289" s="3" t="s">
        <v>27</v>
      </c>
      <c r="H289" s="6">
        <v>4031</v>
      </c>
      <c r="I289" s="3" t="s">
        <v>18</v>
      </c>
      <c r="J289" s="3" t="s">
        <v>19</v>
      </c>
      <c r="K289" s="3" t="s">
        <v>14</v>
      </c>
      <c r="L289" s="3" t="s">
        <v>412</v>
      </c>
      <c r="M289" s="4">
        <v>46297</v>
      </c>
      <c r="N289" s="3" t="s">
        <v>2156</v>
      </c>
      <c r="O289" s="3" t="s">
        <v>30</v>
      </c>
      <c r="P289" t="str">
        <f t="shared" si="4"/>
        <v>450013875710</v>
      </c>
      <c r="Q289" s="7" cm="1">
        <f t="array" ref="Q289:S289">VLOOKUP(P289,Hoja1!C:F,{2,3,4},FALSE)</f>
        <v>46287</v>
      </c>
      <c r="R289" t="str">
        <v>C11</v>
      </c>
      <c r="S289" t="str">
        <v>1000000093 ELECTRICIDAD SERRA S.R.L.</v>
      </c>
    </row>
    <row r="290" spans="1:19" x14ac:dyDescent="0.3">
      <c r="A290" s="2" t="s">
        <v>14</v>
      </c>
      <c r="B290" s="3" t="s">
        <v>14</v>
      </c>
      <c r="C290" s="3" t="s">
        <v>2812</v>
      </c>
      <c r="D290" s="3" t="s">
        <v>14</v>
      </c>
      <c r="E290" s="3" t="s">
        <v>194</v>
      </c>
      <c r="F290" s="4">
        <v>46294</v>
      </c>
      <c r="G290" s="3" t="s">
        <v>27</v>
      </c>
      <c r="H290" s="6">
        <v>21370.32</v>
      </c>
      <c r="I290" s="3" t="s">
        <v>18</v>
      </c>
      <c r="J290" s="3" t="s">
        <v>19</v>
      </c>
      <c r="K290" s="3" t="s">
        <v>14</v>
      </c>
      <c r="L290" s="3" t="s">
        <v>412</v>
      </c>
      <c r="M290" s="4">
        <v>46297</v>
      </c>
      <c r="N290" s="3" t="s">
        <v>2156</v>
      </c>
      <c r="O290" s="3" t="s">
        <v>22</v>
      </c>
      <c r="P290" t="str">
        <f t="shared" si="4"/>
        <v>450013875720</v>
      </c>
      <c r="Q290" s="7" cm="1">
        <f t="array" ref="Q290:S290">VLOOKUP(P290,Hoja1!C:F,{2,3,4},FALSE)</f>
        <v>46287</v>
      </c>
      <c r="R290" t="str">
        <v>C11</v>
      </c>
      <c r="S290" t="str">
        <v>1000000093 ELECTRICIDAD SERRA S.R.L.</v>
      </c>
    </row>
    <row r="291" spans="1:19" x14ac:dyDescent="0.3">
      <c r="A291" s="2" t="s">
        <v>14</v>
      </c>
      <c r="B291" s="3" t="s">
        <v>14</v>
      </c>
      <c r="C291" s="3" t="s">
        <v>2812</v>
      </c>
      <c r="D291" s="3" t="s">
        <v>14</v>
      </c>
      <c r="E291" s="3" t="s">
        <v>194</v>
      </c>
      <c r="F291" s="4">
        <v>46294</v>
      </c>
      <c r="G291" s="3" t="s">
        <v>27</v>
      </c>
      <c r="H291" s="6">
        <v>5726.7</v>
      </c>
      <c r="I291" s="3" t="s">
        <v>18</v>
      </c>
      <c r="J291" s="3" t="s">
        <v>19</v>
      </c>
      <c r="K291" s="3" t="s">
        <v>14</v>
      </c>
      <c r="L291" s="3" t="s">
        <v>412</v>
      </c>
      <c r="M291" s="4">
        <v>46297</v>
      </c>
      <c r="N291" s="3" t="s">
        <v>2156</v>
      </c>
      <c r="O291" s="3" t="s">
        <v>35</v>
      </c>
      <c r="P291" t="str">
        <f t="shared" si="4"/>
        <v>450013875730</v>
      </c>
      <c r="Q291" s="7" cm="1">
        <f t="array" ref="Q291:S291">VLOOKUP(P291,Hoja1!C:F,{2,3,4},FALSE)</f>
        <v>46287</v>
      </c>
      <c r="R291" t="str">
        <v>C11</v>
      </c>
      <c r="S291" t="str">
        <v>1000000093 ELECTRICIDAD SERRA S.R.L.</v>
      </c>
    </row>
    <row r="292" spans="1:19" x14ac:dyDescent="0.3">
      <c r="A292" s="2" t="s">
        <v>14</v>
      </c>
      <c r="B292" s="3" t="s">
        <v>14</v>
      </c>
      <c r="C292" s="3" t="s">
        <v>2812</v>
      </c>
      <c r="D292" s="3" t="s">
        <v>14</v>
      </c>
      <c r="E292" s="3" t="s">
        <v>194</v>
      </c>
      <c r="F292" s="4">
        <v>46294</v>
      </c>
      <c r="G292" s="3" t="s">
        <v>27</v>
      </c>
      <c r="H292" s="6">
        <v>58108.29</v>
      </c>
      <c r="I292" s="3" t="s">
        <v>18</v>
      </c>
      <c r="J292" s="3" t="s">
        <v>19</v>
      </c>
      <c r="K292" s="3" t="s">
        <v>14</v>
      </c>
      <c r="L292" s="3" t="s">
        <v>412</v>
      </c>
      <c r="M292" s="4">
        <v>46297</v>
      </c>
      <c r="N292" s="3" t="s">
        <v>2156</v>
      </c>
      <c r="O292" s="3" t="s">
        <v>23</v>
      </c>
      <c r="P292" t="str">
        <f t="shared" si="4"/>
        <v>450013875740</v>
      </c>
      <c r="Q292" s="7" cm="1">
        <f t="array" ref="Q292:S292">VLOOKUP(P292,Hoja1!C:F,{2,3,4},FALSE)</f>
        <v>46287</v>
      </c>
      <c r="R292" t="str">
        <v>C11</v>
      </c>
      <c r="S292" t="str">
        <v>1000000093 ELECTRICIDAD SERRA S.R.L.</v>
      </c>
    </row>
    <row r="293" spans="1:19" x14ac:dyDescent="0.3">
      <c r="A293" s="2" t="s">
        <v>14</v>
      </c>
      <c r="B293" s="3" t="s">
        <v>14</v>
      </c>
      <c r="C293" s="3" t="s">
        <v>2812</v>
      </c>
      <c r="D293" s="3" t="s">
        <v>14</v>
      </c>
      <c r="E293" s="3" t="s">
        <v>194</v>
      </c>
      <c r="F293" s="4">
        <v>46294</v>
      </c>
      <c r="G293" s="3" t="s">
        <v>27</v>
      </c>
      <c r="H293" s="6">
        <v>63425.36</v>
      </c>
      <c r="I293" s="3" t="s">
        <v>18</v>
      </c>
      <c r="J293" s="3" t="s">
        <v>19</v>
      </c>
      <c r="K293" s="3" t="s">
        <v>14</v>
      </c>
      <c r="L293" s="3" t="s">
        <v>412</v>
      </c>
      <c r="M293" s="4">
        <v>46297</v>
      </c>
      <c r="N293" s="3" t="s">
        <v>2156</v>
      </c>
      <c r="O293" s="3" t="s">
        <v>144</v>
      </c>
      <c r="P293" t="str">
        <f t="shared" si="4"/>
        <v>450013875750</v>
      </c>
      <c r="Q293" s="7" cm="1">
        <f t="array" ref="Q293:S293">VLOOKUP(P293,Hoja1!C:F,{2,3,4},FALSE)</f>
        <v>46287</v>
      </c>
      <c r="R293" t="str">
        <v>C11</v>
      </c>
      <c r="S293" t="str">
        <v>1000000093 ELECTRICIDAD SERRA S.R.L.</v>
      </c>
    </row>
    <row r="294" spans="1:19" x14ac:dyDescent="0.3">
      <c r="A294" s="2" t="s">
        <v>14</v>
      </c>
      <c r="B294" s="3" t="s">
        <v>14</v>
      </c>
      <c r="C294" s="3" t="s">
        <v>2812</v>
      </c>
      <c r="D294" s="3" t="s">
        <v>14</v>
      </c>
      <c r="E294" s="3" t="s">
        <v>194</v>
      </c>
      <c r="F294" s="4">
        <v>46294</v>
      </c>
      <c r="G294" s="3" t="s">
        <v>27</v>
      </c>
      <c r="H294" s="6">
        <v>1789.56</v>
      </c>
      <c r="I294" s="3" t="s">
        <v>18</v>
      </c>
      <c r="J294" s="3" t="s">
        <v>19</v>
      </c>
      <c r="K294" s="3" t="s">
        <v>14</v>
      </c>
      <c r="L294" s="3" t="s">
        <v>412</v>
      </c>
      <c r="M294" s="4">
        <v>46297</v>
      </c>
      <c r="N294" s="3" t="s">
        <v>2156</v>
      </c>
      <c r="O294" s="3" t="s">
        <v>141</v>
      </c>
      <c r="P294" t="str">
        <f t="shared" si="4"/>
        <v>450013875760</v>
      </c>
      <c r="Q294" s="7" cm="1">
        <f t="array" ref="Q294:S294">VLOOKUP(P294,Hoja1!C:F,{2,3,4},FALSE)</f>
        <v>46287</v>
      </c>
      <c r="R294" t="str">
        <v>C11</v>
      </c>
      <c r="S294" t="str">
        <v>1000000093 ELECTRICIDAD SERRA S.R.L.</v>
      </c>
    </row>
    <row r="295" spans="1:19" x14ac:dyDescent="0.3">
      <c r="A295" s="2" t="s">
        <v>14</v>
      </c>
      <c r="B295" s="3" t="s">
        <v>14</v>
      </c>
      <c r="C295" s="3" t="s">
        <v>2812</v>
      </c>
      <c r="D295" s="3" t="s">
        <v>14</v>
      </c>
      <c r="E295" s="3" t="s">
        <v>194</v>
      </c>
      <c r="F295" s="4">
        <v>46294</v>
      </c>
      <c r="G295" s="3" t="s">
        <v>27</v>
      </c>
      <c r="H295" s="6">
        <v>59365</v>
      </c>
      <c r="I295" s="3" t="s">
        <v>18</v>
      </c>
      <c r="J295" s="3" t="s">
        <v>19</v>
      </c>
      <c r="K295" s="3" t="s">
        <v>14</v>
      </c>
      <c r="L295" s="3" t="s">
        <v>412</v>
      </c>
      <c r="M295" s="4">
        <v>46297</v>
      </c>
      <c r="N295" s="3" t="s">
        <v>2156</v>
      </c>
      <c r="O295" s="3" t="s">
        <v>52</v>
      </c>
      <c r="P295" t="str">
        <f t="shared" si="4"/>
        <v>450013875780</v>
      </c>
      <c r="Q295" s="7" cm="1">
        <f t="array" ref="Q295:S295">VLOOKUP(P295,Hoja1!C:F,{2,3,4},FALSE)</f>
        <v>46287</v>
      </c>
      <c r="R295" t="str">
        <v>C11</v>
      </c>
      <c r="S295" t="str">
        <v>1000000093 ELECTRICIDAD SERRA S.R.L.</v>
      </c>
    </row>
    <row r="296" spans="1:19" x14ac:dyDescent="0.3">
      <c r="A296" s="2" t="s">
        <v>14</v>
      </c>
      <c r="B296" s="3" t="s">
        <v>14</v>
      </c>
      <c r="C296" s="3" t="s">
        <v>2812</v>
      </c>
      <c r="D296" s="3" t="s">
        <v>14</v>
      </c>
      <c r="E296" s="3" t="s">
        <v>194</v>
      </c>
      <c r="F296" s="4">
        <v>46294</v>
      </c>
      <c r="G296" s="3" t="s">
        <v>27</v>
      </c>
      <c r="H296" s="6">
        <v>31815</v>
      </c>
      <c r="I296" s="3" t="s">
        <v>18</v>
      </c>
      <c r="J296" s="3" t="s">
        <v>19</v>
      </c>
      <c r="K296" s="3" t="s">
        <v>14</v>
      </c>
      <c r="L296" s="3" t="s">
        <v>412</v>
      </c>
      <c r="M296" s="4">
        <v>46297</v>
      </c>
      <c r="N296" s="3" t="s">
        <v>2156</v>
      </c>
      <c r="O296" s="3" t="s">
        <v>138</v>
      </c>
      <c r="P296" t="str">
        <f t="shared" si="4"/>
        <v>450013875790</v>
      </c>
      <c r="Q296" s="7" cm="1">
        <f t="array" ref="Q296:S296">VLOOKUP(P296,Hoja1!C:F,{2,3,4},FALSE)</f>
        <v>46287</v>
      </c>
      <c r="R296" t="str">
        <v>C11</v>
      </c>
      <c r="S296" t="str">
        <v>1000000093 ELECTRICIDAD SERRA S.R.L.</v>
      </c>
    </row>
    <row r="297" spans="1:19" x14ac:dyDescent="0.3">
      <c r="A297" s="2" t="s">
        <v>14</v>
      </c>
      <c r="B297" s="3" t="s">
        <v>14</v>
      </c>
      <c r="C297" s="3" t="s">
        <v>2813</v>
      </c>
      <c r="D297" s="3" t="s">
        <v>32</v>
      </c>
      <c r="E297" s="3" t="s">
        <v>194</v>
      </c>
      <c r="F297" s="4">
        <v>46290</v>
      </c>
      <c r="G297" s="3" t="s">
        <v>27</v>
      </c>
      <c r="H297" s="6">
        <v>2896320</v>
      </c>
      <c r="I297" s="3" t="s">
        <v>18</v>
      </c>
      <c r="J297" s="3" t="s">
        <v>19</v>
      </c>
      <c r="K297" s="3" t="s">
        <v>14</v>
      </c>
      <c r="L297" s="3" t="s">
        <v>232</v>
      </c>
      <c r="M297" s="4">
        <v>46297</v>
      </c>
      <c r="N297" s="3" t="s">
        <v>1384</v>
      </c>
      <c r="O297" s="3" t="s">
        <v>30</v>
      </c>
      <c r="P297" t="str">
        <f t="shared" si="4"/>
        <v>450012156210</v>
      </c>
      <c r="Q297" s="7" cm="1">
        <f t="array" ref="Q297:S297">VLOOKUP(P297,Hoja1!C:F,{2,3,4},FALSE)</f>
        <v>46387</v>
      </c>
      <c r="R297" t="str">
        <v>C04</v>
      </c>
      <c r="S297" t="str">
        <v>1000000572 GRUAS SAN BLAS S.A</v>
      </c>
    </row>
    <row r="298" spans="1:19" x14ac:dyDescent="0.3">
      <c r="A298" s="2" t="s">
        <v>14</v>
      </c>
      <c r="B298" s="3" t="s">
        <v>14</v>
      </c>
      <c r="C298" s="3" t="s">
        <v>2731</v>
      </c>
      <c r="D298" s="3" t="s">
        <v>84</v>
      </c>
      <c r="E298" s="3" t="s">
        <v>194</v>
      </c>
      <c r="F298" s="4">
        <v>46296</v>
      </c>
      <c r="G298" s="3" t="s">
        <v>27</v>
      </c>
      <c r="H298" s="6">
        <v>417450</v>
      </c>
      <c r="I298" s="3" t="s">
        <v>18</v>
      </c>
      <c r="J298" s="3" t="s">
        <v>19</v>
      </c>
      <c r="K298" s="3" t="s">
        <v>14</v>
      </c>
      <c r="L298" s="3" t="s">
        <v>2142</v>
      </c>
      <c r="M298" s="4">
        <v>46297</v>
      </c>
      <c r="N298" s="3" t="s">
        <v>2143</v>
      </c>
      <c r="O298" s="3" t="s">
        <v>30</v>
      </c>
      <c r="P298" t="str">
        <f t="shared" si="4"/>
        <v>450013977110</v>
      </c>
      <c r="Q298" s="7" cm="1">
        <f t="array" ref="Q298:S298">VLOOKUP(P298,Hoja1!C:F,{2,3,4},FALSE)</f>
        <v>46297</v>
      </c>
      <c r="R298" t="str">
        <v>C06</v>
      </c>
      <c r="S298" t="str">
        <v>1000013060 COMPAÑIA ARGENTINA PRODUCTOS</v>
      </c>
    </row>
    <row r="299" spans="1:19" x14ac:dyDescent="0.3">
      <c r="A299" s="2" t="s">
        <v>14</v>
      </c>
      <c r="B299" s="3" t="s">
        <v>14</v>
      </c>
      <c r="C299" s="3" t="s">
        <v>2731</v>
      </c>
      <c r="D299" s="3" t="s">
        <v>84</v>
      </c>
      <c r="E299" s="3" t="s">
        <v>194</v>
      </c>
      <c r="F299" s="4">
        <v>46296</v>
      </c>
      <c r="G299" s="3" t="s">
        <v>27</v>
      </c>
      <c r="H299" s="6">
        <v>200000</v>
      </c>
      <c r="I299" s="3" t="s">
        <v>18</v>
      </c>
      <c r="J299" s="3" t="s">
        <v>19</v>
      </c>
      <c r="K299" s="3" t="s">
        <v>14</v>
      </c>
      <c r="L299" s="3" t="s">
        <v>2142</v>
      </c>
      <c r="M299" s="4">
        <v>46297</v>
      </c>
      <c r="N299" s="3" t="s">
        <v>2143</v>
      </c>
      <c r="O299" s="3" t="s">
        <v>22</v>
      </c>
      <c r="P299" t="str">
        <f t="shared" si="4"/>
        <v>450013977120</v>
      </c>
      <c r="Q299" s="7" cm="1">
        <f t="array" ref="Q299:S299">VLOOKUP(P299,Hoja1!C:F,{2,3,4},FALSE)</f>
        <v>46297</v>
      </c>
      <c r="R299" t="str">
        <v>C06</v>
      </c>
      <c r="S299" t="str">
        <v>1000013060 COMPAÑIA ARGENTINA PRODUCTOS</v>
      </c>
    </row>
    <row r="300" spans="1:19" x14ac:dyDescent="0.3">
      <c r="A300" s="2" t="s">
        <v>14</v>
      </c>
      <c r="B300" s="3" t="s">
        <v>14</v>
      </c>
      <c r="C300" s="3" t="s">
        <v>2731</v>
      </c>
      <c r="D300" s="3" t="s">
        <v>84</v>
      </c>
      <c r="E300" s="3" t="s">
        <v>194</v>
      </c>
      <c r="F300" s="4">
        <v>46296</v>
      </c>
      <c r="G300" s="3" t="s">
        <v>27</v>
      </c>
      <c r="H300" s="6">
        <v>242000</v>
      </c>
      <c r="I300" s="3" t="s">
        <v>18</v>
      </c>
      <c r="J300" s="3" t="s">
        <v>19</v>
      </c>
      <c r="K300" s="3" t="s">
        <v>14</v>
      </c>
      <c r="L300" s="3" t="s">
        <v>2142</v>
      </c>
      <c r="M300" s="4">
        <v>46297</v>
      </c>
      <c r="N300" s="3" t="s">
        <v>2143</v>
      </c>
      <c r="O300" s="3" t="s">
        <v>35</v>
      </c>
      <c r="P300" t="str">
        <f t="shared" si="4"/>
        <v>450013977130</v>
      </c>
      <c r="Q300" s="7" cm="1">
        <f t="array" ref="Q300:S300">VLOOKUP(P300,Hoja1!C:F,{2,3,4},FALSE)</f>
        <v>46297</v>
      </c>
      <c r="R300" t="str">
        <v>C06</v>
      </c>
      <c r="S300" t="str">
        <v>1000013060 COMPAÑIA ARGENTINA PRODUCTOS</v>
      </c>
    </row>
    <row r="301" spans="1:19" x14ac:dyDescent="0.3">
      <c r="A301" s="2" t="s">
        <v>14</v>
      </c>
      <c r="B301" s="3" t="s">
        <v>14</v>
      </c>
      <c r="C301" s="3" t="s">
        <v>2731</v>
      </c>
      <c r="D301" s="3" t="s">
        <v>84</v>
      </c>
      <c r="E301" s="3" t="s">
        <v>194</v>
      </c>
      <c r="F301" s="4">
        <v>46296</v>
      </c>
      <c r="G301" s="3" t="s">
        <v>27</v>
      </c>
      <c r="H301" s="6">
        <v>417450</v>
      </c>
      <c r="I301" s="3" t="s">
        <v>18</v>
      </c>
      <c r="J301" s="3" t="s">
        <v>19</v>
      </c>
      <c r="K301" s="3" t="s">
        <v>14</v>
      </c>
      <c r="L301" s="3" t="s">
        <v>2142</v>
      </c>
      <c r="M301" s="4">
        <v>46297</v>
      </c>
      <c r="N301" s="3" t="s">
        <v>2143</v>
      </c>
      <c r="O301" s="3" t="s">
        <v>23</v>
      </c>
      <c r="P301" t="str">
        <f t="shared" si="4"/>
        <v>450013977140</v>
      </c>
      <c r="Q301" s="7" cm="1">
        <f t="array" ref="Q301:S301">VLOOKUP(P301,Hoja1!C:F,{2,3,4},FALSE)</f>
        <v>46297</v>
      </c>
      <c r="R301" t="str">
        <v>C06</v>
      </c>
      <c r="S301" t="str">
        <v>1000013060 COMPAÑIA ARGENTINA PRODUCTOS</v>
      </c>
    </row>
    <row r="302" spans="1:19" x14ac:dyDescent="0.3">
      <c r="A302" s="2" t="s">
        <v>14</v>
      </c>
      <c r="B302" s="3" t="s">
        <v>14</v>
      </c>
      <c r="C302" s="3" t="s">
        <v>2731</v>
      </c>
      <c r="D302" s="3" t="s">
        <v>84</v>
      </c>
      <c r="E302" s="3" t="s">
        <v>194</v>
      </c>
      <c r="F302" s="4">
        <v>46296</v>
      </c>
      <c r="G302" s="3" t="s">
        <v>27</v>
      </c>
      <c r="H302" s="6">
        <v>242000</v>
      </c>
      <c r="I302" s="3" t="s">
        <v>18</v>
      </c>
      <c r="J302" s="3" t="s">
        <v>19</v>
      </c>
      <c r="K302" s="3" t="s">
        <v>14</v>
      </c>
      <c r="L302" s="3" t="s">
        <v>2142</v>
      </c>
      <c r="M302" s="4">
        <v>46297</v>
      </c>
      <c r="N302" s="3" t="s">
        <v>2143</v>
      </c>
      <c r="O302" s="3" t="s">
        <v>144</v>
      </c>
      <c r="P302" t="str">
        <f t="shared" si="4"/>
        <v>450013977150</v>
      </c>
      <c r="Q302" s="7" cm="1">
        <f t="array" ref="Q302:S302">VLOOKUP(P302,Hoja1!C:F,{2,3,4},FALSE)</f>
        <v>46297</v>
      </c>
      <c r="R302" t="str">
        <v>C06</v>
      </c>
      <c r="S302" t="str">
        <v>1000013060 COMPAÑIA ARGENTINA PRODUCTOS</v>
      </c>
    </row>
    <row r="303" spans="1:19" x14ac:dyDescent="0.3">
      <c r="A303" s="2" t="s">
        <v>14</v>
      </c>
      <c r="B303" s="3" t="s">
        <v>14</v>
      </c>
      <c r="C303" s="3" t="s">
        <v>2731</v>
      </c>
      <c r="D303" s="3" t="s">
        <v>84</v>
      </c>
      <c r="E303" s="3" t="s">
        <v>194</v>
      </c>
      <c r="F303" s="4">
        <v>46296</v>
      </c>
      <c r="G303" s="3" t="s">
        <v>27</v>
      </c>
      <c r="H303" s="6">
        <v>100000</v>
      </c>
      <c r="I303" s="3" t="s">
        <v>18</v>
      </c>
      <c r="J303" s="3" t="s">
        <v>19</v>
      </c>
      <c r="K303" s="3" t="s">
        <v>14</v>
      </c>
      <c r="L303" s="3" t="s">
        <v>2142</v>
      </c>
      <c r="M303" s="4">
        <v>46297</v>
      </c>
      <c r="N303" s="3" t="s">
        <v>2143</v>
      </c>
      <c r="O303" s="3" t="s">
        <v>141</v>
      </c>
      <c r="P303" t="str">
        <f t="shared" si="4"/>
        <v>450013977160</v>
      </c>
      <c r="Q303" s="7" cm="1">
        <f t="array" ref="Q303:S303">VLOOKUP(P303,Hoja1!C:F,{2,3,4},FALSE)</f>
        <v>46297</v>
      </c>
      <c r="R303" t="str">
        <v>C06</v>
      </c>
      <c r="S303" t="str">
        <v>1000013060 COMPAÑIA ARGENTINA PRODUCTOS</v>
      </c>
    </row>
    <row r="304" spans="1:19" x14ac:dyDescent="0.3">
      <c r="A304" s="2" t="s">
        <v>14</v>
      </c>
      <c r="B304" s="3" t="s">
        <v>14</v>
      </c>
      <c r="C304" s="3" t="s">
        <v>2814</v>
      </c>
      <c r="D304" s="3" t="s">
        <v>14</v>
      </c>
      <c r="E304" s="3" t="s">
        <v>194</v>
      </c>
      <c r="F304" s="4">
        <v>46261</v>
      </c>
      <c r="G304" s="3" t="s">
        <v>27</v>
      </c>
      <c r="H304" s="6">
        <v>11700</v>
      </c>
      <c r="I304" s="3" t="s">
        <v>18</v>
      </c>
      <c r="J304" s="3" t="s">
        <v>19</v>
      </c>
      <c r="K304" s="3" t="s">
        <v>14</v>
      </c>
      <c r="L304" s="3" t="s">
        <v>1164</v>
      </c>
      <c r="M304" s="4">
        <v>46297</v>
      </c>
      <c r="N304" s="3" t="s">
        <v>1165</v>
      </c>
      <c r="O304" s="3" t="s">
        <v>161</v>
      </c>
      <c r="P304" t="str">
        <f t="shared" si="4"/>
        <v>4500136752200</v>
      </c>
      <c r="Q304" s="7" cm="1">
        <f t="array" ref="Q304:S304">VLOOKUP(P304,Hoja1!C:F,{2,3,4},FALSE)</f>
        <v>46262</v>
      </c>
      <c r="R304" t="str">
        <v>C27</v>
      </c>
      <c r="S304" t="str">
        <v>1000013253 PIAZZA MARCOS LUCIANO</v>
      </c>
    </row>
    <row r="305" spans="1:19" x14ac:dyDescent="0.3">
      <c r="A305" s="2" t="s">
        <v>14</v>
      </c>
      <c r="B305" s="3" t="s">
        <v>14</v>
      </c>
      <c r="C305" s="3" t="s">
        <v>2814</v>
      </c>
      <c r="D305" s="3" t="s">
        <v>14</v>
      </c>
      <c r="E305" s="3" t="s">
        <v>194</v>
      </c>
      <c r="F305" s="4">
        <v>46261</v>
      </c>
      <c r="G305" s="3" t="s">
        <v>27</v>
      </c>
      <c r="H305" s="6">
        <v>16545</v>
      </c>
      <c r="I305" s="3" t="s">
        <v>18</v>
      </c>
      <c r="J305" s="3" t="s">
        <v>19</v>
      </c>
      <c r="K305" s="3" t="s">
        <v>14</v>
      </c>
      <c r="L305" s="3" t="s">
        <v>1164</v>
      </c>
      <c r="M305" s="4">
        <v>46297</v>
      </c>
      <c r="N305" s="3" t="s">
        <v>1165</v>
      </c>
      <c r="O305" s="3" t="s">
        <v>143</v>
      </c>
      <c r="P305" t="str">
        <f t="shared" si="4"/>
        <v>4500136752240</v>
      </c>
      <c r="Q305" s="7" cm="1">
        <f t="array" ref="Q305:S305">VLOOKUP(P305,Hoja1!C:F,{2,3,4},FALSE)</f>
        <v>46265</v>
      </c>
      <c r="R305" t="str">
        <v>C27</v>
      </c>
      <c r="S305" t="str">
        <v>1000013253 PIAZZA MARCOS LUCIANO</v>
      </c>
    </row>
    <row r="306" spans="1:19" x14ac:dyDescent="0.3">
      <c r="A306" s="2" t="s">
        <v>14</v>
      </c>
      <c r="B306" s="3" t="s">
        <v>14</v>
      </c>
      <c r="C306" s="3" t="s">
        <v>2732</v>
      </c>
      <c r="D306" s="3" t="s">
        <v>14</v>
      </c>
      <c r="E306" s="3" t="s">
        <v>194</v>
      </c>
      <c r="F306" s="4">
        <v>46287</v>
      </c>
      <c r="G306" s="3" t="s">
        <v>27</v>
      </c>
      <c r="H306" s="6">
        <v>28752</v>
      </c>
      <c r="I306" s="3" t="s">
        <v>18</v>
      </c>
      <c r="J306" s="3" t="s">
        <v>19</v>
      </c>
      <c r="K306" s="3" t="s">
        <v>14</v>
      </c>
      <c r="L306" s="3" t="s">
        <v>1658</v>
      </c>
      <c r="M306" s="4">
        <v>46297</v>
      </c>
      <c r="N306" s="3" t="s">
        <v>1659</v>
      </c>
      <c r="O306" s="3" t="s">
        <v>30</v>
      </c>
      <c r="P306" t="str">
        <f t="shared" si="4"/>
        <v>450013918710</v>
      </c>
      <c r="Q306" s="7" cm="1">
        <f t="array" ref="Q306:S306">VLOOKUP(P306,Hoja1!C:F,{2,3,4},FALSE)</f>
        <v>46295</v>
      </c>
      <c r="R306" t="str">
        <v>C42</v>
      </c>
      <c r="S306" t="str">
        <v>1000000487 GRUPO AUTOPARTISTA S.A.</v>
      </c>
    </row>
    <row r="307" spans="1:19" x14ac:dyDescent="0.3">
      <c r="A307" s="2" t="s">
        <v>14</v>
      </c>
      <c r="B307" s="3" t="s">
        <v>14</v>
      </c>
      <c r="C307" s="3" t="s">
        <v>2815</v>
      </c>
      <c r="D307" s="3" t="s">
        <v>14</v>
      </c>
      <c r="E307" s="3" t="s">
        <v>194</v>
      </c>
      <c r="F307" s="4">
        <v>46240</v>
      </c>
      <c r="G307" s="3" t="s">
        <v>27</v>
      </c>
      <c r="H307" s="6">
        <v>472100</v>
      </c>
      <c r="I307" s="3" t="s">
        <v>18</v>
      </c>
      <c r="J307" s="3" t="s">
        <v>19</v>
      </c>
      <c r="K307" s="3" t="s">
        <v>14</v>
      </c>
      <c r="L307" s="3" t="s">
        <v>904</v>
      </c>
      <c r="M307" s="4">
        <v>46297</v>
      </c>
      <c r="N307" s="3" t="s">
        <v>1016</v>
      </c>
      <c r="O307" s="3" t="s">
        <v>30</v>
      </c>
      <c r="P307" t="str">
        <f t="shared" si="4"/>
        <v>450013481710</v>
      </c>
      <c r="Q307" s="7" cm="1">
        <f t="array" ref="Q307:S307">VLOOKUP(P307,Hoja1!C:F,{2,3,4},FALSE)</f>
        <v>46240</v>
      </c>
      <c r="R307" t="str">
        <v>C38</v>
      </c>
      <c r="S307" t="str">
        <v>1000009559 ELECTROMECANICA OMAR S.R.L.</v>
      </c>
    </row>
    <row r="308" spans="1:19" x14ac:dyDescent="0.3">
      <c r="A308" s="2" t="s">
        <v>14</v>
      </c>
      <c r="B308" s="3" t="s">
        <v>14</v>
      </c>
      <c r="C308" s="3" t="s">
        <v>2816</v>
      </c>
      <c r="D308" s="3" t="s">
        <v>14</v>
      </c>
      <c r="E308" s="3" t="s">
        <v>194</v>
      </c>
      <c r="F308" s="4">
        <v>46296</v>
      </c>
      <c r="G308" s="3" t="s">
        <v>27</v>
      </c>
      <c r="H308" s="6">
        <v>38225</v>
      </c>
      <c r="I308" s="3" t="s">
        <v>18</v>
      </c>
      <c r="J308" s="3" t="s">
        <v>19</v>
      </c>
      <c r="K308" s="3" t="s">
        <v>14</v>
      </c>
      <c r="L308" s="3" t="s">
        <v>2383</v>
      </c>
      <c r="M308" s="4">
        <v>46297</v>
      </c>
      <c r="N308" s="3" t="s">
        <v>2384</v>
      </c>
      <c r="O308" s="3" t="s">
        <v>30</v>
      </c>
      <c r="P308" t="str">
        <f t="shared" si="4"/>
        <v>450013983710</v>
      </c>
      <c r="Q308" s="7" cm="1">
        <f t="array" ref="Q308:S308">VLOOKUP(P308,Hoja1!C:F,{2,3,4},FALSE)</f>
        <v>46302</v>
      </c>
      <c r="R308" t="str">
        <v>C17</v>
      </c>
      <c r="S308" t="str">
        <v>1000002909 CESCHIN GABRIELA ROSANA</v>
      </c>
    </row>
    <row r="309" spans="1:19" x14ac:dyDescent="0.3">
      <c r="A309" s="2" t="s">
        <v>14</v>
      </c>
      <c r="B309" s="3" t="s">
        <v>14</v>
      </c>
      <c r="C309" s="3" t="s">
        <v>2816</v>
      </c>
      <c r="D309" s="3" t="s">
        <v>14</v>
      </c>
      <c r="E309" s="3" t="s">
        <v>194</v>
      </c>
      <c r="F309" s="4">
        <v>46296</v>
      </c>
      <c r="G309" s="3" t="s">
        <v>27</v>
      </c>
      <c r="H309" s="6">
        <v>19950</v>
      </c>
      <c r="I309" s="3" t="s">
        <v>18</v>
      </c>
      <c r="J309" s="3" t="s">
        <v>19</v>
      </c>
      <c r="K309" s="3" t="s">
        <v>14</v>
      </c>
      <c r="L309" s="3" t="s">
        <v>2383</v>
      </c>
      <c r="M309" s="4">
        <v>46297</v>
      </c>
      <c r="N309" s="3" t="s">
        <v>2384</v>
      </c>
      <c r="O309" s="3" t="s">
        <v>22</v>
      </c>
      <c r="P309" t="str">
        <f t="shared" si="4"/>
        <v>450013983720</v>
      </c>
      <c r="Q309" s="7" cm="1">
        <f t="array" ref="Q309:S309">VLOOKUP(P309,Hoja1!C:F,{2,3,4},FALSE)</f>
        <v>46302</v>
      </c>
      <c r="R309" t="str">
        <v>C17</v>
      </c>
      <c r="S309" t="str">
        <v>1000002909 CESCHIN GABRIELA ROSANA</v>
      </c>
    </row>
    <row r="310" spans="1:19" x14ac:dyDescent="0.3">
      <c r="A310" s="2" t="s">
        <v>14</v>
      </c>
      <c r="B310" s="3" t="s">
        <v>14</v>
      </c>
      <c r="C310" s="3" t="s">
        <v>2816</v>
      </c>
      <c r="D310" s="3" t="s">
        <v>14</v>
      </c>
      <c r="E310" s="3" t="s">
        <v>194</v>
      </c>
      <c r="F310" s="4">
        <v>46296</v>
      </c>
      <c r="G310" s="3" t="s">
        <v>27</v>
      </c>
      <c r="H310" s="6">
        <v>2120</v>
      </c>
      <c r="I310" s="3" t="s">
        <v>18</v>
      </c>
      <c r="J310" s="3" t="s">
        <v>2817</v>
      </c>
      <c r="K310" s="3" t="s">
        <v>14</v>
      </c>
      <c r="L310" s="3" t="s">
        <v>2383</v>
      </c>
      <c r="M310" s="4">
        <v>46297</v>
      </c>
      <c r="N310" s="3" t="s">
        <v>2384</v>
      </c>
      <c r="O310" s="3" t="s">
        <v>35</v>
      </c>
      <c r="P310" t="str">
        <f t="shared" si="4"/>
        <v>450013983730</v>
      </c>
      <c r="Q310" s="7" cm="1">
        <f t="array" ref="Q310:S310">VLOOKUP(P310,Hoja1!C:F,{2,3,4},FALSE)</f>
        <v>46302</v>
      </c>
      <c r="R310" t="str">
        <v>C17</v>
      </c>
      <c r="S310" t="str">
        <v>1000002909 CESCHIN GABRIELA ROSANA</v>
      </c>
    </row>
    <row r="311" spans="1:19" x14ac:dyDescent="0.3">
      <c r="A311" s="2" t="s">
        <v>14</v>
      </c>
      <c r="B311" s="3" t="s">
        <v>14</v>
      </c>
      <c r="C311" s="3" t="s">
        <v>2816</v>
      </c>
      <c r="D311" s="3" t="s">
        <v>14</v>
      </c>
      <c r="E311" s="3" t="s">
        <v>194</v>
      </c>
      <c r="F311" s="4">
        <v>46296</v>
      </c>
      <c r="G311" s="3" t="s">
        <v>27</v>
      </c>
      <c r="H311" s="6">
        <v>9720</v>
      </c>
      <c r="I311" s="3" t="s">
        <v>18</v>
      </c>
      <c r="J311" s="3" t="s">
        <v>2817</v>
      </c>
      <c r="K311" s="3" t="s">
        <v>14</v>
      </c>
      <c r="L311" s="3" t="s">
        <v>2383</v>
      </c>
      <c r="M311" s="4">
        <v>46297</v>
      </c>
      <c r="N311" s="3" t="s">
        <v>2384</v>
      </c>
      <c r="O311" s="3" t="s">
        <v>23</v>
      </c>
      <c r="P311" t="str">
        <f t="shared" si="4"/>
        <v>450013983740</v>
      </c>
      <c r="Q311" s="7" cm="1">
        <f t="array" ref="Q311:S311">VLOOKUP(P311,Hoja1!C:F,{2,3,4},FALSE)</f>
        <v>46302</v>
      </c>
      <c r="R311" t="str">
        <v>C17</v>
      </c>
      <c r="S311" t="str">
        <v>1000002909 CESCHIN GABRIELA ROSANA</v>
      </c>
    </row>
    <row r="312" spans="1:19" x14ac:dyDescent="0.3">
      <c r="A312" s="2" t="s">
        <v>14</v>
      </c>
      <c r="B312" s="3" t="s">
        <v>14</v>
      </c>
      <c r="C312" s="3" t="s">
        <v>2816</v>
      </c>
      <c r="D312" s="3" t="s">
        <v>14</v>
      </c>
      <c r="E312" s="3" t="s">
        <v>194</v>
      </c>
      <c r="F312" s="4">
        <v>46296</v>
      </c>
      <c r="G312" s="3" t="s">
        <v>27</v>
      </c>
      <c r="H312" s="6">
        <v>8265</v>
      </c>
      <c r="I312" s="3" t="s">
        <v>18</v>
      </c>
      <c r="J312" s="3" t="s">
        <v>19</v>
      </c>
      <c r="K312" s="3" t="s">
        <v>14</v>
      </c>
      <c r="L312" s="3" t="s">
        <v>2383</v>
      </c>
      <c r="M312" s="4">
        <v>46297</v>
      </c>
      <c r="N312" s="3" t="s">
        <v>2384</v>
      </c>
      <c r="O312" s="3" t="s">
        <v>144</v>
      </c>
      <c r="P312" t="str">
        <f t="shared" si="4"/>
        <v>450013983750</v>
      </c>
      <c r="Q312" s="7" cm="1">
        <f t="array" ref="Q312:S312">VLOOKUP(P312,Hoja1!C:F,{2,3,4},FALSE)</f>
        <v>46302</v>
      </c>
      <c r="R312" t="str">
        <v>C17</v>
      </c>
      <c r="S312" t="str">
        <v>1000002909 CESCHIN GABRIELA ROSANA</v>
      </c>
    </row>
    <row r="313" spans="1:19" x14ac:dyDescent="0.3">
      <c r="A313" s="2" t="s">
        <v>14</v>
      </c>
      <c r="B313" s="3" t="s">
        <v>14</v>
      </c>
      <c r="C313" s="3" t="s">
        <v>2818</v>
      </c>
      <c r="D313" s="3" t="s">
        <v>84</v>
      </c>
      <c r="E313" s="3" t="s">
        <v>194</v>
      </c>
      <c r="F313" s="4">
        <v>46296</v>
      </c>
      <c r="G313" s="3" t="s">
        <v>27</v>
      </c>
      <c r="H313" s="6">
        <v>173758.38</v>
      </c>
      <c r="I313" s="3" t="s">
        <v>18</v>
      </c>
      <c r="J313" s="3" t="s">
        <v>250</v>
      </c>
      <c r="K313" s="3" t="s">
        <v>14</v>
      </c>
      <c r="L313" s="3" t="s">
        <v>412</v>
      </c>
      <c r="M313" s="4">
        <v>46297</v>
      </c>
      <c r="N313" s="3" t="s">
        <v>2294</v>
      </c>
      <c r="O313" s="3" t="s">
        <v>30</v>
      </c>
      <c r="P313" t="str">
        <f t="shared" si="4"/>
        <v>450013987710</v>
      </c>
      <c r="Q313" s="7" cm="1">
        <f t="array" ref="Q313:S313">VLOOKUP(P313,Hoja1!C:F,{2,3,4},FALSE)</f>
        <v>46310</v>
      </c>
      <c r="R313" t="str">
        <v>C06</v>
      </c>
      <c r="S313" t="str">
        <v>1000000093 ELECTRICIDAD SERRA S.R.L.</v>
      </c>
    </row>
    <row r="314" spans="1:19" x14ac:dyDescent="0.3">
      <c r="A314" s="2" t="s">
        <v>14</v>
      </c>
      <c r="B314" s="3" t="s">
        <v>14</v>
      </c>
      <c r="C314" s="3" t="s">
        <v>2818</v>
      </c>
      <c r="D314" s="3" t="s">
        <v>84</v>
      </c>
      <c r="E314" s="3" t="s">
        <v>194</v>
      </c>
      <c r="F314" s="4">
        <v>46296</v>
      </c>
      <c r="G314" s="3" t="s">
        <v>27</v>
      </c>
      <c r="H314" s="6">
        <v>19287.18</v>
      </c>
      <c r="I314" s="3" t="s">
        <v>18</v>
      </c>
      <c r="J314" s="3" t="s">
        <v>250</v>
      </c>
      <c r="K314" s="3" t="s">
        <v>14</v>
      </c>
      <c r="L314" s="3" t="s">
        <v>412</v>
      </c>
      <c r="M314" s="4">
        <v>46297</v>
      </c>
      <c r="N314" s="3" t="s">
        <v>2294</v>
      </c>
      <c r="O314" s="3" t="s">
        <v>22</v>
      </c>
      <c r="P314" t="str">
        <f t="shared" si="4"/>
        <v>450013987720</v>
      </c>
      <c r="Q314" s="7" cm="1">
        <f t="array" ref="Q314:S314">VLOOKUP(P314,Hoja1!C:F,{2,3,4},FALSE)</f>
        <v>46310</v>
      </c>
      <c r="R314" t="str">
        <v>C06</v>
      </c>
      <c r="S314" t="str">
        <v>1000000093 ELECTRICIDAD SERRA S.R.L.</v>
      </c>
    </row>
    <row r="315" spans="1:19" x14ac:dyDescent="0.3">
      <c r="A315" s="2" t="s">
        <v>14</v>
      </c>
      <c r="B315" s="3" t="s">
        <v>14</v>
      </c>
      <c r="C315" s="3" t="s">
        <v>2818</v>
      </c>
      <c r="D315" s="3" t="s">
        <v>84</v>
      </c>
      <c r="E315" s="3" t="s">
        <v>194</v>
      </c>
      <c r="F315" s="4">
        <v>46296</v>
      </c>
      <c r="G315" s="3" t="s">
        <v>27</v>
      </c>
      <c r="H315" s="6">
        <v>1298.82</v>
      </c>
      <c r="I315" s="3" t="s">
        <v>18</v>
      </c>
      <c r="J315" s="3" t="s">
        <v>19</v>
      </c>
      <c r="K315" s="3" t="s">
        <v>14</v>
      </c>
      <c r="L315" s="3" t="s">
        <v>412</v>
      </c>
      <c r="M315" s="4">
        <v>46297</v>
      </c>
      <c r="N315" s="3" t="s">
        <v>2294</v>
      </c>
      <c r="O315" s="3" t="s">
        <v>23</v>
      </c>
      <c r="P315" t="str">
        <f t="shared" si="4"/>
        <v>450013987740</v>
      </c>
      <c r="Q315" s="7" cm="1">
        <f t="array" ref="Q315:S315">VLOOKUP(P315,Hoja1!C:F,{2,3,4},FALSE)</f>
        <v>46310</v>
      </c>
      <c r="R315" t="str">
        <v>C06</v>
      </c>
      <c r="S315" t="str">
        <v>1000000093 ELECTRICIDAD SERRA S.R.L.</v>
      </c>
    </row>
    <row r="316" spans="1:19" x14ac:dyDescent="0.3">
      <c r="A316" s="2" t="s">
        <v>14</v>
      </c>
      <c r="B316" s="3" t="s">
        <v>14</v>
      </c>
      <c r="C316" s="3" t="s">
        <v>2819</v>
      </c>
      <c r="D316" s="3" t="s">
        <v>14</v>
      </c>
      <c r="E316" s="3" t="s">
        <v>194</v>
      </c>
      <c r="F316" s="4">
        <v>46287</v>
      </c>
      <c r="G316" s="3" t="s">
        <v>27</v>
      </c>
      <c r="H316" s="6">
        <v>190000</v>
      </c>
      <c r="I316" s="3" t="s">
        <v>18</v>
      </c>
      <c r="J316" s="3" t="s">
        <v>19</v>
      </c>
      <c r="K316" s="3" t="s">
        <v>14</v>
      </c>
      <c r="L316" s="3" t="s">
        <v>1813</v>
      </c>
      <c r="M316" s="4">
        <v>46297</v>
      </c>
      <c r="N316" s="3" t="s">
        <v>1816</v>
      </c>
      <c r="O316" s="3" t="s">
        <v>30</v>
      </c>
      <c r="P316" t="str">
        <f t="shared" si="4"/>
        <v>450013885610</v>
      </c>
      <c r="Q316" s="7" cm="1">
        <f t="array" ref="Q316:S316">VLOOKUP(P316,Hoja1!C:F,{2,3,4},FALSE)</f>
        <v>46290</v>
      </c>
      <c r="R316" t="str">
        <v>C38</v>
      </c>
      <c r="S316" t="str">
        <v>1000001289 DUCA SEBASTIAN ENRIQUE</v>
      </c>
    </row>
    <row r="317" spans="1:19" x14ac:dyDescent="0.3">
      <c r="A317" s="2" t="s">
        <v>14</v>
      </c>
      <c r="B317" s="3" t="s">
        <v>14</v>
      </c>
      <c r="C317" s="3" t="s">
        <v>2820</v>
      </c>
      <c r="D317" s="3" t="s">
        <v>84</v>
      </c>
      <c r="E317" s="3" t="s">
        <v>194</v>
      </c>
      <c r="F317" s="4">
        <v>46295</v>
      </c>
      <c r="G317" s="3" t="s">
        <v>27</v>
      </c>
      <c r="H317" s="6">
        <v>142936.20000000001</v>
      </c>
      <c r="I317" s="3" t="s">
        <v>18</v>
      </c>
      <c r="J317" s="3" t="s">
        <v>19</v>
      </c>
      <c r="K317" s="3" t="s">
        <v>14</v>
      </c>
      <c r="L317" s="3" t="s">
        <v>91</v>
      </c>
      <c r="M317" s="4">
        <v>46297</v>
      </c>
      <c r="N317" s="3" t="s">
        <v>1984</v>
      </c>
      <c r="O317" s="3" t="s">
        <v>30</v>
      </c>
      <c r="P317" t="str">
        <f t="shared" si="4"/>
        <v>450013970510</v>
      </c>
      <c r="Q317" s="7" cm="1">
        <f t="array" ref="Q317:S317">VLOOKUP(P317,Hoja1!C:F,{2,3,4},FALSE)</f>
        <v>46296</v>
      </c>
      <c r="R317" t="str">
        <v>C06</v>
      </c>
      <c r="S317" t="str">
        <v>1000000015 MADETEC S.A.</v>
      </c>
    </row>
    <row r="318" spans="1:19" x14ac:dyDescent="0.3">
      <c r="A318" s="2" t="s">
        <v>14</v>
      </c>
      <c r="B318" s="3" t="s">
        <v>14</v>
      </c>
      <c r="C318" s="3" t="s">
        <v>2820</v>
      </c>
      <c r="D318" s="3" t="s">
        <v>84</v>
      </c>
      <c r="E318" s="3" t="s">
        <v>194</v>
      </c>
      <c r="F318" s="4">
        <v>46295</v>
      </c>
      <c r="G318" s="3" t="s">
        <v>27</v>
      </c>
      <c r="H318" s="6">
        <v>366717.84</v>
      </c>
      <c r="I318" s="3" t="s">
        <v>18</v>
      </c>
      <c r="J318" s="3" t="s">
        <v>19</v>
      </c>
      <c r="K318" s="3" t="s">
        <v>14</v>
      </c>
      <c r="L318" s="3" t="s">
        <v>91</v>
      </c>
      <c r="M318" s="4">
        <v>46297</v>
      </c>
      <c r="N318" s="3" t="s">
        <v>1984</v>
      </c>
      <c r="O318" s="3" t="s">
        <v>22</v>
      </c>
      <c r="P318" t="str">
        <f t="shared" si="4"/>
        <v>450013970520</v>
      </c>
      <c r="Q318" s="7" cm="1">
        <f t="array" ref="Q318:S318">VLOOKUP(P318,Hoja1!C:F,{2,3,4},FALSE)</f>
        <v>46296</v>
      </c>
      <c r="R318" t="str">
        <v>C06</v>
      </c>
      <c r="S318" t="str">
        <v>1000000015 MADETEC S.A.</v>
      </c>
    </row>
    <row r="319" spans="1:19" x14ac:dyDescent="0.3">
      <c r="A319" s="2" t="s">
        <v>14</v>
      </c>
      <c r="B319" s="3" t="s">
        <v>14</v>
      </c>
      <c r="C319" s="3" t="s">
        <v>2821</v>
      </c>
      <c r="D319" s="3" t="s">
        <v>14</v>
      </c>
      <c r="E319" s="3" t="s">
        <v>194</v>
      </c>
      <c r="F319" s="4">
        <v>46287</v>
      </c>
      <c r="G319" s="3" t="s">
        <v>27</v>
      </c>
      <c r="H319" s="6">
        <v>170000</v>
      </c>
      <c r="I319" s="3" t="s">
        <v>18</v>
      </c>
      <c r="J319" s="3" t="s">
        <v>19</v>
      </c>
      <c r="K319" s="3" t="s">
        <v>14</v>
      </c>
      <c r="L319" s="3" t="s">
        <v>1813</v>
      </c>
      <c r="M319" s="4">
        <v>46297</v>
      </c>
      <c r="N319" s="3" t="s">
        <v>1814</v>
      </c>
      <c r="O319" s="3" t="s">
        <v>30</v>
      </c>
      <c r="P319" t="str">
        <f t="shared" si="4"/>
        <v>450013885110</v>
      </c>
      <c r="Q319" s="7" cm="1">
        <f t="array" ref="Q319:S319">VLOOKUP(P319,Hoja1!C:F,{2,3,4},FALSE)</f>
        <v>46295</v>
      </c>
      <c r="R319" t="str">
        <v>C38</v>
      </c>
      <c r="S319" t="str">
        <v>1000001289 DUCA SEBASTIAN ENRIQUE</v>
      </c>
    </row>
    <row r="320" spans="1:19" x14ac:dyDescent="0.3">
      <c r="A320" s="2" t="s">
        <v>14</v>
      </c>
      <c r="B320" s="3" t="s">
        <v>14</v>
      </c>
      <c r="C320" s="3" t="s">
        <v>2733</v>
      </c>
      <c r="D320" s="3" t="s">
        <v>14</v>
      </c>
      <c r="E320" s="3" t="s">
        <v>194</v>
      </c>
      <c r="F320" s="4">
        <v>46288</v>
      </c>
      <c r="G320" s="3" t="s">
        <v>27</v>
      </c>
      <c r="H320" s="6">
        <v>850000</v>
      </c>
      <c r="I320" s="3" t="s">
        <v>18</v>
      </c>
      <c r="J320" s="3" t="s">
        <v>19</v>
      </c>
      <c r="K320" s="3" t="s">
        <v>14</v>
      </c>
      <c r="L320" s="3" t="s">
        <v>2123</v>
      </c>
      <c r="M320" s="4">
        <v>46297</v>
      </c>
      <c r="N320" s="3" t="s">
        <v>2124</v>
      </c>
      <c r="O320" s="3" t="s">
        <v>30</v>
      </c>
      <c r="P320" t="str">
        <f t="shared" si="4"/>
        <v>450013924710</v>
      </c>
      <c r="Q320" s="7" cm="1">
        <f t="array" ref="Q320:S320">VLOOKUP(P320,Hoja1!C:F,{2,3,4},FALSE)</f>
        <v>46294</v>
      </c>
      <c r="R320" t="str">
        <v>C17</v>
      </c>
      <c r="S320" t="str">
        <v>1000012324 CLEAN PEL SRL</v>
      </c>
    </row>
    <row r="321" spans="1:19" x14ac:dyDescent="0.3">
      <c r="A321" s="2" t="s">
        <v>14</v>
      </c>
      <c r="B321" s="3" t="s">
        <v>14</v>
      </c>
      <c r="C321" s="3" t="s">
        <v>2822</v>
      </c>
      <c r="D321" s="3" t="s">
        <v>32</v>
      </c>
      <c r="E321" s="3" t="s">
        <v>194</v>
      </c>
      <c r="F321" s="4">
        <v>46290</v>
      </c>
      <c r="G321" s="3" t="s">
        <v>27</v>
      </c>
      <c r="H321" s="6">
        <v>2457450</v>
      </c>
      <c r="I321" s="3" t="s">
        <v>18</v>
      </c>
      <c r="J321" s="3" t="s">
        <v>19</v>
      </c>
      <c r="K321" s="3" t="s">
        <v>14</v>
      </c>
      <c r="L321" s="3" t="s">
        <v>359</v>
      </c>
      <c r="M321" s="4">
        <v>46297</v>
      </c>
      <c r="N321" s="3" t="s">
        <v>2380</v>
      </c>
      <c r="O321" s="3" t="s">
        <v>30</v>
      </c>
      <c r="P321" t="str">
        <f t="shared" si="4"/>
        <v>450013774810</v>
      </c>
      <c r="Q321" s="7" cm="1">
        <f t="array" ref="Q321:S321">VLOOKUP(P321,Hoja1!C:F,{2,3,4},FALSE)</f>
        <v>46336</v>
      </c>
      <c r="R321" t="str">
        <v>C15</v>
      </c>
      <c r="S321" t="str">
        <v>1000011965 DIRECTO SUR S. R. L.</v>
      </c>
    </row>
    <row r="322" spans="1:19" x14ac:dyDescent="0.3">
      <c r="A322" s="2" t="s">
        <v>14</v>
      </c>
      <c r="B322" s="3" t="s">
        <v>14</v>
      </c>
      <c r="C322" s="3" t="s">
        <v>2823</v>
      </c>
      <c r="D322" s="3" t="s">
        <v>32</v>
      </c>
      <c r="E322" s="3" t="s">
        <v>194</v>
      </c>
      <c r="F322" s="4">
        <v>46248</v>
      </c>
      <c r="G322" s="3" t="s">
        <v>27</v>
      </c>
      <c r="H322" s="6">
        <v>150950.5</v>
      </c>
      <c r="I322" s="3" t="s">
        <v>18</v>
      </c>
      <c r="J322" s="3" t="s">
        <v>19</v>
      </c>
      <c r="K322" s="3" t="s">
        <v>14</v>
      </c>
      <c r="L322" s="3" t="s">
        <v>359</v>
      </c>
      <c r="M322" s="4">
        <v>46297</v>
      </c>
      <c r="N322" s="3" t="s">
        <v>930</v>
      </c>
      <c r="O322" s="3" t="s">
        <v>30</v>
      </c>
      <c r="P322" t="str">
        <f t="shared" si="4"/>
        <v>450012865710</v>
      </c>
      <c r="Q322" s="7" cm="1">
        <f t="array" ref="Q322:S322">VLOOKUP(P322,Hoja1!C:F,{2,3,4},FALSE)</f>
        <v>46387</v>
      </c>
      <c r="R322" t="str">
        <v>C15</v>
      </c>
      <c r="S322" t="str">
        <v>1000011965 DIRECTO SUR S. R. L.</v>
      </c>
    </row>
    <row r="323" spans="1:19" x14ac:dyDescent="0.3">
      <c r="A323" s="2" t="s">
        <v>14</v>
      </c>
      <c r="B323" s="3" t="s">
        <v>14</v>
      </c>
      <c r="C323" s="3" t="s">
        <v>2823</v>
      </c>
      <c r="D323" s="3" t="s">
        <v>32</v>
      </c>
      <c r="E323" s="3" t="s">
        <v>194</v>
      </c>
      <c r="F323" s="4">
        <v>46248</v>
      </c>
      <c r="G323" s="3" t="s">
        <v>27</v>
      </c>
      <c r="H323" s="6">
        <v>226512.47</v>
      </c>
      <c r="I323" s="3" t="s">
        <v>18</v>
      </c>
      <c r="J323" s="3" t="s">
        <v>19</v>
      </c>
      <c r="K323" s="3" t="s">
        <v>14</v>
      </c>
      <c r="L323" s="3" t="s">
        <v>359</v>
      </c>
      <c r="M323" s="4">
        <v>46297</v>
      </c>
      <c r="N323" s="3" t="s">
        <v>360</v>
      </c>
      <c r="O323" s="3" t="s">
        <v>30</v>
      </c>
      <c r="P323" t="str">
        <f t="shared" ref="P323:P386" si="5">_xlfn.CONCAT(N323:O323)</f>
        <v>450013334210</v>
      </c>
      <c r="Q323" s="7" cm="1">
        <f t="array" ref="Q323:S323">VLOOKUP(P323,Hoja1!C:F,{2,3,4},FALSE)</f>
        <v>46295</v>
      </c>
      <c r="R323" t="str">
        <v>C15</v>
      </c>
      <c r="S323" t="str">
        <v>1000011965 DIRECTO SUR S. R. L.</v>
      </c>
    </row>
    <row r="324" spans="1:19" x14ac:dyDescent="0.3">
      <c r="A324" s="2" t="s">
        <v>14</v>
      </c>
      <c r="B324" s="3" t="s">
        <v>14</v>
      </c>
      <c r="C324" s="3" t="s">
        <v>2824</v>
      </c>
      <c r="D324" s="3" t="s">
        <v>14</v>
      </c>
      <c r="E324" s="3" t="s">
        <v>194</v>
      </c>
      <c r="F324" s="4">
        <v>46291</v>
      </c>
      <c r="G324" s="3" t="s">
        <v>27</v>
      </c>
      <c r="H324" s="6">
        <v>95821.95</v>
      </c>
      <c r="I324" s="3" t="s">
        <v>18</v>
      </c>
      <c r="J324" s="3" t="s">
        <v>19</v>
      </c>
      <c r="K324" s="3" t="s">
        <v>14</v>
      </c>
      <c r="L324" s="3" t="s">
        <v>892</v>
      </c>
      <c r="M324" s="4">
        <v>46297</v>
      </c>
      <c r="N324" s="3" t="s">
        <v>1686</v>
      </c>
      <c r="O324" s="3" t="s">
        <v>141</v>
      </c>
      <c r="P324" t="str">
        <f t="shared" si="5"/>
        <v>450013895860</v>
      </c>
      <c r="Q324" s="7" cm="1">
        <f t="array" ref="Q324:S324">VLOOKUP(P324,Hoja1!C:F,{2,3,4},FALSE)</f>
        <v>46293</v>
      </c>
      <c r="R324" t="str">
        <v>C28</v>
      </c>
      <c r="S324" t="str">
        <v>1000000894 FORTIN REPUBLICA SA</v>
      </c>
    </row>
    <row r="325" spans="1:19" x14ac:dyDescent="0.3">
      <c r="A325" s="2" t="s">
        <v>14</v>
      </c>
      <c r="B325" s="3" t="s">
        <v>14</v>
      </c>
      <c r="C325" s="3" t="s">
        <v>2824</v>
      </c>
      <c r="D325" s="3" t="s">
        <v>14</v>
      </c>
      <c r="E325" s="3" t="s">
        <v>194</v>
      </c>
      <c r="F325" s="4">
        <v>46291</v>
      </c>
      <c r="G325" s="3" t="s">
        <v>27</v>
      </c>
      <c r="H325" s="6">
        <v>171267.20000000001</v>
      </c>
      <c r="I325" s="3" t="s">
        <v>18</v>
      </c>
      <c r="J325" s="3" t="s">
        <v>19</v>
      </c>
      <c r="K325" s="3" t="s">
        <v>14</v>
      </c>
      <c r="L325" s="3" t="s">
        <v>892</v>
      </c>
      <c r="M325" s="4">
        <v>46297</v>
      </c>
      <c r="N325" s="3" t="s">
        <v>1686</v>
      </c>
      <c r="O325" s="3" t="s">
        <v>134</v>
      </c>
      <c r="P325" t="str">
        <f t="shared" si="5"/>
        <v>450013895870</v>
      </c>
      <c r="Q325" s="7" cm="1">
        <f t="array" ref="Q325:S325">VLOOKUP(P325,Hoja1!C:F,{2,3,4},FALSE)</f>
        <v>46293</v>
      </c>
      <c r="R325" t="str">
        <v>C28</v>
      </c>
      <c r="S325" t="str">
        <v>1000000894 FORTIN REPUBLICA SA</v>
      </c>
    </row>
    <row r="326" spans="1:19" x14ac:dyDescent="0.3">
      <c r="A326" s="2" t="s">
        <v>14</v>
      </c>
      <c r="B326" s="3" t="s">
        <v>14</v>
      </c>
      <c r="C326" s="3" t="s">
        <v>2824</v>
      </c>
      <c r="D326" s="3" t="s">
        <v>14</v>
      </c>
      <c r="E326" s="3" t="s">
        <v>194</v>
      </c>
      <c r="F326" s="4">
        <v>46291</v>
      </c>
      <c r="G326" s="3" t="s">
        <v>27</v>
      </c>
      <c r="H326" s="6">
        <v>496674.88</v>
      </c>
      <c r="I326" s="3" t="s">
        <v>18</v>
      </c>
      <c r="J326" s="3" t="s">
        <v>19</v>
      </c>
      <c r="K326" s="3" t="s">
        <v>14</v>
      </c>
      <c r="L326" s="3" t="s">
        <v>892</v>
      </c>
      <c r="M326" s="4">
        <v>46297</v>
      </c>
      <c r="N326" s="3" t="s">
        <v>1686</v>
      </c>
      <c r="O326" s="3" t="s">
        <v>45</v>
      </c>
      <c r="P326" t="str">
        <f t="shared" si="5"/>
        <v>4500138958100</v>
      </c>
      <c r="Q326" s="7" cm="1">
        <f t="array" ref="Q326:S326">VLOOKUP(P326,Hoja1!C:F,{2,3,4},FALSE)</f>
        <v>46293</v>
      </c>
      <c r="R326" t="str">
        <v>C28</v>
      </c>
      <c r="S326" t="str">
        <v>1000000894 FORTIN REPUBLICA SA</v>
      </c>
    </row>
    <row r="327" spans="1:19" x14ac:dyDescent="0.3">
      <c r="A327" s="2" t="s">
        <v>14</v>
      </c>
      <c r="B327" s="3" t="s">
        <v>14</v>
      </c>
      <c r="C327" s="3" t="s">
        <v>2825</v>
      </c>
      <c r="D327" s="3" t="s">
        <v>32</v>
      </c>
      <c r="E327" s="3" t="s">
        <v>194</v>
      </c>
      <c r="F327" s="4">
        <v>46297</v>
      </c>
      <c r="G327" s="3" t="s">
        <v>27</v>
      </c>
      <c r="H327" s="6">
        <v>683906.9</v>
      </c>
      <c r="I327" s="3" t="s">
        <v>18</v>
      </c>
      <c r="J327" s="3" t="s">
        <v>19</v>
      </c>
      <c r="K327" s="3" t="s">
        <v>14</v>
      </c>
      <c r="L327" s="3" t="s">
        <v>1990</v>
      </c>
      <c r="M327" s="4">
        <v>46297</v>
      </c>
      <c r="N327" s="3" t="s">
        <v>1991</v>
      </c>
      <c r="O327" s="3" t="s">
        <v>30</v>
      </c>
      <c r="P327" t="str">
        <f t="shared" si="5"/>
        <v>450013961210</v>
      </c>
      <c r="Q327" s="7" cm="1">
        <f t="array" ref="Q327:S327">VLOOKUP(P327,Hoja1!C:F,{2,3,4},FALSE)</f>
        <v>46325</v>
      </c>
      <c r="R327" t="str">
        <v>377</v>
      </c>
      <c r="S327" t="str">
        <v>1000008359 SIDERCAM S.A.</v>
      </c>
    </row>
    <row r="328" spans="1:19" x14ac:dyDescent="0.3">
      <c r="A328" s="2" t="s">
        <v>14</v>
      </c>
      <c r="B328" s="3" t="s">
        <v>14</v>
      </c>
      <c r="C328" s="3" t="s">
        <v>2826</v>
      </c>
      <c r="D328" s="3" t="s">
        <v>14</v>
      </c>
      <c r="E328" s="3" t="s">
        <v>194</v>
      </c>
      <c r="F328" s="4">
        <v>46288</v>
      </c>
      <c r="G328" s="3" t="s">
        <v>27</v>
      </c>
      <c r="H328" s="6">
        <v>170000</v>
      </c>
      <c r="I328" s="3" t="s">
        <v>18</v>
      </c>
      <c r="J328" s="3" t="s">
        <v>19</v>
      </c>
      <c r="K328" s="3" t="s">
        <v>14</v>
      </c>
      <c r="L328" s="3" t="s">
        <v>1813</v>
      </c>
      <c r="M328" s="4">
        <v>46297</v>
      </c>
      <c r="N328" s="3" t="s">
        <v>2759</v>
      </c>
      <c r="O328" s="3" t="s">
        <v>30</v>
      </c>
      <c r="P328" t="str">
        <f t="shared" si="5"/>
        <v>450013922810</v>
      </c>
      <c r="Q328" s="7" cm="1">
        <f t="array" ref="Q328:S328">VLOOKUP(P328,Hoja1!C:F,{2,3,4},FALSE)</f>
        <v>46295</v>
      </c>
      <c r="R328" t="str">
        <v>C38</v>
      </c>
      <c r="S328" t="str">
        <v>1000001289 DUCA SEBASTIAN ENRIQUE</v>
      </c>
    </row>
    <row r="329" spans="1:19" x14ac:dyDescent="0.3">
      <c r="A329" s="2" t="s">
        <v>14</v>
      </c>
      <c r="B329" s="3" t="s">
        <v>14</v>
      </c>
      <c r="C329" s="3" t="s">
        <v>2827</v>
      </c>
      <c r="D329" s="3" t="s">
        <v>14</v>
      </c>
      <c r="E329" s="3" t="s">
        <v>194</v>
      </c>
      <c r="F329" s="4">
        <v>46287</v>
      </c>
      <c r="G329" s="3" t="s">
        <v>27</v>
      </c>
      <c r="H329" s="6">
        <v>3291200</v>
      </c>
      <c r="I329" s="3" t="s">
        <v>18</v>
      </c>
      <c r="J329" s="3" t="s">
        <v>250</v>
      </c>
      <c r="K329" s="3" t="s">
        <v>14</v>
      </c>
      <c r="L329" s="3" t="s">
        <v>2289</v>
      </c>
      <c r="M329" s="4">
        <v>46297</v>
      </c>
      <c r="N329" s="3" t="s">
        <v>2290</v>
      </c>
      <c r="O329" s="3" t="s">
        <v>30</v>
      </c>
      <c r="P329" t="str">
        <f t="shared" si="5"/>
        <v>450013908110</v>
      </c>
      <c r="Q329" s="7" cm="1">
        <f t="array" ref="Q329:S329">VLOOKUP(P329,Hoja1!C:F,{2,3,4},FALSE)</f>
        <v>46290</v>
      </c>
      <c r="R329" t="str">
        <v>C05</v>
      </c>
      <c r="S329" t="str">
        <v>1000002720 TECPOINT SA</v>
      </c>
    </row>
    <row r="330" spans="1:19" x14ac:dyDescent="0.3">
      <c r="A330" s="2" t="s">
        <v>14</v>
      </c>
      <c r="B330" s="3" t="s">
        <v>14</v>
      </c>
      <c r="C330" s="3" t="s">
        <v>2827</v>
      </c>
      <c r="D330" s="3" t="s">
        <v>14</v>
      </c>
      <c r="E330" s="3" t="s">
        <v>194</v>
      </c>
      <c r="F330" s="4">
        <v>46287</v>
      </c>
      <c r="G330" s="3" t="s">
        <v>27</v>
      </c>
      <c r="H330" s="6">
        <v>529375</v>
      </c>
      <c r="I330" s="3" t="s">
        <v>18</v>
      </c>
      <c r="J330" s="3" t="s">
        <v>19</v>
      </c>
      <c r="K330" s="3" t="s">
        <v>14</v>
      </c>
      <c r="L330" s="3" t="s">
        <v>2289</v>
      </c>
      <c r="M330" s="4">
        <v>46297</v>
      </c>
      <c r="N330" s="3" t="s">
        <v>2290</v>
      </c>
      <c r="O330" s="3" t="s">
        <v>22</v>
      </c>
      <c r="P330" t="str">
        <f t="shared" si="5"/>
        <v>450013908120</v>
      </c>
      <c r="Q330" s="7" cm="1">
        <f t="array" ref="Q330:S330">VLOOKUP(P330,Hoja1!C:F,{2,3,4},FALSE)</f>
        <v>46290</v>
      </c>
      <c r="R330" t="str">
        <v>C05</v>
      </c>
      <c r="S330" t="str">
        <v>1000002720 TECPOINT SA</v>
      </c>
    </row>
    <row r="331" spans="1:19" x14ac:dyDescent="0.3">
      <c r="A331" s="2" t="s">
        <v>14</v>
      </c>
      <c r="B331" s="3" t="s">
        <v>14</v>
      </c>
      <c r="C331" s="3" t="s">
        <v>2828</v>
      </c>
      <c r="D331" s="3" t="s">
        <v>14</v>
      </c>
      <c r="E331" s="3" t="s">
        <v>194</v>
      </c>
      <c r="F331" s="4">
        <v>46268</v>
      </c>
      <c r="G331" s="3" t="s">
        <v>27</v>
      </c>
      <c r="H331" s="6">
        <v>6000</v>
      </c>
      <c r="I331" s="3" t="s">
        <v>18</v>
      </c>
      <c r="J331" s="3" t="s">
        <v>19</v>
      </c>
      <c r="K331" s="3" t="s">
        <v>14</v>
      </c>
      <c r="L331" s="3" t="s">
        <v>1164</v>
      </c>
      <c r="M331" s="4">
        <v>46297</v>
      </c>
      <c r="N331" s="3" t="s">
        <v>1165</v>
      </c>
      <c r="O331" s="3" t="s">
        <v>162</v>
      </c>
      <c r="P331" t="str">
        <f t="shared" si="5"/>
        <v>4500136752370</v>
      </c>
      <c r="Q331" s="7" cm="1">
        <f t="array" ref="Q331:S331">VLOOKUP(P331,Hoja1!C:F,{2,3,4},FALSE)</f>
        <v>46262</v>
      </c>
      <c r="R331" t="str">
        <v>C27</v>
      </c>
      <c r="S331" t="str">
        <v>1000013253 PIAZZA MARCOS LUCIANO</v>
      </c>
    </row>
    <row r="332" spans="1:19" x14ac:dyDescent="0.3">
      <c r="A332" s="2" t="s">
        <v>14</v>
      </c>
      <c r="B332" s="3" t="s">
        <v>14</v>
      </c>
      <c r="C332" s="3" t="s">
        <v>2829</v>
      </c>
      <c r="D332" s="3" t="s">
        <v>14</v>
      </c>
      <c r="E332" s="3" t="s">
        <v>194</v>
      </c>
      <c r="F332" s="4">
        <v>46261</v>
      </c>
      <c r="G332" s="3" t="s">
        <v>27</v>
      </c>
      <c r="H332" s="6">
        <v>6030</v>
      </c>
      <c r="I332" s="3" t="s">
        <v>18</v>
      </c>
      <c r="J332" s="3" t="s">
        <v>19</v>
      </c>
      <c r="K332" s="3" t="s">
        <v>14</v>
      </c>
      <c r="L332" s="3" t="s">
        <v>269</v>
      </c>
      <c r="M332" s="4">
        <v>46297</v>
      </c>
      <c r="N332" s="3" t="s">
        <v>1118</v>
      </c>
      <c r="O332" s="3" t="s">
        <v>22</v>
      </c>
      <c r="P332" t="str">
        <f t="shared" si="5"/>
        <v>450013672520</v>
      </c>
      <c r="Q332" s="7" cm="1">
        <f t="array" ref="Q332:S332">VLOOKUP(P332,Hoja1!C:F,{2,3,4},FALSE)</f>
        <v>46280</v>
      </c>
      <c r="R332" t="str">
        <v>C03</v>
      </c>
      <c r="S332" t="str">
        <v>1000000190 FERNANDEZ INSUA S.A.</v>
      </c>
    </row>
    <row r="333" spans="1:19" x14ac:dyDescent="0.3">
      <c r="A333" s="2" t="s">
        <v>14</v>
      </c>
      <c r="B333" s="3" t="s">
        <v>14</v>
      </c>
      <c r="C333" s="3" t="s">
        <v>2829</v>
      </c>
      <c r="D333" s="3" t="s">
        <v>14</v>
      </c>
      <c r="E333" s="3" t="s">
        <v>194</v>
      </c>
      <c r="F333" s="4">
        <v>46261</v>
      </c>
      <c r="G333" s="3" t="s">
        <v>27</v>
      </c>
      <c r="H333" s="6">
        <v>173362.5</v>
      </c>
      <c r="I333" s="3" t="s">
        <v>18</v>
      </c>
      <c r="J333" s="3" t="s">
        <v>19</v>
      </c>
      <c r="K333" s="3" t="s">
        <v>14</v>
      </c>
      <c r="L333" s="3" t="s">
        <v>269</v>
      </c>
      <c r="M333" s="4">
        <v>46297</v>
      </c>
      <c r="N333" s="3" t="s">
        <v>1118</v>
      </c>
      <c r="O333" s="3" t="s">
        <v>35</v>
      </c>
      <c r="P333" t="str">
        <f t="shared" si="5"/>
        <v>450013672530</v>
      </c>
      <c r="Q333" s="7" cm="1">
        <f t="array" ref="Q333:S333">VLOOKUP(P333,Hoja1!C:F,{2,3,4},FALSE)</f>
        <v>46280</v>
      </c>
      <c r="R333" t="str">
        <v>C03</v>
      </c>
      <c r="S333" t="str">
        <v>1000000190 FERNANDEZ INSUA S.A.</v>
      </c>
    </row>
    <row r="334" spans="1:19" x14ac:dyDescent="0.3">
      <c r="A334" s="2" t="s">
        <v>14</v>
      </c>
      <c r="B334" s="3" t="s">
        <v>14</v>
      </c>
      <c r="C334" s="3" t="s">
        <v>2829</v>
      </c>
      <c r="D334" s="3" t="s">
        <v>14</v>
      </c>
      <c r="E334" s="3" t="s">
        <v>194</v>
      </c>
      <c r="F334" s="4">
        <v>46261</v>
      </c>
      <c r="G334" s="3" t="s">
        <v>27</v>
      </c>
      <c r="H334" s="6">
        <v>173362.5</v>
      </c>
      <c r="I334" s="3" t="s">
        <v>18</v>
      </c>
      <c r="J334" s="3" t="s">
        <v>19</v>
      </c>
      <c r="K334" s="3" t="s">
        <v>14</v>
      </c>
      <c r="L334" s="3" t="s">
        <v>269</v>
      </c>
      <c r="M334" s="4">
        <v>46297</v>
      </c>
      <c r="N334" s="3" t="s">
        <v>1118</v>
      </c>
      <c r="O334" s="3" t="s">
        <v>23</v>
      </c>
      <c r="P334" t="str">
        <f t="shared" si="5"/>
        <v>450013672540</v>
      </c>
      <c r="Q334" s="7" cm="1">
        <f t="array" ref="Q334:S334">VLOOKUP(P334,Hoja1!C:F,{2,3,4},FALSE)</f>
        <v>46280</v>
      </c>
      <c r="R334" t="str">
        <v>C03</v>
      </c>
      <c r="S334" t="str">
        <v>1000000190 FERNANDEZ INSUA S.A.</v>
      </c>
    </row>
    <row r="335" spans="1:19" x14ac:dyDescent="0.3">
      <c r="A335" s="2" t="s">
        <v>14</v>
      </c>
      <c r="B335" s="3" t="s">
        <v>14</v>
      </c>
      <c r="C335" s="3" t="s">
        <v>2830</v>
      </c>
      <c r="D335" s="3" t="s">
        <v>14</v>
      </c>
      <c r="E335" s="3" t="s">
        <v>194</v>
      </c>
      <c r="F335" s="4">
        <v>46273</v>
      </c>
      <c r="G335" s="3" t="s">
        <v>27</v>
      </c>
      <c r="H335" s="6">
        <v>850000</v>
      </c>
      <c r="I335" s="3" t="s">
        <v>18</v>
      </c>
      <c r="J335" s="3" t="s">
        <v>39</v>
      </c>
      <c r="K335" s="3" t="s">
        <v>14</v>
      </c>
      <c r="L335" s="3" t="s">
        <v>2187</v>
      </c>
      <c r="M335" s="4">
        <v>46297</v>
      </c>
      <c r="N335" s="3" t="s">
        <v>2188</v>
      </c>
      <c r="O335" s="3" t="s">
        <v>30</v>
      </c>
      <c r="P335" t="str">
        <f t="shared" si="5"/>
        <v>450013803110</v>
      </c>
      <c r="Q335" s="7" cm="1">
        <f t="array" ref="Q335:S335">VLOOKUP(P335,Hoja1!C:F,{2,3,4},FALSE)</f>
        <v>46280</v>
      </c>
      <c r="R335" t="str">
        <v>C38</v>
      </c>
      <c r="S335" t="str">
        <v>1000013586 MINICUCCI NANCY MARIA</v>
      </c>
    </row>
    <row r="336" spans="1:19" x14ac:dyDescent="0.3">
      <c r="A336" s="2" t="s">
        <v>14</v>
      </c>
      <c r="B336" s="3" t="s">
        <v>14</v>
      </c>
      <c r="C336" s="3" t="s">
        <v>2831</v>
      </c>
      <c r="D336" s="3" t="s">
        <v>84</v>
      </c>
      <c r="E336" s="3" t="s">
        <v>194</v>
      </c>
      <c r="F336" s="4">
        <v>46296</v>
      </c>
      <c r="G336" s="3" t="s">
        <v>27</v>
      </c>
      <c r="H336" s="6">
        <v>70200</v>
      </c>
      <c r="I336" s="3" t="s">
        <v>18</v>
      </c>
      <c r="J336" s="3" t="s">
        <v>19</v>
      </c>
      <c r="K336" s="3" t="s">
        <v>14</v>
      </c>
      <c r="L336" s="3" t="s">
        <v>1056</v>
      </c>
      <c r="M336" s="4">
        <v>46297</v>
      </c>
      <c r="N336" s="3" t="s">
        <v>1870</v>
      </c>
      <c r="O336" s="3" t="s">
        <v>30</v>
      </c>
      <c r="P336" t="str">
        <f t="shared" si="5"/>
        <v>450013948010</v>
      </c>
      <c r="Q336" s="7" cm="1">
        <f t="array" ref="Q336:S336">VLOOKUP(P336,Hoja1!C:F,{2,3,4},FALSE)</f>
        <v>46303</v>
      </c>
      <c r="R336" t="str">
        <v>C06</v>
      </c>
      <c r="S336" t="str">
        <v>1000007373 ANGIULLI SERGIO RAUL</v>
      </c>
    </row>
    <row r="337" spans="1:19" x14ac:dyDescent="0.3">
      <c r="A337" s="2" t="s">
        <v>14</v>
      </c>
      <c r="B337" s="3" t="s">
        <v>14</v>
      </c>
      <c r="C337" s="3" t="s">
        <v>2832</v>
      </c>
      <c r="D337" s="3" t="s">
        <v>14</v>
      </c>
      <c r="E337" s="3" t="s">
        <v>194</v>
      </c>
      <c r="F337" s="4">
        <v>46297</v>
      </c>
      <c r="G337" s="3" t="s">
        <v>27</v>
      </c>
      <c r="H337" s="6">
        <v>541260</v>
      </c>
      <c r="I337" s="3" t="s">
        <v>18</v>
      </c>
      <c r="J337" s="3" t="s">
        <v>19</v>
      </c>
      <c r="K337" s="3" t="s">
        <v>14</v>
      </c>
      <c r="L337" s="3" t="s">
        <v>690</v>
      </c>
      <c r="M337" s="4">
        <v>46297</v>
      </c>
      <c r="N337" s="3" t="s">
        <v>1229</v>
      </c>
      <c r="O337" s="3" t="s">
        <v>30</v>
      </c>
      <c r="P337" t="str">
        <f t="shared" si="5"/>
        <v>450013753810</v>
      </c>
      <c r="Q337" s="7" cm="1">
        <f t="array" ref="Q337:S337">VLOOKUP(P337,Hoja1!C:F,{2,3,4},FALSE)</f>
        <v>46272</v>
      </c>
      <c r="R337" t="str">
        <v>377</v>
      </c>
      <c r="S337" t="str">
        <v>1000000669 PROSEIND SA</v>
      </c>
    </row>
    <row r="338" spans="1:19" x14ac:dyDescent="0.3">
      <c r="A338" s="2" t="s">
        <v>14</v>
      </c>
      <c r="B338" s="3" t="s">
        <v>14</v>
      </c>
      <c r="C338" s="3" t="s">
        <v>2832</v>
      </c>
      <c r="D338" s="3" t="s">
        <v>14</v>
      </c>
      <c r="E338" s="3" t="s">
        <v>194</v>
      </c>
      <c r="F338" s="4">
        <v>46297</v>
      </c>
      <c r="G338" s="3" t="s">
        <v>27</v>
      </c>
      <c r="H338" s="6">
        <v>541260</v>
      </c>
      <c r="I338" s="3" t="s">
        <v>18</v>
      </c>
      <c r="J338" s="3" t="s">
        <v>19</v>
      </c>
      <c r="K338" s="3" t="s">
        <v>14</v>
      </c>
      <c r="L338" s="3" t="s">
        <v>690</v>
      </c>
      <c r="M338" s="4">
        <v>46297</v>
      </c>
      <c r="N338" s="3" t="s">
        <v>1229</v>
      </c>
      <c r="O338" s="3" t="s">
        <v>22</v>
      </c>
      <c r="P338" t="str">
        <f t="shared" si="5"/>
        <v>450013753820</v>
      </c>
      <c r="Q338" s="7" cm="1">
        <f t="array" ref="Q338:S338">VLOOKUP(P338,Hoja1!C:F,{2,3,4},FALSE)</f>
        <v>46272</v>
      </c>
      <c r="R338" t="str">
        <v>377</v>
      </c>
      <c r="S338" t="str">
        <v>1000000669 PROSEIND SA</v>
      </c>
    </row>
    <row r="339" spans="1:19" x14ac:dyDescent="0.3">
      <c r="A339" s="2" t="s">
        <v>14</v>
      </c>
      <c r="B339" s="3" t="s">
        <v>14</v>
      </c>
      <c r="C339" s="3" t="s">
        <v>2832</v>
      </c>
      <c r="D339" s="3" t="s">
        <v>14</v>
      </c>
      <c r="E339" s="3" t="s">
        <v>194</v>
      </c>
      <c r="F339" s="4">
        <v>46297</v>
      </c>
      <c r="G339" s="3" t="s">
        <v>27</v>
      </c>
      <c r="H339" s="6">
        <v>541260</v>
      </c>
      <c r="I339" s="3" t="s">
        <v>18</v>
      </c>
      <c r="J339" s="3" t="s">
        <v>19</v>
      </c>
      <c r="K339" s="3" t="s">
        <v>14</v>
      </c>
      <c r="L339" s="3" t="s">
        <v>690</v>
      </c>
      <c r="M339" s="4">
        <v>46297</v>
      </c>
      <c r="N339" s="3" t="s">
        <v>1229</v>
      </c>
      <c r="O339" s="3" t="s">
        <v>35</v>
      </c>
      <c r="P339" t="str">
        <f t="shared" si="5"/>
        <v>450013753830</v>
      </c>
      <c r="Q339" s="7" cm="1">
        <f t="array" ref="Q339:S339">VLOOKUP(P339,Hoja1!C:F,{2,3,4},FALSE)</f>
        <v>46272</v>
      </c>
      <c r="R339" t="str">
        <v>377</v>
      </c>
      <c r="S339" t="str">
        <v>1000000669 PROSEIND SA</v>
      </c>
    </row>
    <row r="340" spans="1:19" x14ac:dyDescent="0.3">
      <c r="A340" s="2" t="s">
        <v>14</v>
      </c>
      <c r="B340" s="3" t="s">
        <v>14</v>
      </c>
      <c r="C340" s="3" t="s">
        <v>2832</v>
      </c>
      <c r="D340" s="3" t="s">
        <v>14</v>
      </c>
      <c r="E340" s="3" t="s">
        <v>194</v>
      </c>
      <c r="F340" s="4">
        <v>46297</v>
      </c>
      <c r="G340" s="3" t="s">
        <v>27</v>
      </c>
      <c r="H340" s="6">
        <v>541260</v>
      </c>
      <c r="I340" s="3" t="s">
        <v>18</v>
      </c>
      <c r="J340" s="3" t="s">
        <v>19</v>
      </c>
      <c r="K340" s="3" t="s">
        <v>14</v>
      </c>
      <c r="L340" s="3" t="s">
        <v>690</v>
      </c>
      <c r="M340" s="4">
        <v>46297</v>
      </c>
      <c r="N340" s="3" t="s">
        <v>1229</v>
      </c>
      <c r="O340" s="3" t="s">
        <v>23</v>
      </c>
      <c r="P340" t="str">
        <f t="shared" si="5"/>
        <v>450013753840</v>
      </c>
      <c r="Q340" s="7" cm="1">
        <f t="array" ref="Q340:S340">VLOOKUP(P340,Hoja1!C:F,{2,3,4},FALSE)</f>
        <v>46272</v>
      </c>
      <c r="R340" t="str">
        <v>377</v>
      </c>
      <c r="S340" t="str">
        <v>1000000669 PROSEIND SA</v>
      </c>
    </row>
    <row r="341" spans="1:19" x14ac:dyDescent="0.3">
      <c r="A341" s="2" t="s">
        <v>14</v>
      </c>
      <c r="B341" s="3" t="s">
        <v>14</v>
      </c>
      <c r="C341" s="3" t="s">
        <v>2832</v>
      </c>
      <c r="D341" s="3" t="s">
        <v>14</v>
      </c>
      <c r="E341" s="3" t="s">
        <v>194</v>
      </c>
      <c r="F341" s="4">
        <v>46297</v>
      </c>
      <c r="G341" s="3" t="s">
        <v>27</v>
      </c>
      <c r="H341" s="6">
        <v>541260</v>
      </c>
      <c r="I341" s="3" t="s">
        <v>18</v>
      </c>
      <c r="J341" s="3" t="s">
        <v>19</v>
      </c>
      <c r="K341" s="3" t="s">
        <v>14</v>
      </c>
      <c r="L341" s="3" t="s">
        <v>690</v>
      </c>
      <c r="M341" s="4">
        <v>46297</v>
      </c>
      <c r="N341" s="3" t="s">
        <v>1229</v>
      </c>
      <c r="O341" s="3" t="s">
        <v>144</v>
      </c>
      <c r="P341" t="str">
        <f t="shared" si="5"/>
        <v>450013753850</v>
      </c>
      <c r="Q341" s="7" cm="1">
        <f t="array" ref="Q341:S341">VLOOKUP(P341,Hoja1!C:F,{2,3,4},FALSE)</f>
        <v>46272</v>
      </c>
      <c r="R341" t="str">
        <v>377</v>
      </c>
      <c r="S341" t="str">
        <v>1000000669 PROSEIND SA</v>
      </c>
    </row>
    <row r="342" spans="1:19" x14ac:dyDescent="0.3">
      <c r="A342" s="2" t="s">
        <v>14</v>
      </c>
      <c r="B342" s="3" t="s">
        <v>14</v>
      </c>
      <c r="C342" s="3" t="s">
        <v>2833</v>
      </c>
      <c r="D342" s="3" t="s">
        <v>14</v>
      </c>
      <c r="E342" s="3" t="s">
        <v>194</v>
      </c>
      <c r="F342" s="4">
        <v>46297</v>
      </c>
      <c r="G342" s="3" t="s">
        <v>27</v>
      </c>
      <c r="H342" s="6">
        <v>293231</v>
      </c>
      <c r="I342" s="3" t="s">
        <v>18</v>
      </c>
      <c r="J342" s="3" t="s">
        <v>19</v>
      </c>
      <c r="K342" s="3" t="s">
        <v>14</v>
      </c>
      <c r="L342" s="3" t="s">
        <v>690</v>
      </c>
      <c r="M342" s="4">
        <v>46297</v>
      </c>
      <c r="N342" s="3" t="s">
        <v>1743</v>
      </c>
      <c r="O342" s="3" t="s">
        <v>30</v>
      </c>
      <c r="P342" t="str">
        <f t="shared" si="5"/>
        <v>450013716710</v>
      </c>
      <c r="Q342" s="7" cm="1">
        <f t="array" ref="Q342:S342">VLOOKUP(P342,Hoja1!C:F,{2,3,4},FALSE)</f>
        <v>46288</v>
      </c>
      <c r="R342" t="str">
        <v>377</v>
      </c>
      <c r="S342" t="str">
        <v>1000000669 PROSEIND SA</v>
      </c>
    </row>
    <row r="343" spans="1:19" x14ac:dyDescent="0.3">
      <c r="A343" s="2" t="s">
        <v>14</v>
      </c>
      <c r="B343" s="3" t="s">
        <v>14</v>
      </c>
      <c r="C343" s="3" t="s">
        <v>2834</v>
      </c>
      <c r="D343" s="3" t="s">
        <v>32</v>
      </c>
      <c r="E343" s="3" t="s">
        <v>194</v>
      </c>
      <c r="F343" s="4">
        <v>46297</v>
      </c>
      <c r="G343" s="3" t="s">
        <v>27</v>
      </c>
      <c r="H343" s="6">
        <v>367768.6</v>
      </c>
      <c r="I343" s="3" t="s">
        <v>18</v>
      </c>
      <c r="J343" s="3" t="s">
        <v>19</v>
      </c>
      <c r="K343" s="3" t="s">
        <v>14</v>
      </c>
      <c r="L343" s="3" t="s">
        <v>2835</v>
      </c>
      <c r="M343" s="4">
        <v>46297</v>
      </c>
      <c r="N343" s="3" t="s">
        <v>2836</v>
      </c>
      <c r="O343" s="3" t="s">
        <v>30</v>
      </c>
      <c r="P343" t="str">
        <f t="shared" si="5"/>
        <v>450014006010</v>
      </c>
      <c r="Q343" s="7" cm="1">
        <f t="array" ref="Q343:S343">VLOOKUP(P343,Hoja1!C:F,{2,3,4},FALSE)</f>
        <v>46301</v>
      </c>
      <c r="R343" t="str">
        <v>378</v>
      </c>
      <c r="S343" t="str">
        <v>1000013731 MASTROSIMONE GUSTAVO DOMINGO</v>
      </c>
    </row>
    <row r="344" spans="1:19" x14ac:dyDescent="0.3">
      <c r="A344" s="2" t="s">
        <v>14</v>
      </c>
      <c r="B344" s="3" t="s">
        <v>14</v>
      </c>
      <c r="C344" s="3" t="s">
        <v>2837</v>
      </c>
      <c r="D344" s="3" t="s">
        <v>32</v>
      </c>
      <c r="E344" s="3" t="s">
        <v>194</v>
      </c>
      <c r="F344" s="4">
        <v>46268</v>
      </c>
      <c r="G344" s="3" t="s">
        <v>27</v>
      </c>
      <c r="H344" s="6">
        <v>280000</v>
      </c>
      <c r="I344" s="3" t="s">
        <v>18</v>
      </c>
      <c r="J344" s="3" t="s">
        <v>19</v>
      </c>
      <c r="K344" s="3" t="s">
        <v>14</v>
      </c>
      <c r="L344" s="3" t="s">
        <v>1242</v>
      </c>
      <c r="M344" s="4">
        <v>46297</v>
      </c>
      <c r="N344" s="3" t="s">
        <v>1245</v>
      </c>
      <c r="O344" s="3" t="s">
        <v>30</v>
      </c>
      <c r="P344" t="str">
        <f t="shared" si="5"/>
        <v>450012563110</v>
      </c>
      <c r="Q344" s="7" cm="1">
        <f t="array" ref="Q344:S344">VLOOKUP(P344,Hoja1!C:F,{2,3,4},FALSE)</f>
        <v>46325</v>
      </c>
      <c r="R344" t="str">
        <v>C18</v>
      </c>
      <c r="S344" t="str">
        <v>1000000226 CONFLUENCIA HORMIGON</v>
      </c>
    </row>
    <row r="345" spans="1:19" x14ac:dyDescent="0.3">
      <c r="A345" s="2" t="s">
        <v>14</v>
      </c>
      <c r="B345" s="3" t="s">
        <v>14</v>
      </c>
      <c r="C345" s="3" t="s">
        <v>2837</v>
      </c>
      <c r="D345" s="3" t="s">
        <v>32</v>
      </c>
      <c r="E345" s="3" t="s">
        <v>194</v>
      </c>
      <c r="F345" s="4">
        <v>46268</v>
      </c>
      <c r="G345" s="3" t="s">
        <v>27</v>
      </c>
      <c r="H345" s="6">
        <v>2705125</v>
      </c>
      <c r="I345" s="3" t="s">
        <v>18</v>
      </c>
      <c r="J345" s="3" t="s">
        <v>19</v>
      </c>
      <c r="K345" s="3" t="s">
        <v>14</v>
      </c>
      <c r="L345" s="3" t="s">
        <v>1242</v>
      </c>
      <c r="M345" s="4">
        <v>46297</v>
      </c>
      <c r="N345" s="3" t="s">
        <v>1243</v>
      </c>
      <c r="O345" s="3" t="s">
        <v>30</v>
      </c>
      <c r="P345" t="str">
        <f t="shared" si="5"/>
        <v>450012249610</v>
      </c>
      <c r="Q345" s="7" cm="1">
        <f t="array" ref="Q345:S345">VLOOKUP(P345,Hoja1!C:F,{2,3,4},FALSE)</f>
        <v>46326</v>
      </c>
      <c r="R345" t="str">
        <v>C18</v>
      </c>
      <c r="S345" t="str">
        <v>1000000226 CONFLUENCIA HORMIGON</v>
      </c>
    </row>
    <row r="346" spans="1:19" x14ac:dyDescent="0.3">
      <c r="A346" s="2" t="s">
        <v>14</v>
      </c>
      <c r="B346" s="3" t="s">
        <v>14</v>
      </c>
      <c r="C346" s="3" t="s">
        <v>2837</v>
      </c>
      <c r="D346" s="3" t="s">
        <v>32</v>
      </c>
      <c r="E346" s="3" t="s">
        <v>194</v>
      </c>
      <c r="F346" s="4">
        <v>46268</v>
      </c>
      <c r="G346" s="3" t="s">
        <v>27</v>
      </c>
      <c r="H346" s="6">
        <v>421610</v>
      </c>
      <c r="I346" s="3" t="s">
        <v>18</v>
      </c>
      <c r="J346" s="3" t="s">
        <v>19</v>
      </c>
      <c r="K346" s="3" t="s">
        <v>14</v>
      </c>
      <c r="L346" s="3" t="s">
        <v>1242</v>
      </c>
      <c r="M346" s="4">
        <v>46297</v>
      </c>
      <c r="N346" s="3" t="s">
        <v>2838</v>
      </c>
      <c r="O346" s="3" t="s">
        <v>30</v>
      </c>
      <c r="P346" t="str">
        <f t="shared" si="5"/>
        <v>450014009910</v>
      </c>
      <c r="Q346" s="7" cm="1">
        <f t="array" ref="Q346:S346">VLOOKUP(P346,Hoja1!C:F,{2,3,4},FALSE)</f>
        <v>46326</v>
      </c>
      <c r="R346" t="str">
        <v>C18</v>
      </c>
      <c r="S346" t="str">
        <v>1000000226 CONFLUENCIA HORMIGON</v>
      </c>
    </row>
    <row r="347" spans="1:19" x14ac:dyDescent="0.3">
      <c r="A347" s="2" t="s">
        <v>14</v>
      </c>
      <c r="B347" s="3" t="s">
        <v>14</v>
      </c>
      <c r="C347" s="3" t="s">
        <v>2839</v>
      </c>
      <c r="D347" s="3" t="s">
        <v>14</v>
      </c>
      <c r="E347" s="3" t="s">
        <v>194</v>
      </c>
      <c r="F347" s="4">
        <v>46260</v>
      </c>
      <c r="G347" s="3" t="s">
        <v>27</v>
      </c>
      <c r="H347" s="6">
        <v>430000</v>
      </c>
      <c r="I347" s="3" t="s">
        <v>18</v>
      </c>
      <c r="J347" s="3" t="s">
        <v>39</v>
      </c>
      <c r="K347" s="3" t="s">
        <v>14</v>
      </c>
      <c r="L347" s="3" t="s">
        <v>2840</v>
      </c>
      <c r="M347" s="4">
        <v>46297</v>
      </c>
      <c r="N347" s="3" t="s">
        <v>2841</v>
      </c>
      <c r="O347" s="3" t="s">
        <v>30</v>
      </c>
      <c r="P347" t="str">
        <f t="shared" si="5"/>
        <v>450014009010</v>
      </c>
      <c r="Q347" s="7" cm="1">
        <f t="array" ref="Q347:S347">VLOOKUP(P347,Hoja1!C:F,{2,3,4},FALSE)</f>
        <v>46259</v>
      </c>
      <c r="R347" t="str">
        <v>C38</v>
      </c>
      <c r="S347" t="str">
        <v>1000009410 TONELLI CRISTIAN ADRIAN</v>
      </c>
    </row>
    <row r="348" spans="1:19" x14ac:dyDescent="0.3">
      <c r="A348" s="2" t="s">
        <v>14</v>
      </c>
      <c r="B348" s="3" t="s">
        <v>14</v>
      </c>
      <c r="C348" s="3" t="s">
        <v>2842</v>
      </c>
      <c r="D348" s="3" t="s">
        <v>32</v>
      </c>
      <c r="E348" s="3" t="s">
        <v>194</v>
      </c>
      <c r="F348" s="4">
        <v>46297</v>
      </c>
      <c r="G348" s="3" t="s">
        <v>27</v>
      </c>
      <c r="H348" s="6">
        <v>1017645.72</v>
      </c>
      <c r="I348" s="3" t="s">
        <v>18</v>
      </c>
      <c r="J348" s="3" t="s">
        <v>19</v>
      </c>
      <c r="K348" s="3" t="s">
        <v>14</v>
      </c>
      <c r="L348" s="3" t="s">
        <v>2793</v>
      </c>
      <c r="M348" s="4">
        <v>46297</v>
      </c>
      <c r="N348" s="3" t="s">
        <v>2843</v>
      </c>
      <c r="O348" s="3" t="s">
        <v>30</v>
      </c>
      <c r="P348" t="str">
        <f t="shared" si="5"/>
        <v>450012914210</v>
      </c>
      <c r="Q348" s="7" cm="1">
        <f t="array" ref="Q348:S348">VLOOKUP(P348,Hoja1!C:F,{2,3,4},FALSE)</f>
        <v>46387</v>
      </c>
      <c r="R348" t="str">
        <v>C18</v>
      </c>
      <c r="S348" t="str">
        <v>1000001737 BETONSUR SRL</v>
      </c>
    </row>
    <row r="349" spans="1:19" x14ac:dyDescent="0.3">
      <c r="A349" s="2" t="s">
        <v>14</v>
      </c>
      <c r="B349" s="3" t="s">
        <v>14</v>
      </c>
      <c r="C349" s="3" t="s">
        <v>2844</v>
      </c>
      <c r="D349" s="3" t="s">
        <v>32</v>
      </c>
      <c r="E349" s="3" t="s">
        <v>194</v>
      </c>
      <c r="F349" s="4">
        <v>46297</v>
      </c>
      <c r="G349" s="3" t="s">
        <v>27</v>
      </c>
      <c r="H349" s="6">
        <v>23716</v>
      </c>
      <c r="I349" s="3" t="s">
        <v>18</v>
      </c>
      <c r="J349" s="3" t="s">
        <v>19</v>
      </c>
      <c r="K349" s="3" t="s">
        <v>14</v>
      </c>
      <c r="L349" s="3" t="s">
        <v>458</v>
      </c>
      <c r="M349" s="4">
        <v>46297</v>
      </c>
      <c r="N349" s="3" t="s">
        <v>2296</v>
      </c>
      <c r="O349" s="3" t="s">
        <v>30</v>
      </c>
      <c r="P349" t="str">
        <f t="shared" si="5"/>
        <v>450013986410</v>
      </c>
      <c r="Q349" s="7" cm="1">
        <f t="array" ref="Q349:S349">VLOOKUP(P349,Hoja1!C:F,{2,3,4},FALSE)</f>
        <v>46296</v>
      </c>
      <c r="R349" t="str">
        <v>377</v>
      </c>
      <c r="S349" t="str">
        <v>1000000895 COMPLEMET SRL</v>
      </c>
    </row>
    <row r="350" spans="1:19" x14ac:dyDescent="0.3">
      <c r="A350" s="2" t="s">
        <v>14</v>
      </c>
      <c r="B350" s="3" t="s">
        <v>14</v>
      </c>
      <c r="C350" s="3" t="s">
        <v>2845</v>
      </c>
      <c r="D350" s="3" t="s">
        <v>32</v>
      </c>
      <c r="E350" s="3" t="s">
        <v>194</v>
      </c>
      <c r="F350" s="4">
        <v>46297</v>
      </c>
      <c r="G350" s="3" t="s">
        <v>27</v>
      </c>
      <c r="H350" s="6">
        <v>1300000</v>
      </c>
      <c r="I350" s="3" t="s">
        <v>18</v>
      </c>
      <c r="J350" s="3" t="s">
        <v>19</v>
      </c>
      <c r="K350" s="3" t="s">
        <v>14</v>
      </c>
      <c r="L350" s="3" t="s">
        <v>1800</v>
      </c>
      <c r="M350" s="4">
        <v>46297</v>
      </c>
      <c r="N350" s="3" t="s">
        <v>1801</v>
      </c>
      <c r="O350" s="3" t="s">
        <v>30</v>
      </c>
      <c r="P350" t="str">
        <f t="shared" si="5"/>
        <v>450013944910</v>
      </c>
      <c r="Q350" s="7" cm="1">
        <f t="array" ref="Q350:S350">VLOOKUP(P350,Hoja1!C:F,{2,3,4},FALSE)</f>
        <v>46309</v>
      </c>
      <c r="R350" t="str">
        <v>C26</v>
      </c>
      <c r="S350" t="str">
        <v>1000013691 GUGLIELMETTI AMERICO ANTONIO Y GUGL</v>
      </c>
    </row>
    <row r="351" spans="1:19" x14ac:dyDescent="0.3">
      <c r="A351" s="2" t="s">
        <v>14</v>
      </c>
      <c r="B351" s="3" t="s">
        <v>14</v>
      </c>
      <c r="C351" s="3" t="s">
        <v>2845</v>
      </c>
      <c r="D351" s="3" t="s">
        <v>32</v>
      </c>
      <c r="E351" s="3" t="s">
        <v>194</v>
      </c>
      <c r="F351" s="4">
        <v>46297</v>
      </c>
      <c r="G351" s="3" t="s">
        <v>27</v>
      </c>
      <c r="H351" s="6">
        <v>640000</v>
      </c>
      <c r="I351" s="3" t="s">
        <v>18</v>
      </c>
      <c r="J351" s="3" t="s">
        <v>19</v>
      </c>
      <c r="K351" s="3" t="s">
        <v>14</v>
      </c>
      <c r="L351" s="3" t="s">
        <v>1800</v>
      </c>
      <c r="M351" s="4">
        <v>46297</v>
      </c>
      <c r="N351" s="3" t="s">
        <v>1801</v>
      </c>
      <c r="O351" s="3" t="s">
        <v>22</v>
      </c>
      <c r="P351" t="str">
        <f t="shared" si="5"/>
        <v>450013944920</v>
      </c>
      <c r="Q351" s="7" cm="1">
        <f t="array" ref="Q351:S351">VLOOKUP(P351,Hoja1!C:F,{2,3,4},FALSE)</f>
        <v>46309</v>
      </c>
      <c r="R351" t="str">
        <v>C26</v>
      </c>
      <c r="S351" t="str">
        <v>1000013691 GUGLIELMETTI AMERICO ANTONIO Y GUGL</v>
      </c>
    </row>
    <row r="352" spans="1:19" x14ac:dyDescent="0.3">
      <c r="A352" s="2" t="s">
        <v>14</v>
      </c>
      <c r="B352" s="3" t="s">
        <v>14</v>
      </c>
      <c r="C352" s="3" t="s">
        <v>2846</v>
      </c>
      <c r="D352" s="3" t="s">
        <v>32</v>
      </c>
      <c r="E352" s="3" t="s">
        <v>194</v>
      </c>
      <c r="F352" s="4">
        <v>46296</v>
      </c>
      <c r="G352" s="3" t="s">
        <v>27</v>
      </c>
      <c r="H352" s="6">
        <v>1881308</v>
      </c>
      <c r="I352" s="3" t="s">
        <v>18</v>
      </c>
      <c r="J352" s="3" t="s">
        <v>19</v>
      </c>
      <c r="K352" s="3" t="s">
        <v>14</v>
      </c>
      <c r="L352" s="3" t="s">
        <v>976</v>
      </c>
      <c r="M352" s="4">
        <v>46297</v>
      </c>
      <c r="N352" s="3" t="s">
        <v>2285</v>
      </c>
      <c r="O352" s="3" t="s">
        <v>30</v>
      </c>
      <c r="P352" t="str">
        <f t="shared" si="5"/>
        <v>450012523310</v>
      </c>
      <c r="Q352" s="7" cm="1">
        <f t="array" ref="Q352:S352">VLOOKUP(P352,Hoja1!C:F,{2,3,4},FALSE)</f>
        <v>46295</v>
      </c>
      <c r="R352" t="str">
        <v>C25</v>
      </c>
      <c r="S352" t="str">
        <v>1000007795 JAWIT S.A.</v>
      </c>
    </row>
    <row r="353" spans="1:19" x14ac:dyDescent="0.3">
      <c r="A353" s="2" t="s">
        <v>14</v>
      </c>
      <c r="B353" s="3" t="s">
        <v>14</v>
      </c>
      <c r="C353" s="3" t="s">
        <v>2847</v>
      </c>
      <c r="D353" s="3" t="s">
        <v>32</v>
      </c>
      <c r="E353" s="3" t="s">
        <v>194</v>
      </c>
      <c r="F353" s="4">
        <v>46296</v>
      </c>
      <c r="G353" s="3" t="s">
        <v>27</v>
      </c>
      <c r="H353" s="6">
        <v>233121.63</v>
      </c>
      <c r="I353" s="3" t="s">
        <v>18</v>
      </c>
      <c r="J353" s="3" t="s">
        <v>19</v>
      </c>
      <c r="K353" s="3" t="s">
        <v>14</v>
      </c>
      <c r="L353" s="3" t="s">
        <v>976</v>
      </c>
      <c r="M353" s="4">
        <v>46297</v>
      </c>
      <c r="N353" s="3" t="s">
        <v>2287</v>
      </c>
      <c r="O353" s="3" t="s">
        <v>30</v>
      </c>
      <c r="P353" t="str">
        <f t="shared" si="5"/>
        <v>450013667110</v>
      </c>
      <c r="Q353" s="7" cm="1">
        <f t="array" ref="Q353:S353">VLOOKUP(P353,Hoja1!C:F,{2,3,4},FALSE)</f>
        <v>46326</v>
      </c>
      <c r="R353" t="str">
        <v>C25</v>
      </c>
      <c r="S353" t="str">
        <v>1000007795 JAWIT S.A.</v>
      </c>
    </row>
    <row r="354" spans="1:19" x14ac:dyDescent="0.3">
      <c r="A354" s="2" t="s">
        <v>14</v>
      </c>
      <c r="B354" s="3" t="s">
        <v>14</v>
      </c>
      <c r="C354" s="3" t="s">
        <v>2847</v>
      </c>
      <c r="D354" s="3" t="s">
        <v>32</v>
      </c>
      <c r="E354" s="3" t="s">
        <v>194</v>
      </c>
      <c r="F354" s="4">
        <v>46296</v>
      </c>
      <c r="G354" s="3" t="s">
        <v>27</v>
      </c>
      <c r="H354" s="6">
        <v>233121.63</v>
      </c>
      <c r="I354" s="3" t="s">
        <v>18</v>
      </c>
      <c r="J354" s="3" t="s">
        <v>19</v>
      </c>
      <c r="K354" s="3" t="s">
        <v>14</v>
      </c>
      <c r="L354" s="3" t="s">
        <v>976</v>
      </c>
      <c r="M354" s="4">
        <v>46297</v>
      </c>
      <c r="N354" s="3" t="s">
        <v>2287</v>
      </c>
      <c r="O354" s="3" t="s">
        <v>22</v>
      </c>
      <c r="P354" t="str">
        <f t="shared" si="5"/>
        <v>450013667120</v>
      </c>
      <c r="Q354" s="7" cm="1">
        <f t="array" ref="Q354:S354">VLOOKUP(P354,Hoja1!C:F,{2,3,4},FALSE)</f>
        <v>46326</v>
      </c>
      <c r="R354" t="str">
        <v>C25</v>
      </c>
      <c r="S354" t="str">
        <v>1000007795 JAWIT S.A.</v>
      </c>
    </row>
    <row r="355" spans="1:19" x14ac:dyDescent="0.3">
      <c r="A355" s="2" t="s">
        <v>14</v>
      </c>
      <c r="B355" s="3" t="s">
        <v>14</v>
      </c>
      <c r="C355" s="3" t="s">
        <v>2847</v>
      </c>
      <c r="D355" s="3" t="s">
        <v>32</v>
      </c>
      <c r="E355" s="3" t="s">
        <v>194</v>
      </c>
      <c r="F355" s="4">
        <v>46296</v>
      </c>
      <c r="G355" s="3" t="s">
        <v>27</v>
      </c>
      <c r="H355" s="6">
        <v>233121.63</v>
      </c>
      <c r="I355" s="3" t="s">
        <v>18</v>
      </c>
      <c r="J355" s="3" t="s">
        <v>19</v>
      </c>
      <c r="K355" s="3" t="s">
        <v>14</v>
      </c>
      <c r="L355" s="3" t="s">
        <v>976</v>
      </c>
      <c r="M355" s="4">
        <v>46297</v>
      </c>
      <c r="N355" s="3" t="s">
        <v>2287</v>
      </c>
      <c r="O355" s="3" t="s">
        <v>35</v>
      </c>
      <c r="P355" t="str">
        <f t="shared" si="5"/>
        <v>450013667130</v>
      </c>
      <c r="Q355" s="7" cm="1">
        <f t="array" ref="Q355:S355">VLOOKUP(P355,Hoja1!C:F,{2,3,4},FALSE)</f>
        <v>46326</v>
      </c>
      <c r="R355" t="str">
        <v>C25</v>
      </c>
      <c r="S355" t="str">
        <v>1000007795 JAWIT S.A.</v>
      </c>
    </row>
    <row r="356" spans="1:19" x14ac:dyDescent="0.3">
      <c r="A356" s="2" t="s">
        <v>14</v>
      </c>
      <c r="B356" s="3" t="s">
        <v>14</v>
      </c>
      <c r="C356" s="3" t="s">
        <v>2847</v>
      </c>
      <c r="D356" s="3" t="s">
        <v>32</v>
      </c>
      <c r="E356" s="3" t="s">
        <v>194</v>
      </c>
      <c r="F356" s="4">
        <v>46296</v>
      </c>
      <c r="G356" s="3" t="s">
        <v>27</v>
      </c>
      <c r="H356" s="6">
        <v>233121.63</v>
      </c>
      <c r="I356" s="3" t="s">
        <v>18</v>
      </c>
      <c r="J356" s="3" t="s">
        <v>19</v>
      </c>
      <c r="K356" s="3" t="s">
        <v>14</v>
      </c>
      <c r="L356" s="3" t="s">
        <v>976</v>
      </c>
      <c r="M356" s="4">
        <v>46297</v>
      </c>
      <c r="N356" s="3" t="s">
        <v>2287</v>
      </c>
      <c r="O356" s="3" t="s">
        <v>23</v>
      </c>
      <c r="P356" t="str">
        <f t="shared" si="5"/>
        <v>450013667140</v>
      </c>
      <c r="Q356" s="7" cm="1">
        <f t="array" ref="Q356:S356">VLOOKUP(P356,Hoja1!C:F,{2,3,4},FALSE)</f>
        <v>46326</v>
      </c>
      <c r="R356" t="str">
        <v>C25</v>
      </c>
      <c r="S356" t="str">
        <v>1000007795 JAWIT S.A.</v>
      </c>
    </row>
    <row r="357" spans="1:19" x14ac:dyDescent="0.3">
      <c r="A357" s="2" t="s">
        <v>14</v>
      </c>
      <c r="B357" s="3" t="s">
        <v>14</v>
      </c>
      <c r="C357" s="3" t="s">
        <v>2847</v>
      </c>
      <c r="D357" s="3" t="s">
        <v>32</v>
      </c>
      <c r="E357" s="3" t="s">
        <v>194</v>
      </c>
      <c r="F357" s="4">
        <v>46296</v>
      </c>
      <c r="G357" s="3" t="s">
        <v>27</v>
      </c>
      <c r="H357" s="6">
        <v>429429</v>
      </c>
      <c r="I357" s="3" t="s">
        <v>18</v>
      </c>
      <c r="J357" s="3" t="s">
        <v>19</v>
      </c>
      <c r="K357" s="3" t="s">
        <v>14</v>
      </c>
      <c r="L357" s="3" t="s">
        <v>976</v>
      </c>
      <c r="M357" s="4">
        <v>46297</v>
      </c>
      <c r="N357" s="3" t="s">
        <v>2287</v>
      </c>
      <c r="O357" s="3" t="s">
        <v>144</v>
      </c>
      <c r="P357" t="str">
        <f t="shared" si="5"/>
        <v>450013667150</v>
      </c>
      <c r="Q357" s="7" cm="1">
        <f t="array" ref="Q357:S357">VLOOKUP(P357,Hoja1!C:F,{2,3,4},FALSE)</f>
        <v>46326</v>
      </c>
      <c r="R357" t="str">
        <v>C25</v>
      </c>
      <c r="S357" t="str">
        <v>1000007795 JAWIT S.A.</v>
      </c>
    </row>
    <row r="358" spans="1:19" x14ac:dyDescent="0.3">
      <c r="A358" s="2" t="s">
        <v>14</v>
      </c>
      <c r="B358" s="3" t="s">
        <v>14</v>
      </c>
      <c r="C358" s="3" t="s">
        <v>2848</v>
      </c>
      <c r="D358" s="3" t="s">
        <v>32</v>
      </c>
      <c r="E358" s="3" t="s">
        <v>194</v>
      </c>
      <c r="F358" s="4">
        <v>46296</v>
      </c>
      <c r="G358" s="3" t="s">
        <v>27</v>
      </c>
      <c r="H358" s="6">
        <v>838378.75</v>
      </c>
      <c r="I358" s="3" t="s">
        <v>18</v>
      </c>
      <c r="J358" s="3" t="s">
        <v>19</v>
      </c>
      <c r="K358" s="3" t="s">
        <v>14</v>
      </c>
      <c r="L358" s="3" t="s">
        <v>976</v>
      </c>
      <c r="M358" s="4">
        <v>46297</v>
      </c>
      <c r="N358" s="3" t="s">
        <v>2287</v>
      </c>
      <c r="O358" s="3" t="s">
        <v>134</v>
      </c>
      <c r="P358" t="str">
        <f t="shared" si="5"/>
        <v>450013667170</v>
      </c>
      <c r="Q358" s="7" cm="1">
        <f t="array" ref="Q358:S358">VLOOKUP(P358,Hoja1!C:F,{2,3,4},FALSE)</f>
        <v>46326</v>
      </c>
      <c r="R358" t="str">
        <v>C25</v>
      </c>
      <c r="S358" t="str">
        <v>1000007795 JAWIT S.A.</v>
      </c>
    </row>
    <row r="359" spans="1:19" x14ac:dyDescent="0.3">
      <c r="A359" s="2" t="s">
        <v>14</v>
      </c>
      <c r="B359" s="3" t="s">
        <v>14</v>
      </c>
      <c r="C359" s="3" t="s">
        <v>2849</v>
      </c>
      <c r="D359" s="3" t="s">
        <v>14</v>
      </c>
      <c r="E359" s="3" t="s">
        <v>194</v>
      </c>
      <c r="F359" s="4">
        <v>46265</v>
      </c>
      <c r="G359" s="3" t="s">
        <v>27</v>
      </c>
      <c r="H359" s="6">
        <v>1054956</v>
      </c>
      <c r="I359" s="3" t="s">
        <v>18</v>
      </c>
      <c r="J359" s="3" t="s">
        <v>19</v>
      </c>
      <c r="K359" s="3" t="s">
        <v>14</v>
      </c>
      <c r="L359" s="3" t="s">
        <v>125</v>
      </c>
      <c r="M359" s="4">
        <v>46297</v>
      </c>
      <c r="N359" s="3" t="s">
        <v>2767</v>
      </c>
      <c r="O359" s="3" t="s">
        <v>30</v>
      </c>
      <c r="P359" t="str">
        <f t="shared" si="5"/>
        <v>450013740910</v>
      </c>
      <c r="Q359" s="7" cm="1">
        <f t="array" ref="Q359:S359">VLOOKUP(P359,Hoja1!C:F,{2,3,4},FALSE)</f>
        <v>46295</v>
      </c>
      <c r="R359" t="str">
        <v>C03</v>
      </c>
      <c r="S359" t="str">
        <v>1000001470 SUDAMERICANA CAMIONES SA</v>
      </c>
    </row>
    <row r="360" spans="1:19" x14ac:dyDescent="0.3">
      <c r="A360" s="2" t="s">
        <v>14</v>
      </c>
      <c r="B360" s="3" t="s">
        <v>14</v>
      </c>
      <c r="C360" s="3" t="s">
        <v>2850</v>
      </c>
      <c r="D360" s="3" t="s">
        <v>14</v>
      </c>
      <c r="E360" s="3" t="s">
        <v>194</v>
      </c>
      <c r="F360" s="4">
        <v>46265</v>
      </c>
      <c r="G360" s="3" t="s">
        <v>27</v>
      </c>
      <c r="H360" s="6">
        <v>1054956</v>
      </c>
      <c r="I360" s="3" t="s">
        <v>18</v>
      </c>
      <c r="J360" s="3" t="s">
        <v>19</v>
      </c>
      <c r="K360" s="3" t="s">
        <v>14</v>
      </c>
      <c r="L360" s="3" t="s">
        <v>125</v>
      </c>
      <c r="M360" s="4">
        <v>46297</v>
      </c>
      <c r="N360" s="3" t="s">
        <v>2767</v>
      </c>
      <c r="O360" s="3" t="s">
        <v>30</v>
      </c>
      <c r="P360" t="str">
        <f t="shared" si="5"/>
        <v>450013740910</v>
      </c>
      <c r="Q360" s="7" cm="1">
        <f t="array" ref="Q360:S360">VLOOKUP(P360,Hoja1!C:F,{2,3,4},FALSE)</f>
        <v>46295</v>
      </c>
      <c r="R360" t="str">
        <v>C03</v>
      </c>
      <c r="S360" t="str">
        <v>1000001470 SUDAMERICANA CAMIONES SA</v>
      </c>
    </row>
    <row r="361" spans="1:19" x14ac:dyDescent="0.3">
      <c r="A361" s="2" t="s">
        <v>14</v>
      </c>
      <c r="B361" s="3" t="s">
        <v>14</v>
      </c>
      <c r="C361" s="3" t="s">
        <v>2851</v>
      </c>
      <c r="D361" s="3" t="s">
        <v>14</v>
      </c>
      <c r="E361" s="3" t="s">
        <v>194</v>
      </c>
      <c r="F361" s="4">
        <v>46265</v>
      </c>
      <c r="G361" s="3" t="s">
        <v>27</v>
      </c>
      <c r="H361" s="6">
        <v>1054956</v>
      </c>
      <c r="I361" s="3" t="s">
        <v>18</v>
      </c>
      <c r="J361" s="3" t="s">
        <v>19</v>
      </c>
      <c r="K361" s="3" t="s">
        <v>14</v>
      </c>
      <c r="L361" s="3" t="s">
        <v>125</v>
      </c>
      <c r="M361" s="4">
        <v>46297</v>
      </c>
      <c r="N361" s="3" t="s">
        <v>2767</v>
      </c>
      <c r="O361" s="3" t="s">
        <v>30</v>
      </c>
      <c r="P361" t="str">
        <f t="shared" si="5"/>
        <v>450013740910</v>
      </c>
      <c r="Q361" s="7" cm="1">
        <f t="array" ref="Q361:S361">VLOOKUP(P361,Hoja1!C:F,{2,3,4},FALSE)</f>
        <v>46295</v>
      </c>
      <c r="R361" t="str">
        <v>C03</v>
      </c>
      <c r="S361" t="str">
        <v>1000001470 SUDAMERICANA CAMIONES SA</v>
      </c>
    </row>
    <row r="362" spans="1:19" x14ac:dyDescent="0.3">
      <c r="A362" s="2" t="s">
        <v>14</v>
      </c>
      <c r="B362" s="3" t="s">
        <v>14</v>
      </c>
      <c r="C362" s="3" t="s">
        <v>2852</v>
      </c>
      <c r="D362" s="3" t="s">
        <v>14</v>
      </c>
      <c r="E362" s="3" t="s">
        <v>194</v>
      </c>
      <c r="F362" s="4">
        <v>46265</v>
      </c>
      <c r="G362" s="3" t="s">
        <v>27</v>
      </c>
      <c r="H362" s="6">
        <v>1054956</v>
      </c>
      <c r="I362" s="3" t="s">
        <v>18</v>
      </c>
      <c r="J362" s="3" t="s">
        <v>19</v>
      </c>
      <c r="K362" s="3" t="s">
        <v>14</v>
      </c>
      <c r="L362" s="3" t="s">
        <v>125</v>
      </c>
      <c r="M362" s="4">
        <v>46297</v>
      </c>
      <c r="N362" s="3" t="s">
        <v>2767</v>
      </c>
      <c r="O362" s="3" t="s">
        <v>30</v>
      </c>
      <c r="P362" t="str">
        <f t="shared" si="5"/>
        <v>450013740910</v>
      </c>
      <c r="Q362" s="7" cm="1">
        <f t="array" ref="Q362:S362">VLOOKUP(P362,Hoja1!C:F,{2,3,4},FALSE)</f>
        <v>46295</v>
      </c>
      <c r="R362" t="str">
        <v>C03</v>
      </c>
      <c r="S362" t="str">
        <v>1000001470 SUDAMERICANA CAMIONES SA</v>
      </c>
    </row>
    <row r="363" spans="1:19" x14ac:dyDescent="0.3">
      <c r="A363" s="2" t="s">
        <v>14</v>
      </c>
      <c r="B363" s="3" t="s">
        <v>14</v>
      </c>
      <c r="C363" s="3" t="s">
        <v>2853</v>
      </c>
      <c r="D363" s="3" t="s">
        <v>14</v>
      </c>
      <c r="E363" s="3" t="s">
        <v>194</v>
      </c>
      <c r="F363" s="4">
        <v>46265</v>
      </c>
      <c r="G363" s="3" t="s">
        <v>27</v>
      </c>
      <c r="H363" s="6">
        <v>1054956</v>
      </c>
      <c r="I363" s="3" t="s">
        <v>18</v>
      </c>
      <c r="J363" s="3" t="s">
        <v>19</v>
      </c>
      <c r="K363" s="3" t="s">
        <v>14</v>
      </c>
      <c r="L363" s="3" t="s">
        <v>125</v>
      </c>
      <c r="M363" s="4">
        <v>46297</v>
      </c>
      <c r="N363" s="3" t="s">
        <v>2767</v>
      </c>
      <c r="O363" s="3" t="s">
        <v>30</v>
      </c>
      <c r="P363" t="str">
        <f t="shared" si="5"/>
        <v>450013740910</v>
      </c>
      <c r="Q363" s="7" cm="1">
        <f t="array" ref="Q363:S363">VLOOKUP(P363,Hoja1!C:F,{2,3,4},FALSE)</f>
        <v>46295</v>
      </c>
      <c r="R363" t="str">
        <v>C03</v>
      </c>
      <c r="S363" t="str">
        <v>1000001470 SUDAMERICANA CAMIONES SA</v>
      </c>
    </row>
    <row r="364" spans="1:19" x14ac:dyDescent="0.3">
      <c r="A364" s="2" t="s">
        <v>14</v>
      </c>
      <c r="B364" s="3" t="s">
        <v>14</v>
      </c>
      <c r="C364" s="3" t="s">
        <v>2854</v>
      </c>
      <c r="D364" s="3" t="s">
        <v>14</v>
      </c>
      <c r="E364" s="3" t="s">
        <v>194</v>
      </c>
      <c r="F364" s="4">
        <v>46288</v>
      </c>
      <c r="G364" s="3" t="s">
        <v>27</v>
      </c>
      <c r="H364" s="6">
        <v>790000</v>
      </c>
      <c r="I364" s="3" t="s">
        <v>18</v>
      </c>
      <c r="J364" s="3" t="s">
        <v>19</v>
      </c>
      <c r="K364" s="3" t="s">
        <v>14</v>
      </c>
      <c r="L364" s="3" t="s">
        <v>1700</v>
      </c>
      <c r="M364" s="4">
        <v>46297</v>
      </c>
      <c r="N364" s="3" t="s">
        <v>1701</v>
      </c>
      <c r="O364" s="3" t="s">
        <v>30</v>
      </c>
      <c r="P364" t="str">
        <f t="shared" si="5"/>
        <v>450013697910</v>
      </c>
      <c r="Q364" s="7" cm="1">
        <f t="array" ref="Q364:S364">VLOOKUP(P364,Hoja1!C:F,{2,3,4},FALSE)</f>
        <v>46275</v>
      </c>
      <c r="R364" t="str">
        <v>C22</v>
      </c>
      <c r="S364" t="str">
        <v>1000000707 FIDEICOMISO MUJERES ARGENTINAS</v>
      </c>
    </row>
    <row r="365" spans="1:19" x14ac:dyDescent="0.3">
      <c r="A365" s="2" t="s">
        <v>14</v>
      </c>
      <c r="B365" s="3" t="s">
        <v>14</v>
      </c>
      <c r="C365" s="3" t="s">
        <v>2855</v>
      </c>
      <c r="D365" s="3" t="s">
        <v>14</v>
      </c>
      <c r="E365" s="3" t="s">
        <v>194</v>
      </c>
      <c r="F365" s="4">
        <v>46288</v>
      </c>
      <c r="G365" s="3" t="s">
        <v>27</v>
      </c>
      <c r="H365" s="6">
        <v>790000</v>
      </c>
      <c r="I365" s="3" t="s">
        <v>18</v>
      </c>
      <c r="J365" s="3" t="s">
        <v>19</v>
      </c>
      <c r="K365" s="3" t="s">
        <v>14</v>
      </c>
      <c r="L365" s="3" t="s">
        <v>1700</v>
      </c>
      <c r="M365" s="4">
        <v>46297</v>
      </c>
      <c r="N365" s="3" t="s">
        <v>1701</v>
      </c>
      <c r="O365" s="3" t="s">
        <v>30</v>
      </c>
      <c r="P365" t="str">
        <f t="shared" si="5"/>
        <v>450013697910</v>
      </c>
      <c r="Q365" s="7" cm="1">
        <f t="array" ref="Q365:S365">VLOOKUP(P365,Hoja1!C:F,{2,3,4},FALSE)</f>
        <v>46275</v>
      </c>
      <c r="R365" t="str">
        <v>C22</v>
      </c>
      <c r="S365" t="str">
        <v>1000000707 FIDEICOMISO MUJERES ARGENTINAS</v>
      </c>
    </row>
    <row r="366" spans="1:19" x14ac:dyDescent="0.3">
      <c r="A366" s="2" t="s">
        <v>14</v>
      </c>
      <c r="B366" s="3" t="s">
        <v>14</v>
      </c>
      <c r="C366" s="3" t="s">
        <v>2856</v>
      </c>
      <c r="D366" s="3" t="s">
        <v>192</v>
      </c>
      <c r="E366" s="3" t="s">
        <v>194</v>
      </c>
      <c r="F366" s="4">
        <v>46266</v>
      </c>
      <c r="G366" s="3" t="s">
        <v>27</v>
      </c>
      <c r="H366" s="6">
        <v>396849.75</v>
      </c>
      <c r="I366" s="3" t="s">
        <v>18</v>
      </c>
      <c r="J366" s="3" t="s">
        <v>19</v>
      </c>
      <c r="K366" s="3" t="s">
        <v>14</v>
      </c>
      <c r="L366" s="3" t="s">
        <v>976</v>
      </c>
      <c r="M366" s="4">
        <v>46297</v>
      </c>
      <c r="N366" s="3" t="s">
        <v>2267</v>
      </c>
      <c r="O366" s="3" t="s">
        <v>30</v>
      </c>
      <c r="P366" t="str">
        <f t="shared" si="5"/>
        <v>450011766410</v>
      </c>
      <c r="Q366" s="7" cm="1">
        <f t="array" ref="Q366:S366">VLOOKUP(P366,Hoja1!C:F,{2,3,4},FALSE)</f>
        <v>46356</v>
      </c>
      <c r="R366" t="str">
        <v>C25</v>
      </c>
      <c r="S366" t="str">
        <v>1000007795 JAWIT S.A.</v>
      </c>
    </row>
    <row r="367" spans="1:19" x14ac:dyDescent="0.3">
      <c r="A367" s="2" t="s">
        <v>14</v>
      </c>
      <c r="B367" s="3" t="s">
        <v>14</v>
      </c>
      <c r="C367" s="3" t="s">
        <v>2857</v>
      </c>
      <c r="D367" s="3" t="s">
        <v>14</v>
      </c>
      <c r="E367" s="3" t="s">
        <v>194</v>
      </c>
      <c r="F367" s="4">
        <v>46295</v>
      </c>
      <c r="G367" s="3" t="s">
        <v>27</v>
      </c>
      <c r="H367" s="6">
        <v>170863.2</v>
      </c>
      <c r="I367" s="3" t="s">
        <v>18</v>
      </c>
      <c r="J367" s="3" t="s">
        <v>19</v>
      </c>
      <c r="K367" s="3" t="s">
        <v>14</v>
      </c>
      <c r="L367" s="3" t="s">
        <v>575</v>
      </c>
      <c r="M367" s="4">
        <v>46297</v>
      </c>
      <c r="N367" s="3" t="s">
        <v>2858</v>
      </c>
      <c r="O367" s="3" t="s">
        <v>30</v>
      </c>
      <c r="P367" t="str">
        <f t="shared" si="5"/>
        <v>450013953710</v>
      </c>
      <c r="Q367" s="7" cm="1">
        <f t="array" ref="Q367:S367">VLOOKUP(P367,Hoja1!C:F,{2,3,4},FALSE)</f>
        <v>46295</v>
      </c>
      <c r="R367" t="str">
        <v>C27</v>
      </c>
      <c r="S367" t="str">
        <v>1000000001 FERRETERA SAN LUIS</v>
      </c>
    </row>
    <row r="368" spans="1:19" x14ac:dyDescent="0.3">
      <c r="A368" s="2" t="s">
        <v>14</v>
      </c>
      <c r="B368" s="3" t="s">
        <v>14</v>
      </c>
      <c r="C368" s="3" t="s">
        <v>2859</v>
      </c>
      <c r="D368" s="3" t="s">
        <v>14</v>
      </c>
      <c r="E368" s="3" t="s">
        <v>194</v>
      </c>
      <c r="F368" s="4">
        <v>46296</v>
      </c>
      <c r="G368" s="3" t="s">
        <v>27</v>
      </c>
      <c r="H368" s="6">
        <v>35510</v>
      </c>
      <c r="I368" s="3" t="s">
        <v>18</v>
      </c>
      <c r="J368" s="3" t="s">
        <v>19</v>
      </c>
      <c r="K368" s="3" t="s">
        <v>14</v>
      </c>
      <c r="L368" s="3" t="s">
        <v>1056</v>
      </c>
      <c r="M368" s="4">
        <v>46297</v>
      </c>
      <c r="N368" s="3" t="s">
        <v>2172</v>
      </c>
      <c r="O368" s="3" t="s">
        <v>23</v>
      </c>
      <c r="P368" t="str">
        <f t="shared" si="5"/>
        <v>450013904140</v>
      </c>
      <c r="Q368" s="7" cm="1">
        <f t="array" ref="Q368:S368">VLOOKUP(P368,Hoja1!C:F,{2,3,4},FALSE)</f>
        <v>46290</v>
      </c>
      <c r="R368" t="str">
        <v>C27</v>
      </c>
      <c r="S368" t="str">
        <v>1000007373 ANGIULLI SERGIO RAUL</v>
      </c>
    </row>
    <row r="369" spans="1:19" x14ac:dyDescent="0.3">
      <c r="A369" s="2" t="s">
        <v>14</v>
      </c>
      <c r="B369" s="3" t="s">
        <v>14</v>
      </c>
      <c r="C369" s="3" t="s">
        <v>2860</v>
      </c>
      <c r="D369" s="3" t="s">
        <v>14</v>
      </c>
      <c r="E369" s="3" t="s">
        <v>194</v>
      </c>
      <c r="F369" s="4">
        <v>46291</v>
      </c>
      <c r="G369" s="3" t="s">
        <v>27</v>
      </c>
      <c r="H369" s="6">
        <v>798608</v>
      </c>
      <c r="I369" s="3" t="s">
        <v>18</v>
      </c>
      <c r="J369" s="3" t="s">
        <v>19</v>
      </c>
      <c r="K369" s="3" t="s">
        <v>14</v>
      </c>
      <c r="L369" s="3" t="s">
        <v>575</v>
      </c>
      <c r="M369" s="4">
        <v>46297</v>
      </c>
      <c r="N369" s="3" t="s">
        <v>2861</v>
      </c>
      <c r="O369" s="3" t="s">
        <v>30</v>
      </c>
      <c r="P369" t="str">
        <f t="shared" si="5"/>
        <v>450013939510</v>
      </c>
      <c r="Q369" s="7" cm="1">
        <f t="array" ref="Q369:S369">VLOOKUP(P369,Hoja1!C:F,{2,3,4},FALSE)</f>
        <v>46302</v>
      </c>
      <c r="R369" t="str">
        <v>C28</v>
      </c>
      <c r="S369" t="str">
        <v>1000000001 FERRETERA SAN LUIS</v>
      </c>
    </row>
    <row r="370" spans="1:19" x14ac:dyDescent="0.3">
      <c r="A370" s="2" t="s">
        <v>14</v>
      </c>
      <c r="B370" s="3" t="s">
        <v>14</v>
      </c>
      <c r="C370" s="3" t="s">
        <v>2860</v>
      </c>
      <c r="D370" s="3" t="s">
        <v>14</v>
      </c>
      <c r="E370" s="3" t="s">
        <v>194</v>
      </c>
      <c r="F370" s="4">
        <v>46291</v>
      </c>
      <c r="G370" s="3" t="s">
        <v>27</v>
      </c>
      <c r="H370" s="6">
        <v>2736760</v>
      </c>
      <c r="I370" s="3" t="s">
        <v>18</v>
      </c>
      <c r="J370" s="3" t="s">
        <v>19</v>
      </c>
      <c r="K370" s="3" t="s">
        <v>14</v>
      </c>
      <c r="L370" s="3" t="s">
        <v>575</v>
      </c>
      <c r="M370" s="4">
        <v>46297</v>
      </c>
      <c r="N370" s="3" t="s">
        <v>2861</v>
      </c>
      <c r="O370" s="3" t="s">
        <v>22</v>
      </c>
      <c r="P370" t="str">
        <f t="shared" si="5"/>
        <v>450013939520</v>
      </c>
      <c r="Q370" s="7" cm="1">
        <f t="array" ref="Q370:S370">VLOOKUP(P370,Hoja1!C:F,{2,3,4},FALSE)</f>
        <v>46302</v>
      </c>
      <c r="R370" t="str">
        <v>C28</v>
      </c>
      <c r="S370" t="str">
        <v>1000000001 FERRETERA SAN LUIS</v>
      </c>
    </row>
    <row r="371" spans="1:19" x14ac:dyDescent="0.3">
      <c r="A371" s="2" t="s">
        <v>14</v>
      </c>
      <c r="B371" s="3" t="s">
        <v>14</v>
      </c>
      <c r="C371" s="3" t="s">
        <v>2860</v>
      </c>
      <c r="D371" s="3" t="s">
        <v>14</v>
      </c>
      <c r="E371" s="3" t="s">
        <v>194</v>
      </c>
      <c r="F371" s="4">
        <v>46291</v>
      </c>
      <c r="G371" s="3" t="s">
        <v>27</v>
      </c>
      <c r="H371" s="6">
        <v>26448</v>
      </c>
      <c r="I371" s="3" t="s">
        <v>18</v>
      </c>
      <c r="J371" s="3" t="s">
        <v>19</v>
      </c>
      <c r="K371" s="3" t="s">
        <v>14</v>
      </c>
      <c r="L371" s="3" t="s">
        <v>575</v>
      </c>
      <c r="M371" s="4">
        <v>46297</v>
      </c>
      <c r="N371" s="3" t="s">
        <v>2861</v>
      </c>
      <c r="O371" s="3" t="s">
        <v>35</v>
      </c>
      <c r="P371" t="str">
        <f t="shared" si="5"/>
        <v>450013939530</v>
      </c>
      <c r="Q371" s="7" cm="1">
        <f t="array" ref="Q371:S371">VLOOKUP(P371,Hoja1!C:F,{2,3,4},FALSE)</f>
        <v>46302</v>
      </c>
      <c r="R371" t="str">
        <v>C28</v>
      </c>
      <c r="S371" t="str">
        <v>1000000001 FERRETERA SAN LUIS</v>
      </c>
    </row>
    <row r="372" spans="1:19" x14ac:dyDescent="0.3">
      <c r="A372" s="2" t="s">
        <v>14</v>
      </c>
      <c r="B372" s="3" t="s">
        <v>14</v>
      </c>
      <c r="C372" s="3" t="s">
        <v>2862</v>
      </c>
      <c r="D372" s="3" t="s">
        <v>14</v>
      </c>
      <c r="E372" s="3" t="s">
        <v>194</v>
      </c>
      <c r="F372" s="4">
        <v>46289</v>
      </c>
      <c r="G372" s="3" t="s">
        <v>27</v>
      </c>
      <c r="H372" s="6">
        <v>41152.35</v>
      </c>
      <c r="I372" s="3" t="s">
        <v>18</v>
      </c>
      <c r="J372" s="3" t="s">
        <v>19</v>
      </c>
      <c r="K372" s="3" t="s">
        <v>14</v>
      </c>
      <c r="L372" s="3" t="s">
        <v>892</v>
      </c>
      <c r="M372" s="4">
        <v>46297</v>
      </c>
      <c r="N372" s="3" t="s">
        <v>2041</v>
      </c>
      <c r="O372" s="3" t="s">
        <v>161</v>
      </c>
      <c r="P372" t="str">
        <f t="shared" si="5"/>
        <v>4500138639200</v>
      </c>
      <c r="Q372" s="7" cm="1">
        <f t="array" ref="Q372:S372">VLOOKUP(P372,Hoja1!C:F,{2,3,4},FALSE)</f>
        <v>46290</v>
      </c>
      <c r="R372" t="str">
        <v>C27</v>
      </c>
      <c r="S372" t="str">
        <v>1000000894 FORTIN REPUBLICA SA</v>
      </c>
    </row>
    <row r="373" spans="1:19" x14ac:dyDescent="0.3">
      <c r="A373" s="2" t="s">
        <v>14</v>
      </c>
      <c r="B373" s="3" t="s">
        <v>14</v>
      </c>
      <c r="C373" s="3" t="s">
        <v>2863</v>
      </c>
      <c r="D373" s="3" t="s">
        <v>14</v>
      </c>
      <c r="E373" s="3" t="s">
        <v>194</v>
      </c>
      <c r="F373" s="4">
        <v>46289</v>
      </c>
      <c r="G373" s="3" t="s">
        <v>27</v>
      </c>
      <c r="H373" s="6">
        <v>7115.66</v>
      </c>
      <c r="I373" s="3" t="s">
        <v>18</v>
      </c>
      <c r="J373" s="3" t="s">
        <v>19</v>
      </c>
      <c r="K373" s="3" t="s">
        <v>14</v>
      </c>
      <c r="L373" s="3" t="s">
        <v>892</v>
      </c>
      <c r="M373" s="4">
        <v>46297</v>
      </c>
      <c r="N373" s="3" t="s">
        <v>2041</v>
      </c>
      <c r="O373" s="3" t="s">
        <v>144</v>
      </c>
      <c r="P373" t="str">
        <f t="shared" si="5"/>
        <v>450013863950</v>
      </c>
      <c r="Q373" s="7" cm="1">
        <f t="array" ref="Q373:S373">VLOOKUP(P373,Hoja1!C:F,{2,3,4},FALSE)</f>
        <v>46290</v>
      </c>
      <c r="R373" t="str">
        <v>C27</v>
      </c>
      <c r="S373" t="str">
        <v>1000000894 FORTIN REPUBLICA SA</v>
      </c>
    </row>
    <row r="374" spans="1:19" x14ac:dyDescent="0.3">
      <c r="A374" s="2" t="s">
        <v>14</v>
      </c>
      <c r="B374" s="3" t="s">
        <v>14</v>
      </c>
      <c r="C374" s="3" t="s">
        <v>2864</v>
      </c>
      <c r="D374" s="3" t="s">
        <v>14</v>
      </c>
      <c r="E374" s="3" t="s">
        <v>194</v>
      </c>
      <c r="F374" s="4">
        <v>46295</v>
      </c>
      <c r="G374" s="3" t="s">
        <v>27</v>
      </c>
      <c r="H374" s="6">
        <v>1801057.5</v>
      </c>
      <c r="I374" s="3" t="s">
        <v>18</v>
      </c>
      <c r="J374" s="3" t="s">
        <v>19</v>
      </c>
      <c r="K374" s="3" t="s">
        <v>14</v>
      </c>
      <c r="L374" s="3" t="s">
        <v>1000</v>
      </c>
      <c r="M374" s="4">
        <v>46297</v>
      </c>
      <c r="N374" s="3" t="s">
        <v>1889</v>
      </c>
      <c r="O374" s="3" t="s">
        <v>30</v>
      </c>
      <c r="P374" t="str">
        <f t="shared" si="5"/>
        <v>450013943210</v>
      </c>
      <c r="Q374" s="7" cm="1">
        <f t="array" ref="Q374:S374">VLOOKUP(P374,Hoja1!C:F,{2,3,4},FALSE)</f>
        <v>46301</v>
      </c>
      <c r="R374" t="str">
        <v>C22</v>
      </c>
      <c r="S374" t="str">
        <v>1000002348 L-A PINTURAS INDUSTRIALES SRL</v>
      </c>
    </row>
    <row r="375" spans="1:19" x14ac:dyDescent="0.3">
      <c r="A375" s="2" t="s">
        <v>14</v>
      </c>
      <c r="B375" s="3" t="s">
        <v>14</v>
      </c>
      <c r="C375" s="3" t="s">
        <v>2865</v>
      </c>
      <c r="D375" s="3" t="s">
        <v>14</v>
      </c>
      <c r="E375" s="3" t="s">
        <v>194</v>
      </c>
      <c r="F375" s="4">
        <v>46295</v>
      </c>
      <c r="G375" s="3" t="s">
        <v>27</v>
      </c>
      <c r="H375" s="6">
        <v>1334231.25</v>
      </c>
      <c r="I375" s="3" t="s">
        <v>18</v>
      </c>
      <c r="J375" s="3" t="s">
        <v>19</v>
      </c>
      <c r="K375" s="3" t="s">
        <v>14</v>
      </c>
      <c r="L375" s="3" t="s">
        <v>1000</v>
      </c>
      <c r="M375" s="4">
        <v>46297</v>
      </c>
      <c r="N375" s="3" t="s">
        <v>1849</v>
      </c>
      <c r="O375" s="3" t="s">
        <v>30</v>
      </c>
      <c r="P375" t="str">
        <f t="shared" si="5"/>
        <v>450013943110</v>
      </c>
      <c r="Q375" s="7" cm="1">
        <f t="array" ref="Q375:S375">VLOOKUP(P375,Hoja1!C:F,{2,3,4},FALSE)</f>
        <v>46301</v>
      </c>
      <c r="R375" t="str">
        <v>C22</v>
      </c>
      <c r="S375" t="str">
        <v>1000002348 L-A PINTURAS INDUSTRIALES SRL</v>
      </c>
    </row>
    <row r="376" spans="1:19" x14ac:dyDescent="0.3">
      <c r="A376" s="2" t="s">
        <v>14</v>
      </c>
      <c r="B376" s="3" t="s">
        <v>14</v>
      </c>
      <c r="C376" s="3" t="s">
        <v>2866</v>
      </c>
      <c r="D376" s="3" t="s">
        <v>14</v>
      </c>
      <c r="E376" s="3" t="s">
        <v>194</v>
      </c>
      <c r="F376" s="4">
        <v>46295</v>
      </c>
      <c r="G376" s="3" t="s">
        <v>27</v>
      </c>
      <c r="H376" s="6">
        <v>349924</v>
      </c>
      <c r="I376" s="3" t="s">
        <v>18</v>
      </c>
      <c r="J376" s="3" t="s">
        <v>19</v>
      </c>
      <c r="K376" s="3" t="s">
        <v>14</v>
      </c>
      <c r="L376" s="3" t="s">
        <v>1051</v>
      </c>
      <c r="M376" s="4">
        <v>46297</v>
      </c>
      <c r="N376" s="3" t="s">
        <v>2095</v>
      </c>
      <c r="O376" s="3" t="s">
        <v>134</v>
      </c>
      <c r="P376" t="str">
        <f t="shared" si="5"/>
        <v>450013891870</v>
      </c>
      <c r="Q376" s="7" cm="1">
        <f t="array" ref="Q376:S376">VLOOKUP(P376,Hoja1!C:F,{2,3,4},FALSE)</f>
        <v>46290</v>
      </c>
      <c r="R376" t="str">
        <v>C11</v>
      </c>
      <c r="S376" t="str">
        <v>1000001432 ELECTRINET SRL</v>
      </c>
    </row>
    <row r="377" spans="1:19" x14ac:dyDescent="0.3">
      <c r="A377" s="2" t="s">
        <v>14</v>
      </c>
      <c r="B377" s="3" t="s">
        <v>14</v>
      </c>
      <c r="C377" s="3" t="s">
        <v>2867</v>
      </c>
      <c r="D377" s="3" t="s">
        <v>32</v>
      </c>
      <c r="E377" s="3" t="s">
        <v>194</v>
      </c>
      <c r="F377" s="4">
        <v>46297</v>
      </c>
      <c r="G377" s="3" t="s">
        <v>27</v>
      </c>
      <c r="H377" s="6">
        <v>4395000</v>
      </c>
      <c r="I377" s="3" t="s">
        <v>18</v>
      </c>
      <c r="J377" s="3" t="s">
        <v>19</v>
      </c>
      <c r="K377" s="3" t="s">
        <v>14</v>
      </c>
      <c r="L377" s="3" t="s">
        <v>2097</v>
      </c>
      <c r="M377" s="4">
        <v>46297</v>
      </c>
      <c r="N377" s="3" t="s">
        <v>2098</v>
      </c>
      <c r="O377" s="3" t="s">
        <v>30</v>
      </c>
      <c r="P377" t="str">
        <f t="shared" si="5"/>
        <v>450013731410</v>
      </c>
      <c r="Q377" s="7" cm="1">
        <f t="array" ref="Q377:S377">VLOOKUP(P377,Hoja1!C:F,{2,3,4},FALSE)</f>
        <v>46293</v>
      </c>
      <c r="R377" t="str">
        <v>377</v>
      </c>
      <c r="S377" t="str">
        <v>1000010685 TECNOSTORE S. A.</v>
      </c>
    </row>
    <row r="378" spans="1:19" x14ac:dyDescent="0.3">
      <c r="A378" s="2" t="s">
        <v>14</v>
      </c>
      <c r="B378" s="3" t="s">
        <v>14</v>
      </c>
      <c r="C378" s="3" t="s">
        <v>2868</v>
      </c>
      <c r="D378" s="3" t="s">
        <v>32</v>
      </c>
      <c r="E378" s="3" t="s">
        <v>194</v>
      </c>
      <c r="F378" s="4">
        <v>46295</v>
      </c>
      <c r="G378" s="3" t="s">
        <v>27</v>
      </c>
      <c r="H378" s="6">
        <v>326050.05</v>
      </c>
      <c r="I378" s="3" t="s">
        <v>18</v>
      </c>
      <c r="J378" s="3" t="s">
        <v>19</v>
      </c>
      <c r="K378" s="3" t="s">
        <v>14</v>
      </c>
      <c r="L378" s="3" t="s">
        <v>2067</v>
      </c>
      <c r="M378" s="4">
        <v>46298</v>
      </c>
      <c r="N378" s="3" t="s">
        <v>2068</v>
      </c>
      <c r="O378" s="3" t="s">
        <v>30</v>
      </c>
      <c r="P378" t="str">
        <f t="shared" si="5"/>
        <v>450013969910</v>
      </c>
      <c r="Q378" s="7" cm="1">
        <f t="array" ref="Q378:S378">VLOOKUP(P378,Hoja1!C:F,{2,3,4},FALSE)</f>
        <v>46298</v>
      </c>
      <c r="R378" t="str">
        <v>374</v>
      </c>
      <c r="S378" t="str">
        <v>1000000418 HILTI ARGENTINA SRL</v>
      </c>
    </row>
    <row r="379" spans="1:19" x14ac:dyDescent="0.3">
      <c r="A379" s="2" t="s">
        <v>14</v>
      </c>
      <c r="B379" s="3" t="s">
        <v>14</v>
      </c>
      <c r="C379" s="3" t="s">
        <v>2869</v>
      </c>
      <c r="D379" s="3" t="s">
        <v>32</v>
      </c>
      <c r="E379" s="3" t="s">
        <v>194</v>
      </c>
      <c r="F379" s="4">
        <v>46295</v>
      </c>
      <c r="G379" s="3" t="s">
        <v>27</v>
      </c>
      <c r="H379" s="6">
        <v>622956.80000000005</v>
      </c>
      <c r="I379" s="3" t="s">
        <v>18</v>
      </c>
      <c r="J379" s="3" t="s">
        <v>19</v>
      </c>
      <c r="K379" s="3" t="s">
        <v>14</v>
      </c>
      <c r="L379" s="3" t="s">
        <v>2067</v>
      </c>
      <c r="M379" s="4">
        <v>46298</v>
      </c>
      <c r="N379" s="3" t="s">
        <v>2870</v>
      </c>
      <c r="O379" s="3" t="s">
        <v>30</v>
      </c>
      <c r="P379" t="str">
        <f t="shared" si="5"/>
        <v>450013970610</v>
      </c>
      <c r="Q379" s="7" cm="1">
        <f t="array" ref="Q379:S379">VLOOKUP(P379,Hoja1!C:F,{2,3,4},FALSE)</f>
        <v>46303</v>
      </c>
      <c r="R379" t="str">
        <v>374</v>
      </c>
      <c r="S379" t="str">
        <v>1000000418 HILTI ARGENTINA SRL</v>
      </c>
    </row>
    <row r="380" spans="1:19" x14ac:dyDescent="0.3">
      <c r="A380" s="2" t="s">
        <v>14</v>
      </c>
      <c r="B380" s="3" t="s">
        <v>14</v>
      </c>
      <c r="C380" s="3" t="s">
        <v>2869</v>
      </c>
      <c r="D380" s="3" t="s">
        <v>32</v>
      </c>
      <c r="E380" s="3" t="s">
        <v>194</v>
      </c>
      <c r="F380" s="4">
        <v>46295</v>
      </c>
      <c r="G380" s="3" t="s">
        <v>27</v>
      </c>
      <c r="H380" s="6">
        <v>61712</v>
      </c>
      <c r="I380" s="3" t="s">
        <v>18</v>
      </c>
      <c r="J380" s="3" t="s">
        <v>19</v>
      </c>
      <c r="K380" s="3" t="s">
        <v>14</v>
      </c>
      <c r="L380" s="3" t="s">
        <v>2067</v>
      </c>
      <c r="M380" s="4">
        <v>46298</v>
      </c>
      <c r="N380" s="3" t="s">
        <v>2870</v>
      </c>
      <c r="O380" s="3" t="s">
        <v>22</v>
      </c>
      <c r="P380" t="str">
        <f t="shared" si="5"/>
        <v>450013970620</v>
      </c>
      <c r="Q380" s="7" cm="1">
        <f t="array" ref="Q380:S380">VLOOKUP(P380,Hoja1!C:F,{2,3,4},FALSE)</f>
        <v>46303</v>
      </c>
      <c r="R380" t="str">
        <v>374</v>
      </c>
      <c r="S380" t="str">
        <v>1000000418 HILTI ARGENTINA SRL</v>
      </c>
    </row>
    <row r="381" spans="1:19" x14ac:dyDescent="0.3">
      <c r="A381" s="2" t="s">
        <v>14</v>
      </c>
      <c r="B381" s="3" t="s">
        <v>14</v>
      </c>
      <c r="C381" s="3" t="s">
        <v>2869</v>
      </c>
      <c r="D381" s="3" t="s">
        <v>32</v>
      </c>
      <c r="E381" s="3" t="s">
        <v>194</v>
      </c>
      <c r="F381" s="4">
        <v>46295</v>
      </c>
      <c r="G381" s="3" t="s">
        <v>27</v>
      </c>
      <c r="H381" s="6">
        <v>109440</v>
      </c>
      <c r="I381" s="3" t="s">
        <v>18</v>
      </c>
      <c r="J381" s="3" t="s">
        <v>19</v>
      </c>
      <c r="K381" s="3" t="s">
        <v>14</v>
      </c>
      <c r="L381" s="3" t="s">
        <v>2067</v>
      </c>
      <c r="M381" s="4">
        <v>46298</v>
      </c>
      <c r="N381" s="3" t="s">
        <v>2870</v>
      </c>
      <c r="O381" s="3" t="s">
        <v>23</v>
      </c>
      <c r="P381" t="str">
        <f t="shared" si="5"/>
        <v>450013970640</v>
      </c>
      <c r="Q381" s="7" cm="1">
        <f t="array" ref="Q381:S381">VLOOKUP(P381,Hoja1!C:F,{2,3,4},FALSE)</f>
        <v>46303</v>
      </c>
      <c r="R381" t="str">
        <v>374</v>
      </c>
      <c r="S381" t="str">
        <v>1000000418 HILTI ARGENTINA SRL</v>
      </c>
    </row>
    <row r="382" spans="1:19" x14ac:dyDescent="0.3">
      <c r="A382" s="2" t="s">
        <v>14</v>
      </c>
      <c r="B382" s="3" t="s">
        <v>14</v>
      </c>
      <c r="C382" s="3" t="s">
        <v>2871</v>
      </c>
      <c r="D382" s="3" t="s">
        <v>32</v>
      </c>
      <c r="E382" s="3" t="s">
        <v>194</v>
      </c>
      <c r="F382" s="4">
        <v>46297</v>
      </c>
      <c r="G382" s="3" t="s">
        <v>27</v>
      </c>
      <c r="H382" s="6">
        <v>56437.42</v>
      </c>
      <c r="I382" s="3" t="s">
        <v>18</v>
      </c>
      <c r="J382" s="3" t="s">
        <v>19</v>
      </c>
      <c r="K382" s="3" t="s">
        <v>14</v>
      </c>
      <c r="L382" s="3" t="s">
        <v>2735</v>
      </c>
      <c r="M382" s="4">
        <v>46298</v>
      </c>
      <c r="N382" s="3" t="s">
        <v>2736</v>
      </c>
      <c r="O382" s="3" t="s">
        <v>30</v>
      </c>
      <c r="P382" t="str">
        <f t="shared" si="5"/>
        <v>450013742410</v>
      </c>
      <c r="Q382" s="7" cm="1">
        <f t="array" ref="Q382:S382">VLOOKUP(P382,Hoja1!C:F,{2,3,4},FALSE)</f>
        <v>46298</v>
      </c>
      <c r="R382" t="str">
        <v>374</v>
      </c>
      <c r="S382" t="str">
        <v>1000011214 MACER S.A.</v>
      </c>
    </row>
    <row r="383" spans="1:19" x14ac:dyDescent="0.3">
      <c r="A383" s="2" t="s">
        <v>14</v>
      </c>
      <c r="B383" s="3" t="s">
        <v>14</v>
      </c>
      <c r="C383" s="3" t="s">
        <v>2872</v>
      </c>
      <c r="D383" s="3" t="s">
        <v>32</v>
      </c>
      <c r="E383" s="3" t="s">
        <v>194</v>
      </c>
      <c r="F383" s="4">
        <v>46295</v>
      </c>
      <c r="G383" s="3" t="s">
        <v>27</v>
      </c>
      <c r="H383" s="6">
        <v>429.76</v>
      </c>
      <c r="I383" s="3" t="s">
        <v>18</v>
      </c>
      <c r="J383" s="3" t="s">
        <v>19</v>
      </c>
      <c r="K383" s="3" t="s">
        <v>14</v>
      </c>
      <c r="L383" s="3" t="s">
        <v>611</v>
      </c>
      <c r="M383" s="4">
        <v>46298</v>
      </c>
      <c r="N383" s="3" t="s">
        <v>1826</v>
      </c>
      <c r="O383" s="3" t="s">
        <v>30</v>
      </c>
      <c r="P383" t="str">
        <f t="shared" si="5"/>
        <v>450013956510</v>
      </c>
      <c r="Q383" s="7" cm="1">
        <f t="array" ref="Q383:S383">VLOOKUP(P383,Hoja1!C:F,{2,3,4},FALSE)</f>
        <v>46295</v>
      </c>
      <c r="R383" t="str">
        <v>374</v>
      </c>
      <c r="S383" t="str">
        <v>1000011432 SCHVAB JULIO CESAR</v>
      </c>
    </row>
    <row r="384" spans="1:19" x14ac:dyDescent="0.3">
      <c r="A384" s="2" t="s">
        <v>14</v>
      </c>
      <c r="B384" s="3" t="s">
        <v>14</v>
      </c>
      <c r="C384" s="3" t="s">
        <v>2872</v>
      </c>
      <c r="D384" s="3" t="s">
        <v>32</v>
      </c>
      <c r="E384" s="3" t="s">
        <v>194</v>
      </c>
      <c r="F384" s="4">
        <v>46295</v>
      </c>
      <c r="G384" s="3" t="s">
        <v>27</v>
      </c>
      <c r="H384" s="6">
        <v>99.16</v>
      </c>
      <c r="I384" s="3" t="s">
        <v>18</v>
      </c>
      <c r="J384" s="3" t="s">
        <v>19</v>
      </c>
      <c r="K384" s="3" t="s">
        <v>14</v>
      </c>
      <c r="L384" s="3" t="s">
        <v>611</v>
      </c>
      <c r="M384" s="4">
        <v>46298</v>
      </c>
      <c r="N384" s="3" t="s">
        <v>1826</v>
      </c>
      <c r="O384" s="3" t="s">
        <v>22</v>
      </c>
      <c r="P384" t="str">
        <f t="shared" si="5"/>
        <v>450013956520</v>
      </c>
      <c r="Q384" s="7" cm="1">
        <f t="array" ref="Q384:S384">VLOOKUP(P384,Hoja1!C:F,{2,3,4},FALSE)</f>
        <v>46295</v>
      </c>
      <c r="R384" t="str">
        <v>374</v>
      </c>
      <c r="S384" t="str">
        <v>1000011432 SCHVAB JULIO CESAR</v>
      </c>
    </row>
    <row r="385" spans="1:19" x14ac:dyDescent="0.3">
      <c r="A385" s="2" t="s">
        <v>14</v>
      </c>
      <c r="B385" s="3" t="s">
        <v>14</v>
      </c>
      <c r="C385" s="3" t="s">
        <v>2872</v>
      </c>
      <c r="D385" s="3" t="s">
        <v>32</v>
      </c>
      <c r="E385" s="3" t="s">
        <v>194</v>
      </c>
      <c r="F385" s="4">
        <v>46295</v>
      </c>
      <c r="G385" s="3" t="s">
        <v>27</v>
      </c>
      <c r="H385" s="6">
        <v>165.28</v>
      </c>
      <c r="I385" s="3" t="s">
        <v>18</v>
      </c>
      <c r="J385" s="3" t="s">
        <v>19</v>
      </c>
      <c r="K385" s="3" t="s">
        <v>14</v>
      </c>
      <c r="L385" s="3" t="s">
        <v>611</v>
      </c>
      <c r="M385" s="4">
        <v>46298</v>
      </c>
      <c r="N385" s="3" t="s">
        <v>1826</v>
      </c>
      <c r="O385" s="3" t="s">
        <v>35</v>
      </c>
      <c r="P385" t="str">
        <f t="shared" si="5"/>
        <v>450013956530</v>
      </c>
      <c r="Q385" s="7" cm="1">
        <f t="array" ref="Q385:S385">VLOOKUP(P385,Hoja1!C:F,{2,3,4},FALSE)</f>
        <v>46295</v>
      </c>
      <c r="R385" t="str">
        <v>374</v>
      </c>
      <c r="S385" t="str">
        <v>1000011432 SCHVAB JULIO CESAR</v>
      </c>
    </row>
    <row r="386" spans="1:19" x14ac:dyDescent="0.3">
      <c r="A386" s="2" t="s">
        <v>14</v>
      </c>
      <c r="B386" s="3" t="s">
        <v>14</v>
      </c>
      <c r="C386" s="3" t="s">
        <v>2872</v>
      </c>
      <c r="D386" s="3" t="s">
        <v>32</v>
      </c>
      <c r="E386" s="3" t="s">
        <v>194</v>
      </c>
      <c r="F386" s="4">
        <v>46295</v>
      </c>
      <c r="G386" s="3" t="s">
        <v>27</v>
      </c>
      <c r="H386" s="6">
        <v>1388.4</v>
      </c>
      <c r="I386" s="3" t="s">
        <v>18</v>
      </c>
      <c r="J386" s="3" t="s">
        <v>19</v>
      </c>
      <c r="K386" s="3" t="s">
        <v>14</v>
      </c>
      <c r="L386" s="3" t="s">
        <v>611</v>
      </c>
      <c r="M386" s="4">
        <v>46298</v>
      </c>
      <c r="N386" s="3" t="s">
        <v>1826</v>
      </c>
      <c r="O386" s="3" t="s">
        <v>23</v>
      </c>
      <c r="P386" t="str">
        <f t="shared" si="5"/>
        <v>450013956540</v>
      </c>
      <c r="Q386" s="7" cm="1">
        <f t="array" ref="Q386:S386">VLOOKUP(P386,Hoja1!C:F,{2,3,4},FALSE)</f>
        <v>46295</v>
      </c>
      <c r="R386" t="str">
        <v>374</v>
      </c>
      <c r="S386" t="str">
        <v>1000011432 SCHVAB JULIO CESAR</v>
      </c>
    </row>
    <row r="387" spans="1:19" x14ac:dyDescent="0.3">
      <c r="A387" s="2" t="s">
        <v>14</v>
      </c>
      <c r="B387" s="3" t="s">
        <v>14</v>
      </c>
      <c r="C387" s="3" t="s">
        <v>2872</v>
      </c>
      <c r="D387" s="3" t="s">
        <v>32</v>
      </c>
      <c r="E387" s="3" t="s">
        <v>194</v>
      </c>
      <c r="F387" s="4">
        <v>46295</v>
      </c>
      <c r="G387" s="3" t="s">
        <v>27</v>
      </c>
      <c r="H387" s="6">
        <v>6446.28</v>
      </c>
      <c r="I387" s="3" t="s">
        <v>18</v>
      </c>
      <c r="J387" s="3" t="s">
        <v>19</v>
      </c>
      <c r="K387" s="3" t="s">
        <v>14</v>
      </c>
      <c r="L387" s="3" t="s">
        <v>611</v>
      </c>
      <c r="M387" s="4">
        <v>46298</v>
      </c>
      <c r="N387" s="3" t="s">
        <v>1826</v>
      </c>
      <c r="O387" s="3" t="s">
        <v>144</v>
      </c>
      <c r="P387" t="str">
        <f t="shared" ref="P387:P450" si="6">_xlfn.CONCAT(N387:O387)</f>
        <v>450013956550</v>
      </c>
      <c r="Q387" s="7" cm="1">
        <f t="array" ref="Q387:S387">VLOOKUP(P387,Hoja1!C:F,{2,3,4},FALSE)</f>
        <v>46295</v>
      </c>
      <c r="R387" t="str">
        <v>374</v>
      </c>
      <c r="S387" t="str">
        <v>1000011432 SCHVAB JULIO CESAR</v>
      </c>
    </row>
    <row r="388" spans="1:19" x14ac:dyDescent="0.3">
      <c r="A388" s="2" t="s">
        <v>14</v>
      </c>
      <c r="B388" s="3" t="s">
        <v>14</v>
      </c>
      <c r="C388" s="3" t="s">
        <v>2872</v>
      </c>
      <c r="D388" s="3" t="s">
        <v>32</v>
      </c>
      <c r="E388" s="3" t="s">
        <v>194</v>
      </c>
      <c r="F388" s="4">
        <v>46295</v>
      </c>
      <c r="G388" s="3" t="s">
        <v>27</v>
      </c>
      <c r="H388" s="6">
        <v>3305.78</v>
      </c>
      <c r="I388" s="3" t="s">
        <v>18</v>
      </c>
      <c r="J388" s="3" t="s">
        <v>19</v>
      </c>
      <c r="K388" s="3" t="s">
        <v>14</v>
      </c>
      <c r="L388" s="3" t="s">
        <v>611</v>
      </c>
      <c r="M388" s="4">
        <v>46298</v>
      </c>
      <c r="N388" s="3" t="s">
        <v>1826</v>
      </c>
      <c r="O388" s="3" t="s">
        <v>141</v>
      </c>
      <c r="P388" t="str">
        <f t="shared" si="6"/>
        <v>450013956560</v>
      </c>
      <c r="Q388" s="7" cm="1">
        <f t="array" ref="Q388:S388">VLOOKUP(P388,Hoja1!C:F,{2,3,4},FALSE)</f>
        <v>46295</v>
      </c>
      <c r="R388" t="str">
        <v>374</v>
      </c>
      <c r="S388" t="str">
        <v>1000011432 SCHVAB JULIO CESAR</v>
      </c>
    </row>
    <row r="389" spans="1:19" x14ac:dyDescent="0.3">
      <c r="A389" s="2" t="s">
        <v>14</v>
      </c>
      <c r="B389" s="3" t="s">
        <v>14</v>
      </c>
      <c r="C389" s="3" t="s">
        <v>2872</v>
      </c>
      <c r="D389" s="3" t="s">
        <v>32</v>
      </c>
      <c r="E389" s="3" t="s">
        <v>194</v>
      </c>
      <c r="F389" s="4">
        <v>46295</v>
      </c>
      <c r="G389" s="3" t="s">
        <v>27</v>
      </c>
      <c r="H389" s="6">
        <v>9504.1299999999992</v>
      </c>
      <c r="I389" s="3" t="s">
        <v>18</v>
      </c>
      <c r="J389" s="3" t="s">
        <v>19</v>
      </c>
      <c r="K389" s="3" t="s">
        <v>14</v>
      </c>
      <c r="L389" s="3" t="s">
        <v>611</v>
      </c>
      <c r="M389" s="4">
        <v>46298</v>
      </c>
      <c r="N389" s="3" t="s">
        <v>1826</v>
      </c>
      <c r="O389" s="3" t="s">
        <v>134</v>
      </c>
      <c r="P389" t="str">
        <f t="shared" si="6"/>
        <v>450013956570</v>
      </c>
      <c r="Q389" s="7" cm="1">
        <f t="array" ref="Q389:S389">VLOOKUP(P389,Hoja1!C:F,{2,3,4},FALSE)</f>
        <v>46295</v>
      </c>
      <c r="R389" t="str">
        <v>374</v>
      </c>
      <c r="S389" t="str">
        <v>1000011432 SCHVAB JULIO CESAR</v>
      </c>
    </row>
    <row r="390" spans="1:19" x14ac:dyDescent="0.3">
      <c r="A390" s="2" t="s">
        <v>14</v>
      </c>
      <c r="B390" s="3" t="s">
        <v>14</v>
      </c>
      <c r="C390" s="3" t="s">
        <v>2872</v>
      </c>
      <c r="D390" s="3" t="s">
        <v>32</v>
      </c>
      <c r="E390" s="3" t="s">
        <v>194</v>
      </c>
      <c r="F390" s="4">
        <v>46295</v>
      </c>
      <c r="G390" s="3" t="s">
        <v>27</v>
      </c>
      <c r="H390" s="6">
        <v>15206.64</v>
      </c>
      <c r="I390" s="3" t="s">
        <v>18</v>
      </c>
      <c r="J390" s="3" t="s">
        <v>19</v>
      </c>
      <c r="K390" s="3" t="s">
        <v>14</v>
      </c>
      <c r="L390" s="3" t="s">
        <v>611</v>
      </c>
      <c r="M390" s="4">
        <v>46298</v>
      </c>
      <c r="N390" s="3" t="s">
        <v>1826</v>
      </c>
      <c r="O390" s="3" t="s">
        <v>52</v>
      </c>
      <c r="P390" t="str">
        <f t="shared" si="6"/>
        <v>450013956580</v>
      </c>
      <c r="Q390" s="7" cm="1">
        <f t="array" ref="Q390:S390">VLOOKUP(P390,Hoja1!C:F,{2,3,4},FALSE)</f>
        <v>46295</v>
      </c>
      <c r="R390" t="str">
        <v>374</v>
      </c>
      <c r="S390" t="str">
        <v>1000011432 SCHVAB JULIO CESAR</v>
      </c>
    </row>
    <row r="391" spans="1:19" x14ac:dyDescent="0.3">
      <c r="A391" s="2" t="s">
        <v>14</v>
      </c>
      <c r="B391" s="3" t="s">
        <v>14</v>
      </c>
      <c r="C391" s="3" t="s">
        <v>2872</v>
      </c>
      <c r="D391" s="3" t="s">
        <v>32</v>
      </c>
      <c r="E391" s="3" t="s">
        <v>194</v>
      </c>
      <c r="F391" s="4">
        <v>46295</v>
      </c>
      <c r="G391" s="3" t="s">
        <v>27</v>
      </c>
      <c r="H391" s="6">
        <v>3471.08</v>
      </c>
      <c r="I391" s="3" t="s">
        <v>18</v>
      </c>
      <c r="J391" s="3" t="s">
        <v>19</v>
      </c>
      <c r="K391" s="3" t="s">
        <v>14</v>
      </c>
      <c r="L391" s="3" t="s">
        <v>611</v>
      </c>
      <c r="M391" s="4">
        <v>46298</v>
      </c>
      <c r="N391" s="3" t="s">
        <v>1826</v>
      </c>
      <c r="O391" s="3" t="s">
        <v>138</v>
      </c>
      <c r="P391" t="str">
        <f t="shared" si="6"/>
        <v>450013956590</v>
      </c>
      <c r="Q391" s="7" cm="1">
        <f t="array" ref="Q391:S391">VLOOKUP(P391,Hoja1!C:F,{2,3,4},FALSE)</f>
        <v>46295</v>
      </c>
      <c r="R391" t="str">
        <v>374</v>
      </c>
      <c r="S391" t="str">
        <v>1000011432 SCHVAB JULIO CESAR</v>
      </c>
    </row>
    <row r="392" spans="1:19" x14ac:dyDescent="0.3">
      <c r="A392" s="2" t="s">
        <v>14</v>
      </c>
      <c r="B392" s="3" t="s">
        <v>14</v>
      </c>
      <c r="C392" s="3" t="s">
        <v>2872</v>
      </c>
      <c r="D392" s="3" t="s">
        <v>32</v>
      </c>
      <c r="E392" s="3" t="s">
        <v>194</v>
      </c>
      <c r="F392" s="4">
        <v>46295</v>
      </c>
      <c r="G392" s="3" t="s">
        <v>27</v>
      </c>
      <c r="H392" s="6">
        <v>2809.92</v>
      </c>
      <c r="I392" s="3" t="s">
        <v>18</v>
      </c>
      <c r="J392" s="3" t="s">
        <v>19</v>
      </c>
      <c r="K392" s="3" t="s">
        <v>14</v>
      </c>
      <c r="L392" s="3" t="s">
        <v>611</v>
      </c>
      <c r="M392" s="4">
        <v>46298</v>
      </c>
      <c r="N392" s="3" t="s">
        <v>1826</v>
      </c>
      <c r="O392" s="3" t="s">
        <v>45</v>
      </c>
      <c r="P392" t="str">
        <f t="shared" si="6"/>
        <v>4500139565100</v>
      </c>
      <c r="Q392" s="7" cm="1">
        <f t="array" ref="Q392:S392">VLOOKUP(P392,Hoja1!C:F,{2,3,4},FALSE)</f>
        <v>46295</v>
      </c>
      <c r="R392" t="str">
        <v>374</v>
      </c>
      <c r="S392" t="str">
        <v>1000011432 SCHVAB JULIO CESAR</v>
      </c>
    </row>
    <row r="393" spans="1:19" x14ac:dyDescent="0.3">
      <c r="A393" s="2" t="s">
        <v>14</v>
      </c>
      <c r="B393" s="3" t="s">
        <v>14</v>
      </c>
      <c r="C393" s="3" t="s">
        <v>2872</v>
      </c>
      <c r="D393" s="3" t="s">
        <v>32</v>
      </c>
      <c r="E393" s="3" t="s">
        <v>194</v>
      </c>
      <c r="F393" s="4">
        <v>46295</v>
      </c>
      <c r="G393" s="3" t="s">
        <v>27</v>
      </c>
      <c r="H393" s="6">
        <v>41818.18</v>
      </c>
      <c r="I393" s="3" t="s">
        <v>18</v>
      </c>
      <c r="J393" s="3" t="s">
        <v>19</v>
      </c>
      <c r="K393" s="3" t="s">
        <v>14</v>
      </c>
      <c r="L393" s="3" t="s">
        <v>611</v>
      </c>
      <c r="M393" s="4">
        <v>46298</v>
      </c>
      <c r="N393" s="3" t="s">
        <v>1826</v>
      </c>
      <c r="O393" s="3" t="s">
        <v>156</v>
      </c>
      <c r="P393" t="str">
        <f t="shared" si="6"/>
        <v>4500139565110</v>
      </c>
      <c r="Q393" s="7" cm="1">
        <f t="array" ref="Q393:S393">VLOOKUP(P393,Hoja1!C:F,{2,3,4},FALSE)</f>
        <v>46295</v>
      </c>
      <c r="R393" t="str">
        <v>374</v>
      </c>
      <c r="S393" t="str">
        <v>1000011432 SCHVAB JULIO CESAR</v>
      </c>
    </row>
    <row r="394" spans="1:19" x14ac:dyDescent="0.3">
      <c r="A394" s="2" t="s">
        <v>14</v>
      </c>
      <c r="B394" s="3" t="s">
        <v>14</v>
      </c>
      <c r="C394" s="3" t="s">
        <v>2872</v>
      </c>
      <c r="D394" s="3" t="s">
        <v>32</v>
      </c>
      <c r="E394" s="3" t="s">
        <v>194</v>
      </c>
      <c r="F394" s="4">
        <v>46295</v>
      </c>
      <c r="G394" s="3" t="s">
        <v>27</v>
      </c>
      <c r="H394" s="6">
        <v>28595.040000000001</v>
      </c>
      <c r="I394" s="3" t="s">
        <v>18</v>
      </c>
      <c r="J394" s="3" t="s">
        <v>19</v>
      </c>
      <c r="K394" s="3" t="s">
        <v>14</v>
      </c>
      <c r="L394" s="3" t="s">
        <v>611</v>
      </c>
      <c r="M394" s="4">
        <v>46298</v>
      </c>
      <c r="N394" s="3" t="s">
        <v>1826</v>
      </c>
      <c r="O394" s="3" t="s">
        <v>132</v>
      </c>
      <c r="P394" t="str">
        <f t="shared" si="6"/>
        <v>4500139565120</v>
      </c>
      <c r="Q394" s="7" cm="1">
        <f t="array" ref="Q394:S394">VLOOKUP(P394,Hoja1!C:F,{2,3,4},FALSE)</f>
        <v>46295</v>
      </c>
      <c r="R394" t="str">
        <v>374</v>
      </c>
      <c r="S394" t="str">
        <v>1000011432 SCHVAB JULIO CESAR</v>
      </c>
    </row>
    <row r="395" spans="1:19" x14ac:dyDescent="0.3">
      <c r="A395" s="2" t="s">
        <v>14</v>
      </c>
      <c r="B395" s="3" t="s">
        <v>14</v>
      </c>
      <c r="C395" s="3" t="s">
        <v>2872</v>
      </c>
      <c r="D395" s="3" t="s">
        <v>32</v>
      </c>
      <c r="E395" s="3" t="s">
        <v>194</v>
      </c>
      <c r="F395" s="4">
        <v>46295</v>
      </c>
      <c r="G395" s="3" t="s">
        <v>27</v>
      </c>
      <c r="H395" s="6">
        <v>2066.12</v>
      </c>
      <c r="I395" s="3" t="s">
        <v>18</v>
      </c>
      <c r="J395" s="3" t="s">
        <v>19</v>
      </c>
      <c r="K395" s="3" t="s">
        <v>14</v>
      </c>
      <c r="L395" s="3" t="s">
        <v>611</v>
      </c>
      <c r="M395" s="4">
        <v>46298</v>
      </c>
      <c r="N395" s="3" t="s">
        <v>1826</v>
      </c>
      <c r="O395" s="3" t="s">
        <v>142</v>
      </c>
      <c r="P395" t="str">
        <f t="shared" si="6"/>
        <v>4500139565130</v>
      </c>
      <c r="Q395" s="7" cm="1">
        <f t="array" ref="Q395:S395">VLOOKUP(P395,Hoja1!C:F,{2,3,4},FALSE)</f>
        <v>46295</v>
      </c>
      <c r="R395" t="str">
        <v>374</v>
      </c>
      <c r="S395" t="str">
        <v>1000011432 SCHVAB JULIO CESAR</v>
      </c>
    </row>
    <row r="396" spans="1:19" x14ac:dyDescent="0.3">
      <c r="A396" s="2" t="s">
        <v>14</v>
      </c>
      <c r="B396" s="3" t="s">
        <v>14</v>
      </c>
      <c r="C396" s="3" t="s">
        <v>2872</v>
      </c>
      <c r="D396" s="3" t="s">
        <v>32</v>
      </c>
      <c r="E396" s="3" t="s">
        <v>194</v>
      </c>
      <c r="F396" s="4">
        <v>46295</v>
      </c>
      <c r="G396" s="3" t="s">
        <v>27</v>
      </c>
      <c r="H396" s="6">
        <v>3074.4</v>
      </c>
      <c r="I396" s="3" t="s">
        <v>18</v>
      </c>
      <c r="J396" s="3" t="s">
        <v>19</v>
      </c>
      <c r="K396" s="3" t="s">
        <v>14</v>
      </c>
      <c r="L396" s="3" t="s">
        <v>611</v>
      </c>
      <c r="M396" s="4">
        <v>46298</v>
      </c>
      <c r="N396" s="3" t="s">
        <v>1826</v>
      </c>
      <c r="O396" s="3" t="s">
        <v>131</v>
      </c>
      <c r="P396" t="str">
        <f t="shared" si="6"/>
        <v>4500139565140</v>
      </c>
      <c r="Q396" s="7" cm="1">
        <f t="array" ref="Q396:S396">VLOOKUP(P396,Hoja1!C:F,{2,3,4},FALSE)</f>
        <v>46295</v>
      </c>
      <c r="R396" t="str">
        <v>374</v>
      </c>
      <c r="S396" t="str">
        <v>1000011432 SCHVAB JULIO CESAR</v>
      </c>
    </row>
    <row r="397" spans="1:19" x14ac:dyDescent="0.3">
      <c r="A397" s="2" t="s">
        <v>14</v>
      </c>
      <c r="B397" s="3" t="s">
        <v>14</v>
      </c>
      <c r="C397" s="3" t="s">
        <v>2872</v>
      </c>
      <c r="D397" s="3" t="s">
        <v>32</v>
      </c>
      <c r="E397" s="3" t="s">
        <v>194</v>
      </c>
      <c r="F397" s="4">
        <v>46295</v>
      </c>
      <c r="G397" s="3" t="s">
        <v>27</v>
      </c>
      <c r="H397" s="6">
        <v>694.2</v>
      </c>
      <c r="I397" s="3" t="s">
        <v>18</v>
      </c>
      <c r="J397" s="3" t="s">
        <v>19</v>
      </c>
      <c r="K397" s="3" t="s">
        <v>14</v>
      </c>
      <c r="L397" s="3" t="s">
        <v>611</v>
      </c>
      <c r="M397" s="4">
        <v>46298</v>
      </c>
      <c r="N397" s="3" t="s">
        <v>1826</v>
      </c>
      <c r="O397" s="3" t="s">
        <v>68</v>
      </c>
      <c r="P397" t="str">
        <f t="shared" si="6"/>
        <v>4500139565150</v>
      </c>
      <c r="Q397" s="7" cm="1">
        <f t="array" ref="Q397:S397">VLOOKUP(P397,Hoja1!C:F,{2,3,4},FALSE)</f>
        <v>46295</v>
      </c>
      <c r="R397" t="str">
        <v>374</v>
      </c>
      <c r="S397" t="str">
        <v>1000011432 SCHVAB JULIO CESAR</v>
      </c>
    </row>
    <row r="398" spans="1:19" x14ac:dyDescent="0.3">
      <c r="A398" s="2" t="s">
        <v>14</v>
      </c>
      <c r="B398" s="3" t="s">
        <v>14</v>
      </c>
      <c r="C398" s="3" t="s">
        <v>2872</v>
      </c>
      <c r="D398" s="3" t="s">
        <v>32</v>
      </c>
      <c r="E398" s="3" t="s">
        <v>194</v>
      </c>
      <c r="F398" s="4">
        <v>46295</v>
      </c>
      <c r="G398" s="3" t="s">
        <v>27</v>
      </c>
      <c r="H398" s="6">
        <v>14545.46</v>
      </c>
      <c r="I398" s="3" t="s">
        <v>18</v>
      </c>
      <c r="J398" s="3" t="s">
        <v>19</v>
      </c>
      <c r="K398" s="3" t="s">
        <v>14</v>
      </c>
      <c r="L398" s="3" t="s">
        <v>611</v>
      </c>
      <c r="M398" s="4">
        <v>46298</v>
      </c>
      <c r="N398" s="3" t="s">
        <v>1826</v>
      </c>
      <c r="O398" s="3" t="s">
        <v>129</v>
      </c>
      <c r="P398" t="str">
        <f t="shared" si="6"/>
        <v>4500139565160</v>
      </c>
      <c r="Q398" s="7" cm="1">
        <f t="array" ref="Q398:S398">VLOOKUP(P398,Hoja1!C:F,{2,3,4},FALSE)</f>
        <v>46295</v>
      </c>
      <c r="R398" t="str">
        <v>374</v>
      </c>
      <c r="S398" t="str">
        <v>1000011432 SCHVAB JULIO CESAR</v>
      </c>
    </row>
    <row r="399" spans="1:19" x14ac:dyDescent="0.3">
      <c r="A399" s="2" t="s">
        <v>14</v>
      </c>
      <c r="B399" s="3" t="s">
        <v>14</v>
      </c>
      <c r="C399" s="3" t="s">
        <v>2873</v>
      </c>
      <c r="D399" s="3" t="s">
        <v>32</v>
      </c>
      <c r="E399" s="3" t="s">
        <v>194</v>
      </c>
      <c r="F399" s="4">
        <v>46297</v>
      </c>
      <c r="G399" s="3" t="s">
        <v>27</v>
      </c>
      <c r="H399" s="6">
        <v>52892.56</v>
      </c>
      <c r="I399" s="3" t="s">
        <v>18</v>
      </c>
      <c r="J399" s="3" t="s">
        <v>19</v>
      </c>
      <c r="K399" s="3" t="s">
        <v>14</v>
      </c>
      <c r="L399" s="3" t="s">
        <v>2874</v>
      </c>
      <c r="M399" s="4">
        <v>46298</v>
      </c>
      <c r="N399" s="3" t="s">
        <v>2875</v>
      </c>
      <c r="O399" s="3" t="s">
        <v>30</v>
      </c>
      <c r="P399" t="str">
        <f t="shared" si="6"/>
        <v>450013975910</v>
      </c>
      <c r="Q399" s="7" cm="1">
        <f t="array" ref="Q399:S399">VLOOKUP(P399,Hoja1!C:F,{2,3,4},FALSE)</f>
        <v>46301</v>
      </c>
      <c r="R399" t="str">
        <v>374</v>
      </c>
      <c r="S399" t="str">
        <v>1000011738 CHEN WENRONG</v>
      </c>
    </row>
    <row r="400" spans="1:19" x14ac:dyDescent="0.3">
      <c r="A400" s="2" t="s">
        <v>14</v>
      </c>
      <c r="B400" s="3" t="s">
        <v>14</v>
      </c>
      <c r="C400" s="3" t="s">
        <v>2873</v>
      </c>
      <c r="D400" s="3" t="s">
        <v>32</v>
      </c>
      <c r="E400" s="3" t="s">
        <v>194</v>
      </c>
      <c r="F400" s="4">
        <v>46297</v>
      </c>
      <c r="G400" s="3" t="s">
        <v>27</v>
      </c>
      <c r="H400" s="6">
        <v>42148.74</v>
      </c>
      <c r="I400" s="3" t="s">
        <v>18</v>
      </c>
      <c r="J400" s="3" t="s">
        <v>19</v>
      </c>
      <c r="K400" s="3" t="s">
        <v>14</v>
      </c>
      <c r="L400" s="3" t="s">
        <v>2874</v>
      </c>
      <c r="M400" s="4">
        <v>46298</v>
      </c>
      <c r="N400" s="3" t="s">
        <v>2875</v>
      </c>
      <c r="O400" s="3" t="s">
        <v>22</v>
      </c>
      <c r="P400" t="str">
        <f t="shared" si="6"/>
        <v>450013975920</v>
      </c>
      <c r="Q400" s="7" cm="1">
        <f t="array" ref="Q400:S400">VLOOKUP(P400,Hoja1!C:F,{2,3,4},FALSE)</f>
        <v>46301</v>
      </c>
      <c r="R400" t="str">
        <v>374</v>
      </c>
      <c r="S400" t="str">
        <v>1000011738 CHEN WENRONG</v>
      </c>
    </row>
    <row r="401" spans="1:19" x14ac:dyDescent="0.3">
      <c r="A401" s="2" t="s">
        <v>14</v>
      </c>
      <c r="B401" s="3" t="s">
        <v>14</v>
      </c>
      <c r="C401" s="3" t="s">
        <v>2873</v>
      </c>
      <c r="D401" s="3" t="s">
        <v>32</v>
      </c>
      <c r="E401" s="3" t="s">
        <v>194</v>
      </c>
      <c r="F401" s="4">
        <v>46297</v>
      </c>
      <c r="G401" s="3" t="s">
        <v>27</v>
      </c>
      <c r="H401" s="6">
        <v>43388.4</v>
      </c>
      <c r="I401" s="3" t="s">
        <v>18</v>
      </c>
      <c r="J401" s="3" t="s">
        <v>19</v>
      </c>
      <c r="K401" s="3" t="s">
        <v>14</v>
      </c>
      <c r="L401" s="3" t="s">
        <v>2874</v>
      </c>
      <c r="M401" s="4">
        <v>46298</v>
      </c>
      <c r="N401" s="3" t="s">
        <v>2875</v>
      </c>
      <c r="O401" s="3" t="s">
        <v>35</v>
      </c>
      <c r="P401" t="str">
        <f t="shared" si="6"/>
        <v>450013975930</v>
      </c>
      <c r="Q401" s="7" cm="1">
        <f t="array" ref="Q401:S401">VLOOKUP(P401,Hoja1!C:F,{2,3,4},FALSE)</f>
        <v>46301</v>
      </c>
      <c r="R401" t="str">
        <v>374</v>
      </c>
      <c r="S401" t="str">
        <v>1000011738 CHEN WENRONG</v>
      </c>
    </row>
    <row r="402" spans="1:19" x14ac:dyDescent="0.3">
      <c r="A402" s="2" t="s">
        <v>14</v>
      </c>
      <c r="B402" s="3" t="s">
        <v>14</v>
      </c>
      <c r="C402" s="3" t="s">
        <v>2873</v>
      </c>
      <c r="D402" s="3" t="s">
        <v>32</v>
      </c>
      <c r="E402" s="3" t="s">
        <v>194</v>
      </c>
      <c r="F402" s="4">
        <v>46297</v>
      </c>
      <c r="G402" s="3" t="s">
        <v>27</v>
      </c>
      <c r="H402" s="6">
        <v>55999.98</v>
      </c>
      <c r="I402" s="3" t="s">
        <v>18</v>
      </c>
      <c r="J402" s="3" t="s">
        <v>19</v>
      </c>
      <c r="K402" s="3" t="s">
        <v>14</v>
      </c>
      <c r="L402" s="3" t="s">
        <v>2874</v>
      </c>
      <c r="M402" s="4">
        <v>46298</v>
      </c>
      <c r="N402" s="3" t="s">
        <v>2875</v>
      </c>
      <c r="O402" s="3" t="s">
        <v>23</v>
      </c>
      <c r="P402" t="str">
        <f t="shared" si="6"/>
        <v>450013975940</v>
      </c>
      <c r="Q402" s="7" cm="1">
        <f t="array" ref="Q402:S402">VLOOKUP(P402,Hoja1!C:F,{2,3,4},FALSE)</f>
        <v>46301</v>
      </c>
      <c r="R402" t="str">
        <v>374</v>
      </c>
      <c r="S402" t="str">
        <v>1000011738 CHEN WENRONG</v>
      </c>
    </row>
    <row r="403" spans="1:19" x14ac:dyDescent="0.3">
      <c r="A403" s="2" t="s">
        <v>14</v>
      </c>
      <c r="B403" s="3" t="s">
        <v>14</v>
      </c>
      <c r="C403" s="3" t="s">
        <v>2873</v>
      </c>
      <c r="D403" s="3" t="s">
        <v>32</v>
      </c>
      <c r="E403" s="3" t="s">
        <v>194</v>
      </c>
      <c r="F403" s="4">
        <v>46297</v>
      </c>
      <c r="G403" s="3" t="s">
        <v>27</v>
      </c>
      <c r="H403" s="6">
        <v>4958.67</v>
      </c>
      <c r="I403" s="3" t="s">
        <v>18</v>
      </c>
      <c r="J403" s="3" t="s">
        <v>19</v>
      </c>
      <c r="K403" s="3" t="s">
        <v>14</v>
      </c>
      <c r="L403" s="3" t="s">
        <v>2874</v>
      </c>
      <c r="M403" s="4">
        <v>46298</v>
      </c>
      <c r="N403" s="3" t="s">
        <v>2875</v>
      </c>
      <c r="O403" s="3" t="s">
        <v>144</v>
      </c>
      <c r="P403" t="str">
        <f t="shared" si="6"/>
        <v>450013975950</v>
      </c>
      <c r="Q403" s="7" cm="1">
        <f t="array" ref="Q403:S403">VLOOKUP(P403,Hoja1!C:F,{2,3,4},FALSE)</f>
        <v>46301</v>
      </c>
      <c r="R403" t="str">
        <v>374</v>
      </c>
      <c r="S403" t="str">
        <v>1000011738 CHEN WENRONG</v>
      </c>
    </row>
    <row r="404" spans="1:19" x14ac:dyDescent="0.3">
      <c r="A404" s="2" t="s">
        <v>14</v>
      </c>
      <c r="B404" s="3" t="s">
        <v>14</v>
      </c>
      <c r="C404" s="3" t="s">
        <v>2873</v>
      </c>
      <c r="D404" s="3" t="s">
        <v>32</v>
      </c>
      <c r="E404" s="3" t="s">
        <v>194</v>
      </c>
      <c r="F404" s="4">
        <v>46297</v>
      </c>
      <c r="G404" s="3" t="s">
        <v>27</v>
      </c>
      <c r="H404" s="6">
        <v>4958.67</v>
      </c>
      <c r="I404" s="3" t="s">
        <v>18</v>
      </c>
      <c r="J404" s="3" t="s">
        <v>19</v>
      </c>
      <c r="K404" s="3" t="s">
        <v>14</v>
      </c>
      <c r="L404" s="3" t="s">
        <v>2874</v>
      </c>
      <c r="M404" s="4">
        <v>46298</v>
      </c>
      <c r="N404" s="3" t="s">
        <v>2875</v>
      </c>
      <c r="O404" s="3" t="s">
        <v>141</v>
      </c>
      <c r="P404" t="str">
        <f t="shared" si="6"/>
        <v>450013975960</v>
      </c>
      <c r="Q404" s="7" cm="1">
        <f t="array" ref="Q404:S404">VLOOKUP(P404,Hoja1!C:F,{2,3,4},FALSE)</f>
        <v>46301</v>
      </c>
      <c r="R404" t="str">
        <v>374</v>
      </c>
      <c r="S404" t="str">
        <v>1000011738 CHEN WENRONG</v>
      </c>
    </row>
    <row r="405" spans="1:19" x14ac:dyDescent="0.3">
      <c r="A405" s="2" t="s">
        <v>14</v>
      </c>
      <c r="B405" s="3" t="s">
        <v>14</v>
      </c>
      <c r="C405" s="3" t="s">
        <v>2873</v>
      </c>
      <c r="D405" s="3" t="s">
        <v>32</v>
      </c>
      <c r="E405" s="3" t="s">
        <v>194</v>
      </c>
      <c r="F405" s="4">
        <v>46297</v>
      </c>
      <c r="G405" s="3" t="s">
        <v>27</v>
      </c>
      <c r="H405" s="6">
        <v>3223.14</v>
      </c>
      <c r="I405" s="3" t="s">
        <v>18</v>
      </c>
      <c r="J405" s="3" t="s">
        <v>19</v>
      </c>
      <c r="K405" s="3" t="s">
        <v>14</v>
      </c>
      <c r="L405" s="3" t="s">
        <v>2874</v>
      </c>
      <c r="M405" s="4">
        <v>46298</v>
      </c>
      <c r="N405" s="3" t="s">
        <v>2875</v>
      </c>
      <c r="O405" s="3" t="s">
        <v>134</v>
      </c>
      <c r="P405" t="str">
        <f t="shared" si="6"/>
        <v>450013975970</v>
      </c>
      <c r="Q405" s="7" cm="1">
        <f t="array" ref="Q405:S405">VLOOKUP(P405,Hoja1!C:F,{2,3,4},FALSE)</f>
        <v>46301</v>
      </c>
      <c r="R405" t="str">
        <v>374</v>
      </c>
      <c r="S405" t="str">
        <v>1000011738 CHEN WENRONG</v>
      </c>
    </row>
    <row r="406" spans="1:19" x14ac:dyDescent="0.3">
      <c r="A406" s="2" t="s">
        <v>14</v>
      </c>
      <c r="B406" s="3" t="s">
        <v>14</v>
      </c>
      <c r="C406" s="3" t="s">
        <v>2873</v>
      </c>
      <c r="D406" s="3" t="s">
        <v>32</v>
      </c>
      <c r="E406" s="3" t="s">
        <v>194</v>
      </c>
      <c r="F406" s="4">
        <v>46297</v>
      </c>
      <c r="G406" s="3" t="s">
        <v>27</v>
      </c>
      <c r="H406" s="6">
        <v>66115.199999999997</v>
      </c>
      <c r="I406" s="3" t="s">
        <v>18</v>
      </c>
      <c r="J406" s="3" t="s">
        <v>19</v>
      </c>
      <c r="K406" s="3" t="s">
        <v>14</v>
      </c>
      <c r="L406" s="3" t="s">
        <v>2874</v>
      </c>
      <c r="M406" s="4">
        <v>46298</v>
      </c>
      <c r="N406" s="3" t="s">
        <v>2875</v>
      </c>
      <c r="O406" s="3" t="s">
        <v>52</v>
      </c>
      <c r="P406" t="str">
        <f t="shared" si="6"/>
        <v>450013975980</v>
      </c>
      <c r="Q406" s="7" cm="1">
        <f t="array" ref="Q406:S406">VLOOKUP(P406,Hoja1!C:F,{2,3,4},FALSE)</f>
        <v>46301</v>
      </c>
      <c r="R406" t="str">
        <v>374</v>
      </c>
      <c r="S406" t="str">
        <v>1000011738 CHEN WENRONG</v>
      </c>
    </row>
    <row r="407" spans="1:19" x14ac:dyDescent="0.3">
      <c r="A407" s="2" t="s">
        <v>14</v>
      </c>
      <c r="B407" s="3" t="s">
        <v>14</v>
      </c>
      <c r="C407" s="3" t="s">
        <v>2873</v>
      </c>
      <c r="D407" s="3" t="s">
        <v>32</v>
      </c>
      <c r="E407" s="3" t="s">
        <v>194</v>
      </c>
      <c r="F407" s="4">
        <v>46297</v>
      </c>
      <c r="G407" s="3" t="s">
        <v>27</v>
      </c>
      <c r="H407" s="6">
        <v>165288</v>
      </c>
      <c r="I407" s="3" t="s">
        <v>18</v>
      </c>
      <c r="J407" s="3" t="s">
        <v>19</v>
      </c>
      <c r="K407" s="3" t="s">
        <v>14</v>
      </c>
      <c r="L407" s="3" t="s">
        <v>2874</v>
      </c>
      <c r="M407" s="4">
        <v>46298</v>
      </c>
      <c r="N407" s="3" t="s">
        <v>2875</v>
      </c>
      <c r="O407" s="3" t="s">
        <v>138</v>
      </c>
      <c r="P407" t="str">
        <f t="shared" si="6"/>
        <v>450013975990</v>
      </c>
      <c r="Q407" s="7" cm="1">
        <f t="array" ref="Q407:S407">VLOOKUP(P407,Hoja1!C:F,{2,3,4},FALSE)</f>
        <v>46301</v>
      </c>
      <c r="R407" t="str">
        <v>374</v>
      </c>
      <c r="S407" t="str">
        <v>1000011738 CHEN WENRONG</v>
      </c>
    </row>
    <row r="408" spans="1:19" x14ac:dyDescent="0.3">
      <c r="A408" s="2" t="s">
        <v>14</v>
      </c>
      <c r="B408" s="3" t="s">
        <v>14</v>
      </c>
      <c r="C408" s="3" t="s">
        <v>2873</v>
      </c>
      <c r="D408" s="3" t="s">
        <v>32</v>
      </c>
      <c r="E408" s="3" t="s">
        <v>194</v>
      </c>
      <c r="F408" s="4">
        <v>46297</v>
      </c>
      <c r="G408" s="3" t="s">
        <v>27</v>
      </c>
      <c r="H408" s="6">
        <v>19834.71</v>
      </c>
      <c r="I408" s="3" t="s">
        <v>18</v>
      </c>
      <c r="J408" s="3" t="s">
        <v>19</v>
      </c>
      <c r="K408" s="3" t="s">
        <v>14</v>
      </c>
      <c r="L408" s="3" t="s">
        <v>2874</v>
      </c>
      <c r="M408" s="4">
        <v>46298</v>
      </c>
      <c r="N408" s="3" t="s">
        <v>2875</v>
      </c>
      <c r="O408" s="3" t="s">
        <v>45</v>
      </c>
      <c r="P408" t="str">
        <f t="shared" si="6"/>
        <v>4500139759100</v>
      </c>
      <c r="Q408" s="7" cm="1">
        <f t="array" ref="Q408:S408">VLOOKUP(P408,Hoja1!C:F,{2,3,4},FALSE)</f>
        <v>46301</v>
      </c>
      <c r="R408" t="str">
        <v>374</v>
      </c>
      <c r="S408" t="str">
        <v>1000011738 CHEN WENRONG</v>
      </c>
    </row>
    <row r="409" spans="1:19" x14ac:dyDescent="0.3">
      <c r="A409" s="2" t="s">
        <v>14</v>
      </c>
      <c r="B409" s="3" t="s">
        <v>14</v>
      </c>
      <c r="C409" s="3" t="s">
        <v>2873</v>
      </c>
      <c r="D409" s="3" t="s">
        <v>32</v>
      </c>
      <c r="E409" s="3" t="s">
        <v>194</v>
      </c>
      <c r="F409" s="4">
        <v>46297</v>
      </c>
      <c r="G409" s="3" t="s">
        <v>27</v>
      </c>
      <c r="H409" s="6">
        <v>10115.34</v>
      </c>
      <c r="I409" s="3" t="s">
        <v>18</v>
      </c>
      <c r="J409" s="3" t="s">
        <v>19</v>
      </c>
      <c r="K409" s="3" t="s">
        <v>14</v>
      </c>
      <c r="L409" s="3" t="s">
        <v>2874</v>
      </c>
      <c r="M409" s="4">
        <v>46298</v>
      </c>
      <c r="N409" s="3" t="s">
        <v>2875</v>
      </c>
      <c r="O409" s="3" t="s">
        <v>156</v>
      </c>
      <c r="P409" t="str">
        <f t="shared" si="6"/>
        <v>4500139759110</v>
      </c>
      <c r="Q409" s="7" cm="1">
        <f t="array" ref="Q409:S409">VLOOKUP(P409,Hoja1!C:F,{2,3,4},FALSE)</f>
        <v>46301</v>
      </c>
      <c r="R409" t="str">
        <v>374</v>
      </c>
      <c r="S409" t="str">
        <v>1000011738 CHEN WENRONG</v>
      </c>
    </row>
    <row r="410" spans="1:19" x14ac:dyDescent="0.3">
      <c r="A410" s="2" t="s">
        <v>14</v>
      </c>
      <c r="B410" s="3" t="s">
        <v>14</v>
      </c>
      <c r="C410" s="3" t="s">
        <v>2873</v>
      </c>
      <c r="D410" s="3" t="s">
        <v>32</v>
      </c>
      <c r="E410" s="3" t="s">
        <v>194</v>
      </c>
      <c r="F410" s="4">
        <v>46297</v>
      </c>
      <c r="G410" s="3" t="s">
        <v>27</v>
      </c>
      <c r="H410" s="6">
        <v>5371.9</v>
      </c>
      <c r="I410" s="3" t="s">
        <v>18</v>
      </c>
      <c r="J410" s="3" t="s">
        <v>19</v>
      </c>
      <c r="K410" s="3" t="s">
        <v>14</v>
      </c>
      <c r="L410" s="3" t="s">
        <v>2874</v>
      </c>
      <c r="M410" s="4">
        <v>46298</v>
      </c>
      <c r="N410" s="3" t="s">
        <v>2875</v>
      </c>
      <c r="O410" s="3" t="s">
        <v>132</v>
      </c>
      <c r="P410" t="str">
        <f t="shared" si="6"/>
        <v>4500139759120</v>
      </c>
      <c r="Q410" s="7" cm="1">
        <f t="array" ref="Q410:S410">VLOOKUP(P410,Hoja1!C:F,{2,3,4},FALSE)</f>
        <v>46301</v>
      </c>
      <c r="R410" t="str">
        <v>374</v>
      </c>
      <c r="S410" t="str">
        <v>1000011738 CHEN WENRONG</v>
      </c>
    </row>
    <row r="411" spans="1:19" x14ac:dyDescent="0.3">
      <c r="A411" s="2" t="s">
        <v>14</v>
      </c>
      <c r="B411" s="3" t="s">
        <v>14</v>
      </c>
      <c r="C411" s="3" t="s">
        <v>2873</v>
      </c>
      <c r="D411" s="3" t="s">
        <v>32</v>
      </c>
      <c r="E411" s="3" t="s">
        <v>194</v>
      </c>
      <c r="F411" s="4">
        <v>46297</v>
      </c>
      <c r="G411" s="3" t="s">
        <v>27</v>
      </c>
      <c r="H411" s="6">
        <v>198863</v>
      </c>
      <c r="I411" s="3" t="s">
        <v>18</v>
      </c>
      <c r="J411" s="3" t="s">
        <v>250</v>
      </c>
      <c r="K411" s="3" t="s">
        <v>14</v>
      </c>
      <c r="L411" s="3" t="s">
        <v>2874</v>
      </c>
      <c r="M411" s="4">
        <v>46298</v>
      </c>
      <c r="N411" s="3" t="s">
        <v>2875</v>
      </c>
      <c r="O411" s="3" t="s">
        <v>142</v>
      </c>
      <c r="P411" t="str">
        <f t="shared" si="6"/>
        <v>4500139759130</v>
      </c>
      <c r="Q411" s="7" cm="1">
        <f t="array" ref="Q411:S411">VLOOKUP(P411,Hoja1!C:F,{2,3,4},FALSE)</f>
        <v>46301</v>
      </c>
      <c r="R411" t="str">
        <v>374</v>
      </c>
      <c r="S411" t="str">
        <v>1000011738 CHEN WENRONG</v>
      </c>
    </row>
    <row r="412" spans="1:19" x14ac:dyDescent="0.3">
      <c r="A412" s="2" t="s">
        <v>14</v>
      </c>
      <c r="B412" s="3" t="s">
        <v>14</v>
      </c>
      <c r="C412" s="3" t="s">
        <v>2873</v>
      </c>
      <c r="D412" s="3" t="s">
        <v>32</v>
      </c>
      <c r="E412" s="3" t="s">
        <v>194</v>
      </c>
      <c r="F412" s="4">
        <v>46297</v>
      </c>
      <c r="G412" s="3" t="s">
        <v>27</v>
      </c>
      <c r="H412" s="6">
        <v>198347.1</v>
      </c>
      <c r="I412" s="3" t="s">
        <v>18</v>
      </c>
      <c r="J412" s="3" t="s">
        <v>19</v>
      </c>
      <c r="K412" s="3" t="s">
        <v>14</v>
      </c>
      <c r="L412" s="3" t="s">
        <v>2874</v>
      </c>
      <c r="M412" s="4">
        <v>46298</v>
      </c>
      <c r="N412" s="3" t="s">
        <v>2875</v>
      </c>
      <c r="O412" s="3" t="s">
        <v>131</v>
      </c>
      <c r="P412" t="str">
        <f t="shared" si="6"/>
        <v>4500139759140</v>
      </c>
      <c r="Q412" s="7" cm="1">
        <f t="array" ref="Q412:S412">VLOOKUP(P412,Hoja1!C:F,{2,3,4},FALSE)</f>
        <v>46301</v>
      </c>
      <c r="R412" t="str">
        <v>374</v>
      </c>
      <c r="S412" t="str">
        <v>1000011738 CHEN WENRONG</v>
      </c>
    </row>
    <row r="413" spans="1:19" x14ac:dyDescent="0.3">
      <c r="A413" s="2" t="s">
        <v>14</v>
      </c>
      <c r="B413" s="3" t="s">
        <v>14</v>
      </c>
      <c r="C413" s="3" t="s">
        <v>2876</v>
      </c>
      <c r="D413" s="3" t="s">
        <v>14</v>
      </c>
      <c r="E413" s="3" t="s">
        <v>194</v>
      </c>
      <c r="F413" s="4">
        <v>46294</v>
      </c>
      <c r="G413" s="3" t="s">
        <v>27</v>
      </c>
      <c r="H413" s="6">
        <v>295000</v>
      </c>
      <c r="I413" s="3" t="s">
        <v>18</v>
      </c>
      <c r="J413" s="3" t="s">
        <v>19</v>
      </c>
      <c r="K413" s="3" t="s">
        <v>14</v>
      </c>
      <c r="L413" s="3" t="s">
        <v>1670</v>
      </c>
      <c r="M413" s="4">
        <v>46298</v>
      </c>
      <c r="N413" s="3" t="s">
        <v>2355</v>
      </c>
      <c r="O413" s="3" t="s">
        <v>30</v>
      </c>
      <c r="P413" t="str">
        <f t="shared" si="6"/>
        <v>450013679010</v>
      </c>
      <c r="Q413" s="7" cm="1">
        <f t="array" ref="Q413:S413">VLOOKUP(P413,Hoja1!C:F,{2,3,4},FALSE)</f>
        <v>46298</v>
      </c>
      <c r="R413" t="str">
        <v>374</v>
      </c>
      <c r="S413" t="str">
        <v>1000012006 MORALES MIGUEL ALBERTO</v>
      </c>
    </row>
    <row r="414" spans="1:19" x14ac:dyDescent="0.3">
      <c r="A414" s="2" t="s">
        <v>14</v>
      </c>
      <c r="B414" s="3" t="s">
        <v>14</v>
      </c>
      <c r="C414" s="3" t="s">
        <v>2877</v>
      </c>
      <c r="D414" s="3" t="s">
        <v>32</v>
      </c>
      <c r="E414" s="3" t="s">
        <v>194</v>
      </c>
      <c r="F414" s="4">
        <v>46296</v>
      </c>
      <c r="G414" s="3" t="s">
        <v>27</v>
      </c>
      <c r="H414" s="6">
        <v>32231.4</v>
      </c>
      <c r="I414" s="3" t="s">
        <v>18</v>
      </c>
      <c r="J414" s="3" t="s">
        <v>19</v>
      </c>
      <c r="K414" s="3" t="s">
        <v>14</v>
      </c>
      <c r="L414" s="3" t="s">
        <v>2878</v>
      </c>
      <c r="M414" s="4">
        <v>46298</v>
      </c>
      <c r="N414" s="3" t="s">
        <v>2879</v>
      </c>
      <c r="O414" s="3" t="s">
        <v>30</v>
      </c>
      <c r="P414" t="str">
        <f t="shared" si="6"/>
        <v>450014005310</v>
      </c>
      <c r="Q414" s="7" cm="1">
        <f t="array" ref="Q414:S414">VLOOKUP(P414,Hoja1!C:F,{2,3,4},FALSE)</f>
        <v>46301</v>
      </c>
      <c r="R414" t="str">
        <v>374</v>
      </c>
      <c r="S414" t="str">
        <v>1000012175 SINELLI MAURICIO ALEJANDRO</v>
      </c>
    </row>
    <row r="415" spans="1:19" x14ac:dyDescent="0.3">
      <c r="A415" s="2" t="s">
        <v>14</v>
      </c>
      <c r="B415" s="3" t="s">
        <v>14</v>
      </c>
      <c r="C415" s="3" t="s">
        <v>2880</v>
      </c>
      <c r="D415" s="3" t="s">
        <v>14</v>
      </c>
      <c r="E415" s="3" t="s">
        <v>194</v>
      </c>
      <c r="F415" s="4">
        <v>46297</v>
      </c>
      <c r="G415" s="3" t="s">
        <v>27</v>
      </c>
      <c r="H415" s="6">
        <v>29669.42</v>
      </c>
      <c r="I415" s="3" t="s">
        <v>18</v>
      </c>
      <c r="J415" s="3" t="s">
        <v>19</v>
      </c>
      <c r="K415" s="3" t="s">
        <v>14</v>
      </c>
      <c r="L415" s="3" t="s">
        <v>1647</v>
      </c>
      <c r="M415" s="4">
        <v>46298</v>
      </c>
      <c r="N415" s="3" t="s">
        <v>2146</v>
      </c>
      <c r="O415" s="3" t="s">
        <v>30</v>
      </c>
      <c r="P415" t="str">
        <f t="shared" si="6"/>
        <v>450013943910</v>
      </c>
      <c r="Q415" s="7" cm="1">
        <f t="array" ref="Q415:S415">VLOOKUP(P415,Hoja1!C:F,{2,3,4},FALSE)</f>
        <v>46301</v>
      </c>
      <c r="R415" t="str">
        <v>374</v>
      </c>
      <c r="S415" t="str">
        <v>1000012179 TINTA NEGRA S. A. S.</v>
      </c>
    </row>
    <row r="416" spans="1:19" x14ac:dyDescent="0.3">
      <c r="A416" s="2" t="s">
        <v>14</v>
      </c>
      <c r="B416" s="3" t="s">
        <v>14</v>
      </c>
      <c r="C416" s="3" t="s">
        <v>2880</v>
      </c>
      <c r="D416" s="3" t="s">
        <v>14</v>
      </c>
      <c r="E416" s="3" t="s">
        <v>194</v>
      </c>
      <c r="F416" s="4">
        <v>46297</v>
      </c>
      <c r="G416" s="3" t="s">
        <v>27</v>
      </c>
      <c r="H416" s="6">
        <v>1115.7</v>
      </c>
      <c r="I416" s="3" t="s">
        <v>18</v>
      </c>
      <c r="J416" s="3" t="s">
        <v>19</v>
      </c>
      <c r="K416" s="3" t="s">
        <v>14</v>
      </c>
      <c r="L416" s="3" t="s">
        <v>1647</v>
      </c>
      <c r="M416" s="4">
        <v>46298</v>
      </c>
      <c r="N416" s="3" t="s">
        <v>2146</v>
      </c>
      <c r="O416" s="3" t="s">
        <v>22</v>
      </c>
      <c r="P416" t="str">
        <f t="shared" si="6"/>
        <v>450013943920</v>
      </c>
      <c r="Q416" s="7" cm="1">
        <f t="array" ref="Q416:S416">VLOOKUP(P416,Hoja1!C:F,{2,3,4},FALSE)</f>
        <v>46301</v>
      </c>
      <c r="R416" t="str">
        <v>374</v>
      </c>
      <c r="S416" t="str">
        <v>1000012179 TINTA NEGRA S. A. S.</v>
      </c>
    </row>
    <row r="417" spans="1:19" x14ac:dyDescent="0.3">
      <c r="A417" s="2" t="s">
        <v>14</v>
      </c>
      <c r="B417" s="3" t="s">
        <v>14</v>
      </c>
      <c r="C417" s="3" t="s">
        <v>2881</v>
      </c>
      <c r="D417" s="3" t="s">
        <v>32</v>
      </c>
      <c r="E417" s="3" t="s">
        <v>194</v>
      </c>
      <c r="F417" s="4">
        <v>46297</v>
      </c>
      <c r="G417" s="3" t="s">
        <v>27</v>
      </c>
      <c r="H417" s="6">
        <v>171487.6</v>
      </c>
      <c r="I417" s="3" t="s">
        <v>18</v>
      </c>
      <c r="J417" s="3" t="s">
        <v>19</v>
      </c>
      <c r="K417" s="3" t="s">
        <v>14</v>
      </c>
      <c r="L417" s="3" t="s">
        <v>2161</v>
      </c>
      <c r="M417" s="4">
        <v>46298</v>
      </c>
      <c r="N417" s="3" t="s">
        <v>2162</v>
      </c>
      <c r="O417" s="3" t="s">
        <v>30</v>
      </c>
      <c r="P417" t="str">
        <f t="shared" si="6"/>
        <v>450013959110</v>
      </c>
      <c r="Q417" s="7" cm="1">
        <f t="array" ref="Q417:S417">VLOOKUP(P417,Hoja1!C:F,{2,3,4},FALSE)</f>
        <v>46301</v>
      </c>
      <c r="R417" t="str">
        <v>374</v>
      </c>
      <c r="S417" t="str">
        <v>1000012652 BULMAD SAS</v>
      </c>
    </row>
    <row r="418" spans="1:19" x14ac:dyDescent="0.3">
      <c r="A418" s="2" t="s">
        <v>14</v>
      </c>
      <c r="B418" s="3" t="s">
        <v>14</v>
      </c>
      <c r="C418" s="3" t="s">
        <v>2882</v>
      </c>
      <c r="D418" s="3" t="s">
        <v>32</v>
      </c>
      <c r="E418" s="3" t="s">
        <v>194</v>
      </c>
      <c r="F418" s="4">
        <v>46294</v>
      </c>
      <c r="G418" s="3" t="s">
        <v>27</v>
      </c>
      <c r="H418" s="6">
        <v>98000</v>
      </c>
      <c r="I418" s="3" t="s">
        <v>18</v>
      </c>
      <c r="J418" s="3" t="s">
        <v>39</v>
      </c>
      <c r="K418" s="3" t="s">
        <v>14</v>
      </c>
      <c r="L418" s="3" t="s">
        <v>1441</v>
      </c>
      <c r="M418" s="4">
        <v>46298</v>
      </c>
      <c r="N418" s="3" t="s">
        <v>1851</v>
      </c>
      <c r="O418" s="3" t="s">
        <v>30</v>
      </c>
      <c r="P418" t="str">
        <f t="shared" si="6"/>
        <v>450013959510</v>
      </c>
      <c r="Q418" s="7" cm="1">
        <f t="array" ref="Q418:S418">VLOOKUP(P418,Hoja1!C:F,{2,3,4},FALSE)</f>
        <v>46296</v>
      </c>
      <c r="R418" t="str">
        <v>374</v>
      </c>
      <c r="S418" t="str">
        <v>1000012812 FLORES JUAN MANUEL</v>
      </c>
    </row>
    <row r="419" spans="1:19" x14ac:dyDescent="0.3">
      <c r="A419" s="2" t="s">
        <v>14</v>
      </c>
      <c r="B419" s="3" t="s">
        <v>14</v>
      </c>
      <c r="C419" s="3" t="s">
        <v>2882</v>
      </c>
      <c r="D419" s="3" t="s">
        <v>32</v>
      </c>
      <c r="E419" s="3" t="s">
        <v>194</v>
      </c>
      <c r="F419" s="4">
        <v>46294</v>
      </c>
      <c r="G419" s="3" t="s">
        <v>27</v>
      </c>
      <c r="H419" s="6">
        <v>112850</v>
      </c>
      <c r="I419" s="3" t="s">
        <v>18</v>
      </c>
      <c r="J419" s="3" t="s">
        <v>39</v>
      </c>
      <c r="K419" s="3" t="s">
        <v>14</v>
      </c>
      <c r="L419" s="3" t="s">
        <v>1441</v>
      </c>
      <c r="M419" s="4">
        <v>46298</v>
      </c>
      <c r="N419" s="3" t="s">
        <v>1851</v>
      </c>
      <c r="O419" s="3" t="s">
        <v>22</v>
      </c>
      <c r="P419" t="str">
        <f t="shared" si="6"/>
        <v>450013959520</v>
      </c>
      <c r="Q419" s="7" cm="1">
        <f t="array" ref="Q419:S419">VLOOKUP(P419,Hoja1!C:F,{2,3,4},FALSE)</f>
        <v>46296</v>
      </c>
      <c r="R419" t="str">
        <v>374</v>
      </c>
      <c r="S419" t="str">
        <v>1000012812 FLORES JUAN MANUEL</v>
      </c>
    </row>
    <row r="420" spans="1:19" x14ac:dyDescent="0.3">
      <c r="A420" s="2" t="s">
        <v>14</v>
      </c>
      <c r="B420" s="3" t="s">
        <v>14</v>
      </c>
      <c r="C420" s="3" t="s">
        <v>2883</v>
      </c>
      <c r="D420" s="3" t="s">
        <v>32</v>
      </c>
      <c r="E420" s="3" t="s">
        <v>194</v>
      </c>
      <c r="F420" s="4">
        <v>46294</v>
      </c>
      <c r="G420" s="3" t="s">
        <v>27</v>
      </c>
      <c r="H420" s="6">
        <v>380826.88</v>
      </c>
      <c r="I420" s="3" t="s">
        <v>18</v>
      </c>
      <c r="J420" s="3" t="s">
        <v>19</v>
      </c>
      <c r="K420" s="3" t="s">
        <v>14</v>
      </c>
      <c r="L420" s="3" t="s">
        <v>915</v>
      </c>
      <c r="M420" s="4">
        <v>46298</v>
      </c>
      <c r="N420" s="3" t="s">
        <v>2117</v>
      </c>
      <c r="O420" s="3" t="s">
        <v>30</v>
      </c>
      <c r="P420" t="str">
        <f t="shared" si="6"/>
        <v>450013966910</v>
      </c>
      <c r="Q420" s="7" cm="1">
        <f t="array" ref="Q420:S420">VLOOKUP(P420,Hoja1!C:F,{2,3,4},FALSE)</f>
        <v>46301</v>
      </c>
      <c r="R420" t="str">
        <v>374</v>
      </c>
      <c r="S420" t="str">
        <v>1000013162 MADRYN REPUESTOS Y SERVICIOS SAS</v>
      </c>
    </row>
    <row r="421" spans="1:19" x14ac:dyDescent="0.3">
      <c r="A421" s="2" t="s">
        <v>14</v>
      </c>
      <c r="B421" s="3" t="s">
        <v>14</v>
      </c>
      <c r="C421" s="3" t="s">
        <v>2883</v>
      </c>
      <c r="D421" s="3" t="s">
        <v>32</v>
      </c>
      <c r="E421" s="3" t="s">
        <v>194</v>
      </c>
      <c r="F421" s="4">
        <v>46294</v>
      </c>
      <c r="G421" s="3" t="s">
        <v>27</v>
      </c>
      <c r="H421" s="6">
        <v>217500</v>
      </c>
      <c r="I421" s="3" t="s">
        <v>18</v>
      </c>
      <c r="J421" s="3" t="s">
        <v>19</v>
      </c>
      <c r="K421" s="3" t="s">
        <v>14</v>
      </c>
      <c r="L421" s="3" t="s">
        <v>915</v>
      </c>
      <c r="M421" s="4">
        <v>46298</v>
      </c>
      <c r="N421" s="3" t="s">
        <v>2117</v>
      </c>
      <c r="O421" s="3" t="s">
        <v>22</v>
      </c>
      <c r="P421" t="str">
        <f t="shared" si="6"/>
        <v>450013966920</v>
      </c>
      <c r="Q421" s="7" cm="1">
        <f t="array" ref="Q421:S421">VLOOKUP(P421,Hoja1!C:F,{2,3,4},FALSE)</f>
        <v>46301</v>
      </c>
      <c r="R421" t="str">
        <v>374</v>
      </c>
      <c r="S421" t="str">
        <v>1000013162 MADRYN REPUESTOS Y SERVICIOS SAS</v>
      </c>
    </row>
    <row r="422" spans="1:19" x14ac:dyDescent="0.3">
      <c r="A422" s="2" t="s">
        <v>14</v>
      </c>
      <c r="B422" s="3" t="s">
        <v>14</v>
      </c>
      <c r="C422" s="3" t="s">
        <v>2883</v>
      </c>
      <c r="D422" s="3" t="s">
        <v>32</v>
      </c>
      <c r="E422" s="3" t="s">
        <v>194</v>
      </c>
      <c r="F422" s="4">
        <v>46294</v>
      </c>
      <c r="G422" s="3" t="s">
        <v>27</v>
      </c>
      <c r="H422" s="6">
        <v>957851.18</v>
      </c>
      <c r="I422" s="3" t="s">
        <v>18</v>
      </c>
      <c r="J422" s="3" t="s">
        <v>19</v>
      </c>
      <c r="K422" s="3" t="s">
        <v>14</v>
      </c>
      <c r="L422" s="3" t="s">
        <v>915</v>
      </c>
      <c r="M422" s="4">
        <v>46298</v>
      </c>
      <c r="N422" s="3" t="s">
        <v>2117</v>
      </c>
      <c r="O422" s="3" t="s">
        <v>35</v>
      </c>
      <c r="P422" t="str">
        <f t="shared" si="6"/>
        <v>450013966930</v>
      </c>
      <c r="Q422" s="7" cm="1">
        <f t="array" ref="Q422:S422">VLOOKUP(P422,Hoja1!C:F,{2,3,4},FALSE)</f>
        <v>46301</v>
      </c>
      <c r="R422" t="str">
        <v>374</v>
      </c>
      <c r="S422" t="str">
        <v>1000013162 MADRYN REPUESTOS Y SERVICIOS SAS</v>
      </c>
    </row>
    <row r="423" spans="1:19" x14ac:dyDescent="0.3">
      <c r="A423" s="2" t="s">
        <v>14</v>
      </c>
      <c r="B423" s="3" t="s">
        <v>14</v>
      </c>
      <c r="C423" s="3" t="s">
        <v>2883</v>
      </c>
      <c r="D423" s="3" t="s">
        <v>32</v>
      </c>
      <c r="E423" s="3" t="s">
        <v>194</v>
      </c>
      <c r="F423" s="4">
        <v>46294</v>
      </c>
      <c r="G423" s="3" t="s">
        <v>27</v>
      </c>
      <c r="H423" s="6">
        <v>675702.4</v>
      </c>
      <c r="I423" s="3" t="s">
        <v>18</v>
      </c>
      <c r="J423" s="3" t="s">
        <v>19</v>
      </c>
      <c r="K423" s="3" t="s">
        <v>14</v>
      </c>
      <c r="L423" s="3" t="s">
        <v>915</v>
      </c>
      <c r="M423" s="4">
        <v>46298</v>
      </c>
      <c r="N423" s="3" t="s">
        <v>2117</v>
      </c>
      <c r="O423" s="3" t="s">
        <v>23</v>
      </c>
      <c r="P423" t="str">
        <f t="shared" si="6"/>
        <v>450013966940</v>
      </c>
      <c r="Q423" s="7" cm="1">
        <f t="array" ref="Q423:S423">VLOOKUP(P423,Hoja1!C:F,{2,3,4},FALSE)</f>
        <v>46301</v>
      </c>
      <c r="R423" t="str">
        <v>374</v>
      </c>
      <c r="S423" t="str">
        <v>1000013162 MADRYN REPUESTOS Y SERVICIOS SAS</v>
      </c>
    </row>
    <row r="424" spans="1:19" x14ac:dyDescent="0.3">
      <c r="A424" s="2" t="s">
        <v>14</v>
      </c>
      <c r="B424" s="3" t="s">
        <v>14</v>
      </c>
      <c r="C424" s="3" t="s">
        <v>2884</v>
      </c>
      <c r="D424" s="3" t="s">
        <v>32</v>
      </c>
      <c r="E424" s="3" t="s">
        <v>194</v>
      </c>
      <c r="F424" s="4">
        <v>46296</v>
      </c>
      <c r="G424" s="3" t="s">
        <v>27</v>
      </c>
      <c r="H424" s="6">
        <v>54000</v>
      </c>
      <c r="I424" s="3" t="s">
        <v>18</v>
      </c>
      <c r="J424" s="3" t="s">
        <v>39</v>
      </c>
      <c r="K424" s="3" t="s">
        <v>14</v>
      </c>
      <c r="L424" s="3" t="s">
        <v>1386</v>
      </c>
      <c r="M424" s="4">
        <v>46300</v>
      </c>
      <c r="N424" s="3" t="s">
        <v>2885</v>
      </c>
      <c r="O424" s="3" t="s">
        <v>30</v>
      </c>
      <c r="P424" t="str">
        <f t="shared" si="6"/>
        <v>450013959410</v>
      </c>
      <c r="Q424" s="7" cm="1">
        <f t="array" ref="Q424:S424">VLOOKUP(P424,Hoja1!C:F,{2,3,4},FALSE)</f>
        <v>46303</v>
      </c>
      <c r="R424" t="str">
        <v>374</v>
      </c>
      <c r="S424" t="str">
        <v>1000011491 OLIVERA NOELIA ELISABETH</v>
      </c>
    </row>
    <row r="425" spans="1:19" x14ac:dyDescent="0.3">
      <c r="A425" s="2" t="s">
        <v>14</v>
      </c>
      <c r="B425" s="3" t="s">
        <v>14</v>
      </c>
      <c r="C425" s="3" t="s">
        <v>2884</v>
      </c>
      <c r="D425" s="3" t="s">
        <v>32</v>
      </c>
      <c r="E425" s="3" t="s">
        <v>194</v>
      </c>
      <c r="F425" s="4">
        <v>46296</v>
      </c>
      <c r="G425" s="3" t="s">
        <v>27</v>
      </c>
      <c r="H425" s="6">
        <v>6000</v>
      </c>
      <c r="I425" s="3" t="s">
        <v>18</v>
      </c>
      <c r="J425" s="3" t="s">
        <v>39</v>
      </c>
      <c r="K425" s="3" t="s">
        <v>14</v>
      </c>
      <c r="L425" s="3" t="s">
        <v>1386</v>
      </c>
      <c r="M425" s="4">
        <v>46300</v>
      </c>
      <c r="N425" s="3" t="s">
        <v>2885</v>
      </c>
      <c r="O425" s="3" t="s">
        <v>22</v>
      </c>
      <c r="P425" t="str">
        <f t="shared" si="6"/>
        <v>450013959420</v>
      </c>
      <c r="Q425" s="7" cm="1">
        <f t="array" ref="Q425:S425">VLOOKUP(P425,Hoja1!C:F,{2,3,4},FALSE)</f>
        <v>46303</v>
      </c>
      <c r="R425" t="str">
        <v>374</v>
      </c>
      <c r="S425" t="str">
        <v>1000011491 OLIVERA NOELIA ELISABETH</v>
      </c>
    </row>
    <row r="426" spans="1:19" x14ac:dyDescent="0.3">
      <c r="A426" s="2" t="s">
        <v>14</v>
      </c>
      <c r="B426" s="3" t="s">
        <v>14</v>
      </c>
      <c r="C426" s="3" t="s">
        <v>2884</v>
      </c>
      <c r="D426" s="3" t="s">
        <v>32</v>
      </c>
      <c r="E426" s="3" t="s">
        <v>194</v>
      </c>
      <c r="F426" s="4">
        <v>46296</v>
      </c>
      <c r="G426" s="3" t="s">
        <v>27</v>
      </c>
      <c r="H426" s="6">
        <v>36400</v>
      </c>
      <c r="I426" s="3" t="s">
        <v>18</v>
      </c>
      <c r="J426" s="3" t="s">
        <v>39</v>
      </c>
      <c r="K426" s="3" t="s">
        <v>14</v>
      </c>
      <c r="L426" s="3" t="s">
        <v>1386</v>
      </c>
      <c r="M426" s="4">
        <v>46300</v>
      </c>
      <c r="N426" s="3" t="s">
        <v>2885</v>
      </c>
      <c r="O426" s="3" t="s">
        <v>35</v>
      </c>
      <c r="P426" t="str">
        <f t="shared" si="6"/>
        <v>450013959430</v>
      </c>
      <c r="Q426" s="7" cm="1">
        <f t="array" ref="Q426:S426">VLOOKUP(P426,Hoja1!C:F,{2,3,4},FALSE)</f>
        <v>46303</v>
      </c>
      <c r="R426" t="str">
        <v>374</v>
      </c>
      <c r="S426" t="str">
        <v>1000011491 OLIVERA NOELIA ELISABETH</v>
      </c>
    </row>
    <row r="427" spans="1:19" x14ac:dyDescent="0.3">
      <c r="A427" s="2" t="s">
        <v>14</v>
      </c>
      <c r="B427" s="3" t="s">
        <v>14</v>
      </c>
      <c r="C427" s="3" t="s">
        <v>2886</v>
      </c>
      <c r="D427" s="3" t="s">
        <v>14</v>
      </c>
      <c r="E427" s="3" t="s">
        <v>194</v>
      </c>
      <c r="F427" s="4">
        <v>46295</v>
      </c>
      <c r="G427" s="3" t="s">
        <v>27</v>
      </c>
      <c r="H427" s="6">
        <v>1900000</v>
      </c>
      <c r="I427" s="3" t="s">
        <v>18</v>
      </c>
      <c r="J427" s="3" t="s">
        <v>19</v>
      </c>
      <c r="K427" s="3" t="s">
        <v>14</v>
      </c>
      <c r="L427" s="3" t="s">
        <v>1690</v>
      </c>
      <c r="M427" s="4">
        <v>46300</v>
      </c>
      <c r="N427" s="3" t="s">
        <v>1691</v>
      </c>
      <c r="O427" s="3" t="s">
        <v>30</v>
      </c>
      <c r="P427" t="str">
        <f t="shared" si="6"/>
        <v>450013910810</v>
      </c>
      <c r="Q427" s="7" cm="1">
        <f t="array" ref="Q427:S427">VLOOKUP(P427,Hoja1!C:F,{2,3,4},FALSE)</f>
        <v>46295</v>
      </c>
      <c r="R427" t="str">
        <v>C26</v>
      </c>
      <c r="S427" t="str">
        <v>1000013647 BRENT ENERGIA Y SERVICIOS S.A</v>
      </c>
    </row>
    <row r="428" spans="1:19" x14ac:dyDescent="0.3">
      <c r="A428" s="2" t="s">
        <v>14</v>
      </c>
      <c r="B428" s="3" t="s">
        <v>14</v>
      </c>
      <c r="C428" s="3" t="s">
        <v>2887</v>
      </c>
      <c r="D428" s="3" t="s">
        <v>14</v>
      </c>
      <c r="E428" s="3" t="s">
        <v>194</v>
      </c>
      <c r="F428" s="4">
        <v>46295</v>
      </c>
      <c r="G428" s="3" t="s">
        <v>27</v>
      </c>
      <c r="H428" s="6">
        <v>1900000</v>
      </c>
      <c r="I428" s="3" t="s">
        <v>18</v>
      </c>
      <c r="J428" s="3" t="s">
        <v>19</v>
      </c>
      <c r="K428" s="3" t="s">
        <v>14</v>
      </c>
      <c r="L428" s="3" t="s">
        <v>1690</v>
      </c>
      <c r="M428" s="4">
        <v>46300</v>
      </c>
      <c r="N428" s="3" t="s">
        <v>2159</v>
      </c>
      <c r="O428" s="3" t="s">
        <v>30</v>
      </c>
      <c r="P428" t="str">
        <f t="shared" si="6"/>
        <v>450013994610</v>
      </c>
      <c r="Q428" s="7" cm="1">
        <f t="array" ref="Q428:S428">VLOOKUP(P428,Hoja1!C:F,{2,3,4},FALSE)</f>
        <v>46311</v>
      </c>
      <c r="R428" t="str">
        <v>C26</v>
      </c>
      <c r="S428" t="str">
        <v>1000013647 BRENT ENERGIA Y SERVICIOS S.A</v>
      </c>
    </row>
    <row r="429" spans="1:19" x14ac:dyDescent="0.3">
      <c r="A429" s="2" t="s">
        <v>14</v>
      </c>
      <c r="B429" s="3" t="s">
        <v>14</v>
      </c>
      <c r="C429" s="3" t="s">
        <v>2888</v>
      </c>
      <c r="D429" s="3" t="s">
        <v>32</v>
      </c>
      <c r="E429" s="3" t="s">
        <v>194</v>
      </c>
      <c r="F429" s="4">
        <v>46291</v>
      </c>
      <c r="G429" s="3" t="s">
        <v>27</v>
      </c>
      <c r="H429" s="6">
        <v>25000</v>
      </c>
      <c r="I429" s="3" t="s">
        <v>18</v>
      </c>
      <c r="J429" s="3" t="s">
        <v>19</v>
      </c>
      <c r="K429" s="3" t="s">
        <v>14</v>
      </c>
      <c r="L429" s="3" t="s">
        <v>1917</v>
      </c>
      <c r="M429" s="4">
        <v>46300</v>
      </c>
      <c r="N429" s="3" t="s">
        <v>1918</v>
      </c>
      <c r="O429" s="3" t="s">
        <v>30</v>
      </c>
      <c r="P429" t="str">
        <f t="shared" si="6"/>
        <v>450013968710</v>
      </c>
      <c r="Q429" s="7" cm="1">
        <f t="array" ref="Q429:S429">VLOOKUP(P429,Hoja1!C:F,{2,3,4},FALSE)</f>
        <v>46297</v>
      </c>
      <c r="R429" t="str">
        <v>374</v>
      </c>
      <c r="S429" t="str">
        <v>1000011463 CASA PATRICELLI SOC. LEY 19550 CAP.</v>
      </c>
    </row>
    <row r="430" spans="1:19" x14ac:dyDescent="0.3">
      <c r="A430" s="2" t="s">
        <v>14</v>
      </c>
      <c r="B430" s="3" t="s">
        <v>14</v>
      </c>
      <c r="C430" s="3" t="s">
        <v>2888</v>
      </c>
      <c r="D430" s="3" t="s">
        <v>32</v>
      </c>
      <c r="E430" s="3" t="s">
        <v>194</v>
      </c>
      <c r="F430" s="4">
        <v>46291</v>
      </c>
      <c r="G430" s="3" t="s">
        <v>27</v>
      </c>
      <c r="H430" s="6">
        <v>6000</v>
      </c>
      <c r="I430" s="3" t="s">
        <v>18</v>
      </c>
      <c r="J430" s="3" t="s">
        <v>19</v>
      </c>
      <c r="K430" s="3" t="s">
        <v>14</v>
      </c>
      <c r="L430" s="3" t="s">
        <v>1917</v>
      </c>
      <c r="M430" s="4">
        <v>46300</v>
      </c>
      <c r="N430" s="3" t="s">
        <v>1918</v>
      </c>
      <c r="O430" s="3" t="s">
        <v>22</v>
      </c>
      <c r="P430" t="str">
        <f t="shared" si="6"/>
        <v>450013968720</v>
      </c>
      <c r="Q430" s="7" cm="1">
        <f t="array" ref="Q430:S430">VLOOKUP(P430,Hoja1!C:F,{2,3,4},FALSE)</f>
        <v>46297</v>
      </c>
      <c r="R430" t="str">
        <v>374</v>
      </c>
      <c r="S430" t="str">
        <v>1000011463 CASA PATRICELLI SOC. LEY 19550 CAP.</v>
      </c>
    </row>
    <row r="431" spans="1:19" x14ac:dyDescent="0.3">
      <c r="A431" s="2" t="s">
        <v>14</v>
      </c>
      <c r="B431" s="3" t="s">
        <v>14</v>
      </c>
      <c r="C431" s="3" t="s">
        <v>2889</v>
      </c>
      <c r="D431" s="3" t="s">
        <v>14</v>
      </c>
      <c r="E431" s="3" t="s">
        <v>194</v>
      </c>
      <c r="F431" s="4">
        <v>46296</v>
      </c>
      <c r="G431" s="3" t="s">
        <v>27</v>
      </c>
      <c r="H431" s="6">
        <v>213070</v>
      </c>
      <c r="I431" s="3" t="s">
        <v>18</v>
      </c>
      <c r="J431" s="3" t="s">
        <v>19</v>
      </c>
      <c r="K431" s="3" t="s">
        <v>14</v>
      </c>
      <c r="L431" s="3" t="s">
        <v>2763</v>
      </c>
      <c r="M431" s="4">
        <v>46300</v>
      </c>
      <c r="N431" s="3" t="s">
        <v>2764</v>
      </c>
      <c r="O431" s="3" t="s">
        <v>30</v>
      </c>
      <c r="P431" t="str">
        <f t="shared" si="6"/>
        <v>450013214210</v>
      </c>
      <c r="Q431" s="7" cm="1">
        <f t="array" ref="Q431:S431">VLOOKUP(P431,Hoja1!C:F,{2,3,4},FALSE)</f>
        <v>46418</v>
      </c>
      <c r="R431" t="str">
        <v>C24</v>
      </c>
      <c r="S431" t="str">
        <v>1000007599 MAGRI TELEFONIA S.R.L.</v>
      </c>
    </row>
    <row r="432" spans="1:19" x14ac:dyDescent="0.3">
      <c r="A432" s="2" t="s">
        <v>14</v>
      </c>
      <c r="B432" s="3" t="s">
        <v>14</v>
      </c>
      <c r="C432" s="3" t="s">
        <v>2889</v>
      </c>
      <c r="D432" s="3" t="s">
        <v>14</v>
      </c>
      <c r="E432" s="3" t="s">
        <v>194</v>
      </c>
      <c r="F432" s="4">
        <v>46296</v>
      </c>
      <c r="G432" s="3" t="s">
        <v>27</v>
      </c>
      <c r="H432" s="6">
        <v>85585.5</v>
      </c>
      <c r="I432" s="3" t="s">
        <v>18</v>
      </c>
      <c r="J432" s="3" t="s">
        <v>19</v>
      </c>
      <c r="K432" s="3" t="s">
        <v>14</v>
      </c>
      <c r="L432" s="3" t="s">
        <v>2763</v>
      </c>
      <c r="M432" s="4">
        <v>46300</v>
      </c>
      <c r="N432" s="3" t="s">
        <v>2764</v>
      </c>
      <c r="O432" s="3" t="s">
        <v>22</v>
      </c>
      <c r="P432" t="str">
        <f t="shared" si="6"/>
        <v>450013214220</v>
      </c>
      <c r="Q432" s="7" cm="1">
        <f t="array" ref="Q432:S432">VLOOKUP(P432,Hoja1!C:F,{2,3,4},FALSE)</f>
        <v>46418</v>
      </c>
      <c r="R432" t="str">
        <v>C24</v>
      </c>
      <c r="S432" t="str">
        <v>1000007599 MAGRI TELEFONIA S.R.L.</v>
      </c>
    </row>
    <row r="433" spans="1:19" x14ac:dyDescent="0.3">
      <c r="A433" s="2" t="s">
        <v>14</v>
      </c>
      <c r="B433" s="3" t="s">
        <v>14</v>
      </c>
      <c r="C433" s="3" t="s">
        <v>2889</v>
      </c>
      <c r="D433" s="3" t="s">
        <v>14</v>
      </c>
      <c r="E433" s="3" t="s">
        <v>194</v>
      </c>
      <c r="F433" s="4">
        <v>46296</v>
      </c>
      <c r="G433" s="3" t="s">
        <v>27</v>
      </c>
      <c r="H433" s="6">
        <v>8580</v>
      </c>
      <c r="I433" s="3" t="s">
        <v>18</v>
      </c>
      <c r="J433" s="3" t="s">
        <v>19</v>
      </c>
      <c r="K433" s="3" t="s">
        <v>14</v>
      </c>
      <c r="L433" s="3" t="s">
        <v>2763</v>
      </c>
      <c r="M433" s="4">
        <v>46300</v>
      </c>
      <c r="N433" s="3" t="s">
        <v>2764</v>
      </c>
      <c r="O433" s="3" t="s">
        <v>35</v>
      </c>
      <c r="P433" t="str">
        <f t="shared" si="6"/>
        <v>450013214230</v>
      </c>
      <c r="Q433" s="7" cm="1">
        <f t="array" ref="Q433:S433">VLOOKUP(P433,Hoja1!C:F,{2,3,4},FALSE)</f>
        <v>46418</v>
      </c>
      <c r="R433" t="str">
        <v>C24</v>
      </c>
      <c r="S433" t="str">
        <v>1000007599 MAGRI TELEFONIA S.R.L.</v>
      </c>
    </row>
    <row r="434" spans="1:19" x14ac:dyDescent="0.3">
      <c r="A434" s="2" t="s">
        <v>14</v>
      </c>
      <c r="B434" s="3" t="s">
        <v>14</v>
      </c>
      <c r="C434" s="3" t="s">
        <v>2889</v>
      </c>
      <c r="D434" s="3" t="s">
        <v>14</v>
      </c>
      <c r="E434" s="3" t="s">
        <v>194</v>
      </c>
      <c r="F434" s="4">
        <v>46296</v>
      </c>
      <c r="G434" s="3" t="s">
        <v>27</v>
      </c>
      <c r="H434" s="6">
        <v>81510</v>
      </c>
      <c r="I434" s="3" t="s">
        <v>18</v>
      </c>
      <c r="J434" s="3" t="s">
        <v>19</v>
      </c>
      <c r="K434" s="3" t="s">
        <v>14</v>
      </c>
      <c r="L434" s="3" t="s">
        <v>2763</v>
      </c>
      <c r="M434" s="4">
        <v>46300</v>
      </c>
      <c r="N434" s="3" t="s">
        <v>2764</v>
      </c>
      <c r="O434" s="3" t="s">
        <v>23</v>
      </c>
      <c r="P434" t="str">
        <f t="shared" si="6"/>
        <v>450013214240</v>
      </c>
      <c r="Q434" s="7" cm="1">
        <f t="array" ref="Q434:S434">VLOOKUP(P434,Hoja1!C:F,{2,3,4},FALSE)</f>
        <v>46418</v>
      </c>
      <c r="R434" t="str">
        <v>C24</v>
      </c>
      <c r="S434" t="str">
        <v>1000007599 MAGRI TELEFONIA S.R.L.</v>
      </c>
    </row>
    <row r="435" spans="1:19" x14ac:dyDescent="0.3">
      <c r="A435" s="2" t="s">
        <v>14</v>
      </c>
      <c r="B435" s="3" t="s">
        <v>14</v>
      </c>
      <c r="C435" s="3" t="s">
        <v>2890</v>
      </c>
      <c r="D435" s="3" t="s">
        <v>32</v>
      </c>
      <c r="E435" s="3" t="s">
        <v>194</v>
      </c>
      <c r="F435" s="4">
        <v>46295</v>
      </c>
      <c r="G435" s="3" t="s">
        <v>27</v>
      </c>
      <c r="H435" s="6">
        <v>1660.2</v>
      </c>
      <c r="I435" s="3" t="s">
        <v>18</v>
      </c>
      <c r="J435" s="3" t="s">
        <v>19</v>
      </c>
      <c r="K435" s="3" t="s">
        <v>14</v>
      </c>
      <c r="L435" s="3" t="s">
        <v>2891</v>
      </c>
      <c r="M435" s="4">
        <v>46300</v>
      </c>
      <c r="N435" s="3" t="s">
        <v>2892</v>
      </c>
      <c r="O435" s="3" t="s">
        <v>134</v>
      </c>
      <c r="P435" t="str">
        <f t="shared" si="6"/>
        <v>450013778270</v>
      </c>
      <c r="Q435" s="7" cm="1">
        <f t="array" ref="Q435:S435">VLOOKUP(P435,Hoja1!C:F,{2,3,4},FALSE)</f>
        <v>46303</v>
      </c>
      <c r="R435" t="str">
        <v>374</v>
      </c>
      <c r="S435" t="str">
        <v>1000011436 CUYUL LUIS FRANCISCO</v>
      </c>
    </row>
    <row r="436" spans="1:19" x14ac:dyDescent="0.3">
      <c r="A436" s="2" t="s">
        <v>14</v>
      </c>
      <c r="B436" s="3" t="s">
        <v>14</v>
      </c>
      <c r="C436" s="3" t="s">
        <v>2893</v>
      </c>
      <c r="D436" s="3" t="s">
        <v>14</v>
      </c>
      <c r="E436" s="3" t="s">
        <v>194</v>
      </c>
      <c r="F436" s="4">
        <v>46296</v>
      </c>
      <c r="G436" s="3" t="s">
        <v>27</v>
      </c>
      <c r="H436" s="6">
        <v>92600</v>
      </c>
      <c r="I436" s="3" t="s">
        <v>18</v>
      </c>
      <c r="J436" s="3" t="s">
        <v>19</v>
      </c>
      <c r="K436" s="3" t="s">
        <v>14</v>
      </c>
      <c r="L436" s="3" t="s">
        <v>221</v>
      </c>
      <c r="M436" s="4">
        <v>46300</v>
      </c>
      <c r="N436" s="3" t="s">
        <v>2894</v>
      </c>
      <c r="O436" s="3" t="s">
        <v>30</v>
      </c>
      <c r="P436" t="str">
        <f t="shared" si="6"/>
        <v>450014013910</v>
      </c>
      <c r="Q436" s="7" cm="1">
        <f t="array" ref="Q436:S436">VLOOKUP(P436,Hoja1!C:F,{2,3,4},FALSE)</f>
        <v>46387</v>
      </c>
      <c r="R436" t="str">
        <v>C24</v>
      </c>
      <c r="S436" t="str">
        <v>1000000026 NEURALSOFT S.R.L.</v>
      </c>
    </row>
    <row r="437" spans="1:19" x14ac:dyDescent="0.3">
      <c r="A437" s="2" t="s">
        <v>14</v>
      </c>
      <c r="B437" s="3" t="s">
        <v>14</v>
      </c>
      <c r="C437" s="3" t="s">
        <v>2893</v>
      </c>
      <c r="D437" s="3" t="s">
        <v>14</v>
      </c>
      <c r="E437" s="3" t="s">
        <v>194</v>
      </c>
      <c r="F437" s="4">
        <v>46296</v>
      </c>
      <c r="G437" s="3" t="s">
        <v>27</v>
      </c>
      <c r="H437" s="6">
        <v>275400</v>
      </c>
      <c r="I437" s="3" t="s">
        <v>18</v>
      </c>
      <c r="J437" s="3" t="s">
        <v>19</v>
      </c>
      <c r="K437" s="3" t="s">
        <v>14</v>
      </c>
      <c r="L437" s="3" t="s">
        <v>221</v>
      </c>
      <c r="M437" s="4">
        <v>46300</v>
      </c>
      <c r="N437" s="3" t="s">
        <v>222</v>
      </c>
      <c r="O437" s="3" t="s">
        <v>30</v>
      </c>
      <c r="P437" t="str">
        <f t="shared" si="6"/>
        <v>450011874510</v>
      </c>
      <c r="Q437" s="7" cm="1">
        <f t="array" ref="Q437:S437">VLOOKUP(P437,Hoja1!C:F,{2,3,4},FALSE)</f>
        <v>46387</v>
      </c>
      <c r="R437" t="str">
        <v>C24</v>
      </c>
      <c r="S437" t="str">
        <v>1000000026 NEURALSOFT S.R.L.</v>
      </c>
    </row>
    <row r="438" spans="1:19" x14ac:dyDescent="0.3">
      <c r="A438" s="2" t="s">
        <v>14</v>
      </c>
      <c r="B438" s="3" t="s">
        <v>14</v>
      </c>
      <c r="C438" s="3" t="s">
        <v>2895</v>
      </c>
      <c r="D438" s="3" t="s">
        <v>32</v>
      </c>
      <c r="E438" s="3" t="s">
        <v>194</v>
      </c>
      <c r="F438" s="4">
        <v>46295</v>
      </c>
      <c r="G438" s="3" t="s">
        <v>27</v>
      </c>
      <c r="H438" s="6">
        <v>500000</v>
      </c>
      <c r="I438" s="3" t="s">
        <v>18</v>
      </c>
      <c r="J438" s="3" t="s">
        <v>250</v>
      </c>
      <c r="K438" s="3" t="s">
        <v>14</v>
      </c>
      <c r="L438" s="3" t="s">
        <v>611</v>
      </c>
      <c r="M438" s="4">
        <v>46300</v>
      </c>
      <c r="N438" s="3" t="s">
        <v>1741</v>
      </c>
      <c r="O438" s="3" t="s">
        <v>30</v>
      </c>
      <c r="P438" t="str">
        <f t="shared" si="6"/>
        <v>450013925310</v>
      </c>
      <c r="Q438" s="7" cm="1">
        <f t="array" ref="Q438:S438">VLOOKUP(P438,Hoja1!C:F,{2,3,4},FALSE)</f>
        <v>46289</v>
      </c>
      <c r="R438" t="str">
        <v>374</v>
      </c>
      <c r="S438" t="str">
        <v>1000011432 SCHVAB JULIO CESAR</v>
      </c>
    </row>
    <row r="439" spans="1:19" x14ac:dyDescent="0.3">
      <c r="A439" s="2" t="s">
        <v>14</v>
      </c>
      <c r="B439" s="3" t="s">
        <v>14</v>
      </c>
      <c r="C439" s="3" t="s">
        <v>2896</v>
      </c>
      <c r="D439" s="3" t="s">
        <v>14</v>
      </c>
      <c r="E439" s="3" t="s">
        <v>194</v>
      </c>
      <c r="F439" s="4">
        <v>46296</v>
      </c>
      <c r="G439" s="3" t="s">
        <v>27</v>
      </c>
      <c r="H439" s="6">
        <v>170000</v>
      </c>
      <c r="I439" s="3" t="s">
        <v>18</v>
      </c>
      <c r="J439" s="3" t="s">
        <v>2897</v>
      </c>
      <c r="K439" s="3" t="s">
        <v>14</v>
      </c>
      <c r="L439" s="3" t="s">
        <v>2898</v>
      </c>
      <c r="M439" s="4">
        <v>46300</v>
      </c>
      <c r="N439" s="3" t="s">
        <v>2899</v>
      </c>
      <c r="O439" s="3" t="s">
        <v>30</v>
      </c>
      <c r="P439" t="str">
        <f t="shared" si="6"/>
        <v>450013441010</v>
      </c>
      <c r="Q439" s="7" cm="1">
        <f t="array" ref="Q439:S439">VLOOKUP(P439,Hoja1!C:F,{2,3,4},FALSE)</f>
        <v>46783</v>
      </c>
      <c r="R439" t="str">
        <v>C24</v>
      </c>
      <c r="S439" t="str">
        <v>1000013418 SEVA FLAVIA SUSANA</v>
      </c>
    </row>
    <row r="440" spans="1:19" x14ac:dyDescent="0.3">
      <c r="A440" s="2" t="s">
        <v>14</v>
      </c>
      <c r="B440" s="3" t="s">
        <v>14</v>
      </c>
      <c r="C440" s="3" t="s">
        <v>2900</v>
      </c>
      <c r="D440" s="3" t="s">
        <v>32</v>
      </c>
      <c r="E440" s="3" t="s">
        <v>194</v>
      </c>
      <c r="F440" s="4">
        <v>46294</v>
      </c>
      <c r="G440" s="3" t="s">
        <v>27</v>
      </c>
      <c r="H440" s="6">
        <v>12307.32</v>
      </c>
      <c r="I440" s="3" t="s">
        <v>18</v>
      </c>
      <c r="J440" s="3" t="s">
        <v>19</v>
      </c>
      <c r="K440" s="3" t="s">
        <v>14</v>
      </c>
      <c r="L440" s="3" t="s">
        <v>1944</v>
      </c>
      <c r="M440" s="4">
        <v>46300</v>
      </c>
      <c r="N440" s="3" t="s">
        <v>1945</v>
      </c>
      <c r="O440" s="3" t="s">
        <v>30</v>
      </c>
      <c r="P440" t="str">
        <f t="shared" si="6"/>
        <v>450013974010</v>
      </c>
      <c r="Q440" s="7" cm="1">
        <f t="array" ref="Q440:S440">VLOOKUP(P440,Hoja1!C:F,{2,3,4},FALSE)</f>
        <v>46297</v>
      </c>
      <c r="R440" t="str">
        <v>374</v>
      </c>
      <c r="S440" t="str">
        <v>1000011427 NICOSIA ORLANDO</v>
      </c>
    </row>
    <row r="441" spans="1:19" x14ac:dyDescent="0.3">
      <c r="A441" s="2" t="s">
        <v>14</v>
      </c>
      <c r="B441" s="3" t="s">
        <v>14</v>
      </c>
      <c r="C441" s="3" t="s">
        <v>2900</v>
      </c>
      <c r="D441" s="3" t="s">
        <v>32</v>
      </c>
      <c r="E441" s="3" t="s">
        <v>194</v>
      </c>
      <c r="F441" s="4">
        <v>46294</v>
      </c>
      <c r="G441" s="3" t="s">
        <v>27</v>
      </c>
      <c r="H441" s="6">
        <v>6228.44</v>
      </c>
      <c r="I441" s="3" t="s">
        <v>18</v>
      </c>
      <c r="J441" s="3" t="s">
        <v>19</v>
      </c>
      <c r="K441" s="3" t="s">
        <v>14</v>
      </c>
      <c r="L441" s="3" t="s">
        <v>1944</v>
      </c>
      <c r="M441" s="4">
        <v>46300</v>
      </c>
      <c r="N441" s="3" t="s">
        <v>1945</v>
      </c>
      <c r="O441" s="3" t="s">
        <v>22</v>
      </c>
      <c r="P441" t="str">
        <f t="shared" si="6"/>
        <v>450013974020</v>
      </c>
      <c r="Q441" s="7" cm="1">
        <f t="array" ref="Q441:S441">VLOOKUP(P441,Hoja1!C:F,{2,3,4},FALSE)</f>
        <v>46297</v>
      </c>
      <c r="R441" t="str">
        <v>374</v>
      </c>
      <c r="S441" t="str">
        <v>1000011427 NICOSIA ORLANDO</v>
      </c>
    </row>
    <row r="442" spans="1:19" x14ac:dyDescent="0.3">
      <c r="A442" s="2" t="s">
        <v>14</v>
      </c>
      <c r="B442" s="3" t="s">
        <v>14</v>
      </c>
      <c r="C442" s="3" t="s">
        <v>2900</v>
      </c>
      <c r="D442" s="3" t="s">
        <v>32</v>
      </c>
      <c r="E442" s="3" t="s">
        <v>194</v>
      </c>
      <c r="F442" s="4">
        <v>46294</v>
      </c>
      <c r="G442" s="3" t="s">
        <v>27</v>
      </c>
      <c r="H442" s="6">
        <v>7814.04</v>
      </c>
      <c r="I442" s="3" t="s">
        <v>18</v>
      </c>
      <c r="J442" s="3" t="s">
        <v>19</v>
      </c>
      <c r="K442" s="3" t="s">
        <v>14</v>
      </c>
      <c r="L442" s="3" t="s">
        <v>1944</v>
      </c>
      <c r="M442" s="4">
        <v>46300</v>
      </c>
      <c r="N442" s="3" t="s">
        <v>1945</v>
      </c>
      <c r="O442" s="3" t="s">
        <v>35</v>
      </c>
      <c r="P442" t="str">
        <f t="shared" si="6"/>
        <v>450013974030</v>
      </c>
      <c r="Q442" s="7" cm="1">
        <f t="array" ref="Q442:S442">VLOOKUP(P442,Hoja1!C:F,{2,3,4},FALSE)</f>
        <v>46297</v>
      </c>
      <c r="R442" t="str">
        <v>374</v>
      </c>
      <c r="S442" t="str">
        <v>1000011427 NICOSIA ORLANDO</v>
      </c>
    </row>
    <row r="443" spans="1:19" x14ac:dyDescent="0.3">
      <c r="A443" s="2" t="s">
        <v>14</v>
      </c>
      <c r="B443" s="3" t="s">
        <v>14</v>
      </c>
      <c r="C443" s="3" t="s">
        <v>2900</v>
      </c>
      <c r="D443" s="3" t="s">
        <v>32</v>
      </c>
      <c r="E443" s="3" t="s">
        <v>194</v>
      </c>
      <c r="F443" s="4">
        <v>46294</v>
      </c>
      <c r="G443" s="3" t="s">
        <v>27</v>
      </c>
      <c r="H443" s="6">
        <v>16742</v>
      </c>
      <c r="I443" s="3" t="s">
        <v>18</v>
      </c>
      <c r="J443" s="3" t="s">
        <v>19</v>
      </c>
      <c r="K443" s="3" t="s">
        <v>14</v>
      </c>
      <c r="L443" s="3" t="s">
        <v>1944</v>
      </c>
      <c r="M443" s="4">
        <v>46300</v>
      </c>
      <c r="N443" s="3" t="s">
        <v>1945</v>
      </c>
      <c r="O443" s="3" t="s">
        <v>23</v>
      </c>
      <c r="P443" t="str">
        <f t="shared" si="6"/>
        <v>450013974040</v>
      </c>
      <c r="Q443" s="7" cm="1">
        <f t="array" ref="Q443:S443">VLOOKUP(P443,Hoja1!C:F,{2,3,4},FALSE)</f>
        <v>46297</v>
      </c>
      <c r="R443" t="str">
        <v>374</v>
      </c>
      <c r="S443" t="str">
        <v>1000011427 NICOSIA ORLANDO</v>
      </c>
    </row>
    <row r="444" spans="1:19" x14ac:dyDescent="0.3">
      <c r="A444" s="2" t="s">
        <v>14</v>
      </c>
      <c r="B444" s="3" t="s">
        <v>14</v>
      </c>
      <c r="C444" s="3" t="s">
        <v>2900</v>
      </c>
      <c r="D444" s="3" t="s">
        <v>32</v>
      </c>
      <c r="E444" s="3" t="s">
        <v>194</v>
      </c>
      <c r="F444" s="4">
        <v>46294</v>
      </c>
      <c r="G444" s="3" t="s">
        <v>27</v>
      </c>
      <c r="H444" s="6">
        <v>86785</v>
      </c>
      <c r="I444" s="3" t="s">
        <v>18</v>
      </c>
      <c r="J444" s="3" t="s">
        <v>19</v>
      </c>
      <c r="K444" s="3" t="s">
        <v>14</v>
      </c>
      <c r="L444" s="3" t="s">
        <v>1944</v>
      </c>
      <c r="M444" s="4">
        <v>46300</v>
      </c>
      <c r="N444" s="3" t="s">
        <v>1945</v>
      </c>
      <c r="O444" s="3" t="s">
        <v>144</v>
      </c>
      <c r="P444" t="str">
        <f t="shared" si="6"/>
        <v>450013974050</v>
      </c>
      <c r="Q444" s="7" cm="1">
        <f t="array" ref="Q444:S444">VLOOKUP(P444,Hoja1!C:F,{2,3,4},FALSE)</f>
        <v>46297</v>
      </c>
      <c r="R444" t="str">
        <v>374</v>
      </c>
      <c r="S444" t="str">
        <v>1000011427 NICOSIA ORLANDO</v>
      </c>
    </row>
    <row r="445" spans="1:19" x14ac:dyDescent="0.3">
      <c r="A445" s="2" t="s">
        <v>14</v>
      </c>
      <c r="B445" s="3" t="s">
        <v>14</v>
      </c>
      <c r="C445" s="3" t="s">
        <v>2900</v>
      </c>
      <c r="D445" s="3" t="s">
        <v>14</v>
      </c>
      <c r="E445" s="3" t="s">
        <v>194</v>
      </c>
      <c r="F445" s="4">
        <v>46294</v>
      </c>
      <c r="G445" s="3" t="s">
        <v>27</v>
      </c>
      <c r="H445" s="6">
        <v>155886</v>
      </c>
      <c r="I445" s="3" t="s">
        <v>18</v>
      </c>
      <c r="J445" s="3" t="s">
        <v>19</v>
      </c>
      <c r="K445" s="3" t="s">
        <v>14</v>
      </c>
      <c r="L445" s="3" t="s">
        <v>1944</v>
      </c>
      <c r="M445" s="4">
        <v>46300</v>
      </c>
      <c r="N445" s="3" t="s">
        <v>1945</v>
      </c>
      <c r="O445" s="3" t="s">
        <v>141</v>
      </c>
      <c r="P445" t="str">
        <f t="shared" si="6"/>
        <v>450013974060</v>
      </c>
      <c r="Q445" s="7" cm="1">
        <f t="array" ref="Q445:S445">VLOOKUP(P445,Hoja1!C:F,{2,3,4},FALSE)</f>
        <v>46303</v>
      </c>
      <c r="R445" t="str">
        <v>374</v>
      </c>
      <c r="S445" t="str">
        <v>1000011427 NICOSIA ORLANDO</v>
      </c>
    </row>
    <row r="446" spans="1:19" x14ac:dyDescent="0.3">
      <c r="A446" s="2" t="s">
        <v>14</v>
      </c>
      <c r="B446" s="3" t="s">
        <v>14</v>
      </c>
      <c r="C446" s="3" t="s">
        <v>2901</v>
      </c>
      <c r="D446" s="3" t="s">
        <v>14</v>
      </c>
      <c r="E446" s="3" t="s">
        <v>194</v>
      </c>
      <c r="F446" s="4">
        <v>46296</v>
      </c>
      <c r="G446" s="3" t="s">
        <v>27</v>
      </c>
      <c r="H446" s="6">
        <v>325000</v>
      </c>
      <c r="I446" s="3" t="s">
        <v>18</v>
      </c>
      <c r="J446" s="3" t="s">
        <v>19</v>
      </c>
      <c r="K446" s="3" t="s">
        <v>14</v>
      </c>
      <c r="L446" s="3" t="s">
        <v>2902</v>
      </c>
      <c r="M446" s="4">
        <v>46300</v>
      </c>
      <c r="N446" s="3" t="s">
        <v>2903</v>
      </c>
      <c r="O446" s="3" t="s">
        <v>30</v>
      </c>
      <c r="P446" t="str">
        <f t="shared" si="6"/>
        <v>450013308810</v>
      </c>
      <c r="Q446" s="7" cm="1">
        <f t="array" ref="Q446:S446">VLOOKUP(P446,Hoja1!C:F,{2,3,4},FALSE)</f>
        <v>46397</v>
      </c>
      <c r="R446" t="str">
        <v>C24</v>
      </c>
      <c r="S446" t="str">
        <v>1000013382 PROPUNA SAS</v>
      </c>
    </row>
    <row r="447" spans="1:19" x14ac:dyDescent="0.3">
      <c r="A447" s="2" t="s">
        <v>14</v>
      </c>
      <c r="B447" s="3" t="s">
        <v>14</v>
      </c>
      <c r="C447" s="3" t="s">
        <v>2904</v>
      </c>
      <c r="D447" s="3" t="s">
        <v>14</v>
      </c>
      <c r="E447" s="3" t="s">
        <v>194</v>
      </c>
      <c r="F447" s="4">
        <v>46296</v>
      </c>
      <c r="G447" s="3" t="s">
        <v>27</v>
      </c>
      <c r="H447" s="6">
        <v>430500</v>
      </c>
      <c r="I447" s="3" t="s">
        <v>18</v>
      </c>
      <c r="J447" s="3" t="s">
        <v>2897</v>
      </c>
      <c r="K447" s="3" t="s">
        <v>14</v>
      </c>
      <c r="L447" s="3" t="s">
        <v>2133</v>
      </c>
      <c r="M447" s="4">
        <v>46300</v>
      </c>
      <c r="N447" s="3" t="s">
        <v>2134</v>
      </c>
      <c r="O447" s="3" t="s">
        <v>30</v>
      </c>
      <c r="P447" t="str">
        <f t="shared" si="6"/>
        <v>450013211610</v>
      </c>
      <c r="Q447" s="7" cm="1">
        <f t="array" ref="Q447:S447">VLOOKUP(P447,Hoja1!C:F,{2,3,4},FALSE)</f>
        <v>46387</v>
      </c>
      <c r="R447" t="str">
        <v>C24</v>
      </c>
      <c r="S447" t="str">
        <v>1000006685 ECONO JOURNAL SRL</v>
      </c>
    </row>
    <row r="448" spans="1:19" x14ac:dyDescent="0.3">
      <c r="A448" s="2" t="s">
        <v>14</v>
      </c>
      <c r="B448" s="3" t="s">
        <v>14</v>
      </c>
      <c r="C448" s="3" t="s">
        <v>463</v>
      </c>
      <c r="D448" s="3" t="s">
        <v>14</v>
      </c>
      <c r="E448" s="3" t="s">
        <v>464</v>
      </c>
      <c r="F448" s="4">
        <v>45924</v>
      </c>
      <c r="G448" s="3" t="s">
        <v>17</v>
      </c>
      <c r="H448" s="5">
        <v>-70922.25</v>
      </c>
      <c r="I448" s="3" t="s">
        <v>18</v>
      </c>
      <c r="J448" s="3" t="s">
        <v>19</v>
      </c>
      <c r="K448" s="3" t="s">
        <v>14</v>
      </c>
      <c r="L448" s="3" t="s">
        <v>366</v>
      </c>
      <c r="M448" s="4">
        <v>45939</v>
      </c>
      <c r="N448" s="3" t="s">
        <v>367</v>
      </c>
      <c r="O448" s="3" t="s">
        <v>22</v>
      </c>
      <c r="P448" t="str">
        <f t="shared" si="6"/>
        <v>450010489620</v>
      </c>
      <c r="Q448" s="7" cm="1">
        <f t="array" ref="Q448:S448">VLOOKUP(P448,Hoja1!C:F,{2,3,4},FALSE)</f>
        <v>45878</v>
      </c>
      <c r="R448" t="str">
        <v>C27</v>
      </c>
      <c r="S448" t="str">
        <v>1000000014 LOPEZ - FORCINITI S.A.</v>
      </c>
    </row>
    <row r="449" spans="1:19" x14ac:dyDescent="0.3">
      <c r="A449" s="2" t="s">
        <v>14</v>
      </c>
      <c r="B449" s="3" t="s">
        <v>14</v>
      </c>
      <c r="C449" s="3" t="s">
        <v>465</v>
      </c>
      <c r="D449" s="3" t="s">
        <v>14</v>
      </c>
      <c r="E449" s="3" t="s">
        <v>466</v>
      </c>
      <c r="F449" s="4">
        <v>45601</v>
      </c>
      <c r="G449" s="3" t="s">
        <v>17</v>
      </c>
      <c r="H449" s="5">
        <v>-48111.14</v>
      </c>
      <c r="I449" s="3" t="s">
        <v>18</v>
      </c>
      <c r="J449" s="3" t="s">
        <v>14</v>
      </c>
      <c r="K449" s="3" t="s">
        <v>14</v>
      </c>
      <c r="L449" s="3" t="s">
        <v>73</v>
      </c>
      <c r="M449" s="4">
        <v>45601</v>
      </c>
      <c r="N449" s="3" t="s">
        <v>382</v>
      </c>
      <c r="O449" s="3" t="s">
        <v>30</v>
      </c>
      <c r="P449" t="str">
        <f t="shared" si="6"/>
        <v>450008540010</v>
      </c>
      <c r="Q449" s="7" cm="1">
        <f t="array" ref="Q449:S449">VLOOKUP(P449,Hoja1!C:F,{2,3,4},FALSE)</f>
        <v>45870</v>
      </c>
      <c r="R449" t="str">
        <v>C31</v>
      </c>
      <c r="S449" t="str">
        <v>1000000808 GLOBAL OIL S.R.L.</v>
      </c>
    </row>
    <row r="450" spans="1:19" x14ac:dyDescent="0.3">
      <c r="A450" s="2" t="s">
        <v>14</v>
      </c>
      <c r="B450" s="3" t="s">
        <v>14</v>
      </c>
      <c r="C450" s="3" t="s">
        <v>467</v>
      </c>
      <c r="D450" s="3" t="s">
        <v>14</v>
      </c>
      <c r="E450" s="3" t="s">
        <v>466</v>
      </c>
      <c r="F450" s="4">
        <v>45973</v>
      </c>
      <c r="G450" s="3" t="s">
        <v>17</v>
      </c>
      <c r="H450" s="5">
        <v>-55575</v>
      </c>
      <c r="I450" s="3" t="s">
        <v>18</v>
      </c>
      <c r="J450" s="3" t="s">
        <v>14</v>
      </c>
      <c r="K450" s="3" t="s">
        <v>14</v>
      </c>
      <c r="L450" s="3" t="s">
        <v>207</v>
      </c>
      <c r="M450" s="4">
        <v>45973</v>
      </c>
      <c r="N450" s="3" t="s">
        <v>208</v>
      </c>
      <c r="O450" s="3" t="s">
        <v>23</v>
      </c>
      <c r="P450" t="str">
        <f t="shared" si="6"/>
        <v>450005708040</v>
      </c>
      <c r="Q450" s="7" cm="1">
        <f t="array" ref="Q450:S450">VLOOKUP(P450,Hoja1!C:F,{2,3,4},FALSE)</f>
        <v>46386</v>
      </c>
      <c r="R450" t="str">
        <v>C25</v>
      </c>
      <c r="S450" t="str">
        <v>1000008581 IZAZA PAULA SOLEDAD</v>
      </c>
    </row>
    <row r="451" spans="1:19" x14ac:dyDescent="0.3">
      <c r="A451" s="2" t="s">
        <v>14</v>
      </c>
      <c r="B451" s="3" t="s">
        <v>14</v>
      </c>
      <c r="C451" s="3" t="s">
        <v>468</v>
      </c>
      <c r="D451" s="3" t="s">
        <v>14</v>
      </c>
      <c r="E451" s="3" t="s">
        <v>466</v>
      </c>
      <c r="F451" s="4">
        <v>45973</v>
      </c>
      <c r="G451" s="3" t="s">
        <v>17</v>
      </c>
      <c r="H451" s="5">
        <v>-49725</v>
      </c>
      <c r="I451" s="3" t="s">
        <v>18</v>
      </c>
      <c r="J451" s="3" t="s">
        <v>14</v>
      </c>
      <c r="K451" s="3" t="s">
        <v>14</v>
      </c>
      <c r="L451" s="3" t="s">
        <v>207</v>
      </c>
      <c r="M451" s="4">
        <v>45973</v>
      </c>
      <c r="N451" s="3" t="s">
        <v>208</v>
      </c>
      <c r="O451" s="3" t="s">
        <v>23</v>
      </c>
      <c r="P451" t="str">
        <f t="shared" ref="P451:P514" si="7">_xlfn.CONCAT(N451:O451)</f>
        <v>450005708040</v>
      </c>
      <c r="Q451" s="7" cm="1">
        <f t="array" ref="Q451:S451">VLOOKUP(P451,Hoja1!C:F,{2,3,4},FALSE)</f>
        <v>46386</v>
      </c>
      <c r="R451" t="str">
        <v>C25</v>
      </c>
      <c r="S451" t="str">
        <v>1000008581 IZAZA PAULA SOLEDAD</v>
      </c>
    </row>
    <row r="452" spans="1:19" x14ac:dyDescent="0.3">
      <c r="A452" s="2" t="s">
        <v>14</v>
      </c>
      <c r="B452" s="3" t="s">
        <v>14</v>
      </c>
      <c r="C452" s="3" t="s">
        <v>469</v>
      </c>
      <c r="D452" s="3" t="s">
        <v>25</v>
      </c>
      <c r="E452" s="3" t="s">
        <v>466</v>
      </c>
      <c r="F452" s="4">
        <v>45978</v>
      </c>
      <c r="G452" s="3" t="s">
        <v>17</v>
      </c>
      <c r="H452" s="5">
        <v>-668668</v>
      </c>
      <c r="I452" s="3" t="s">
        <v>18</v>
      </c>
      <c r="J452" s="3" t="s">
        <v>14</v>
      </c>
      <c r="K452" s="3" t="s">
        <v>14</v>
      </c>
      <c r="L452" s="3" t="s">
        <v>28</v>
      </c>
      <c r="M452" s="4">
        <v>45978</v>
      </c>
      <c r="N452" s="3" t="s">
        <v>29</v>
      </c>
      <c r="O452" s="3" t="s">
        <v>30</v>
      </c>
      <c r="P452" t="str">
        <f t="shared" si="7"/>
        <v>450011214010</v>
      </c>
      <c r="Q452" s="7" cm="1">
        <f t="array" ref="Q452:S452">VLOOKUP(P452,Hoja1!C:F,{2,3,4},FALSE)</f>
        <v>46053</v>
      </c>
      <c r="R452" t="str">
        <v>C14</v>
      </c>
      <c r="S452" t="str">
        <v>1000000681 LA LILY S.A</v>
      </c>
    </row>
    <row r="453" spans="1:19" x14ac:dyDescent="0.3">
      <c r="A453" s="2" t="s">
        <v>14</v>
      </c>
      <c r="B453" s="3" t="s">
        <v>14</v>
      </c>
      <c r="C453" s="3" t="s">
        <v>470</v>
      </c>
      <c r="D453" s="3" t="s">
        <v>25</v>
      </c>
      <c r="E453" s="3" t="s">
        <v>466</v>
      </c>
      <c r="F453" s="4">
        <v>45978</v>
      </c>
      <c r="G453" s="3" t="s">
        <v>17</v>
      </c>
      <c r="H453" s="5">
        <v>-940544</v>
      </c>
      <c r="I453" s="3" t="s">
        <v>18</v>
      </c>
      <c r="J453" s="3" t="s">
        <v>14</v>
      </c>
      <c r="K453" s="3" t="s">
        <v>14</v>
      </c>
      <c r="L453" s="3" t="s">
        <v>28</v>
      </c>
      <c r="M453" s="4">
        <v>45978</v>
      </c>
      <c r="N453" s="3" t="s">
        <v>29</v>
      </c>
      <c r="O453" s="3" t="s">
        <v>30</v>
      </c>
      <c r="P453" t="str">
        <f t="shared" si="7"/>
        <v>450011214010</v>
      </c>
      <c r="Q453" s="7" cm="1">
        <f t="array" ref="Q453:S453">VLOOKUP(P453,Hoja1!C:F,{2,3,4},FALSE)</f>
        <v>46053</v>
      </c>
      <c r="R453" t="str">
        <v>C14</v>
      </c>
      <c r="S453" t="str">
        <v>1000000681 LA LILY S.A</v>
      </c>
    </row>
    <row r="454" spans="1:19" x14ac:dyDescent="0.3">
      <c r="A454" s="2" t="s">
        <v>14</v>
      </c>
      <c r="B454" s="3" t="s">
        <v>14</v>
      </c>
      <c r="C454" s="3" t="s">
        <v>471</v>
      </c>
      <c r="D454" s="3" t="s">
        <v>25</v>
      </c>
      <c r="E454" s="3" t="s">
        <v>466</v>
      </c>
      <c r="F454" s="4">
        <v>45978</v>
      </c>
      <c r="G454" s="3" t="s">
        <v>17</v>
      </c>
      <c r="H454" s="5">
        <v>-980624</v>
      </c>
      <c r="I454" s="3" t="s">
        <v>18</v>
      </c>
      <c r="J454" s="3" t="s">
        <v>14</v>
      </c>
      <c r="K454" s="3" t="s">
        <v>14</v>
      </c>
      <c r="L454" s="3" t="s">
        <v>28</v>
      </c>
      <c r="M454" s="4">
        <v>45978</v>
      </c>
      <c r="N454" s="3" t="s">
        <v>29</v>
      </c>
      <c r="O454" s="3" t="s">
        <v>30</v>
      </c>
      <c r="P454" t="str">
        <f t="shared" si="7"/>
        <v>450011214010</v>
      </c>
      <c r="Q454" s="7" cm="1">
        <f t="array" ref="Q454:S454">VLOOKUP(P454,Hoja1!C:F,{2,3,4},FALSE)</f>
        <v>46053</v>
      </c>
      <c r="R454" t="str">
        <v>C14</v>
      </c>
      <c r="S454" t="str">
        <v>1000000681 LA LILY S.A</v>
      </c>
    </row>
    <row r="455" spans="1:19" x14ac:dyDescent="0.3">
      <c r="A455" s="2" t="s">
        <v>14</v>
      </c>
      <c r="B455" s="3" t="s">
        <v>14</v>
      </c>
      <c r="C455" s="3" t="s">
        <v>472</v>
      </c>
      <c r="D455" s="3" t="s">
        <v>25</v>
      </c>
      <c r="E455" s="3" t="s">
        <v>466</v>
      </c>
      <c r="F455" s="4">
        <v>45978</v>
      </c>
      <c r="G455" s="3" t="s">
        <v>17</v>
      </c>
      <c r="H455" s="5">
        <v>-1110216</v>
      </c>
      <c r="I455" s="3" t="s">
        <v>18</v>
      </c>
      <c r="J455" s="3" t="s">
        <v>14</v>
      </c>
      <c r="K455" s="3" t="s">
        <v>14</v>
      </c>
      <c r="L455" s="3" t="s">
        <v>28</v>
      </c>
      <c r="M455" s="4">
        <v>45978</v>
      </c>
      <c r="N455" s="3" t="s">
        <v>29</v>
      </c>
      <c r="O455" s="3" t="s">
        <v>30</v>
      </c>
      <c r="P455" t="str">
        <f t="shared" si="7"/>
        <v>450011214010</v>
      </c>
      <c r="Q455" s="7" cm="1">
        <f t="array" ref="Q455:S455">VLOOKUP(P455,Hoja1!C:F,{2,3,4},FALSE)</f>
        <v>46053</v>
      </c>
      <c r="R455" t="str">
        <v>C14</v>
      </c>
      <c r="S455" t="str">
        <v>1000000681 LA LILY S.A</v>
      </c>
    </row>
    <row r="456" spans="1:19" x14ac:dyDescent="0.3">
      <c r="A456" s="2" t="s">
        <v>14</v>
      </c>
      <c r="B456" s="3" t="s">
        <v>14</v>
      </c>
      <c r="C456" s="3" t="s">
        <v>473</v>
      </c>
      <c r="D456" s="3" t="s">
        <v>14</v>
      </c>
      <c r="E456" s="3" t="s">
        <v>466</v>
      </c>
      <c r="F456" s="4">
        <v>45979</v>
      </c>
      <c r="G456" s="3" t="s">
        <v>17</v>
      </c>
      <c r="H456" s="5">
        <v>-28519.84</v>
      </c>
      <c r="I456" s="3" t="s">
        <v>18</v>
      </c>
      <c r="J456" s="3" t="s">
        <v>14</v>
      </c>
      <c r="K456" s="3" t="s">
        <v>14</v>
      </c>
      <c r="L456" s="3" t="s">
        <v>229</v>
      </c>
      <c r="M456" s="4">
        <v>45979</v>
      </c>
      <c r="N456" s="3" t="s">
        <v>474</v>
      </c>
      <c r="O456" s="3" t="s">
        <v>30</v>
      </c>
      <c r="P456" t="str">
        <f t="shared" si="7"/>
        <v>450011314810</v>
      </c>
      <c r="Q456" s="7" cm="1">
        <f t="array" ref="Q456:S456">VLOOKUP(P456,Hoja1!C:F,{2,3,4},FALSE)</f>
        <v>45989</v>
      </c>
      <c r="R456" t="str">
        <v>EFO</v>
      </c>
      <c r="S456" t="str">
        <v>1000001268 BULONERA FENIX S.R.L</v>
      </c>
    </row>
    <row r="457" spans="1:19" x14ac:dyDescent="0.3">
      <c r="A457" s="2" t="s">
        <v>14</v>
      </c>
      <c r="B457" s="3" t="s">
        <v>14</v>
      </c>
      <c r="C457" s="3" t="s">
        <v>475</v>
      </c>
      <c r="D457" s="3" t="s">
        <v>25</v>
      </c>
      <c r="E457" s="3" t="s">
        <v>466</v>
      </c>
      <c r="F457" s="4">
        <v>45987</v>
      </c>
      <c r="G457" s="3" t="s">
        <v>17</v>
      </c>
      <c r="H457" s="5">
        <v>-1004004</v>
      </c>
      <c r="I457" s="3" t="s">
        <v>18</v>
      </c>
      <c r="J457" s="3" t="s">
        <v>14</v>
      </c>
      <c r="K457" s="3" t="s">
        <v>14</v>
      </c>
      <c r="L457" s="3" t="s">
        <v>28</v>
      </c>
      <c r="M457" s="4">
        <v>45987</v>
      </c>
      <c r="N457" s="3" t="s">
        <v>29</v>
      </c>
      <c r="O457" s="3" t="s">
        <v>30</v>
      </c>
      <c r="P457" t="str">
        <f t="shared" si="7"/>
        <v>450011214010</v>
      </c>
      <c r="Q457" s="7" cm="1">
        <f t="array" ref="Q457:S457">VLOOKUP(P457,Hoja1!C:F,{2,3,4},FALSE)</f>
        <v>46053</v>
      </c>
      <c r="R457" t="str">
        <v>C14</v>
      </c>
      <c r="S457" t="str">
        <v>1000000681 LA LILY S.A</v>
      </c>
    </row>
    <row r="458" spans="1:19" x14ac:dyDescent="0.3">
      <c r="A458" s="2" t="s">
        <v>14</v>
      </c>
      <c r="B458" s="3" t="s">
        <v>14</v>
      </c>
      <c r="C458" s="3" t="s">
        <v>476</v>
      </c>
      <c r="D458" s="3" t="s">
        <v>25</v>
      </c>
      <c r="E458" s="3" t="s">
        <v>466</v>
      </c>
      <c r="F458" s="4">
        <v>45987</v>
      </c>
      <c r="G458" s="3" t="s">
        <v>17</v>
      </c>
      <c r="H458" s="5">
        <v>-1147624</v>
      </c>
      <c r="I458" s="3" t="s">
        <v>18</v>
      </c>
      <c r="J458" s="3" t="s">
        <v>14</v>
      </c>
      <c r="K458" s="3" t="s">
        <v>14</v>
      </c>
      <c r="L458" s="3" t="s">
        <v>28</v>
      </c>
      <c r="M458" s="4">
        <v>45987</v>
      </c>
      <c r="N458" s="3" t="s">
        <v>29</v>
      </c>
      <c r="O458" s="3" t="s">
        <v>30</v>
      </c>
      <c r="P458" t="str">
        <f t="shared" si="7"/>
        <v>450011214010</v>
      </c>
      <c r="Q458" s="7" cm="1">
        <f t="array" ref="Q458:S458">VLOOKUP(P458,Hoja1!C:F,{2,3,4},FALSE)</f>
        <v>46053</v>
      </c>
      <c r="R458" t="str">
        <v>C14</v>
      </c>
      <c r="S458" t="str">
        <v>1000000681 LA LILY S.A</v>
      </c>
    </row>
    <row r="459" spans="1:19" x14ac:dyDescent="0.3">
      <c r="A459" s="2" t="s">
        <v>14</v>
      </c>
      <c r="B459" s="3" t="s">
        <v>14</v>
      </c>
      <c r="C459" s="3" t="s">
        <v>477</v>
      </c>
      <c r="D459" s="3" t="s">
        <v>14</v>
      </c>
      <c r="E459" s="3" t="s">
        <v>466</v>
      </c>
      <c r="F459" s="4">
        <v>45623</v>
      </c>
      <c r="G459" s="3" t="s">
        <v>17</v>
      </c>
      <c r="H459" s="5">
        <v>-11276.05</v>
      </c>
      <c r="I459" s="3" t="s">
        <v>18</v>
      </c>
      <c r="J459" s="3" t="s">
        <v>14</v>
      </c>
      <c r="K459" s="3" t="s">
        <v>14</v>
      </c>
      <c r="L459" s="3" t="s">
        <v>73</v>
      </c>
      <c r="M459" s="4">
        <v>45623</v>
      </c>
      <c r="N459" s="3" t="s">
        <v>382</v>
      </c>
      <c r="O459" s="3" t="s">
        <v>30</v>
      </c>
      <c r="P459" t="str">
        <f t="shared" si="7"/>
        <v>450008540010</v>
      </c>
      <c r="Q459" s="7" cm="1">
        <f t="array" ref="Q459:S459">VLOOKUP(P459,Hoja1!C:F,{2,3,4},FALSE)</f>
        <v>45870</v>
      </c>
      <c r="R459" t="str">
        <v>C31</v>
      </c>
      <c r="S459" t="str">
        <v>1000000808 GLOBAL OIL S.R.L.</v>
      </c>
    </row>
    <row r="460" spans="1:19" x14ac:dyDescent="0.3">
      <c r="A460" s="2" t="s">
        <v>14</v>
      </c>
      <c r="B460" s="3" t="s">
        <v>14</v>
      </c>
      <c r="C460" s="3" t="s">
        <v>478</v>
      </c>
      <c r="D460" s="3" t="s">
        <v>25</v>
      </c>
      <c r="E460" s="3" t="s">
        <v>466</v>
      </c>
      <c r="F460" s="4">
        <v>45995</v>
      </c>
      <c r="G460" s="3" t="s">
        <v>17</v>
      </c>
      <c r="H460" s="5">
        <v>-1207744</v>
      </c>
      <c r="I460" s="3" t="s">
        <v>18</v>
      </c>
      <c r="J460" s="3" t="s">
        <v>14</v>
      </c>
      <c r="K460" s="3" t="s">
        <v>14</v>
      </c>
      <c r="L460" s="3" t="s">
        <v>28</v>
      </c>
      <c r="M460" s="4">
        <v>45995</v>
      </c>
      <c r="N460" s="3" t="s">
        <v>29</v>
      </c>
      <c r="O460" s="3" t="s">
        <v>30</v>
      </c>
      <c r="P460" t="str">
        <f t="shared" si="7"/>
        <v>450011214010</v>
      </c>
      <c r="Q460" s="7" cm="1">
        <f t="array" ref="Q460:S460">VLOOKUP(P460,Hoja1!C:F,{2,3,4},FALSE)</f>
        <v>46053</v>
      </c>
      <c r="R460" t="str">
        <v>C14</v>
      </c>
      <c r="S460" t="str">
        <v>1000000681 LA LILY S.A</v>
      </c>
    </row>
    <row r="461" spans="1:19" x14ac:dyDescent="0.3">
      <c r="A461" s="2" t="s">
        <v>14</v>
      </c>
      <c r="B461" s="3" t="s">
        <v>14</v>
      </c>
      <c r="C461" s="3" t="s">
        <v>479</v>
      </c>
      <c r="D461" s="3" t="s">
        <v>25</v>
      </c>
      <c r="E461" s="3" t="s">
        <v>466</v>
      </c>
      <c r="F461" s="4">
        <v>45996</v>
      </c>
      <c r="G461" s="3" t="s">
        <v>17</v>
      </c>
      <c r="H461" s="5">
        <v>-1195720</v>
      </c>
      <c r="I461" s="3" t="s">
        <v>18</v>
      </c>
      <c r="J461" s="3" t="s">
        <v>14</v>
      </c>
      <c r="K461" s="3" t="s">
        <v>14</v>
      </c>
      <c r="L461" s="3" t="s">
        <v>28</v>
      </c>
      <c r="M461" s="4">
        <v>45996</v>
      </c>
      <c r="N461" s="3" t="s">
        <v>29</v>
      </c>
      <c r="O461" s="3" t="s">
        <v>30</v>
      </c>
      <c r="P461" t="str">
        <f t="shared" si="7"/>
        <v>450011214010</v>
      </c>
      <c r="Q461" s="7" cm="1">
        <f t="array" ref="Q461:S461">VLOOKUP(P461,Hoja1!C:F,{2,3,4},FALSE)</f>
        <v>46053</v>
      </c>
      <c r="R461" t="str">
        <v>C14</v>
      </c>
      <c r="S461" t="str">
        <v>1000000681 LA LILY S.A</v>
      </c>
    </row>
    <row r="462" spans="1:19" x14ac:dyDescent="0.3">
      <c r="A462" s="2" t="s">
        <v>14</v>
      </c>
      <c r="B462" s="3" t="s">
        <v>14</v>
      </c>
      <c r="C462" s="3" t="s">
        <v>480</v>
      </c>
      <c r="D462" s="3" t="s">
        <v>25</v>
      </c>
      <c r="E462" s="3" t="s">
        <v>466</v>
      </c>
      <c r="F462" s="4">
        <v>46001</v>
      </c>
      <c r="G462" s="3" t="s">
        <v>17</v>
      </c>
      <c r="H462" s="5">
        <v>-1165660</v>
      </c>
      <c r="I462" s="3" t="s">
        <v>18</v>
      </c>
      <c r="J462" s="3" t="s">
        <v>14</v>
      </c>
      <c r="K462" s="3" t="s">
        <v>14</v>
      </c>
      <c r="L462" s="3" t="s">
        <v>28</v>
      </c>
      <c r="M462" s="4">
        <v>46001</v>
      </c>
      <c r="N462" s="3" t="s">
        <v>29</v>
      </c>
      <c r="O462" s="3" t="s">
        <v>30</v>
      </c>
      <c r="P462" t="str">
        <f t="shared" si="7"/>
        <v>450011214010</v>
      </c>
      <c r="Q462" s="7" cm="1">
        <f t="array" ref="Q462:S462">VLOOKUP(P462,Hoja1!C:F,{2,3,4},FALSE)</f>
        <v>46053</v>
      </c>
      <c r="R462" t="str">
        <v>C14</v>
      </c>
      <c r="S462" t="str">
        <v>1000000681 LA LILY S.A</v>
      </c>
    </row>
    <row r="463" spans="1:19" x14ac:dyDescent="0.3">
      <c r="A463" s="2" t="s">
        <v>14</v>
      </c>
      <c r="B463" s="3" t="s">
        <v>14</v>
      </c>
      <c r="C463" s="3" t="s">
        <v>481</v>
      </c>
      <c r="D463" s="3" t="s">
        <v>25</v>
      </c>
      <c r="E463" s="3" t="s">
        <v>466</v>
      </c>
      <c r="F463" s="4">
        <v>46003</v>
      </c>
      <c r="G463" s="3" t="s">
        <v>17</v>
      </c>
      <c r="H463" s="5">
        <v>-1146956</v>
      </c>
      <c r="I463" s="3" t="s">
        <v>18</v>
      </c>
      <c r="J463" s="3" t="s">
        <v>14</v>
      </c>
      <c r="K463" s="3" t="s">
        <v>14</v>
      </c>
      <c r="L463" s="3" t="s">
        <v>28</v>
      </c>
      <c r="M463" s="4">
        <v>46003</v>
      </c>
      <c r="N463" s="3" t="s">
        <v>29</v>
      </c>
      <c r="O463" s="3" t="s">
        <v>30</v>
      </c>
      <c r="P463" t="str">
        <f t="shared" si="7"/>
        <v>450011214010</v>
      </c>
      <c r="Q463" s="7" cm="1">
        <f t="array" ref="Q463:S463">VLOOKUP(P463,Hoja1!C:F,{2,3,4},FALSE)</f>
        <v>46053</v>
      </c>
      <c r="R463" t="str">
        <v>C14</v>
      </c>
      <c r="S463" t="str">
        <v>1000000681 LA LILY S.A</v>
      </c>
    </row>
    <row r="464" spans="1:19" x14ac:dyDescent="0.3">
      <c r="A464" s="2" t="s">
        <v>14</v>
      </c>
      <c r="B464" s="3" t="s">
        <v>14</v>
      </c>
      <c r="C464" s="3" t="s">
        <v>482</v>
      </c>
      <c r="D464" s="3" t="s">
        <v>25</v>
      </c>
      <c r="E464" s="3" t="s">
        <v>466</v>
      </c>
      <c r="F464" s="4">
        <v>46003</v>
      </c>
      <c r="G464" s="3" t="s">
        <v>17</v>
      </c>
      <c r="H464" s="5">
        <v>-1254504</v>
      </c>
      <c r="I464" s="3" t="s">
        <v>18</v>
      </c>
      <c r="J464" s="3" t="s">
        <v>14</v>
      </c>
      <c r="K464" s="3" t="s">
        <v>14</v>
      </c>
      <c r="L464" s="3" t="s">
        <v>28</v>
      </c>
      <c r="M464" s="4">
        <v>46003</v>
      </c>
      <c r="N464" s="3" t="s">
        <v>29</v>
      </c>
      <c r="O464" s="3" t="s">
        <v>30</v>
      </c>
      <c r="P464" t="str">
        <f t="shared" si="7"/>
        <v>450011214010</v>
      </c>
      <c r="Q464" s="7" cm="1">
        <f t="array" ref="Q464:S464">VLOOKUP(P464,Hoja1!C:F,{2,3,4},FALSE)</f>
        <v>46053</v>
      </c>
      <c r="R464" t="str">
        <v>C14</v>
      </c>
      <c r="S464" t="str">
        <v>1000000681 LA LILY S.A</v>
      </c>
    </row>
    <row r="465" spans="1:19" x14ac:dyDescent="0.3">
      <c r="A465" s="2" t="s">
        <v>14</v>
      </c>
      <c r="B465" s="3" t="s">
        <v>14</v>
      </c>
      <c r="C465" s="3" t="s">
        <v>483</v>
      </c>
      <c r="D465" s="3" t="s">
        <v>14</v>
      </c>
      <c r="E465" s="3" t="s">
        <v>466</v>
      </c>
      <c r="F465" s="4">
        <v>45611</v>
      </c>
      <c r="G465" s="3" t="s">
        <v>17</v>
      </c>
      <c r="H465" s="5">
        <v>-127934.6</v>
      </c>
      <c r="I465" s="3" t="s">
        <v>18</v>
      </c>
      <c r="J465" s="3" t="s">
        <v>14</v>
      </c>
      <c r="K465" s="3" t="s">
        <v>14</v>
      </c>
      <c r="L465" s="3" t="s">
        <v>484</v>
      </c>
      <c r="M465" s="4">
        <v>45653</v>
      </c>
      <c r="N465" s="3" t="s">
        <v>485</v>
      </c>
      <c r="O465" s="3" t="s">
        <v>30</v>
      </c>
      <c r="P465" t="str">
        <f t="shared" si="7"/>
        <v>450009023610</v>
      </c>
      <c r="Q465" s="7" cm="1">
        <f t="array" ref="Q465:S465">VLOOKUP(P465,Hoja1!C:F,{2,3,4},FALSE)</f>
        <v>45667</v>
      </c>
      <c r="R465" t="str">
        <v>C07</v>
      </c>
      <c r="S465" t="str">
        <v>1000011182 SERVICIOS Y MATERIALES CUYO S.A.</v>
      </c>
    </row>
    <row r="466" spans="1:19" x14ac:dyDescent="0.3">
      <c r="A466" s="2" t="s">
        <v>14</v>
      </c>
      <c r="B466" s="3" t="s">
        <v>14</v>
      </c>
      <c r="C466" s="3" t="s">
        <v>483</v>
      </c>
      <c r="D466" s="3" t="s">
        <v>14</v>
      </c>
      <c r="E466" s="3" t="s">
        <v>466</v>
      </c>
      <c r="F466" s="4">
        <v>45611</v>
      </c>
      <c r="G466" s="3" t="s">
        <v>17</v>
      </c>
      <c r="H466" s="5">
        <v>-46414.2</v>
      </c>
      <c r="I466" s="3" t="s">
        <v>18</v>
      </c>
      <c r="J466" s="3" t="s">
        <v>14</v>
      </c>
      <c r="K466" s="3" t="s">
        <v>14</v>
      </c>
      <c r="L466" s="3" t="s">
        <v>484</v>
      </c>
      <c r="M466" s="4">
        <v>45653</v>
      </c>
      <c r="N466" s="3" t="s">
        <v>485</v>
      </c>
      <c r="O466" s="3" t="s">
        <v>22</v>
      </c>
      <c r="P466" t="str">
        <f t="shared" si="7"/>
        <v>450009023620</v>
      </c>
      <c r="Q466" s="7" cm="1">
        <f t="array" ref="Q466:S466">VLOOKUP(P466,Hoja1!C:F,{2,3,4},FALSE)</f>
        <v>45667</v>
      </c>
      <c r="R466" t="str">
        <v>C07</v>
      </c>
      <c r="S466" t="str">
        <v>1000011182 SERVICIOS Y MATERIALES CUYO S.A.</v>
      </c>
    </row>
    <row r="467" spans="1:19" x14ac:dyDescent="0.3">
      <c r="A467" s="2" t="s">
        <v>14</v>
      </c>
      <c r="B467" s="3" t="s">
        <v>14</v>
      </c>
      <c r="C467" s="3" t="s">
        <v>486</v>
      </c>
      <c r="D467" s="3" t="s">
        <v>32</v>
      </c>
      <c r="E467" s="3" t="s">
        <v>466</v>
      </c>
      <c r="F467" s="4">
        <v>46003</v>
      </c>
      <c r="G467" s="3" t="s">
        <v>27</v>
      </c>
      <c r="H467" s="6">
        <v>99977500</v>
      </c>
      <c r="I467" s="3" t="s">
        <v>18</v>
      </c>
      <c r="J467" s="3" t="s">
        <v>14</v>
      </c>
      <c r="K467" s="3" t="s">
        <v>14</v>
      </c>
      <c r="L467" s="3" t="s">
        <v>487</v>
      </c>
      <c r="M467" s="4">
        <v>46003</v>
      </c>
      <c r="N467" s="3" t="s">
        <v>488</v>
      </c>
      <c r="O467" s="3" t="s">
        <v>30</v>
      </c>
      <c r="P467" t="str">
        <f t="shared" si="7"/>
        <v>450010869210</v>
      </c>
      <c r="Q467" s="7" cm="1">
        <f t="array" ref="Q467:S467">VLOOKUP(P467,Hoja1!C:F,{2,3,4},FALSE)</f>
        <v>46330</v>
      </c>
      <c r="R467" t="str">
        <v>C12</v>
      </c>
      <c r="S467" t="str">
        <v>1000011488 RM DEL SUR S. R. L</v>
      </c>
    </row>
    <row r="468" spans="1:19" x14ac:dyDescent="0.3">
      <c r="A468" s="2" t="s">
        <v>14</v>
      </c>
      <c r="B468" s="3" t="s">
        <v>14</v>
      </c>
      <c r="C468" s="3" t="s">
        <v>489</v>
      </c>
      <c r="D468" s="3" t="s">
        <v>14</v>
      </c>
      <c r="E468" s="3" t="s">
        <v>466</v>
      </c>
      <c r="F468" s="4">
        <v>46029</v>
      </c>
      <c r="G468" s="3" t="s">
        <v>17</v>
      </c>
      <c r="H468" s="5">
        <v>-55641</v>
      </c>
      <c r="I468" s="3" t="s">
        <v>18</v>
      </c>
      <c r="J468" s="3" t="s">
        <v>14</v>
      </c>
      <c r="K468" s="3" t="s">
        <v>14</v>
      </c>
      <c r="L468" s="3" t="s">
        <v>490</v>
      </c>
      <c r="M468" s="4">
        <v>46029</v>
      </c>
      <c r="N468" s="3" t="s">
        <v>491</v>
      </c>
      <c r="O468" s="3" t="s">
        <v>30</v>
      </c>
      <c r="P468" t="str">
        <f t="shared" si="7"/>
        <v>450010004410</v>
      </c>
      <c r="Q468" s="7" cm="1">
        <f t="array" ref="Q468:S468">VLOOKUP(P468,Hoja1!C:F,{2,3,4},FALSE)</f>
        <v>46173</v>
      </c>
      <c r="R468" t="str">
        <v>C15</v>
      </c>
      <c r="S468" t="str">
        <v>1000001107 TRANSPORTES SAN JOSE SRL</v>
      </c>
    </row>
    <row r="469" spans="1:19" x14ac:dyDescent="0.3">
      <c r="A469" s="2" t="s">
        <v>14</v>
      </c>
      <c r="B469" s="3" t="s">
        <v>14</v>
      </c>
      <c r="C469" s="3" t="s">
        <v>492</v>
      </c>
      <c r="D469" s="3" t="s">
        <v>14</v>
      </c>
      <c r="E469" s="3" t="s">
        <v>466</v>
      </c>
      <c r="F469" s="4">
        <v>46034</v>
      </c>
      <c r="G469" s="3" t="s">
        <v>17</v>
      </c>
      <c r="H469" s="5">
        <v>-102600.13</v>
      </c>
      <c r="I469" s="3" t="s">
        <v>18</v>
      </c>
      <c r="J469" s="3" t="s">
        <v>14</v>
      </c>
      <c r="K469" s="3" t="s">
        <v>14</v>
      </c>
      <c r="L469" s="3" t="s">
        <v>340</v>
      </c>
      <c r="M469" s="4">
        <v>46034</v>
      </c>
      <c r="N469" s="3" t="s">
        <v>493</v>
      </c>
      <c r="O469" s="3" t="s">
        <v>30</v>
      </c>
      <c r="P469" t="str">
        <f t="shared" si="7"/>
        <v>450011717510</v>
      </c>
      <c r="Q469" s="7" cm="1">
        <f t="array" ref="Q469:S469">VLOOKUP(P469,Hoja1!C:F,{2,3,4},FALSE)</f>
        <v>46042</v>
      </c>
      <c r="R469" t="str">
        <v>EFO</v>
      </c>
      <c r="S469" t="str">
        <v>1000000062 FINNING ARGENTINA S.A.</v>
      </c>
    </row>
    <row r="470" spans="1:19" x14ac:dyDescent="0.3">
      <c r="A470" s="2" t="s">
        <v>14</v>
      </c>
      <c r="B470" s="3" t="s">
        <v>14</v>
      </c>
      <c r="C470" s="3" t="s">
        <v>494</v>
      </c>
      <c r="D470" s="3" t="s">
        <v>14</v>
      </c>
      <c r="E470" s="3" t="s">
        <v>466</v>
      </c>
      <c r="F470" s="4">
        <v>46036</v>
      </c>
      <c r="G470" s="3" t="s">
        <v>17</v>
      </c>
      <c r="H470" s="5">
        <v>-55575</v>
      </c>
      <c r="I470" s="3" t="s">
        <v>18</v>
      </c>
      <c r="J470" s="3" t="s">
        <v>14</v>
      </c>
      <c r="K470" s="3" t="s">
        <v>14</v>
      </c>
      <c r="L470" s="3" t="s">
        <v>207</v>
      </c>
      <c r="M470" s="4">
        <v>46036</v>
      </c>
      <c r="N470" s="3" t="s">
        <v>208</v>
      </c>
      <c r="O470" s="3" t="s">
        <v>23</v>
      </c>
      <c r="P470" t="str">
        <f t="shared" si="7"/>
        <v>450005708040</v>
      </c>
      <c r="Q470" s="7" cm="1">
        <f t="array" ref="Q470:S470">VLOOKUP(P470,Hoja1!C:F,{2,3,4},FALSE)</f>
        <v>46386</v>
      </c>
      <c r="R470" t="str">
        <v>C25</v>
      </c>
      <c r="S470" t="str">
        <v>1000008581 IZAZA PAULA SOLEDAD</v>
      </c>
    </row>
    <row r="471" spans="1:19" x14ac:dyDescent="0.3">
      <c r="A471" s="2" t="s">
        <v>14</v>
      </c>
      <c r="B471" s="3" t="s">
        <v>14</v>
      </c>
      <c r="C471" s="3" t="s">
        <v>495</v>
      </c>
      <c r="D471" s="3" t="s">
        <v>14</v>
      </c>
      <c r="E471" s="3" t="s">
        <v>466</v>
      </c>
      <c r="F471" s="4">
        <v>46037</v>
      </c>
      <c r="G471" s="3" t="s">
        <v>17</v>
      </c>
      <c r="H471" s="5">
        <v>-38622</v>
      </c>
      <c r="I471" s="3" t="s">
        <v>18</v>
      </c>
      <c r="J471" s="3" t="s">
        <v>14</v>
      </c>
      <c r="K471" s="3" t="s">
        <v>14</v>
      </c>
      <c r="L471" s="3" t="s">
        <v>47</v>
      </c>
      <c r="M471" s="4">
        <v>46037</v>
      </c>
      <c r="N471" s="3" t="s">
        <v>496</v>
      </c>
      <c r="O471" s="3" t="s">
        <v>30</v>
      </c>
      <c r="P471" t="str">
        <f t="shared" si="7"/>
        <v>450011724310</v>
      </c>
      <c r="Q471" s="7" cm="1">
        <f t="array" ref="Q471:S471">VLOOKUP(P471,Hoja1!C:F,{2,3,4},FALSE)</f>
        <v>46096</v>
      </c>
      <c r="R471" t="str">
        <v>C03</v>
      </c>
      <c r="S471" t="str">
        <v>1000000010 GASES ROSARIO S.R.L.</v>
      </c>
    </row>
    <row r="472" spans="1:19" x14ac:dyDescent="0.3">
      <c r="A472" s="2" t="s">
        <v>14</v>
      </c>
      <c r="B472" s="3" t="s">
        <v>14</v>
      </c>
      <c r="C472" s="3" t="s">
        <v>495</v>
      </c>
      <c r="D472" s="3" t="s">
        <v>14</v>
      </c>
      <c r="E472" s="3" t="s">
        <v>466</v>
      </c>
      <c r="F472" s="4">
        <v>46037</v>
      </c>
      <c r="G472" s="3" t="s">
        <v>17</v>
      </c>
      <c r="H472" s="5">
        <v>-54297</v>
      </c>
      <c r="I472" s="3" t="s">
        <v>18</v>
      </c>
      <c r="J472" s="3" t="s">
        <v>14</v>
      </c>
      <c r="K472" s="3" t="s">
        <v>14</v>
      </c>
      <c r="L472" s="3" t="s">
        <v>47</v>
      </c>
      <c r="M472" s="4">
        <v>46037</v>
      </c>
      <c r="N472" s="3" t="s">
        <v>496</v>
      </c>
      <c r="O472" s="3" t="s">
        <v>22</v>
      </c>
      <c r="P472" t="str">
        <f t="shared" si="7"/>
        <v>450011724320</v>
      </c>
      <c r="Q472" s="7" cm="1">
        <f t="array" ref="Q472:S472">VLOOKUP(P472,Hoja1!C:F,{2,3,4},FALSE)</f>
        <v>46096</v>
      </c>
      <c r="R472" t="str">
        <v>C03</v>
      </c>
      <c r="S472" t="str">
        <v>1000000010 GASES ROSARIO S.R.L.</v>
      </c>
    </row>
    <row r="473" spans="1:19" x14ac:dyDescent="0.3">
      <c r="A473" s="2" t="s">
        <v>14</v>
      </c>
      <c r="B473" s="3" t="s">
        <v>14</v>
      </c>
      <c r="C473" s="3" t="s">
        <v>497</v>
      </c>
      <c r="D473" s="3" t="s">
        <v>14</v>
      </c>
      <c r="E473" s="3" t="s">
        <v>466</v>
      </c>
      <c r="F473" s="4">
        <v>46037</v>
      </c>
      <c r="G473" s="3" t="s">
        <v>17</v>
      </c>
      <c r="H473" s="5">
        <v>-51480</v>
      </c>
      <c r="I473" s="3" t="s">
        <v>18</v>
      </c>
      <c r="J473" s="3" t="s">
        <v>14</v>
      </c>
      <c r="K473" s="3" t="s">
        <v>14</v>
      </c>
      <c r="L473" s="3" t="s">
        <v>498</v>
      </c>
      <c r="M473" s="4">
        <v>46037</v>
      </c>
      <c r="N473" s="3" t="s">
        <v>499</v>
      </c>
      <c r="O473" s="3" t="s">
        <v>30</v>
      </c>
      <c r="P473" t="str">
        <f t="shared" si="7"/>
        <v>450011676410</v>
      </c>
      <c r="Q473" s="7" cm="1">
        <f t="array" ref="Q473:S473">VLOOKUP(P473,Hoja1!C:F,{2,3,4},FALSE)</f>
        <v>46045</v>
      </c>
      <c r="R473" t="str">
        <v>C03</v>
      </c>
      <c r="S473" t="str">
        <v>1000000453 GOMA 2000 DE TECNO PART S.A.</v>
      </c>
    </row>
    <row r="474" spans="1:19" x14ac:dyDescent="0.3">
      <c r="A474" s="2" t="s">
        <v>14</v>
      </c>
      <c r="B474" s="3" t="s">
        <v>14</v>
      </c>
      <c r="C474" s="3" t="s">
        <v>500</v>
      </c>
      <c r="D474" s="3" t="s">
        <v>32</v>
      </c>
      <c r="E474" s="3" t="s">
        <v>466</v>
      </c>
      <c r="F474" s="4">
        <v>46041</v>
      </c>
      <c r="G474" s="3" t="s">
        <v>17</v>
      </c>
      <c r="H474" s="5">
        <v>-24793.38</v>
      </c>
      <c r="I474" s="3" t="s">
        <v>18</v>
      </c>
      <c r="J474" s="3" t="s">
        <v>14</v>
      </c>
      <c r="K474" s="3" t="s">
        <v>14</v>
      </c>
      <c r="L474" s="3" t="s">
        <v>501</v>
      </c>
      <c r="M474" s="4">
        <v>46041</v>
      </c>
      <c r="N474" s="3" t="s">
        <v>502</v>
      </c>
      <c r="O474" s="3" t="s">
        <v>23</v>
      </c>
      <c r="P474" t="str">
        <f t="shared" si="7"/>
        <v>450011779140</v>
      </c>
      <c r="Q474" s="7" cm="1">
        <f t="array" ref="Q474:S474">VLOOKUP(P474,Hoja1!C:F,{2,3,4},FALSE)</f>
        <v>46041</v>
      </c>
      <c r="R474" t="str">
        <v>C07</v>
      </c>
      <c r="S474" t="str">
        <v>1000003270 MALTESE ROBERTO VICENTE</v>
      </c>
    </row>
    <row r="475" spans="1:19" x14ac:dyDescent="0.3">
      <c r="A475" s="2" t="s">
        <v>14</v>
      </c>
      <c r="B475" s="3" t="s">
        <v>14</v>
      </c>
      <c r="C475" s="3" t="s">
        <v>503</v>
      </c>
      <c r="D475" s="3" t="s">
        <v>32</v>
      </c>
      <c r="E475" s="3" t="s">
        <v>466</v>
      </c>
      <c r="F475" s="4">
        <v>46041</v>
      </c>
      <c r="G475" s="3" t="s">
        <v>17</v>
      </c>
      <c r="H475" s="5">
        <v>-19836</v>
      </c>
      <c r="I475" s="3" t="s">
        <v>18</v>
      </c>
      <c r="J475" s="3" t="s">
        <v>14</v>
      </c>
      <c r="K475" s="3" t="s">
        <v>14</v>
      </c>
      <c r="L475" s="3" t="s">
        <v>501</v>
      </c>
      <c r="M475" s="4">
        <v>46041</v>
      </c>
      <c r="N475" s="3" t="s">
        <v>502</v>
      </c>
      <c r="O475" s="3" t="s">
        <v>144</v>
      </c>
      <c r="P475" t="str">
        <f t="shared" si="7"/>
        <v>450011779150</v>
      </c>
      <c r="Q475" s="7" cm="1">
        <f t="array" ref="Q475:S475">VLOOKUP(P475,Hoja1!C:F,{2,3,4},FALSE)</f>
        <v>46042</v>
      </c>
      <c r="R475" t="str">
        <v>C07</v>
      </c>
      <c r="S475" t="str">
        <v>1000003270 MALTESE ROBERTO VICENTE</v>
      </c>
    </row>
    <row r="476" spans="1:19" x14ac:dyDescent="0.3">
      <c r="A476" s="2" t="s">
        <v>14</v>
      </c>
      <c r="B476" s="3" t="s">
        <v>14</v>
      </c>
      <c r="C476" s="3" t="s">
        <v>503</v>
      </c>
      <c r="D476" s="3" t="s">
        <v>32</v>
      </c>
      <c r="E476" s="3" t="s">
        <v>466</v>
      </c>
      <c r="F476" s="4">
        <v>46041</v>
      </c>
      <c r="G476" s="3" t="s">
        <v>17</v>
      </c>
      <c r="H476" s="5">
        <v>-17325</v>
      </c>
      <c r="I476" s="3" t="s">
        <v>18</v>
      </c>
      <c r="J476" s="3" t="s">
        <v>14</v>
      </c>
      <c r="K476" s="3" t="s">
        <v>14</v>
      </c>
      <c r="L476" s="3" t="s">
        <v>501</v>
      </c>
      <c r="M476" s="4">
        <v>46041</v>
      </c>
      <c r="N476" s="3" t="s">
        <v>502</v>
      </c>
      <c r="O476" s="3" t="s">
        <v>141</v>
      </c>
      <c r="P476" t="str">
        <f t="shared" si="7"/>
        <v>450011779160</v>
      </c>
      <c r="Q476" s="7" cm="1">
        <f t="array" ref="Q476:S476">VLOOKUP(P476,Hoja1!C:F,{2,3,4},FALSE)</f>
        <v>46042</v>
      </c>
      <c r="R476" t="str">
        <v>C07</v>
      </c>
      <c r="S476" t="str">
        <v>1000003270 MALTESE ROBERTO VICENTE</v>
      </c>
    </row>
    <row r="477" spans="1:19" x14ac:dyDescent="0.3">
      <c r="A477" s="2" t="s">
        <v>14</v>
      </c>
      <c r="B477" s="3" t="s">
        <v>14</v>
      </c>
      <c r="C477" s="3" t="s">
        <v>504</v>
      </c>
      <c r="D477" s="3" t="s">
        <v>32</v>
      </c>
      <c r="E477" s="3" t="s">
        <v>466</v>
      </c>
      <c r="F477" s="4">
        <v>46041</v>
      </c>
      <c r="G477" s="3" t="s">
        <v>17</v>
      </c>
      <c r="H477" s="5">
        <v>-3099.17</v>
      </c>
      <c r="I477" s="3" t="s">
        <v>18</v>
      </c>
      <c r="J477" s="3" t="s">
        <v>14</v>
      </c>
      <c r="K477" s="3" t="s">
        <v>14</v>
      </c>
      <c r="L477" s="3" t="s">
        <v>501</v>
      </c>
      <c r="M477" s="4">
        <v>46041</v>
      </c>
      <c r="N477" s="3" t="s">
        <v>502</v>
      </c>
      <c r="O477" s="3" t="s">
        <v>35</v>
      </c>
      <c r="P477" t="str">
        <f t="shared" si="7"/>
        <v>450011779130</v>
      </c>
      <c r="Q477" s="7" cm="1">
        <f t="array" ref="Q477:S477">VLOOKUP(P477,Hoja1!C:F,{2,3,4},FALSE)</f>
        <v>46041</v>
      </c>
      <c r="R477" t="str">
        <v>C07</v>
      </c>
      <c r="S477" t="str">
        <v>1000003270 MALTESE ROBERTO VICENTE</v>
      </c>
    </row>
    <row r="478" spans="1:19" x14ac:dyDescent="0.3">
      <c r="A478" s="2" t="s">
        <v>14</v>
      </c>
      <c r="B478" s="3" t="s">
        <v>14</v>
      </c>
      <c r="C478" s="3" t="s">
        <v>505</v>
      </c>
      <c r="D478" s="3" t="s">
        <v>32</v>
      </c>
      <c r="E478" s="3" t="s">
        <v>466</v>
      </c>
      <c r="F478" s="4">
        <v>46041</v>
      </c>
      <c r="G478" s="3" t="s">
        <v>17</v>
      </c>
      <c r="H478" s="5">
        <v>-2479.34</v>
      </c>
      <c r="I478" s="3" t="s">
        <v>18</v>
      </c>
      <c r="J478" s="3" t="s">
        <v>14</v>
      </c>
      <c r="K478" s="3" t="s">
        <v>14</v>
      </c>
      <c r="L478" s="3" t="s">
        <v>501</v>
      </c>
      <c r="M478" s="4">
        <v>46041</v>
      </c>
      <c r="N478" s="3" t="s">
        <v>502</v>
      </c>
      <c r="O478" s="3" t="s">
        <v>22</v>
      </c>
      <c r="P478" t="str">
        <f t="shared" si="7"/>
        <v>450011779120</v>
      </c>
      <c r="Q478" s="7" cm="1">
        <f t="array" ref="Q478:S478">VLOOKUP(P478,Hoja1!C:F,{2,3,4},FALSE)</f>
        <v>46041</v>
      </c>
      <c r="R478" t="str">
        <v>C07</v>
      </c>
      <c r="S478" t="str">
        <v>1000003270 MALTESE ROBERTO VICENTE</v>
      </c>
    </row>
    <row r="479" spans="1:19" x14ac:dyDescent="0.3">
      <c r="A479" s="2" t="s">
        <v>14</v>
      </c>
      <c r="B479" s="3" t="s">
        <v>14</v>
      </c>
      <c r="C479" s="3" t="s">
        <v>506</v>
      </c>
      <c r="D479" s="3" t="s">
        <v>14</v>
      </c>
      <c r="E479" s="3" t="s">
        <v>466</v>
      </c>
      <c r="F479" s="4">
        <v>46041</v>
      </c>
      <c r="G479" s="3" t="s">
        <v>17</v>
      </c>
      <c r="H479" s="5">
        <v>-42993.08</v>
      </c>
      <c r="I479" s="3" t="s">
        <v>18</v>
      </c>
      <c r="J479" s="3" t="s">
        <v>14</v>
      </c>
      <c r="K479" s="3" t="s">
        <v>14</v>
      </c>
      <c r="L479" s="3" t="s">
        <v>507</v>
      </c>
      <c r="M479" s="4">
        <v>46041</v>
      </c>
      <c r="N479" s="3" t="s">
        <v>508</v>
      </c>
      <c r="O479" s="3" t="s">
        <v>45</v>
      </c>
      <c r="P479" t="str">
        <f t="shared" si="7"/>
        <v>4500109625100</v>
      </c>
      <c r="Q479" s="7" cm="1">
        <f t="array" ref="Q479:S479">VLOOKUP(P479,Hoja1!C:F,{2,3,4},FALSE)</f>
        <v>46101</v>
      </c>
      <c r="R479" t="str">
        <v>C29</v>
      </c>
      <c r="S479" t="str">
        <v>2000000007 DAEMO ENGINEERING CO., LTD.</v>
      </c>
    </row>
    <row r="480" spans="1:19" x14ac:dyDescent="0.3">
      <c r="A480" s="2" t="s">
        <v>14</v>
      </c>
      <c r="B480" s="3" t="s">
        <v>14</v>
      </c>
      <c r="C480" s="3" t="s">
        <v>506</v>
      </c>
      <c r="D480" s="3" t="s">
        <v>14</v>
      </c>
      <c r="E480" s="3" t="s">
        <v>466</v>
      </c>
      <c r="F480" s="4">
        <v>46041</v>
      </c>
      <c r="G480" s="3" t="s">
        <v>17</v>
      </c>
      <c r="H480" s="5">
        <v>-283902.58</v>
      </c>
      <c r="I480" s="3" t="s">
        <v>18</v>
      </c>
      <c r="J480" s="3" t="s">
        <v>14</v>
      </c>
      <c r="K480" s="3" t="s">
        <v>14</v>
      </c>
      <c r="L480" s="3" t="s">
        <v>507</v>
      </c>
      <c r="M480" s="4">
        <v>46041</v>
      </c>
      <c r="N480" s="3" t="s">
        <v>508</v>
      </c>
      <c r="O480" s="3" t="s">
        <v>156</v>
      </c>
      <c r="P480" t="str">
        <f t="shared" si="7"/>
        <v>4500109625110</v>
      </c>
      <c r="Q480" s="7" cm="1">
        <f t="array" ref="Q480:S480">VLOOKUP(P480,Hoja1!C:F,{2,3,4},FALSE)</f>
        <v>46101</v>
      </c>
      <c r="R480" t="str">
        <v>C29</v>
      </c>
      <c r="S480" t="str">
        <v>2000000007 DAEMO ENGINEERING CO., LTD.</v>
      </c>
    </row>
    <row r="481" spans="1:19" x14ac:dyDescent="0.3">
      <c r="A481" s="2" t="s">
        <v>14</v>
      </c>
      <c r="B481" s="3" t="s">
        <v>14</v>
      </c>
      <c r="C481" s="3" t="s">
        <v>506</v>
      </c>
      <c r="D481" s="3" t="s">
        <v>14</v>
      </c>
      <c r="E481" s="3" t="s">
        <v>466</v>
      </c>
      <c r="F481" s="4">
        <v>46041</v>
      </c>
      <c r="G481" s="3" t="s">
        <v>17</v>
      </c>
      <c r="H481" s="5">
        <v>-1328836.8500000001</v>
      </c>
      <c r="I481" s="3" t="s">
        <v>18</v>
      </c>
      <c r="J481" s="3" t="s">
        <v>14</v>
      </c>
      <c r="K481" s="3" t="s">
        <v>14</v>
      </c>
      <c r="L481" s="3" t="s">
        <v>507</v>
      </c>
      <c r="M481" s="4">
        <v>46041</v>
      </c>
      <c r="N481" s="3" t="s">
        <v>508</v>
      </c>
      <c r="O481" s="3" t="s">
        <v>132</v>
      </c>
      <c r="P481" t="str">
        <f t="shared" si="7"/>
        <v>4500109625120</v>
      </c>
      <c r="Q481" s="7" cm="1">
        <f t="array" ref="Q481:S481">VLOOKUP(P481,Hoja1!C:F,{2,3,4},FALSE)</f>
        <v>46101</v>
      </c>
      <c r="R481" t="str">
        <v>C29</v>
      </c>
      <c r="S481" t="str">
        <v>2000000007 DAEMO ENGINEERING CO., LTD.</v>
      </c>
    </row>
    <row r="482" spans="1:19" x14ac:dyDescent="0.3">
      <c r="A482" s="2" t="s">
        <v>14</v>
      </c>
      <c r="B482" s="3" t="s">
        <v>14</v>
      </c>
      <c r="C482" s="3" t="s">
        <v>506</v>
      </c>
      <c r="D482" s="3" t="s">
        <v>14</v>
      </c>
      <c r="E482" s="3" t="s">
        <v>466</v>
      </c>
      <c r="F482" s="4">
        <v>46041</v>
      </c>
      <c r="G482" s="3" t="s">
        <v>17</v>
      </c>
      <c r="H482" s="5">
        <v>-1328836.8500000001</v>
      </c>
      <c r="I482" s="3" t="s">
        <v>18</v>
      </c>
      <c r="J482" s="3" t="s">
        <v>14</v>
      </c>
      <c r="K482" s="3" t="s">
        <v>14</v>
      </c>
      <c r="L482" s="3" t="s">
        <v>507</v>
      </c>
      <c r="M482" s="4">
        <v>46041</v>
      </c>
      <c r="N482" s="3" t="s">
        <v>508</v>
      </c>
      <c r="O482" s="3" t="s">
        <v>142</v>
      </c>
      <c r="P482" t="str">
        <f t="shared" si="7"/>
        <v>4500109625130</v>
      </c>
      <c r="Q482" s="7" cm="1">
        <f t="array" ref="Q482:S482">VLOOKUP(P482,Hoja1!C:F,{2,3,4},FALSE)</f>
        <v>46101</v>
      </c>
      <c r="R482" t="str">
        <v>C29</v>
      </c>
      <c r="S482" t="str">
        <v>2000000007 DAEMO ENGINEERING CO., LTD.</v>
      </c>
    </row>
    <row r="483" spans="1:19" x14ac:dyDescent="0.3">
      <c r="A483" s="2" t="s">
        <v>14</v>
      </c>
      <c r="B483" s="3" t="s">
        <v>14</v>
      </c>
      <c r="C483" s="3" t="s">
        <v>509</v>
      </c>
      <c r="D483" s="3" t="s">
        <v>14</v>
      </c>
      <c r="E483" s="3" t="s">
        <v>466</v>
      </c>
      <c r="F483" s="4">
        <v>46042</v>
      </c>
      <c r="G483" s="3" t="s">
        <v>17</v>
      </c>
      <c r="H483" s="5">
        <v>-655072.07999999996</v>
      </c>
      <c r="I483" s="3" t="s">
        <v>18</v>
      </c>
      <c r="J483" s="3" t="s">
        <v>14</v>
      </c>
      <c r="K483" s="3" t="s">
        <v>14</v>
      </c>
      <c r="L483" s="3" t="s">
        <v>510</v>
      </c>
      <c r="M483" s="4">
        <v>46042</v>
      </c>
      <c r="N483" s="3" t="s">
        <v>511</v>
      </c>
      <c r="O483" s="3" t="s">
        <v>23</v>
      </c>
      <c r="P483" t="str">
        <f t="shared" si="7"/>
        <v>450011765340</v>
      </c>
      <c r="Q483" s="7" cm="1">
        <f t="array" ref="Q483:S483">VLOOKUP(P483,Hoja1!C:F,{2,3,4},FALSE)</f>
        <v>45869</v>
      </c>
      <c r="R483" t="str">
        <v>C37</v>
      </c>
      <c r="S483" t="str">
        <v>1000001935 ACEROS COCO S.A.</v>
      </c>
    </row>
    <row r="484" spans="1:19" x14ac:dyDescent="0.3">
      <c r="A484" s="2" t="s">
        <v>14</v>
      </c>
      <c r="B484" s="3" t="s">
        <v>14</v>
      </c>
      <c r="C484" s="3" t="s">
        <v>512</v>
      </c>
      <c r="D484" s="3" t="s">
        <v>14</v>
      </c>
      <c r="E484" s="3" t="s">
        <v>466</v>
      </c>
      <c r="F484" s="4">
        <v>46041</v>
      </c>
      <c r="G484" s="3" t="s">
        <v>17</v>
      </c>
      <c r="H484" s="5">
        <v>-524810</v>
      </c>
      <c r="I484" s="3" t="s">
        <v>18</v>
      </c>
      <c r="J484" s="3" t="s">
        <v>14</v>
      </c>
      <c r="K484" s="3" t="s">
        <v>14</v>
      </c>
      <c r="L484" s="3" t="s">
        <v>340</v>
      </c>
      <c r="M484" s="4">
        <v>46043</v>
      </c>
      <c r="N484" s="3" t="s">
        <v>513</v>
      </c>
      <c r="O484" s="3" t="s">
        <v>23</v>
      </c>
      <c r="P484" t="str">
        <f t="shared" si="7"/>
        <v>450011442640</v>
      </c>
      <c r="Q484" s="7" cm="1">
        <f t="array" ref="Q484:S484">VLOOKUP(P484,Hoja1!C:F,{2,3,4},FALSE)</f>
        <v>46142</v>
      </c>
      <c r="R484" t="str">
        <v>C03</v>
      </c>
      <c r="S484" t="str">
        <v>1000000062 FINNING ARGENTINA S.A.</v>
      </c>
    </row>
    <row r="485" spans="1:19" x14ac:dyDescent="0.3">
      <c r="A485" s="2" t="s">
        <v>14</v>
      </c>
      <c r="B485" s="3" t="s">
        <v>14</v>
      </c>
      <c r="C485" s="3" t="s">
        <v>514</v>
      </c>
      <c r="D485" s="3" t="s">
        <v>25</v>
      </c>
      <c r="E485" s="3" t="s">
        <v>466</v>
      </c>
      <c r="F485" s="4">
        <v>46044</v>
      </c>
      <c r="G485" s="3" t="s">
        <v>17</v>
      </c>
      <c r="H485" s="5">
        <v>-802268</v>
      </c>
      <c r="I485" s="3" t="s">
        <v>18</v>
      </c>
      <c r="J485" s="3" t="s">
        <v>14</v>
      </c>
      <c r="K485" s="3" t="s">
        <v>14</v>
      </c>
      <c r="L485" s="3" t="s">
        <v>28</v>
      </c>
      <c r="M485" s="4">
        <v>46044</v>
      </c>
      <c r="N485" s="3" t="s">
        <v>29</v>
      </c>
      <c r="O485" s="3" t="s">
        <v>30</v>
      </c>
      <c r="P485" t="str">
        <f t="shared" si="7"/>
        <v>450011214010</v>
      </c>
      <c r="Q485" s="7" cm="1">
        <f t="array" ref="Q485:S485">VLOOKUP(P485,Hoja1!C:F,{2,3,4},FALSE)</f>
        <v>46053</v>
      </c>
      <c r="R485" t="str">
        <v>C14</v>
      </c>
      <c r="S485" t="str">
        <v>1000000681 LA LILY S.A</v>
      </c>
    </row>
    <row r="486" spans="1:19" x14ac:dyDescent="0.3">
      <c r="A486" s="2" t="s">
        <v>14</v>
      </c>
      <c r="B486" s="3" t="s">
        <v>14</v>
      </c>
      <c r="C486" s="3" t="s">
        <v>515</v>
      </c>
      <c r="D486" s="3" t="s">
        <v>25</v>
      </c>
      <c r="E486" s="3" t="s">
        <v>466</v>
      </c>
      <c r="F486" s="4">
        <v>46044</v>
      </c>
      <c r="G486" s="3" t="s">
        <v>17</v>
      </c>
      <c r="H486" s="5">
        <v>-806276</v>
      </c>
      <c r="I486" s="3" t="s">
        <v>18</v>
      </c>
      <c r="J486" s="3" t="s">
        <v>14</v>
      </c>
      <c r="K486" s="3" t="s">
        <v>14</v>
      </c>
      <c r="L486" s="3" t="s">
        <v>28</v>
      </c>
      <c r="M486" s="4">
        <v>46044</v>
      </c>
      <c r="N486" s="3" t="s">
        <v>29</v>
      </c>
      <c r="O486" s="3" t="s">
        <v>30</v>
      </c>
      <c r="P486" t="str">
        <f t="shared" si="7"/>
        <v>450011214010</v>
      </c>
      <c r="Q486" s="7" cm="1">
        <f t="array" ref="Q486:S486">VLOOKUP(P486,Hoja1!C:F,{2,3,4},FALSE)</f>
        <v>46053</v>
      </c>
      <c r="R486" t="str">
        <v>C14</v>
      </c>
      <c r="S486" t="str">
        <v>1000000681 LA LILY S.A</v>
      </c>
    </row>
    <row r="487" spans="1:19" x14ac:dyDescent="0.3">
      <c r="A487" s="2" t="s">
        <v>14</v>
      </c>
      <c r="B487" s="3" t="s">
        <v>14</v>
      </c>
      <c r="C487" s="3" t="s">
        <v>516</v>
      </c>
      <c r="D487" s="3" t="s">
        <v>32</v>
      </c>
      <c r="E487" s="3" t="s">
        <v>466</v>
      </c>
      <c r="F487" s="4">
        <v>46050</v>
      </c>
      <c r="G487" s="3" t="s">
        <v>17</v>
      </c>
      <c r="H487" s="5">
        <v>-119008.2</v>
      </c>
      <c r="I487" s="3" t="s">
        <v>18</v>
      </c>
      <c r="J487" s="3" t="s">
        <v>14</v>
      </c>
      <c r="K487" s="3" t="s">
        <v>14</v>
      </c>
      <c r="L487" s="3" t="s">
        <v>501</v>
      </c>
      <c r="M487" s="4">
        <v>46050</v>
      </c>
      <c r="N487" s="3" t="s">
        <v>517</v>
      </c>
      <c r="O487" s="3" t="s">
        <v>30</v>
      </c>
      <c r="P487" t="str">
        <f t="shared" si="7"/>
        <v>450011871210</v>
      </c>
      <c r="Q487" s="7" cm="1">
        <f t="array" ref="Q487:S487">VLOOKUP(P487,Hoja1!C:F,{2,3,4},FALSE)</f>
        <v>46050</v>
      </c>
      <c r="R487" t="str">
        <v>C07</v>
      </c>
      <c r="S487" t="str">
        <v>1000003270 MALTESE ROBERTO VICENTE</v>
      </c>
    </row>
    <row r="488" spans="1:19" x14ac:dyDescent="0.3">
      <c r="A488" s="2" t="s">
        <v>14</v>
      </c>
      <c r="B488" s="3" t="s">
        <v>14</v>
      </c>
      <c r="C488" s="3" t="s">
        <v>516</v>
      </c>
      <c r="D488" s="3" t="s">
        <v>32</v>
      </c>
      <c r="E488" s="3" t="s">
        <v>466</v>
      </c>
      <c r="F488" s="4">
        <v>46050</v>
      </c>
      <c r="G488" s="3" t="s">
        <v>17</v>
      </c>
      <c r="H488" s="5">
        <v>-12809.9</v>
      </c>
      <c r="I488" s="3" t="s">
        <v>18</v>
      </c>
      <c r="J488" s="3" t="s">
        <v>14</v>
      </c>
      <c r="K488" s="3" t="s">
        <v>14</v>
      </c>
      <c r="L488" s="3" t="s">
        <v>501</v>
      </c>
      <c r="M488" s="4">
        <v>46050</v>
      </c>
      <c r="N488" s="3" t="s">
        <v>517</v>
      </c>
      <c r="O488" s="3" t="s">
        <v>22</v>
      </c>
      <c r="P488" t="str">
        <f t="shared" si="7"/>
        <v>450011871220</v>
      </c>
      <c r="Q488" s="7" cm="1">
        <f t="array" ref="Q488:S488">VLOOKUP(P488,Hoja1!C:F,{2,3,4},FALSE)</f>
        <v>46050</v>
      </c>
      <c r="R488" t="str">
        <v>C07</v>
      </c>
      <c r="S488" t="str">
        <v>1000003270 MALTESE ROBERTO VICENTE</v>
      </c>
    </row>
    <row r="489" spans="1:19" x14ac:dyDescent="0.3">
      <c r="A489" s="2" t="s">
        <v>14</v>
      </c>
      <c r="B489" s="3" t="s">
        <v>14</v>
      </c>
      <c r="C489" s="3" t="s">
        <v>518</v>
      </c>
      <c r="D489" s="3" t="s">
        <v>14</v>
      </c>
      <c r="E489" s="3" t="s">
        <v>466</v>
      </c>
      <c r="F489" s="4">
        <v>46053</v>
      </c>
      <c r="G489" s="3" t="s">
        <v>17</v>
      </c>
      <c r="H489" s="5">
        <v>-770.96</v>
      </c>
      <c r="I489" s="3" t="s">
        <v>18</v>
      </c>
      <c r="J489" s="3" t="s">
        <v>14</v>
      </c>
      <c r="K489" s="3" t="s">
        <v>14</v>
      </c>
      <c r="L489" s="3" t="s">
        <v>519</v>
      </c>
      <c r="M489" s="4">
        <v>46053</v>
      </c>
      <c r="N489" s="3" t="s">
        <v>520</v>
      </c>
      <c r="O489" s="3" t="s">
        <v>30</v>
      </c>
      <c r="P489" t="str">
        <f t="shared" si="7"/>
        <v>450011767610</v>
      </c>
      <c r="Q489" s="7" cm="1">
        <f t="array" ref="Q489:S489">VLOOKUP(P489,Hoja1!C:F,{2,3,4},FALSE)</f>
        <v>46203</v>
      </c>
      <c r="R489" t="str">
        <v>C21</v>
      </c>
      <c r="S489" t="str">
        <v>1000011498 1263 S. R. L.</v>
      </c>
    </row>
    <row r="490" spans="1:19" x14ac:dyDescent="0.3">
      <c r="A490" s="2" t="s">
        <v>14</v>
      </c>
      <c r="B490" s="3" t="s">
        <v>14</v>
      </c>
      <c r="C490" s="3" t="s">
        <v>521</v>
      </c>
      <c r="D490" s="3" t="s">
        <v>14</v>
      </c>
      <c r="E490" s="3" t="s">
        <v>466</v>
      </c>
      <c r="F490" s="4">
        <v>46055</v>
      </c>
      <c r="G490" s="3" t="s">
        <v>17</v>
      </c>
      <c r="H490" s="5">
        <v>-212500</v>
      </c>
      <c r="I490" s="3" t="s">
        <v>18</v>
      </c>
      <c r="J490" s="3" t="s">
        <v>14</v>
      </c>
      <c r="K490" s="3" t="s">
        <v>14</v>
      </c>
      <c r="L490" s="3" t="s">
        <v>522</v>
      </c>
      <c r="M490" s="4">
        <v>46055</v>
      </c>
      <c r="N490" s="3" t="s">
        <v>523</v>
      </c>
      <c r="O490" s="3" t="s">
        <v>35</v>
      </c>
      <c r="P490" t="str">
        <f t="shared" si="7"/>
        <v>450011893230</v>
      </c>
      <c r="Q490" s="7" cm="1">
        <f t="array" ref="Q490:S490">VLOOKUP(P490,Hoja1!C:F,{2,3,4},FALSE)</f>
        <v>46058</v>
      </c>
      <c r="R490" t="str">
        <v>C03</v>
      </c>
      <c r="S490" t="str">
        <v>1000000052 DEVOL S.A.</v>
      </c>
    </row>
    <row r="491" spans="1:19" x14ac:dyDescent="0.3">
      <c r="A491" s="2" t="s">
        <v>14</v>
      </c>
      <c r="B491" s="3" t="s">
        <v>14</v>
      </c>
      <c r="C491" s="3" t="s">
        <v>524</v>
      </c>
      <c r="D491" s="3" t="s">
        <v>32</v>
      </c>
      <c r="E491" s="3" t="s">
        <v>466</v>
      </c>
      <c r="F491" s="4">
        <v>46056</v>
      </c>
      <c r="G491" s="3" t="s">
        <v>17</v>
      </c>
      <c r="H491" s="5">
        <v>-2043.43</v>
      </c>
      <c r="I491" s="3" t="s">
        <v>18</v>
      </c>
      <c r="J491" s="3" t="s">
        <v>14</v>
      </c>
      <c r="K491" s="3" t="s">
        <v>14</v>
      </c>
      <c r="L491" s="3" t="s">
        <v>243</v>
      </c>
      <c r="M491" s="4">
        <v>46056</v>
      </c>
      <c r="N491" s="3" t="s">
        <v>525</v>
      </c>
      <c r="O491" s="3" t="s">
        <v>30</v>
      </c>
      <c r="P491" t="str">
        <f t="shared" si="7"/>
        <v>450011919810</v>
      </c>
      <c r="Q491" s="7" cm="1">
        <f t="array" ref="Q491:S491">VLOOKUP(P491,Hoja1!C:F,{2,3,4},FALSE)</f>
        <v>46073</v>
      </c>
      <c r="R491" t="str">
        <v>C21</v>
      </c>
      <c r="S491" t="str">
        <v>1000005043 LA RONTONDA DE DANIEL MORAN</v>
      </c>
    </row>
    <row r="492" spans="1:19" x14ac:dyDescent="0.3">
      <c r="A492" s="2" t="s">
        <v>14</v>
      </c>
      <c r="B492" s="3" t="s">
        <v>14</v>
      </c>
      <c r="C492" s="3" t="s">
        <v>524</v>
      </c>
      <c r="D492" s="3" t="s">
        <v>32</v>
      </c>
      <c r="E492" s="3" t="s">
        <v>466</v>
      </c>
      <c r="F492" s="4">
        <v>46056</v>
      </c>
      <c r="G492" s="3" t="s">
        <v>17</v>
      </c>
      <c r="H492" s="5">
        <v>-9707.58</v>
      </c>
      <c r="I492" s="3" t="s">
        <v>18</v>
      </c>
      <c r="J492" s="3" t="s">
        <v>14</v>
      </c>
      <c r="K492" s="3" t="s">
        <v>14</v>
      </c>
      <c r="L492" s="3" t="s">
        <v>243</v>
      </c>
      <c r="M492" s="4">
        <v>46056</v>
      </c>
      <c r="N492" s="3" t="s">
        <v>525</v>
      </c>
      <c r="O492" s="3" t="s">
        <v>30</v>
      </c>
      <c r="P492" t="str">
        <f t="shared" si="7"/>
        <v>450011919810</v>
      </c>
      <c r="Q492" s="7" cm="1">
        <f t="array" ref="Q492:S492">VLOOKUP(P492,Hoja1!C:F,{2,3,4},FALSE)</f>
        <v>46073</v>
      </c>
      <c r="R492" t="str">
        <v>C21</v>
      </c>
      <c r="S492" t="str">
        <v>1000005043 LA RONTONDA DE DANIEL MORAN</v>
      </c>
    </row>
    <row r="493" spans="1:19" x14ac:dyDescent="0.3">
      <c r="A493" s="2" t="s">
        <v>14</v>
      </c>
      <c r="B493" s="3" t="s">
        <v>14</v>
      </c>
      <c r="C493" s="3" t="s">
        <v>526</v>
      </c>
      <c r="D493" s="3" t="s">
        <v>32</v>
      </c>
      <c r="E493" s="3" t="s">
        <v>466</v>
      </c>
      <c r="F493" s="4">
        <v>46056</v>
      </c>
      <c r="G493" s="3" t="s">
        <v>17</v>
      </c>
      <c r="H493" s="5">
        <v>-6610505</v>
      </c>
      <c r="I493" s="3" t="s">
        <v>18</v>
      </c>
      <c r="J493" s="3" t="s">
        <v>14</v>
      </c>
      <c r="K493" s="3" t="s">
        <v>14</v>
      </c>
      <c r="L493" s="3" t="s">
        <v>527</v>
      </c>
      <c r="M493" s="4">
        <v>46056</v>
      </c>
      <c r="N493" s="3" t="s">
        <v>528</v>
      </c>
      <c r="O493" s="3" t="s">
        <v>30</v>
      </c>
      <c r="P493" t="str">
        <f t="shared" si="7"/>
        <v>450010966610</v>
      </c>
      <c r="Q493" s="7" cm="1">
        <f t="array" ref="Q493:S493">VLOOKUP(P493,Hoja1!C:F,{2,3,4},FALSE)</f>
        <v>46645</v>
      </c>
      <c r="R493" t="str">
        <v>C03</v>
      </c>
      <c r="S493" t="str">
        <v>1000008079 XYLEM WATER SOLUTIONS ARGENTINA S.R</v>
      </c>
    </row>
    <row r="494" spans="1:19" x14ac:dyDescent="0.3">
      <c r="A494" s="2" t="s">
        <v>14</v>
      </c>
      <c r="B494" s="3" t="s">
        <v>14</v>
      </c>
      <c r="C494" s="3" t="s">
        <v>529</v>
      </c>
      <c r="D494" s="3" t="s">
        <v>14</v>
      </c>
      <c r="E494" s="3" t="s">
        <v>466</v>
      </c>
      <c r="F494" s="4">
        <v>46057</v>
      </c>
      <c r="G494" s="3" t="s">
        <v>17</v>
      </c>
      <c r="H494" s="5">
        <v>-646124.64</v>
      </c>
      <c r="I494" s="3" t="s">
        <v>18</v>
      </c>
      <c r="J494" s="3" t="s">
        <v>14</v>
      </c>
      <c r="K494" s="3" t="s">
        <v>14</v>
      </c>
      <c r="L494" s="3" t="s">
        <v>530</v>
      </c>
      <c r="M494" s="4">
        <v>46057</v>
      </c>
      <c r="N494" s="3" t="s">
        <v>531</v>
      </c>
      <c r="O494" s="3" t="s">
        <v>30</v>
      </c>
      <c r="P494" t="str">
        <f t="shared" si="7"/>
        <v>450011903110</v>
      </c>
      <c r="Q494" s="7" cm="1">
        <f t="array" ref="Q494:S494">VLOOKUP(P494,Hoja1!C:F,{2,3,4},FALSE)</f>
        <v>46048</v>
      </c>
      <c r="R494" t="str">
        <v>C03</v>
      </c>
      <c r="S494" t="str">
        <v>1000002106 REMOLQUES OMBU SA</v>
      </c>
    </row>
    <row r="495" spans="1:19" x14ac:dyDescent="0.3">
      <c r="A495" s="2" t="s">
        <v>14</v>
      </c>
      <c r="B495" s="3" t="s">
        <v>14</v>
      </c>
      <c r="C495" s="3" t="s">
        <v>532</v>
      </c>
      <c r="D495" s="3" t="s">
        <v>14</v>
      </c>
      <c r="E495" s="3" t="s">
        <v>466</v>
      </c>
      <c r="F495" s="4">
        <v>46058</v>
      </c>
      <c r="G495" s="3" t="s">
        <v>17</v>
      </c>
      <c r="H495" s="5">
        <v>-9800</v>
      </c>
      <c r="I495" s="3" t="s">
        <v>18</v>
      </c>
      <c r="J495" s="3" t="s">
        <v>14</v>
      </c>
      <c r="K495" s="3" t="s">
        <v>14</v>
      </c>
      <c r="L495" s="3" t="s">
        <v>198</v>
      </c>
      <c r="M495" s="4">
        <v>46058</v>
      </c>
      <c r="N495" s="3" t="s">
        <v>199</v>
      </c>
      <c r="O495" s="3" t="s">
        <v>30</v>
      </c>
      <c r="P495" t="str">
        <f t="shared" si="7"/>
        <v>450011945010</v>
      </c>
      <c r="Q495" s="7" cm="1">
        <f t="array" ref="Q495:S495">VLOOKUP(P495,Hoja1!C:F,{2,3,4},FALSE)</f>
        <v>46061</v>
      </c>
      <c r="R495" t="str">
        <v>C42</v>
      </c>
      <c r="S495" t="str">
        <v>1000000929 ANTINORO FRANCISCO ERNESTO</v>
      </c>
    </row>
    <row r="496" spans="1:19" x14ac:dyDescent="0.3">
      <c r="A496" s="2" t="s">
        <v>14</v>
      </c>
      <c r="B496" s="3" t="s">
        <v>14</v>
      </c>
      <c r="C496" s="3" t="s">
        <v>533</v>
      </c>
      <c r="D496" s="3" t="s">
        <v>14</v>
      </c>
      <c r="E496" s="3" t="s">
        <v>466</v>
      </c>
      <c r="F496" s="4">
        <v>46059</v>
      </c>
      <c r="G496" s="3" t="s">
        <v>17</v>
      </c>
      <c r="H496" s="5">
        <v>-151000</v>
      </c>
      <c r="I496" s="3" t="s">
        <v>18</v>
      </c>
      <c r="J496" s="3" t="s">
        <v>14</v>
      </c>
      <c r="K496" s="3" t="s">
        <v>14</v>
      </c>
      <c r="L496" s="3" t="s">
        <v>114</v>
      </c>
      <c r="M496" s="4">
        <v>46059</v>
      </c>
      <c r="N496" s="3" t="s">
        <v>115</v>
      </c>
      <c r="O496" s="3" t="s">
        <v>23</v>
      </c>
      <c r="P496" t="str">
        <f t="shared" si="7"/>
        <v>450008010140</v>
      </c>
      <c r="Q496" s="7" cm="1">
        <f t="array" ref="Q496:S496">VLOOKUP(P496,Hoja1!C:F,{2,3,4},FALSE)</f>
        <v>46386</v>
      </c>
      <c r="R496" t="str">
        <v>C24</v>
      </c>
      <c r="S496" t="str">
        <v>1000000486 BRAVO ENERGY ARGENTINA S.C.A.</v>
      </c>
    </row>
    <row r="497" spans="1:19" x14ac:dyDescent="0.3">
      <c r="A497" s="2" t="s">
        <v>14</v>
      </c>
      <c r="B497" s="3" t="s">
        <v>14</v>
      </c>
      <c r="C497" s="3" t="s">
        <v>534</v>
      </c>
      <c r="D497" s="3" t="s">
        <v>14</v>
      </c>
      <c r="E497" s="3" t="s">
        <v>466</v>
      </c>
      <c r="F497" s="4">
        <v>46059</v>
      </c>
      <c r="G497" s="3" t="s">
        <v>17</v>
      </c>
      <c r="H497" s="5">
        <v>-405978.75</v>
      </c>
      <c r="I497" s="3" t="s">
        <v>18</v>
      </c>
      <c r="J497" s="3" t="s">
        <v>14</v>
      </c>
      <c r="K497" s="3" t="s">
        <v>14</v>
      </c>
      <c r="L497" s="3" t="s">
        <v>210</v>
      </c>
      <c r="M497" s="4">
        <v>46059</v>
      </c>
      <c r="N497" s="3" t="s">
        <v>211</v>
      </c>
      <c r="O497" s="3" t="s">
        <v>22</v>
      </c>
      <c r="P497" t="str">
        <f t="shared" si="7"/>
        <v>450011934020</v>
      </c>
      <c r="Q497" s="7" cm="1">
        <f t="array" ref="Q497:S497">VLOOKUP(P497,Hoja1!C:F,{2,3,4},FALSE)</f>
        <v>46060</v>
      </c>
      <c r="R497" t="str">
        <v>C03</v>
      </c>
      <c r="S497" t="str">
        <v>1000002607 DIESEL LANGE S.R.L</v>
      </c>
    </row>
    <row r="498" spans="1:19" x14ac:dyDescent="0.3">
      <c r="A498" s="2" t="s">
        <v>14</v>
      </c>
      <c r="B498" s="3" t="s">
        <v>14</v>
      </c>
      <c r="C498" s="3" t="s">
        <v>535</v>
      </c>
      <c r="D498" s="3" t="s">
        <v>14</v>
      </c>
      <c r="E498" s="3" t="s">
        <v>466</v>
      </c>
      <c r="F498" s="4">
        <v>45713</v>
      </c>
      <c r="G498" s="3" t="s">
        <v>17</v>
      </c>
      <c r="H498" s="5">
        <v>-90015.84</v>
      </c>
      <c r="I498" s="3" t="s">
        <v>18</v>
      </c>
      <c r="J498" s="3" t="s">
        <v>14</v>
      </c>
      <c r="K498" s="3" t="s">
        <v>14</v>
      </c>
      <c r="L498" s="3" t="s">
        <v>201</v>
      </c>
      <c r="M498" s="4">
        <v>45713</v>
      </c>
      <c r="N498" s="3" t="s">
        <v>202</v>
      </c>
      <c r="O498" s="3" t="s">
        <v>30</v>
      </c>
      <c r="P498" t="str">
        <f t="shared" si="7"/>
        <v>450008370310</v>
      </c>
      <c r="Q498" s="7" cm="1">
        <f t="array" ref="Q498:S498">VLOOKUP(P498,Hoja1!C:F,{2,3,4},FALSE)</f>
        <v>46233</v>
      </c>
      <c r="R498" t="str">
        <v>C15</v>
      </c>
      <c r="S498" t="str">
        <v>1000007158 EXPRESO LUJAN DE CUYO SA</v>
      </c>
    </row>
    <row r="499" spans="1:19" x14ac:dyDescent="0.3">
      <c r="A499" s="2" t="s">
        <v>14</v>
      </c>
      <c r="B499" s="3" t="s">
        <v>14</v>
      </c>
      <c r="C499" s="3" t="s">
        <v>536</v>
      </c>
      <c r="D499" s="3" t="s">
        <v>14</v>
      </c>
      <c r="E499" s="3" t="s">
        <v>466</v>
      </c>
      <c r="F499" s="4">
        <v>46066</v>
      </c>
      <c r="G499" s="3" t="s">
        <v>17</v>
      </c>
      <c r="H499" s="5">
        <v>-251819.55</v>
      </c>
      <c r="I499" s="3" t="s">
        <v>18</v>
      </c>
      <c r="J499" s="3" t="s">
        <v>14</v>
      </c>
      <c r="K499" s="3" t="s">
        <v>14</v>
      </c>
      <c r="L499" s="3" t="s">
        <v>537</v>
      </c>
      <c r="M499" s="4">
        <v>46066</v>
      </c>
      <c r="N499" s="3" t="s">
        <v>538</v>
      </c>
      <c r="O499" s="3" t="s">
        <v>30</v>
      </c>
      <c r="P499" t="str">
        <f t="shared" si="7"/>
        <v>450011082910</v>
      </c>
      <c r="Q499" s="7" cm="1">
        <f t="array" ref="Q499:S499">VLOOKUP(P499,Hoja1!C:F,{2,3,4},FALSE)</f>
        <v>46080</v>
      </c>
      <c r="R499" t="str">
        <v>C03</v>
      </c>
      <c r="S499" t="str">
        <v>1000003447 HEINZ LOOS S R L</v>
      </c>
    </row>
    <row r="500" spans="1:19" x14ac:dyDescent="0.3">
      <c r="A500" s="2" t="s">
        <v>14</v>
      </c>
      <c r="B500" s="3" t="s">
        <v>14</v>
      </c>
      <c r="C500" s="3" t="s">
        <v>539</v>
      </c>
      <c r="D500" s="3" t="s">
        <v>14</v>
      </c>
      <c r="E500" s="3" t="s">
        <v>466</v>
      </c>
      <c r="F500" s="4">
        <v>46066</v>
      </c>
      <c r="G500" s="3" t="s">
        <v>17</v>
      </c>
      <c r="H500" s="5">
        <v>-57525</v>
      </c>
      <c r="I500" s="3" t="s">
        <v>18</v>
      </c>
      <c r="J500" s="3" t="s">
        <v>14</v>
      </c>
      <c r="K500" s="3" t="s">
        <v>14</v>
      </c>
      <c r="L500" s="3" t="s">
        <v>207</v>
      </c>
      <c r="M500" s="4">
        <v>46066</v>
      </c>
      <c r="N500" s="3" t="s">
        <v>208</v>
      </c>
      <c r="O500" s="3" t="s">
        <v>23</v>
      </c>
      <c r="P500" t="str">
        <f t="shared" si="7"/>
        <v>450005708040</v>
      </c>
      <c r="Q500" s="7" cm="1">
        <f t="array" ref="Q500:S500">VLOOKUP(P500,Hoja1!C:F,{2,3,4},FALSE)</f>
        <v>46386</v>
      </c>
      <c r="R500" t="str">
        <v>C25</v>
      </c>
      <c r="S500" t="str">
        <v>1000008581 IZAZA PAULA SOLEDAD</v>
      </c>
    </row>
    <row r="501" spans="1:19" x14ac:dyDescent="0.3">
      <c r="A501" s="2" t="s">
        <v>14</v>
      </c>
      <c r="B501" s="3" t="s">
        <v>14</v>
      </c>
      <c r="C501" s="3" t="s">
        <v>540</v>
      </c>
      <c r="D501" s="3" t="s">
        <v>14</v>
      </c>
      <c r="E501" s="3" t="s">
        <v>466</v>
      </c>
      <c r="F501" s="4">
        <v>46066</v>
      </c>
      <c r="G501" s="3" t="s">
        <v>17</v>
      </c>
      <c r="H501" s="5">
        <v>-42900</v>
      </c>
      <c r="I501" s="3" t="s">
        <v>18</v>
      </c>
      <c r="J501" s="3" t="s">
        <v>14</v>
      </c>
      <c r="K501" s="3" t="s">
        <v>14</v>
      </c>
      <c r="L501" s="3" t="s">
        <v>207</v>
      </c>
      <c r="M501" s="4">
        <v>46066</v>
      </c>
      <c r="N501" s="3" t="s">
        <v>208</v>
      </c>
      <c r="O501" s="3" t="s">
        <v>23</v>
      </c>
      <c r="P501" t="str">
        <f t="shared" si="7"/>
        <v>450005708040</v>
      </c>
      <c r="Q501" s="7" cm="1">
        <f t="array" ref="Q501:S501">VLOOKUP(P501,Hoja1!C:F,{2,3,4},FALSE)</f>
        <v>46386</v>
      </c>
      <c r="R501" t="str">
        <v>C25</v>
      </c>
      <c r="S501" t="str">
        <v>1000008581 IZAZA PAULA SOLEDAD</v>
      </c>
    </row>
    <row r="502" spans="1:19" x14ac:dyDescent="0.3">
      <c r="A502" s="2" t="s">
        <v>14</v>
      </c>
      <c r="B502" s="3" t="s">
        <v>14</v>
      </c>
      <c r="C502" s="3" t="s">
        <v>541</v>
      </c>
      <c r="D502" s="3" t="s">
        <v>32</v>
      </c>
      <c r="E502" s="3" t="s">
        <v>466</v>
      </c>
      <c r="F502" s="4">
        <v>46074</v>
      </c>
      <c r="G502" s="3" t="s">
        <v>17</v>
      </c>
      <c r="H502" s="5">
        <v>-96000</v>
      </c>
      <c r="I502" s="3" t="s">
        <v>18</v>
      </c>
      <c r="J502" s="3" t="s">
        <v>14</v>
      </c>
      <c r="K502" s="3" t="s">
        <v>14</v>
      </c>
      <c r="L502" s="3" t="s">
        <v>181</v>
      </c>
      <c r="M502" s="4">
        <v>46074</v>
      </c>
      <c r="N502" s="3" t="s">
        <v>542</v>
      </c>
      <c r="O502" s="3" t="s">
        <v>141</v>
      </c>
      <c r="P502" t="str">
        <f t="shared" si="7"/>
        <v>450011414860</v>
      </c>
      <c r="Q502" s="7" cm="1">
        <f t="array" ref="Q502:S502">VLOOKUP(P502,Hoja1!C:F,{2,3,4},FALSE)</f>
        <v>46168</v>
      </c>
      <c r="R502" t="str">
        <v>C04</v>
      </c>
      <c r="S502" t="str">
        <v>1000011461 CONTRERAS BRIAN ALEXANDER</v>
      </c>
    </row>
    <row r="503" spans="1:19" x14ac:dyDescent="0.3">
      <c r="A503" s="2" t="s">
        <v>14</v>
      </c>
      <c r="B503" s="3" t="s">
        <v>14</v>
      </c>
      <c r="C503" s="3" t="s">
        <v>541</v>
      </c>
      <c r="D503" s="3" t="s">
        <v>32</v>
      </c>
      <c r="E503" s="3" t="s">
        <v>466</v>
      </c>
      <c r="F503" s="4">
        <v>46074</v>
      </c>
      <c r="G503" s="3" t="s">
        <v>17</v>
      </c>
      <c r="H503" s="5">
        <v>-35000</v>
      </c>
      <c r="I503" s="3" t="s">
        <v>18</v>
      </c>
      <c r="J503" s="3" t="s">
        <v>14</v>
      </c>
      <c r="K503" s="3" t="s">
        <v>14</v>
      </c>
      <c r="L503" s="3" t="s">
        <v>181</v>
      </c>
      <c r="M503" s="4">
        <v>46074</v>
      </c>
      <c r="N503" s="3" t="s">
        <v>542</v>
      </c>
      <c r="O503" s="3" t="s">
        <v>138</v>
      </c>
      <c r="P503" t="str">
        <f t="shared" si="7"/>
        <v>450011414890</v>
      </c>
      <c r="Q503" s="7" cm="1">
        <f t="array" ref="Q503:S503">VLOOKUP(P503,Hoja1!C:F,{2,3,4},FALSE)</f>
        <v>46168</v>
      </c>
      <c r="R503" t="str">
        <v>C04</v>
      </c>
      <c r="S503" t="str">
        <v>1000011461 CONTRERAS BRIAN ALEXANDER</v>
      </c>
    </row>
    <row r="504" spans="1:19" x14ac:dyDescent="0.3">
      <c r="A504" s="2" t="s">
        <v>14</v>
      </c>
      <c r="B504" s="3" t="s">
        <v>14</v>
      </c>
      <c r="C504" s="3" t="s">
        <v>543</v>
      </c>
      <c r="D504" s="3" t="s">
        <v>14</v>
      </c>
      <c r="E504" s="3" t="s">
        <v>466</v>
      </c>
      <c r="F504" s="4">
        <v>46080</v>
      </c>
      <c r="G504" s="3" t="s">
        <v>17</v>
      </c>
      <c r="H504" s="5">
        <v>-264999.99</v>
      </c>
      <c r="I504" s="3" t="s">
        <v>18</v>
      </c>
      <c r="J504" s="3" t="s">
        <v>14</v>
      </c>
      <c r="K504" s="3" t="s">
        <v>14</v>
      </c>
      <c r="L504" s="3" t="s">
        <v>204</v>
      </c>
      <c r="M504" s="4">
        <v>46083</v>
      </c>
      <c r="N504" s="3" t="s">
        <v>205</v>
      </c>
      <c r="O504" s="3" t="s">
        <v>22</v>
      </c>
      <c r="P504" t="str">
        <f t="shared" si="7"/>
        <v>450011906520</v>
      </c>
      <c r="Q504" s="7" cm="1">
        <f t="array" ref="Q504:S504">VLOOKUP(P504,Hoja1!C:F,{2,3,4},FALSE)</f>
        <v>46063</v>
      </c>
      <c r="R504" t="str">
        <v>C23</v>
      </c>
      <c r="S504" t="str">
        <v>1000012704 QUIROGA CRISTIAN ROBERTO</v>
      </c>
    </row>
    <row r="505" spans="1:19" x14ac:dyDescent="0.3">
      <c r="A505" s="2" t="s">
        <v>14</v>
      </c>
      <c r="B505" s="3" t="s">
        <v>14</v>
      </c>
      <c r="C505" s="3" t="s">
        <v>544</v>
      </c>
      <c r="D505" s="3" t="s">
        <v>14</v>
      </c>
      <c r="E505" s="3" t="s">
        <v>466</v>
      </c>
      <c r="F505" s="4">
        <v>46076</v>
      </c>
      <c r="G505" s="3" t="s">
        <v>17</v>
      </c>
      <c r="H505" s="5">
        <v>-84942.5</v>
      </c>
      <c r="I505" s="3" t="s">
        <v>18</v>
      </c>
      <c r="J505" s="3" t="s">
        <v>14</v>
      </c>
      <c r="K505" s="3" t="s">
        <v>14</v>
      </c>
      <c r="L505" s="3" t="s">
        <v>507</v>
      </c>
      <c r="M505" s="4">
        <v>46083</v>
      </c>
      <c r="N505" s="3" t="s">
        <v>545</v>
      </c>
      <c r="O505" s="3" t="s">
        <v>30</v>
      </c>
      <c r="P505" t="str">
        <f t="shared" si="7"/>
        <v>450011234310</v>
      </c>
      <c r="Q505" s="7" cm="1">
        <f t="array" ref="Q505:S505">VLOOKUP(P505,Hoja1!C:F,{2,3,4},FALSE)</f>
        <v>46096</v>
      </c>
      <c r="R505" t="str">
        <v>C03</v>
      </c>
      <c r="S505" t="str">
        <v>2000000007 DAEMO ENGINEERING CO., LTD.</v>
      </c>
    </row>
    <row r="506" spans="1:19" x14ac:dyDescent="0.3">
      <c r="A506" s="2" t="s">
        <v>14</v>
      </c>
      <c r="B506" s="3" t="s">
        <v>14</v>
      </c>
      <c r="C506" s="3" t="s">
        <v>544</v>
      </c>
      <c r="D506" s="3" t="s">
        <v>14</v>
      </c>
      <c r="E506" s="3" t="s">
        <v>466</v>
      </c>
      <c r="F506" s="4">
        <v>46076</v>
      </c>
      <c r="G506" s="3" t="s">
        <v>17</v>
      </c>
      <c r="H506" s="5">
        <v>-487152.2</v>
      </c>
      <c r="I506" s="3" t="s">
        <v>18</v>
      </c>
      <c r="J506" s="3" t="s">
        <v>14</v>
      </c>
      <c r="K506" s="3" t="s">
        <v>14</v>
      </c>
      <c r="L506" s="3" t="s">
        <v>507</v>
      </c>
      <c r="M506" s="4">
        <v>46083</v>
      </c>
      <c r="N506" s="3" t="s">
        <v>545</v>
      </c>
      <c r="O506" s="3" t="s">
        <v>22</v>
      </c>
      <c r="P506" t="str">
        <f t="shared" si="7"/>
        <v>450011234320</v>
      </c>
      <c r="Q506" s="7" cm="1">
        <f t="array" ref="Q506:S506">VLOOKUP(P506,Hoja1!C:F,{2,3,4},FALSE)</f>
        <v>46096</v>
      </c>
      <c r="R506" t="str">
        <v>C03</v>
      </c>
      <c r="S506" t="str">
        <v>2000000007 DAEMO ENGINEERING CO., LTD.</v>
      </c>
    </row>
    <row r="507" spans="1:19" x14ac:dyDescent="0.3">
      <c r="A507" s="2" t="s">
        <v>14</v>
      </c>
      <c r="B507" s="3" t="s">
        <v>14</v>
      </c>
      <c r="C507" s="3" t="s">
        <v>544</v>
      </c>
      <c r="D507" s="3" t="s">
        <v>14</v>
      </c>
      <c r="E507" s="3" t="s">
        <v>466</v>
      </c>
      <c r="F507" s="4">
        <v>46076</v>
      </c>
      <c r="G507" s="3" t="s">
        <v>17</v>
      </c>
      <c r="H507" s="5">
        <v>-92684.800000000003</v>
      </c>
      <c r="I507" s="3" t="s">
        <v>18</v>
      </c>
      <c r="J507" s="3" t="s">
        <v>14</v>
      </c>
      <c r="K507" s="3" t="s">
        <v>14</v>
      </c>
      <c r="L507" s="3" t="s">
        <v>507</v>
      </c>
      <c r="M507" s="4">
        <v>46083</v>
      </c>
      <c r="N507" s="3" t="s">
        <v>545</v>
      </c>
      <c r="O507" s="3" t="s">
        <v>35</v>
      </c>
      <c r="P507" t="str">
        <f t="shared" si="7"/>
        <v>450011234330</v>
      </c>
      <c r="Q507" s="7" cm="1">
        <f t="array" ref="Q507:S507">VLOOKUP(P507,Hoja1!C:F,{2,3,4},FALSE)</f>
        <v>46096</v>
      </c>
      <c r="R507" t="str">
        <v>C03</v>
      </c>
      <c r="S507" t="str">
        <v>2000000007 DAEMO ENGINEERING CO., LTD.</v>
      </c>
    </row>
    <row r="508" spans="1:19" x14ac:dyDescent="0.3">
      <c r="A508" s="2" t="s">
        <v>14</v>
      </c>
      <c r="B508" s="3" t="s">
        <v>14</v>
      </c>
      <c r="C508" s="3" t="s">
        <v>544</v>
      </c>
      <c r="D508" s="3" t="s">
        <v>14</v>
      </c>
      <c r="E508" s="3" t="s">
        <v>466</v>
      </c>
      <c r="F508" s="4">
        <v>46076</v>
      </c>
      <c r="G508" s="3" t="s">
        <v>17</v>
      </c>
      <c r="H508" s="5">
        <v>-1682126.08</v>
      </c>
      <c r="I508" s="3" t="s">
        <v>18</v>
      </c>
      <c r="J508" s="3" t="s">
        <v>14</v>
      </c>
      <c r="K508" s="3" t="s">
        <v>14</v>
      </c>
      <c r="L508" s="3" t="s">
        <v>507</v>
      </c>
      <c r="M508" s="4">
        <v>46083</v>
      </c>
      <c r="N508" s="3" t="s">
        <v>545</v>
      </c>
      <c r="O508" s="3" t="s">
        <v>23</v>
      </c>
      <c r="P508" t="str">
        <f t="shared" si="7"/>
        <v>450011234340</v>
      </c>
      <c r="Q508" s="7" cm="1">
        <f t="array" ref="Q508:S508">VLOOKUP(P508,Hoja1!C:F,{2,3,4},FALSE)</f>
        <v>46096</v>
      </c>
      <c r="R508" t="str">
        <v>C03</v>
      </c>
      <c r="S508" t="str">
        <v>2000000007 DAEMO ENGINEERING CO., LTD.</v>
      </c>
    </row>
    <row r="509" spans="1:19" x14ac:dyDescent="0.3">
      <c r="A509" s="2" t="s">
        <v>14</v>
      </c>
      <c r="B509" s="3" t="s">
        <v>14</v>
      </c>
      <c r="C509" s="3" t="s">
        <v>544</v>
      </c>
      <c r="D509" s="3" t="s">
        <v>14</v>
      </c>
      <c r="E509" s="3" t="s">
        <v>466</v>
      </c>
      <c r="F509" s="4">
        <v>46076</v>
      </c>
      <c r="G509" s="3" t="s">
        <v>17</v>
      </c>
      <c r="H509" s="5">
        <v>-2593057.7999999998</v>
      </c>
      <c r="I509" s="3" t="s">
        <v>18</v>
      </c>
      <c r="J509" s="3" t="s">
        <v>14</v>
      </c>
      <c r="K509" s="3" t="s">
        <v>14</v>
      </c>
      <c r="L509" s="3" t="s">
        <v>507</v>
      </c>
      <c r="M509" s="4">
        <v>46083</v>
      </c>
      <c r="N509" s="3" t="s">
        <v>545</v>
      </c>
      <c r="O509" s="3" t="s">
        <v>144</v>
      </c>
      <c r="P509" t="str">
        <f t="shared" si="7"/>
        <v>450011234350</v>
      </c>
      <c r="Q509" s="7" cm="1">
        <f t="array" ref="Q509:S509">VLOOKUP(P509,Hoja1!C:F,{2,3,4},FALSE)</f>
        <v>46096</v>
      </c>
      <c r="R509" t="str">
        <v>C03</v>
      </c>
      <c r="S509" t="str">
        <v>2000000007 DAEMO ENGINEERING CO., LTD.</v>
      </c>
    </row>
    <row r="510" spans="1:19" x14ac:dyDescent="0.3">
      <c r="A510" s="2" t="s">
        <v>14</v>
      </c>
      <c r="B510" s="3" t="s">
        <v>14</v>
      </c>
      <c r="C510" s="3" t="s">
        <v>544</v>
      </c>
      <c r="D510" s="3" t="s">
        <v>14</v>
      </c>
      <c r="E510" s="3" t="s">
        <v>466</v>
      </c>
      <c r="F510" s="4">
        <v>46076</v>
      </c>
      <c r="G510" s="3" t="s">
        <v>17</v>
      </c>
      <c r="H510" s="5">
        <v>-14899.75</v>
      </c>
      <c r="I510" s="3" t="s">
        <v>18</v>
      </c>
      <c r="J510" s="3" t="s">
        <v>14</v>
      </c>
      <c r="K510" s="3" t="s">
        <v>14</v>
      </c>
      <c r="L510" s="3" t="s">
        <v>507</v>
      </c>
      <c r="M510" s="4">
        <v>46083</v>
      </c>
      <c r="N510" s="3" t="s">
        <v>545</v>
      </c>
      <c r="O510" s="3" t="s">
        <v>141</v>
      </c>
      <c r="P510" t="str">
        <f t="shared" si="7"/>
        <v>450011234360</v>
      </c>
      <c r="Q510" s="7" cm="1">
        <f t="array" ref="Q510:S510">VLOOKUP(P510,Hoja1!C:F,{2,3,4},FALSE)</f>
        <v>46096</v>
      </c>
      <c r="R510" t="str">
        <v>C03</v>
      </c>
      <c r="S510" t="str">
        <v>2000000007 DAEMO ENGINEERING CO., LTD.</v>
      </c>
    </row>
    <row r="511" spans="1:19" x14ac:dyDescent="0.3">
      <c r="A511" s="2" t="s">
        <v>14</v>
      </c>
      <c r="B511" s="3" t="s">
        <v>14</v>
      </c>
      <c r="C511" s="3" t="s">
        <v>544</v>
      </c>
      <c r="D511" s="3" t="s">
        <v>14</v>
      </c>
      <c r="E511" s="3" t="s">
        <v>466</v>
      </c>
      <c r="F511" s="4">
        <v>46076</v>
      </c>
      <c r="G511" s="3" t="s">
        <v>17</v>
      </c>
      <c r="H511" s="5">
        <v>-496328.78</v>
      </c>
      <c r="I511" s="3" t="s">
        <v>18</v>
      </c>
      <c r="J511" s="3" t="s">
        <v>14</v>
      </c>
      <c r="K511" s="3" t="s">
        <v>14</v>
      </c>
      <c r="L511" s="3" t="s">
        <v>507</v>
      </c>
      <c r="M511" s="4">
        <v>46083</v>
      </c>
      <c r="N511" s="3" t="s">
        <v>545</v>
      </c>
      <c r="O511" s="3" t="s">
        <v>134</v>
      </c>
      <c r="P511" t="str">
        <f t="shared" si="7"/>
        <v>450011234370</v>
      </c>
      <c r="Q511" s="7" cm="1">
        <f t="array" ref="Q511:S511">VLOOKUP(P511,Hoja1!C:F,{2,3,4},FALSE)</f>
        <v>46096</v>
      </c>
      <c r="R511" t="str">
        <v>C03</v>
      </c>
      <c r="S511" t="str">
        <v>2000000007 DAEMO ENGINEERING CO., LTD.</v>
      </c>
    </row>
    <row r="512" spans="1:19" x14ac:dyDescent="0.3">
      <c r="A512" s="2" t="s">
        <v>14</v>
      </c>
      <c r="B512" s="3" t="s">
        <v>14</v>
      </c>
      <c r="C512" s="3" t="s">
        <v>544</v>
      </c>
      <c r="D512" s="3" t="s">
        <v>14</v>
      </c>
      <c r="E512" s="3" t="s">
        <v>466</v>
      </c>
      <c r="F512" s="4">
        <v>46076</v>
      </c>
      <c r="G512" s="3" t="s">
        <v>17</v>
      </c>
      <c r="H512" s="5">
        <v>-65099.38</v>
      </c>
      <c r="I512" s="3" t="s">
        <v>18</v>
      </c>
      <c r="J512" s="3" t="s">
        <v>14</v>
      </c>
      <c r="K512" s="3" t="s">
        <v>14</v>
      </c>
      <c r="L512" s="3" t="s">
        <v>507</v>
      </c>
      <c r="M512" s="4">
        <v>46083</v>
      </c>
      <c r="N512" s="3" t="s">
        <v>545</v>
      </c>
      <c r="O512" s="3" t="s">
        <v>52</v>
      </c>
      <c r="P512" t="str">
        <f t="shared" si="7"/>
        <v>450011234380</v>
      </c>
      <c r="Q512" s="7" cm="1">
        <f t="array" ref="Q512:S512">VLOOKUP(P512,Hoja1!C:F,{2,3,4},FALSE)</f>
        <v>46096</v>
      </c>
      <c r="R512" t="str">
        <v>C03</v>
      </c>
      <c r="S512" t="str">
        <v>2000000007 DAEMO ENGINEERING CO., LTD.</v>
      </c>
    </row>
    <row r="513" spans="1:19" x14ac:dyDescent="0.3">
      <c r="A513" s="2" t="s">
        <v>14</v>
      </c>
      <c r="B513" s="3" t="s">
        <v>14</v>
      </c>
      <c r="C513" s="3" t="s">
        <v>546</v>
      </c>
      <c r="D513" s="3" t="s">
        <v>14</v>
      </c>
      <c r="E513" s="3" t="s">
        <v>466</v>
      </c>
      <c r="F513" s="4">
        <v>45736</v>
      </c>
      <c r="G513" s="3" t="s">
        <v>17</v>
      </c>
      <c r="H513" s="5">
        <v>-119085</v>
      </c>
      <c r="I513" s="3" t="s">
        <v>18</v>
      </c>
      <c r="J513" s="3" t="s">
        <v>14</v>
      </c>
      <c r="K513" s="3" t="s">
        <v>14</v>
      </c>
      <c r="L513" s="3" t="s">
        <v>547</v>
      </c>
      <c r="M513" s="4">
        <v>45736</v>
      </c>
      <c r="N513" s="3" t="s">
        <v>548</v>
      </c>
      <c r="O513" s="3" t="s">
        <v>23</v>
      </c>
      <c r="P513" t="str">
        <f t="shared" si="7"/>
        <v>450009551240</v>
      </c>
      <c r="Q513" s="7" cm="1">
        <f t="array" ref="Q513:S513">VLOOKUP(P513,Hoja1!C:F,{2,3,4},FALSE)</f>
        <v>45744</v>
      </c>
      <c r="R513" t="str">
        <v>C03</v>
      </c>
      <c r="S513" t="str">
        <v>1000002964 LACIAR LEANDRO ADOLFO</v>
      </c>
    </row>
    <row r="514" spans="1:19" x14ac:dyDescent="0.3">
      <c r="A514" s="2" t="s">
        <v>14</v>
      </c>
      <c r="B514" s="3" t="s">
        <v>14</v>
      </c>
      <c r="C514" s="3" t="s">
        <v>546</v>
      </c>
      <c r="D514" s="3" t="s">
        <v>14</v>
      </c>
      <c r="E514" s="3" t="s">
        <v>466</v>
      </c>
      <c r="F514" s="4">
        <v>45736</v>
      </c>
      <c r="G514" s="3" t="s">
        <v>17</v>
      </c>
      <c r="H514" s="5">
        <v>-280623</v>
      </c>
      <c r="I514" s="3" t="s">
        <v>18</v>
      </c>
      <c r="J514" s="3" t="s">
        <v>14</v>
      </c>
      <c r="K514" s="3" t="s">
        <v>14</v>
      </c>
      <c r="L514" s="3" t="s">
        <v>547</v>
      </c>
      <c r="M514" s="4">
        <v>45736</v>
      </c>
      <c r="N514" s="3" t="s">
        <v>548</v>
      </c>
      <c r="O514" s="3" t="s">
        <v>144</v>
      </c>
      <c r="P514" t="str">
        <f t="shared" si="7"/>
        <v>450009551250</v>
      </c>
      <c r="Q514" s="7" cm="1">
        <f t="array" ref="Q514:S514">VLOOKUP(P514,Hoja1!C:F,{2,3,4},FALSE)</f>
        <v>45744</v>
      </c>
      <c r="R514" t="str">
        <v>C03</v>
      </c>
      <c r="S514" t="str">
        <v>1000002964 LACIAR LEANDRO ADOLFO</v>
      </c>
    </row>
    <row r="515" spans="1:19" x14ac:dyDescent="0.3">
      <c r="A515" s="2" t="s">
        <v>14</v>
      </c>
      <c r="B515" s="3" t="s">
        <v>14</v>
      </c>
      <c r="C515" s="3" t="s">
        <v>549</v>
      </c>
      <c r="D515" s="3" t="s">
        <v>14</v>
      </c>
      <c r="E515" s="3" t="s">
        <v>466</v>
      </c>
      <c r="F515" s="4">
        <v>46084</v>
      </c>
      <c r="G515" s="3" t="s">
        <v>17</v>
      </c>
      <c r="H515" s="5">
        <v>-15416974.08</v>
      </c>
      <c r="I515" s="3" t="s">
        <v>18</v>
      </c>
      <c r="J515" s="3" t="s">
        <v>14</v>
      </c>
      <c r="K515" s="3" t="s">
        <v>14</v>
      </c>
      <c r="L515" s="3" t="s">
        <v>47</v>
      </c>
      <c r="M515" s="4">
        <v>46084</v>
      </c>
      <c r="N515" s="3" t="s">
        <v>48</v>
      </c>
      <c r="O515" s="3" t="s">
        <v>22</v>
      </c>
      <c r="P515" t="str">
        <f t="shared" ref="P515:P578" si="8">_xlfn.CONCAT(N515:O515)</f>
        <v>450012116620</v>
      </c>
      <c r="Q515" s="7" cm="1">
        <f t="array" ref="Q515:S515">VLOOKUP(P515,Hoja1!C:F,{2,3,4},FALSE)</f>
        <v>46090</v>
      </c>
      <c r="R515" t="str">
        <v>C27</v>
      </c>
      <c r="S515" t="str">
        <v>1000000010 GASES ROSARIO S.R.L.</v>
      </c>
    </row>
    <row r="516" spans="1:19" x14ac:dyDescent="0.3">
      <c r="A516" s="2" t="s">
        <v>14</v>
      </c>
      <c r="B516" s="3" t="s">
        <v>14</v>
      </c>
      <c r="C516" s="3" t="s">
        <v>550</v>
      </c>
      <c r="D516" s="3" t="s">
        <v>14</v>
      </c>
      <c r="E516" s="3" t="s">
        <v>466</v>
      </c>
      <c r="F516" s="4">
        <v>46085</v>
      </c>
      <c r="G516" s="3" t="s">
        <v>17</v>
      </c>
      <c r="H516" s="5">
        <v>-39975</v>
      </c>
      <c r="I516" s="3" t="s">
        <v>18</v>
      </c>
      <c r="J516" s="3" t="s">
        <v>14</v>
      </c>
      <c r="K516" s="3" t="s">
        <v>14</v>
      </c>
      <c r="L516" s="3" t="s">
        <v>207</v>
      </c>
      <c r="M516" s="4">
        <v>46085</v>
      </c>
      <c r="N516" s="3" t="s">
        <v>208</v>
      </c>
      <c r="O516" s="3" t="s">
        <v>23</v>
      </c>
      <c r="P516" t="str">
        <f t="shared" si="8"/>
        <v>450005708040</v>
      </c>
      <c r="Q516" s="7" cm="1">
        <f t="array" ref="Q516:S516">VLOOKUP(P516,Hoja1!C:F,{2,3,4},FALSE)</f>
        <v>46386</v>
      </c>
      <c r="R516" t="str">
        <v>C25</v>
      </c>
      <c r="S516" t="str">
        <v>1000008581 IZAZA PAULA SOLEDAD</v>
      </c>
    </row>
    <row r="517" spans="1:19" x14ac:dyDescent="0.3">
      <c r="A517" s="2" t="s">
        <v>14</v>
      </c>
      <c r="B517" s="3" t="s">
        <v>14</v>
      </c>
      <c r="C517" s="3" t="s">
        <v>551</v>
      </c>
      <c r="D517" s="3" t="s">
        <v>14</v>
      </c>
      <c r="E517" s="3" t="s">
        <v>466</v>
      </c>
      <c r="F517" s="4">
        <v>46085</v>
      </c>
      <c r="G517" s="3" t="s">
        <v>17</v>
      </c>
      <c r="H517" s="5">
        <v>-655072.07999999996</v>
      </c>
      <c r="I517" s="3" t="s">
        <v>18</v>
      </c>
      <c r="J517" s="3" t="s">
        <v>14</v>
      </c>
      <c r="K517" s="3" t="s">
        <v>14</v>
      </c>
      <c r="L517" s="3" t="s">
        <v>510</v>
      </c>
      <c r="M517" s="4">
        <v>46085</v>
      </c>
      <c r="N517" s="3" t="s">
        <v>552</v>
      </c>
      <c r="O517" s="3" t="s">
        <v>30</v>
      </c>
      <c r="P517" t="str">
        <f t="shared" si="8"/>
        <v>450012060410</v>
      </c>
      <c r="Q517" s="7" cm="1">
        <f t="array" ref="Q517:S517">VLOOKUP(P517,Hoja1!C:F,{2,3,4},FALSE)</f>
        <v>45869</v>
      </c>
      <c r="R517" t="str">
        <v>C37</v>
      </c>
      <c r="S517" t="str">
        <v>1000001935 ACEROS COCO S.A.</v>
      </c>
    </row>
    <row r="518" spans="1:19" x14ac:dyDescent="0.3">
      <c r="A518" s="2" t="s">
        <v>14</v>
      </c>
      <c r="B518" s="3" t="s">
        <v>14</v>
      </c>
      <c r="C518" s="3" t="s">
        <v>553</v>
      </c>
      <c r="D518" s="3" t="s">
        <v>14</v>
      </c>
      <c r="E518" s="3" t="s">
        <v>466</v>
      </c>
      <c r="F518" s="4">
        <v>46087</v>
      </c>
      <c r="G518" s="3" t="s">
        <v>17</v>
      </c>
      <c r="H518" s="5">
        <v>-98688</v>
      </c>
      <c r="I518" s="3" t="s">
        <v>18</v>
      </c>
      <c r="J518" s="3" t="s">
        <v>14</v>
      </c>
      <c r="K518" s="3" t="s">
        <v>14</v>
      </c>
      <c r="L518" s="3" t="s">
        <v>213</v>
      </c>
      <c r="M518" s="4">
        <v>46087</v>
      </c>
      <c r="N518" s="3" t="s">
        <v>214</v>
      </c>
      <c r="O518" s="3" t="s">
        <v>52</v>
      </c>
      <c r="P518" t="str">
        <f t="shared" si="8"/>
        <v>450011936580</v>
      </c>
      <c r="Q518" s="7" cm="1">
        <f t="array" ref="Q518:S518">VLOOKUP(P518,Hoja1!C:F,{2,3,4},FALSE)</f>
        <v>46066</v>
      </c>
      <c r="R518" t="str">
        <v>C27</v>
      </c>
      <c r="S518" t="str">
        <v>1000009658 FURIASSE GUSTAVO WALTER</v>
      </c>
    </row>
    <row r="519" spans="1:19" x14ac:dyDescent="0.3">
      <c r="A519" s="2" t="s">
        <v>14</v>
      </c>
      <c r="B519" s="3" t="s">
        <v>14</v>
      </c>
      <c r="C519" s="3" t="s">
        <v>554</v>
      </c>
      <c r="D519" s="3" t="s">
        <v>14</v>
      </c>
      <c r="E519" s="3" t="s">
        <v>466</v>
      </c>
      <c r="F519" s="4">
        <v>46087</v>
      </c>
      <c r="G519" s="3" t="s">
        <v>17</v>
      </c>
      <c r="H519" s="5">
        <v>-30373.48</v>
      </c>
      <c r="I519" s="3" t="s">
        <v>18</v>
      </c>
      <c r="J519" s="3" t="s">
        <v>14</v>
      </c>
      <c r="K519" s="3" t="s">
        <v>14</v>
      </c>
      <c r="L519" s="3" t="s">
        <v>522</v>
      </c>
      <c r="M519" s="4">
        <v>46087</v>
      </c>
      <c r="N519" s="3" t="s">
        <v>555</v>
      </c>
      <c r="O519" s="3" t="s">
        <v>30</v>
      </c>
      <c r="P519" t="str">
        <f t="shared" si="8"/>
        <v>450011749010</v>
      </c>
      <c r="Q519" s="7" cm="1">
        <f t="array" ref="Q519:S519">VLOOKUP(P519,Hoja1!C:F,{2,3,4},FALSE)</f>
        <v>46098</v>
      </c>
      <c r="R519" t="str">
        <v>C03</v>
      </c>
      <c r="S519" t="str">
        <v>1000000052 DEVOL S.A.</v>
      </c>
    </row>
    <row r="520" spans="1:19" x14ac:dyDescent="0.3">
      <c r="A520" s="2" t="s">
        <v>14</v>
      </c>
      <c r="B520" s="3" t="s">
        <v>14</v>
      </c>
      <c r="C520" s="3" t="s">
        <v>556</v>
      </c>
      <c r="D520" s="3" t="s">
        <v>14</v>
      </c>
      <c r="E520" s="3" t="s">
        <v>466</v>
      </c>
      <c r="F520" s="4">
        <v>46085</v>
      </c>
      <c r="G520" s="3" t="s">
        <v>17</v>
      </c>
      <c r="H520" s="5">
        <v>-2400</v>
      </c>
      <c r="I520" s="3" t="s">
        <v>18</v>
      </c>
      <c r="J520" s="3" t="s">
        <v>14</v>
      </c>
      <c r="K520" s="3" t="s">
        <v>14</v>
      </c>
      <c r="L520" s="3" t="s">
        <v>557</v>
      </c>
      <c r="M520" s="4">
        <v>46088</v>
      </c>
      <c r="N520" s="3" t="s">
        <v>558</v>
      </c>
      <c r="O520" s="3" t="s">
        <v>30</v>
      </c>
      <c r="P520" t="str">
        <f t="shared" si="8"/>
        <v>450011984810</v>
      </c>
      <c r="Q520" s="7" cm="1">
        <f t="array" ref="Q520:S520">VLOOKUP(P520,Hoja1!C:F,{2,3,4},FALSE)</f>
        <v>46073</v>
      </c>
      <c r="R520" t="str">
        <v>C27</v>
      </c>
      <c r="S520" t="str">
        <v>1000004886 CAEIRO JOSE FRANCISCO</v>
      </c>
    </row>
    <row r="521" spans="1:19" x14ac:dyDescent="0.3">
      <c r="A521" s="2" t="s">
        <v>14</v>
      </c>
      <c r="B521" s="3" t="s">
        <v>14</v>
      </c>
      <c r="C521" s="3" t="s">
        <v>559</v>
      </c>
      <c r="D521" s="3" t="s">
        <v>32</v>
      </c>
      <c r="E521" s="3" t="s">
        <v>466</v>
      </c>
      <c r="F521" s="4">
        <v>46090</v>
      </c>
      <c r="G521" s="3" t="s">
        <v>17</v>
      </c>
      <c r="H521" s="5">
        <v>-864112.2</v>
      </c>
      <c r="I521" s="3" t="s">
        <v>18</v>
      </c>
      <c r="J521" s="3" t="s">
        <v>14</v>
      </c>
      <c r="K521" s="3" t="s">
        <v>14</v>
      </c>
      <c r="L521" s="3" t="s">
        <v>560</v>
      </c>
      <c r="M521" s="4">
        <v>46090</v>
      </c>
      <c r="N521" s="3" t="s">
        <v>561</v>
      </c>
      <c r="O521" s="3" t="s">
        <v>30</v>
      </c>
      <c r="P521" t="str">
        <f t="shared" si="8"/>
        <v>450011952910</v>
      </c>
      <c r="Q521" s="7" cm="1">
        <f t="array" ref="Q521:S521">VLOOKUP(P521,Hoja1!C:F,{2,3,4},FALSE)</f>
        <v>46076</v>
      </c>
      <c r="R521" t="str">
        <v>C08</v>
      </c>
      <c r="S521" t="str">
        <v>1000000103 ACINDAR I.A.A.S.A.</v>
      </c>
    </row>
    <row r="522" spans="1:19" x14ac:dyDescent="0.3">
      <c r="A522" s="2" t="s">
        <v>14</v>
      </c>
      <c r="B522" s="3" t="s">
        <v>14</v>
      </c>
      <c r="C522" s="3" t="s">
        <v>562</v>
      </c>
      <c r="D522" s="3" t="s">
        <v>14</v>
      </c>
      <c r="E522" s="3" t="s">
        <v>466</v>
      </c>
      <c r="F522" s="4">
        <v>45750</v>
      </c>
      <c r="G522" s="3" t="s">
        <v>17</v>
      </c>
      <c r="H522" s="5">
        <v>-2640000</v>
      </c>
      <c r="I522" s="3" t="s">
        <v>18</v>
      </c>
      <c r="J522" s="3" t="s">
        <v>14</v>
      </c>
      <c r="K522" s="3" t="s">
        <v>14</v>
      </c>
      <c r="L522" s="3" t="s">
        <v>59</v>
      </c>
      <c r="M522" s="4">
        <v>45750</v>
      </c>
      <c r="N522" s="3" t="s">
        <v>60</v>
      </c>
      <c r="O522" s="3" t="s">
        <v>30</v>
      </c>
      <c r="P522" t="str">
        <f t="shared" si="8"/>
        <v>450009631810</v>
      </c>
      <c r="Q522" s="7" cm="1">
        <f t="array" ref="Q522:S522">VLOOKUP(P522,Hoja1!C:F,{2,3,4},FALSE)</f>
        <v>45751</v>
      </c>
      <c r="R522" t="str">
        <v>C17</v>
      </c>
      <c r="S522" t="str">
        <v>1000000850 CASELLA GUILLERMO CESAR</v>
      </c>
    </row>
    <row r="523" spans="1:19" x14ac:dyDescent="0.3">
      <c r="A523" s="2" t="s">
        <v>14</v>
      </c>
      <c r="B523" s="3" t="s">
        <v>14</v>
      </c>
      <c r="C523" s="3" t="s">
        <v>563</v>
      </c>
      <c r="D523" s="3" t="s">
        <v>14</v>
      </c>
      <c r="E523" s="3" t="s">
        <v>466</v>
      </c>
      <c r="F523" s="4">
        <v>46092</v>
      </c>
      <c r="G523" s="3" t="s">
        <v>17</v>
      </c>
      <c r="H523" s="5">
        <v>-8697693.3300000001</v>
      </c>
      <c r="I523" s="3" t="s">
        <v>18</v>
      </c>
      <c r="J523" s="3" t="s">
        <v>14</v>
      </c>
      <c r="K523" s="3" t="s">
        <v>14</v>
      </c>
      <c r="L523" s="3" t="s">
        <v>40</v>
      </c>
      <c r="M523" s="4">
        <v>46092</v>
      </c>
      <c r="N523" s="3" t="s">
        <v>41</v>
      </c>
      <c r="O523" s="3" t="s">
        <v>30</v>
      </c>
      <c r="P523" t="str">
        <f t="shared" si="8"/>
        <v>450011983110</v>
      </c>
      <c r="Q523" s="7" cm="1">
        <f t="array" ref="Q523:S523">VLOOKUP(P523,Hoja1!C:F,{2,3,4},FALSE)</f>
        <v>46140</v>
      </c>
      <c r="R523" t="str">
        <v>C21</v>
      </c>
      <c r="S523" t="str">
        <v>1000006796 SERVICIOS CIPOLLETTI SRL</v>
      </c>
    </row>
    <row r="524" spans="1:19" x14ac:dyDescent="0.3">
      <c r="A524" s="2" t="s">
        <v>14</v>
      </c>
      <c r="B524" s="3" t="s">
        <v>14</v>
      </c>
      <c r="C524" s="3" t="s">
        <v>564</v>
      </c>
      <c r="D524" s="3" t="s">
        <v>14</v>
      </c>
      <c r="E524" s="3" t="s">
        <v>466</v>
      </c>
      <c r="F524" s="4">
        <v>46079</v>
      </c>
      <c r="G524" s="3" t="s">
        <v>17</v>
      </c>
      <c r="H524" s="5">
        <v>-14650</v>
      </c>
      <c r="I524" s="3" t="s">
        <v>18</v>
      </c>
      <c r="J524" s="3" t="s">
        <v>14</v>
      </c>
      <c r="K524" s="3" t="s">
        <v>14</v>
      </c>
      <c r="L524" s="3" t="s">
        <v>565</v>
      </c>
      <c r="M524" s="4">
        <v>46093</v>
      </c>
      <c r="N524" s="3" t="s">
        <v>566</v>
      </c>
      <c r="O524" s="3" t="s">
        <v>30</v>
      </c>
      <c r="P524" t="str">
        <f t="shared" si="8"/>
        <v>450012188510</v>
      </c>
      <c r="Q524" s="7" cm="1">
        <f t="array" ref="Q524:S524">VLOOKUP(P524,Hoja1!C:F,{2,3,4},FALSE)</f>
        <v>46091</v>
      </c>
      <c r="R524" t="str">
        <v>C07</v>
      </c>
      <c r="S524" t="str">
        <v>1000011954 BIO-LIMP SOLUCIONES DE CALIDAD S.A</v>
      </c>
    </row>
    <row r="525" spans="1:19" x14ac:dyDescent="0.3">
      <c r="A525" s="2" t="s">
        <v>14</v>
      </c>
      <c r="B525" s="3" t="s">
        <v>14</v>
      </c>
      <c r="C525" s="3" t="s">
        <v>567</v>
      </c>
      <c r="D525" s="3" t="s">
        <v>84</v>
      </c>
      <c r="E525" s="3" t="s">
        <v>466</v>
      </c>
      <c r="F525" s="4">
        <v>46093</v>
      </c>
      <c r="G525" s="3" t="s">
        <v>17</v>
      </c>
      <c r="H525" s="5">
        <v>-115814.55</v>
      </c>
      <c r="I525" s="3" t="s">
        <v>18</v>
      </c>
      <c r="J525" s="3" t="s">
        <v>14</v>
      </c>
      <c r="K525" s="3" t="s">
        <v>14</v>
      </c>
      <c r="L525" s="3" t="s">
        <v>568</v>
      </c>
      <c r="M525" s="4">
        <v>46093</v>
      </c>
      <c r="N525" s="3" t="s">
        <v>569</v>
      </c>
      <c r="O525" s="3" t="s">
        <v>570</v>
      </c>
      <c r="P525" t="str">
        <f t="shared" si="8"/>
        <v>45001220831090</v>
      </c>
      <c r="Q525" s="7" cm="1">
        <f t="array" ref="Q525:S525">VLOOKUP(P525,Hoja1!C:F,{2,3,4},FALSE)</f>
        <v>46093</v>
      </c>
      <c r="R525" t="str">
        <v>C11</v>
      </c>
      <c r="S525" t="str">
        <v>1000000301 CASA MAGNANI S.R.L.</v>
      </c>
    </row>
    <row r="526" spans="1:19" x14ac:dyDescent="0.3">
      <c r="A526" s="2" t="s">
        <v>14</v>
      </c>
      <c r="B526" s="3" t="s">
        <v>14</v>
      </c>
      <c r="C526" s="3" t="s">
        <v>571</v>
      </c>
      <c r="D526" s="3" t="s">
        <v>32</v>
      </c>
      <c r="E526" s="3" t="s">
        <v>466</v>
      </c>
      <c r="F526" s="4">
        <v>46093</v>
      </c>
      <c r="G526" s="3" t="s">
        <v>17</v>
      </c>
      <c r="H526" s="5">
        <v>-35900.699999999997</v>
      </c>
      <c r="I526" s="3" t="s">
        <v>18</v>
      </c>
      <c r="J526" s="3" t="s">
        <v>14</v>
      </c>
      <c r="K526" s="3" t="s">
        <v>14</v>
      </c>
      <c r="L526" s="3" t="s">
        <v>33</v>
      </c>
      <c r="M526" s="4">
        <v>46093</v>
      </c>
      <c r="N526" s="3" t="s">
        <v>34</v>
      </c>
      <c r="O526" s="3" t="s">
        <v>35</v>
      </c>
      <c r="P526" t="str">
        <f t="shared" si="8"/>
        <v>450012017730</v>
      </c>
      <c r="Q526" s="7" cm="1">
        <f t="array" ref="Q526:S526">VLOOKUP(P526,Hoja1!C:F,{2,3,4},FALSE)</f>
        <v>46097</v>
      </c>
      <c r="R526" t="str">
        <v>C09</v>
      </c>
      <c r="S526" t="str">
        <v>1000000417 TIGRE ARGENTINA S.A.</v>
      </c>
    </row>
    <row r="527" spans="1:19" x14ac:dyDescent="0.3">
      <c r="A527" s="2" t="s">
        <v>14</v>
      </c>
      <c r="B527" s="3" t="s">
        <v>14</v>
      </c>
      <c r="C527" s="3" t="s">
        <v>572</v>
      </c>
      <c r="D527" s="3" t="s">
        <v>32</v>
      </c>
      <c r="E527" s="3" t="s">
        <v>466</v>
      </c>
      <c r="F527" s="4">
        <v>46093</v>
      </c>
      <c r="G527" s="3" t="s">
        <v>17</v>
      </c>
      <c r="H527" s="5">
        <v>-73192.899999999994</v>
      </c>
      <c r="I527" s="3" t="s">
        <v>18</v>
      </c>
      <c r="J527" s="3" t="s">
        <v>14</v>
      </c>
      <c r="K527" s="3" t="s">
        <v>14</v>
      </c>
      <c r="L527" s="3" t="s">
        <v>33</v>
      </c>
      <c r="M527" s="4">
        <v>46093</v>
      </c>
      <c r="N527" s="3" t="s">
        <v>37</v>
      </c>
      <c r="O527" s="3" t="s">
        <v>22</v>
      </c>
      <c r="P527" t="str">
        <f t="shared" si="8"/>
        <v>450012017820</v>
      </c>
      <c r="Q527" s="7" cm="1">
        <f t="array" ref="Q527:S527">VLOOKUP(P527,Hoja1!C:F,{2,3,4},FALSE)</f>
        <v>46097</v>
      </c>
      <c r="R527" t="str">
        <v>C09</v>
      </c>
      <c r="S527" t="str">
        <v>1000000417 TIGRE ARGENTINA S.A.</v>
      </c>
    </row>
    <row r="528" spans="1:19" x14ac:dyDescent="0.3">
      <c r="A528" s="2" t="s">
        <v>14</v>
      </c>
      <c r="B528" s="3" t="s">
        <v>14</v>
      </c>
      <c r="C528" s="3" t="s">
        <v>573</v>
      </c>
      <c r="D528" s="3" t="s">
        <v>32</v>
      </c>
      <c r="E528" s="3" t="s">
        <v>466</v>
      </c>
      <c r="F528" s="4">
        <v>46099</v>
      </c>
      <c r="G528" s="3" t="s">
        <v>17</v>
      </c>
      <c r="H528" s="5">
        <v>-22093.55</v>
      </c>
      <c r="I528" s="3" t="s">
        <v>18</v>
      </c>
      <c r="J528" s="3" t="s">
        <v>14</v>
      </c>
      <c r="K528" s="3" t="s">
        <v>14</v>
      </c>
      <c r="L528" s="3" t="s">
        <v>43</v>
      </c>
      <c r="M528" s="4">
        <v>46099</v>
      </c>
      <c r="N528" s="3" t="s">
        <v>44</v>
      </c>
      <c r="O528" s="3" t="s">
        <v>23</v>
      </c>
      <c r="P528" t="str">
        <f t="shared" si="8"/>
        <v>450012057040</v>
      </c>
      <c r="Q528" s="7" cm="1">
        <f t="array" ref="Q528:S528">VLOOKUP(P528,Hoja1!C:F,{2,3,4},FALSE)</f>
        <v>46092</v>
      </c>
      <c r="R528" t="str">
        <v>C11</v>
      </c>
      <c r="S528" t="str">
        <v>1000001211 EQUIPEL SRL</v>
      </c>
    </row>
    <row r="529" spans="1:19" x14ac:dyDescent="0.3">
      <c r="A529" s="2" t="s">
        <v>14</v>
      </c>
      <c r="B529" s="3" t="s">
        <v>14</v>
      </c>
      <c r="C529" s="3" t="s">
        <v>573</v>
      </c>
      <c r="D529" s="3" t="s">
        <v>32</v>
      </c>
      <c r="E529" s="3" t="s">
        <v>466</v>
      </c>
      <c r="F529" s="4">
        <v>46099</v>
      </c>
      <c r="G529" s="3" t="s">
        <v>17</v>
      </c>
      <c r="H529" s="5">
        <v>-11631.3</v>
      </c>
      <c r="I529" s="3" t="s">
        <v>18</v>
      </c>
      <c r="J529" s="3" t="s">
        <v>14</v>
      </c>
      <c r="K529" s="3" t="s">
        <v>14</v>
      </c>
      <c r="L529" s="3" t="s">
        <v>43</v>
      </c>
      <c r="M529" s="4">
        <v>46099</v>
      </c>
      <c r="N529" s="3" t="s">
        <v>44</v>
      </c>
      <c r="O529" s="3" t="s">
        <v>45</v>
      </c>
      <c r="P529" t="str">
        <f t="shared" si="8"/>
        <v>4500120570100</v>
      </c>
      <c r="Q529" s="7" cm="1">
        <f t="array" ref="Q529:S529">VLOOKUP(P529,Hoja1!C:F,{2,3,4},FALSE)</f>
        <v>46092</v>
      </c>
      <c r="R529" t="str">
        <v>C11</v>
      </c>
      <c r="S529" t="str">
        <v>1000001211 EQUIPEL SRL</v>
      </c>
    </row>
    <row r="530" spans="1:19" x14ac:dyDescent="0.3">
      <c r="A530" s="2" t="s">
        <v>14</v>
      </c>
      <c r="B530" s="3" t="s">
        <v>14</v>
      </c>
      <c r="C530" s="3" t="s">
        <v>574</v>
      </c>
      <c r="D530" s="3" t="s">
        <v>14</v>
      </c>
      <c r="E530" s="3" t="s">
        <v>466</v>
      </c>
      <c r="F530" s="4">
        <v>45988</v>
      </c>
      <c r="G530" s="3" t="s">
        <v>17</v>
      </c>
      <c r="H530" s="5">
        <v>-11416.5</v>
      </c>
      <c r="I530" s="3" t="s">
        <v>18</v>
      </c>
      <c r="J530" s="3" t="s">
        <v>14</v>
      </c>
      <c r="K530" s="3" t="s">
        <v>14</v>
      </c>
      <c r="L530" s="3" t="s">
        <v>575</v>
      </c>
      <c r="M530" s="4">
        <v>46054</v>
      </c>
      <c r="N530" s="3" t="s">
        <v>576</v>
      </c>
      <c r="O530" s="3" t="s">
        <v>30</v>
      </c>
      <c r="P530" t="str">
        <f t="shared" si="8"/>
        <v>450012263710</v>
      </c>
      <c r="Q530" s="7" cm="1">
        <f t="array" ref="Q530:S530">VLOOKUP(P530,Hoja1!C:F,{2,3,4},FALSE)</f>
        <v>46097</v>
      </c>
      <c r="R530" t="str">
        <v>EFO</v>
      </c>
      <c r="S530" t="str">
        <v>1000000001 FERRETERA SAN LUIS</v>
      </c>
    </row>
    <row r="531" spans="1:19" x14ac:dyDescent="0.3">
      <c r="A531" s="2" t="s">
        <v>14</v>
      </c>
      <c r="B531" s="3" t="s">
        <v>14</v>
      </c>
      <c r="C531" s="3" t="s">
        <v>577</v>
      </c>
      <c r="D531" s="3" t="s">
        <v>84</v>
      </c>
      <c r="E531" s="3" t="s">
        <v>466</v>
      </c>
      <c r="F531" s="4">
        <v>46101</v>
      </c>
      <c r="G531" s="3" t="s">
        <v>17</v>
      </c>
      <c r="H531" s="5">
        <v>-42617.4</v>
      </c>
      <c r="I531" s="3" t="s">
        <v>18</v>
      </c>
      <c r="J531" s="3" t="s">
        <v>14</v>
      </c>
      <c r="K531" s="3" t="s">
        <v>14</v>
      </c>
      <c r="L531" s="3" t="s">
        <v>568</v>
      </c>
      <c r="M531" s="4">
        <v>46101</v>
      </c>
      <c r="N531" s="3" t="s">
        <v>569</v>
      </c>
      <c r="O531" s="3" t="s">
        <v>578</v>
      </c>
      <c r="P531" t="str">
        <f t="shared" si="8"/>
        <v>4500122083790</v>
      </c>
      <c r="Q531" s="7" cm="1">
        <f t="array" ref="Q531:S531">VLOOKUP(P531,Hoja1!C:F,{2,3,4},FALSE)</f>
        <v>46093</v>
      </c>
      <c r="R531" t="str">
        <v>C11</v>
      </c>
      <c r="S531" t="str">
        <v>1000000301 CASA MAGNANI S.R.L.</v>
      </c>
    </row>
    <row r="532" spans="1:19" x14ac:dyDescent="0.3">
      <c r="A532" s="2" t="s">
        <v>14</v>
      </c>
      <c r="B532" s="3" t="s">
        <v>14</v>
      </c>
      <c r="C532" s="3" t="s">
        <v>579</v>
      </c>
      <c r="D532" s="3" t="s">
        <v>14</v>
      </c>
      <c r="E532" s="3" t="s">
        <v>466</v>
      </c>
      <c r="F532" s="4">
        <v>46104</v>
      </c>
      <c r="G532" s="3" t="s">
        <v>17</v>
      </c>
      <c r="H532" s="5">
        <v>-126708.12</v>
      </c>
      <c r="I532" s="3" t="s">
        <v>18</v>
      </c>
      <c r="J532" s="3" t="s">
        <v>14</v>
      </c>
      <c r="K532" s="3" t="s">
        <v>14</v>
      </c>
      <c r="L532" s="3" t="s">
        <v>575</v>
      </c>
      <c r="M532" s="4">
        <v>46104</v>
      </c>
      <c r="N532" s="3" t="s">
        <v>580</v>
      </c>
      <c r="O532" s="3" t="s">
        <v>30</v>
      </c>
      <c r="P532" t="str">
        <f t="shared" si="8"/>
        <v>450011272110</v>
      </c>
      <c r="Q532" s="7" cm="1">
        <f t="array" ref="Q532:S532">VLOOKUP(P532,Hoja1!C:F,{2,3,4},FALSE)</f>
        <v>46078</v>
      </c>
      <c r="R532" t="str">
        <v>C28</v>
      </c>
      <c r="S532" t="str">
        <v>1000000001 FERRETERA SAN LUIS</v>
      </c>
    </row>
    <row r="533" spans="1:19" x14ac:dyDescent="0.3">
      <c r="A533" s="2" t="s">
        <v>14</v>
      </c>
      <c r="B533" s="3" t="s">
        <v>14</v>
      </c>
      <c r="C533" s="3" t="s">
        <v>581</v>
      </c>
      <c r="D533" s="3" t="s">
        <v>32</v>
      </c>
      <c r="E533" s="3" t="s">
        <v>466</v>
      </c>
      <c r="F533" s="4">
        <v>46104</v>
      </c>
      <c r="G533" s="3" t="s">
        <v>17</v>
      </c>
      <c r="H533" s="5">
        <v>-97615.96</v>
      </c>
      <c r="I533" s="3" t="s">
        <v>18</v>
      </c>
      <c r="J533" s="3" t="s">
        <v>14</v>
      </c>
      <c r="K533" s="3" t="s">
        <v>14</v>
      </c>
      <c r="L533" s="3" t="s">
        <v>88</v>
      </c>
      <c r="M533" s="4">
        <v>46104</v>
      </c>
      <c r="N533" s="3" t="s">
        <v>582</v>
      </c>
      <c r="O533" s="3" t="s">
        <v>22</v>
      </c>
      <c r="P533" t="str">
        <f t="shared" si="8"/>
        <v>450012321520</v>
      </c>
      <c r="Q533" s="7" cm="1">
        <f t="array" ref="Q533:S533">VLOOKUP(P533,Hoja1!C:F,{2,3,4},FALSE)</f>
        <v>46132</v>
      </c>
      <c r="R533" t="str">
        <v>C21</v>
      </c>
      <c r="S533" t="str">
        <v>1000004906 FERRARO Y CIA S.A.</v>
      </c>
    </row>
    <row r="534" spans="1:19" x14ac:dyDescent="0.3">
      <c r="A534" s="2" t="s">
        <v>14</v>
      </c>
      <c r="B534" s="3" t="s">
        <v>14</v>
      </c>
      <c r="C534" s="3" t="s">
        <v>583</v>
      </c>
      <c r="D534" s="3" t="s">
        <v>14</v>
      </c>
      <c r="E534" s="3" t="s">
        <v>466</v>
      </c>
      <c r="F534" s="4">
        <v>46106</v>
      </c>
      <c r="G534" s="3" t="s">
        <v>17</v>
      </c>
      <c r="H534" s="5">
        <v>-28908580.100000001</v>
      </c>
      <c r="I534" s="3" t="s">
        <v>18</v>
      </c>
      <c r="J534" s="3" t="s">
        <v>14</v>
      </c>
      <c r="K534" s="3" t="s">
        <v>14</v>
      </c>
      <c r="L534" s="3" t="s">
        <v>510</v>
      </c>
      <c r="M534" s="4">
        <v>46106</v>
      </c>
      <c r="N534" s="3" t="s">
        <v>584</v>
      </c>
      <c r="O534" s="3" t="s">
        <v>53</v>
      </c>
      <c r="P534" t="str">
        <f t="shared" si="8"/>
        <v>4500123254170</v>
      </c>
      <c r="Q534" s="7" cm="1">
        <f t="array" ref="Q534:S534">VLOOKUP(P534,Hoja1!C:F,{2,3,4},FALSE)</f>
        <v>45702</v>
      </c>
      <c r="R534" t="str">
        <v>C37</v>
      </c>
      <c r="S534" t="str">
        <v>1000001935 ACEROS COCO S.A.</v>
      </c>
    </row>
    <row r="535" spans="1:19" x14ac:dyDescent="0.3">
      <c r="A535" s="2" t="s">
        <v>14</v>
      </c>
      <c r="B535" s="3" t="s">
        <v>14</v>
      </c>
      <c r="C535" s="3" t="s">
        <v>585</v>
      </c>
      <c r="D535" s="3" t="s">
        <v>32</v>
      </c>
      <c r="E535" s="3" t="s">
        <v>466</v>
      </c>
      <c r="F535" s="4">
        <v>45771</v>
      </c>
      <c r="G535" s="3" t="s">
        <v>17</v>
      </c>
      <c r="H535" s="5">
        <v>-210000</v>
      </c>
      <c r="I535" s="3" t="s">
        <v>18</v>
      </c>
      <c r="J535" s="3" t="s">
        <v>14</v>
      </c>
      <c r="K535" s="3" t="s">
        <v>14</v>
      </c>
      <c r="L535" s="3" t="s">
        <v>586</v>
      </c>
      <c r="M535" s="4">
        <v>45771</v>
      </c>
      <c r="N535" s="3" t="s">
        <v>587</v>
      </c>
      <c r="O535" s="3" t="s">
        <v>23</v>
      </c>
      <c r="P535" t="str">
        <f t="shared" si="8"/>
        <v>450009701040</v>
      </c>
      <c r="Q535" s="7" cm="1">
        <f t="array" ref="Q535:S535">VLOOKUP(P535,Hoja1!C:F,{2,3,4},FALSE)</f>
        <v>45782</v>
      </c>
      <c r="R535" t="str">
        <v>C15</v>
      </c>
      <c r="S535" t="str">
        <v>1000011151 SCAFATI ARIEL GILBERTO</v>
      </c>
    </row>
    <row r="536" spans="1:19" x14ac:dyDescent="0.3">
      <c r="A536" s="2" t="s">
        <v>14</v>
      </c>
      <c r="B536" s="3" t="s">
        <v>14</v>
      </c>
      <c r="C536" s="3" t="s">
        <v>588</v>
      </c>
      <c r="D536" s="3" t="s">
        <v>14</v>
      </c>
      <c r="E536" s="3" t="s">
        <v>466</v>
      </c>
      <c r="F536" s="4">
        <v>46106</v>
      </c>
      <c r="G536" s="3" t="s">
        <v>17</v>
      </c>
      <c r="H536" s="5">
        <v>-152018.56</v>
      </c>
      <c r="I536" s="3" t="s">
        <v>18</v>
      </c>
      <c r="J536" s="3" t="s">
        <v>14</v>
      </c>
      <c r="K536" s="3" t="s">
        <v>14</v>
      </c>
      <c r="L536" s="3" t="s">
        <v>589</v>
      </c>
      <c r="M536" s="4">
        <v>46107</v>
      </c>
      <c r="N536" s="3" t="s">
        <v>590</v>
      </c>
      <c r="O536" s="3" t="s">
        <v>30</v>
      </c>
      <c r="P536" t="str">
        <f t="shared" si="8"/>
        <v>450011180810</v>
      </c>
      <c r="Q536" s="7" cm="1">
        <f t="array" ref="Q536:S536">VLOOKUP(P536,Hoja1!C:F,{2,3,4},FALSE)</f>
        <v>46234</v>
      </c>
      <c r="R536" t="str">
        <v>C03</v>
      </c>
      <c r="S536" t="str">
        <v>1000001123 HAULOTTE ARGENTINA S.A.</v>
      </c>
    </row>
    <row r="537" spans="1:19" x14ac:dyDescent="0.3">
      <c r="A537" s="2" t="s">
        <v>14</v>
      </c>
      <c r="B537" s="3" t="s">
        <v>14</v>
      </c>
      <c r="C537" s="3" t="s">
        <v>588</v>
      </c>
      <c r="D537" s="3" t="s">
        <v>14</v>
      </c>
      <c r="E537" s="3" t="s">
        <v>466</v>
      </c>
      <c r="F537" s="4">
        <v>46106</v>
      </c>
      <c r="G537" s="3" t="s">
        <v>17</v>
      </c>
      <c r="H537" s="5">
        <v>-586792.74</v>
      </c>
      <c r="I537" s="3" t="s">
        <v>18</v>
      </c>
      <c r="J537" s="3" t="s">
        <v>14</v>
      </c>
      <c r="K537" s="3" t="s">
        <v>14</v>
      </c>
      <c r="L537" s="3" t="s">
        <v>589</v>
      </c>
      <c r="M537" s="4">
        <v>46107</v>
      </c>
      <c r="N537" s="3" t="s">
        <v>590</v>
      </c>
      <c r="O537" s="3" t="s">
        <v>22</v>
      </c>
      <c r="P537" t="str">
        <f t="shared" si="8"/>
        <v>450011180820</v>
      </c>
      <c r="Q537" s="7" cm="1">
        <f t="array" ref="Q537:S537">VLOOKUP(P537,Hoja1!C:F,{2,3,4},FALSE)</f>
        <v>46234</v>
      </c>
      <c r="R537" t="str">
        <v>C03</v>
      </c>
      <c r="S537" t="str">
        <v>1000001123 HAULOTTE ARGENTINA S.A.</v>
      </c>
    </row>
    <row r="538" spans="1:19" x14ac:dyDescent="0.3">
      <c r="A538" s="2" t="s">
        <v>14</v>
      </c>
      <c r="B538" s="3" t="s">
        <v>14</v>
      </c>
      <c r="C538" s="3" t="s">
        <v>588</v>
      </c>
      <c r="D538" s="3" t="s">
        <v>14</v>
      </c>
      <c r="E538" s="3" t="s">
        <v>466</v>
      </c>
      <c r="F538" s="4">
        <v>46106</v>
      </c>
      <c r="G538" s="3" t="s">
        <v>17</v>
      </c>
      <c r="H538" s="5">
        <v>-12686.52</v>
      </c>
      <c r="I538" s="3" t="s">
        <v>18</v>
      </c>
      <c r="J538" s="3" t="s">
        <v>14</v>
      </c>
      <c r="K538" s="3" t="s">
        <v>14</v>
      </c>
      <c r="L538" s="3" t="s">
        <v>589</v>
      </c>
      <c r="M538" s="4">
        <v>46107</v>
      </c>
      <c r="N538" s="3" t="s">
        <v>590</v>
      </c>
      <c r="O538" s="3" t="s">
        <v>35</v>
      </c>
      <c r="P538" t="str">
        <f t="shared" si="8"/>
        <v>450011180830</v>
      </c>
      <c r="Q538" s="7" cm="1">
        <f t="array" ref="Q538:S538">VLOOKUP(P538,Hoja1!C:F,{2,3,4},FALSE)</f>
        <v>46234</v>
      </c>
      <c r="R538" t="str">
        <v>C03</v>
      </c>
      <c r="S538" t="str">
        <v>1000001123 HAULOTTE ARGENTINA S.A.</v>
      </c>
    </row>
    <row r="539" spans="1:19" x14ac:dyDescent="0.3">
      <c r="A539" s="2" t="s">
        <v>14</v>
      </c>
      <c r="B539" s="3" t="s">
        <v>14</v>
      </c>
      <c r="C539" s="3" t="s">
        <v>588</v>
      </c>
      <c r="D539" s="3" t="s">
        <v>14</v>
      </c>
      <c r="E539" s="3" t="s">
        <v>466</v>
      </c>
      <c r="F539" s="4">
        <v>46106</v>
      </c>
      <c r="G539" s="3" t="s">
        <v>17</v>
      </c>
      <c r="H539" s="5">
        <v>-2553.7800000000002</v>
      </c>
      <c r="I539" s="3" t="s">
        <v>18</v>
      </c>
      <c r="J539" s="3" t="s">
        <v>14</v>
      </c>
      <c r="K539" s="3" t="s">
        <v>14</v>
      </c>
      <c r="L539" s="3" t="s">
        <v>589</v>
      </c>
      <c r="M539" s="4">
        <v>46107</v>
      </c>
      <c r="N539" s="3" t="s">
        <v>590</v>
      </c>
      <c r="O539" s="3" t="s">
        <v>23</v>
      </c>
      <c r="P539" t="str">
        <f t="shared" si="8"/>
        <v>450011180840</v>
      </c>
      <c r="Q539" s="7" cm="1">
        <f t="array" ref="Q539:S539">VLOOKUP(P539,Hoja1!C:F,{2,3,4},FALSE)</f>
        <v>46234</v>
      </c>
      <c r="R539" t="str">
        <v>C03</v>
      </c>
      <c r="S539" t="str">
        <v>1000001123 HAULOTTE ARGENTINA S.A.</v>
      </c>
    </row>
    <row r="540" spans="1:19" x14ac:dyDescent="0.3">
      <c r="A540" s="2" t="s">
        <v>14</v>
      </c>
      <c r="B540" s="3" t="s">
        <v>14</v>
      </c>
      <c r="C540" s="3" t="s">
        <v>588</v>
      </c>
      <c r="D540" s="3" t="s">
        <v>14</v>
      </c>
      <c r="E540" s="3" t="s">
        <v>466</v>
      </c>
      <c r="F540" s="4">
        <v>46106</v>
      </c>
      <c r="G540" s="3" t="s">
        <v>17</v>
      </c>
      <c r="H540" s="5">
        <v>-70887.990000000005</v>
      </c>
      <c r="I540" s="3" t="s">
        <v>18</v>
      </c>
      <c r="J540" s="3" t="s">
        <v>14</v>
      </c>
      <c r="K540" s="3" t="s">
        <v>14</v>
      </c>
      <c r="L540" s="3" t="s">
        <v>589</v>
      </c>
      <c r="M540" s="4">
        <v>46107</v>
      </c>
      <c r="N540" s="3" t="s">
        <v>590</v>
      </c>
      <c r="O540" s="3" t="s">
        <v>144</v>
      </c>
      <c r="P540" t="str">
        <f t="shared" si="8"/>
        <v>450011180850</v>
      </c>
      <c r="Q540" s="7" cm="1">
        <f t="array" ref="Q540:S540">VLOOKUP(P540,Hoja1!C:F,{2,3,4},FALSE)</f>
        <v>46234</v>
      </c>
      <c r="R540" t="str">
        <v>C03</v>
      </c>
      <c r="S540" t="str">
        <v>1000001123 HAULOTTE ARGENTINA S.A.</v>
      </c>
    </row>
    <row r="541" spans="1:19" x14ac:dyDescent="0.3">
      <c r="A541" s="2" t="s">
        <v>14</v>
      </c>
      <c r="B541" s="3" t="s">
        <v>14</v>
      </c>
      <c r="C541" s="3" t="s">
        <v>588</v>
      </c>
      <c r="D541" s="3" t="s">
        <v>14</v>
      </c>
      <c r="E541" s="3" t="s">
        <v>466</v>
      </c>
      <c r="F541" s="4">
        <v>46106</v>
      </c>
      <c r="G541" s="3" t="s">
        <v>17</v>
      </c>
      <c r="H541" s="5">
        <v>-9061.7999999999993</v>
      </c>
      <c r="I541" s="3" t="s">
        <v>18</v>
      </c>
      <c r="J541" s="3" t="s">
        <v>14</v>
      </c>
      <c r="K541" s="3" t="s">
        <v>14</v>
      </c>
      <c r="L541" s="3" t="s">
        <v>589</v>
      </c>
      <c r="M541" s="4">
        <v>46107</v>
      </c>
      <c r="N541" s="3" t="s">
        <v>590</v>
      </c>
      <c r="O541" s="3" t="s">
        <v>141</v>
      </c>
      <c r="P541" t="str">
        <f t="shared" si="8"/>
        <v>450011180860</v>
      </c>
      <c r="Q541" s="7" cm="1">
        <f t="array" ref="Q541:S541">VLOOKUP(P541,Hoja1!C:F,{2,3,4},FALSE)</f>
        <v>46234</v>
      </c>
      <c r="R541" t="str">
        <v>C03</v>
      </c>
      <c r="S541" t="str">
        <v>1000001123 HAULOTTE ARGENTINA S.A.</v>
      </c>
    </row>
    <row r="542" spans="1:19" x14ac:dyDescent="0.3">
      <c r="A542" s="2" t="s">
        <v>14</v>
      </c>
      <c r="B542" s="3" t="s">
        <v>14</v>
      </c>
      <c r="C542" s="3" t="s">
        <v>588</v>
      </c>
      <c r="D542" s="3" t="s">
        <v>14</v>
      </c>
      <c r="E542" s="3" t="s">
        <v>466</v>
      </c>
      <c r="F542" s="4">
        <v>46106</v>
      </c>
      <c r="G542" s="3" t="s">
        <v>17</v>
      </c>
      <c r="H542" s="5">
        <v>-44567.58</v>
      </c>
      <c r="I542" s="3" t="s">
        <v>18</v>
      </c>
      <c r="J542" s="3" t="s">
        <v>14</v>
      </c>
      <c r="K542" s="3" t="s">
        <v>14</v>
      </c>
      <c r="L542" s="3" t="s">
        <v>589</v>
      </c>
      <c r="M542" s="4">
        <v>46107</v>
      </c>
      <c r="N542" s="3" t="s">
        <v>590</v>
      </c>
      <c r="O542" s="3" t="s">
        <v>134</v>
      </c>
      <c r="P542" t="str">
        <f t="shared" si="8"/>
        <v>450011180870</v>
      </c>
      <c r="Q542" s="7" cm="1">
        <f t="array" ref="Q542:S542">VLOOKUP(P542,Hoja1!C:F,{2,3,4},FALSE)</f>
        <v>46234</v>
      </c>
      <c r="R542" t="str">
        <v>C03</v>
      </c>
      <c r="S542" t="str">
        <v>1000001123 HAULOTTE ARGENTINA S.A.</v>
      </c>
    </row>
    <row r="543" spans="1:19" x14ac:dyDescent="0.3">
      <c r="A543" s="2" t="s">
        <v>14</v>
      </c>
      <c r="B543" s="3" t="s">
        <v>14</v>
      </c>
      <c r="C543" s="3" t="s">
        <v>588</v>
      </c>
      <c r="D543" s="3" t="s">
        <v>14</v>
      </c>
      <c r="E543" s="3" t="s">
        <v>466</v>
      </c>
      <c r="F543" s="4">
        <v>46106</v>
      </c>
      <c r="G543" s="3" t="s">
        <v>17</v>
      </c>
      <c r="H543" s="5">
        <v>-7249.44</v>
      </c>
      <c r="I543" s="3" t="s">
        <v>18</v>
      </c>
      <c r="J543" s="3" t="s">
        <v>14</v>
      </c>
      <c r="K543" s="3" t="s">
        <v>14</v>
      </c>
      <c r="L543" s="3" t="s">
        <v>589</v>
      </c>
      <c r="M543" s="4">
        <v>46107</v>
      </c>
      <c r="N543" s="3" t="s">
        <v>590</v>
      </c>
      <c r="O543" s="3" t="s">
        <v>52</v>
      </c>
      <c r="P543" t="str">
        <f t="shared" si="8"/>
        <v>450011180880</v>
      </c>
      <c r="Q543" s="7" cm="1">
        <f t="array" ref="Q543:S543">VLOOKUP(P543,Hoja1!C:F,{2,3,4},FALSE)</f>
        <v>46234</v>
      </c>
      <c r="R543" t="str">
        <v>C03</v>
      </c>
      <c r="S543" t="str">
        <v>1000001123 HAULOTTE ARGENTINA S.A.</v>
      </c>
    </row>
    <row r="544" spans="1:19" x14ac:dyDescent="0.3">
      <c r="A544" s="2" t="s">
        <v>14</v>
      </c>
      <c r="B544" s="3" t="s">
        <v>14</v>
      </c>
      <c r="C544" s="3" t="s">
        <v>588</v>
      </c>
      <c r="D544" s="3" t="s">
        <v>14</v>
      </c>
      <c r="E544" s="3" t="s">
        <v>466</v>
      </c>
      <c r="F544" s="4">
        <v>46106</v>
      </c>
      <c r="G544" s="3" t="s">
        <v>17</v>
      </c>
      <c r="H544" s="5">
        <v>-6919.92</v>
      </c>
      <c r="I544" s="3" t="s">
        <v>18</v>
      </c>
      <c r="J544" s="3" t="s">
        <v>14</v>
      </c>
      <c r="K544" s="3" t="s">
        <v>14</v>
      </c>
      <c r="L544" s="3" t="s">
        <v>589</v>
      </c>
      <c r="M544" s="4">
        <v>46107</v>
      </c>
      <c r="N544" s="3" t="s">
        <v>590</v>
      </c>
      <c r="O544" s="3" t="s">
        <v>138</v>
      </c>
      <c r="P544" t="str">
        <f t="shared" si="8"/>
        <v>450011180890</v>
      </c>
      <c r="Q544" s="7" cm="1">
        <f t="array" ref="Q544:S544">VLOOKUP(P544,Hoja1!C:F,{2,3,4},FALSE)</f>
        <v>46234</v>
      </c>
      <c r="R544" t="str">
        <v>C03</v>
      </c>
      <c r="S544" t="str">
        <v>1000001123 HAULOTTE ARGENTINA S.A.</v>
      </c>
    </row>
    <row r="545" spans="1:19" x14ac:dyDescent="0.3">
      <c r="A545" s="2" t="s">
        <v>14</v>
      </c>
      <c r="B545" s="3" t="s">
        <v>14</v>
      </c>
      <c r="C545" s="3" t="s">
        <v>588</v>
      </c>
      <c r="D545" s="3" t="s">
        <v>14</v>
      </c>
      <c r="E545" s="3" t="s">
        <v>466</v>
      </c>
      <c r="F545" s="4">
        <v>46106</v>
      </c>
      <c r="G545" s="3" t="s">
        <v>17</v>
      </c>
      <c r="H545" s="5">
        <v>-7167.06</v>
      </c>
      <c r="I545" s="3" t="s">
        <v>18</v>
      </c>
      <c r="J545" s="3" t="s">
        <v>14</v>
      </c>
      <c r="K545" s="3" t="s">
        <v>14</v>
      </c>
      <c r="L545" s="3" t="s">
        <v>589</v>
      </c>
      <c r="M545" s="4">
        <v>46107</v>
      </c>
      <c r="N545" s="3" t="s">
        <v>590</v>
      </c>
      <c r="O545" s="3" t="s">
        <v>45</v>
      </c>
      <c r="P545" t="str">
        <f t="shared" si="8"/>
        <v>4500111808100</v>
      </c>
      <c r="Q545" s="7" cm="1">
        <f t="array" ref="Q545:S545">VLOOKUP(P545,Hoja1!C:F,{2,3,4},FALSE)</f>
        <v>46234</v>
      </c>
      <c r="R545" t="str">
        <v>C03</v>
      </c>
      <c r="S545" t="str">
        <v>1000001123 HAULOTTE ARGENTINA S.A.</v>
      </c>
    </row>
    <row r="546" spans="1:19" x14ac:dyDescent="0.3">
      <c r="A546" s="2" t="s">
        <v>14</v>
      </c>
      <c r="B546" s="3" t="s">
        <v>14</v>
      </c>
      <c r="C546" s="3" t="s">
        <v>591</v>
      </c>
      <c r="D546" s="3" t="s">
        <v>14</v>
      </c>
      <c r="E546" s="3" t="s">
        <v>466</v>
      </c>
      <c r="F546" s="4">
        <v>46111</v>
      </c>
      <c r="G546" s="3" t="s">
        <v>17</v>
      </c>
      <c r="H546" s="5">
        <v>-31487.599999999999</v>
      </c>
      <c r="I546" s="3" t="s">
        <v>18</v>
      </c>
      <c r="J546" s="3" t="s">
        <v>14</v>
      </c>
      <c r="K546" s="3" t="s">
        <v>14</v>
      </c>
      <c r="L546" s="3" t="s">
        <v>592</v>
      </c>
      <c r="M546" s="4">
        <v>46111</v>
      </c>
      <c r="N546" s="3" t="s">
        <v>593</v>
      </c>
      <c r="O546" s="3" t="s">
        <v>30</v>
      </c>
      <c r="P546" t="str">
        <f t="shared" si="8"/>
        <v>450012297910</v>
      </c>
      <c r="Q546" s="7" cm="1">
        <f t="array" ref="Q546:S546">VLOOKUP(P546,Hoja1!C:F,{2,3,4},FALSE)</f>
        <v>46113</v>
      </c>
      <c r="R546" t="str">
        <v>F05</v>
      </c>
      <c r="S546" t="str">
        <v>1000000482 REUTEMANN AUTOMOTORES S.A.</v>
      </c>
    </row>
    <row r="547" spans="1:19" x14ac:dyDescent="0.3">
      <c r="A547" s="2" t="s">
        <v>14</v>
      </c>
      <c r="B547" s="3" t="s">
        <v>14</v>
      </c>
      <c r="C547" s="3" t="s">
        <v>594</v>
      </c>
      <c r="D547" s="3" t="s">
        <v>14</v>
      </c>
      <c r="E547" s="3" t="s">
        <v>466</v>
      </c>
      <c r="F547" s="4">
        <v>46112</v>
      </c>
      <c r="G547" s="3" t="s">
        <v>17</v>
      </c>
      <c r="H547" s="5">
        <v>-2625939.27</v>
      </c>
      <c r="I547" s="3" t="s">
        <v>18</v>
      </c>
      <c r="J547" s="3" t="s">
        <v>14</v>
      </c>
      <c r="K547" s="3" t="s">
        <v>14</v>
      </c>
      <c r="L547" s="3" t="s">
        <v>340</v>
      </c>
      <c r="M547" s="4">
        <v>46112</v>
      </c>
      <c r="N547" s="3" t="s">
        <v>595</v>
      </c>
      <c r="O547" s="3" t="s">
        <v>134</v>
      </c>
      <c r="P547" t="str">
        <f t="shared" si="8"/>
        <v>450010901670</v>
      </c>
      <c r="Q547" s="7" cm="1">
        <f t="array" ref="Q547:S547">VLOOKUP(P547,Hoja1!C:F,{2,3,4},FALSE)</f>
        <v>46142</v>
      </c>
      <c r="R547" t="str">
        <v>C04</v>
      </c>
      <c r="S547" t="str">
        <v>1000000062 FINNING ARGENTINA S.A.</v>
      </c>
    </row>
    <row r="548" spans="1:19" x14ac:dyDescent="0.3">
      <c r="A548" s="2" t="s">
        <v>14</v>
      </c>
      <c r="B548" s="3" t="s">
        <v>14</v>
      </c>
      <c r="C548" s="3" t="s">
        <v>596</v>
      </c>
      <c r="D548" s="3" t="s">
        <v>32</v>
      </c>
      <c r="E548" s="3" t="s">
        <v>466</v>
      </c>
      <c r="F548" s="4">
        <v>46112</v>
      </c>
      <c r="G548" s="3" t="s">
        <v>17</v>
      </c>
      <c r="H548" s="5">
        <v>-573007.19999999995</v>
      </c>
      <c r="I548" s="3" t="s">
        <v>18</v>
      </c>
      <c r="J548" s="3" t="s">
        <v>14</v>
      </c>
      <c r="K548" s="3" t="s">
        <v>14</v>
      </c>
      <c r="L548" s="3" t="s">
        <v>597</v>
      </c>
      <c r="M548" s="4">
        <v>46112</v>
      </c>
      <c r="N548" s="3" t="s">
        <v>598</v>
      </c>
      <c r="O548" s="3" t="s">
        <v>30</v>
      </c>
      <c r="P548" t="str">
        <f t="shared" si="8"/>
        <v>450012347610</v>
      </c>
      <c r="Q548" s="7" cm="1">
        <f t="array" ref="Q548:S548">VLOOKUP(P548,Hoja1!C:F,{2,3,4},FALSE)</f>
        <v>46121</v>
      </c>
      <c r="R548" t="str">
        <v>C11</v>
      </c>
      <c r="S548" t="str">
        <v>1000009527 ELECTRICIDAD PANAMERICANA S.A.</v>
      </c>
    </row>
    <row r="549" spans="1:19" x14ac:dyDescent="0.3">
      <c r="A549" s="2" t="s">
        <v>14</v>
      </c>
      <c r="B549" s="3" t="s">
        <v>14</v>
      </c>
      <c r="C549" s="3" t="s">
        <v>596</v>
      </c>
      <c r="D549" s="3" t="s">
        <v>32</v>
      </c>
      <c r="E549" s="3" t="s">
        <v>466</v>
      </c>
      <c r="F549" s="4">
        <v>46112</v>
      </c>
      <c r="G549" s="3" t="s">
        <v>17</v>
      </c>
      <c r="H549" s="5">
        <v>-314094.90000000002</v>
      </c>
      <c r="I549" s="3" t="s">
        <v>18</v>
      </c>
      <c r="J549" s="3" t="s">
        <v>14</v>
      </c>
      <c r="K549" s="3" t="s">
        <v>14</v>
      </c>
      <c r="L549" s="3" t="s">
        <v>597</v>
      </c>
      <c r="M549" s="4">
        <v>46112</v>
      </c>
      <c r="N549" s="3" t="s">
        <v>598</v>
      </c>
      <c r="O549" s="3" t="s">
        <v>22</v>
      </c>
      <c r="P549" t="str">
        <f t="shared" si="8"/>
        <v>450012347620</v>
      </c>
      <c r="Q549" s="7" cm="1">
        <f t="array" ref="Q549:S549">VLOOKUP(P549,Hoja1!C:F,{2,3,4},FALSE)</f>
        <v>46121</v>
      </c>
      <c r="R549" t="str">
        <v>C11</v>
      </c>
      <c r="S549" t="str">
        <v>1000009527 ELECTRICIDAD PANAMERICANA S.A.</v>
      </c>
    </row>
    <row r="550" spans="1:19" x14ac:dyDescent="0.3">
      <c r="A550" s="2" t="s">
        <v>14</v>
      </c>
      <c r="B550" s="3" t="s">
        <v>14</v>
      </c>
      <c r="C550" s="3" t="s">
        <v>599</v>
      </c>
      <c r="D550" s="3" t="s">
        <v>14</v>
      </c>
      <c r="E550" s="3" t="s">
        <v>466</v>
      </c>
      <c r="F550" s="4">
        <v>46113</v>
      </c>
      <c r="G550" s="3" t="s">
        <v>17</v>
      </c>
      <c r="H550" s="5">
        <v>-94510</v>
      </c>
      <c r="I550" s="3" t="s">
        <v>18</v>
      </c>
      <c r="J550" s="3" t="s">
        <v>14</v>
      </c>
      <c r="K550" s="3" t="s">
        <v>14</v>
      </c>
      <c r="L550" s="3" t="s">
        <v>600</v>
      </c>
      <c r="M550" s="4">
        <v>46113</v>
      </c>
      <c r="N550" s="3" t="s">
        <v>601</v>
      </c>
      <c r="O550" s="3" t="s">
        <v>22</v>
      </c>
      <c r="P550" t="str">
        <f t="shared" si="8"/>
        <v>450012395620</v>
      </c>
      <c r="Q550" s="7" cm="1">
        <f t="array" ref="Q550:S550">VLOOKUP(P550,Hoja1!C:F,{2,3,4},FALSE)</f>
        <v>46112</v>
      </c>
      <c r="R550" t="str">
        <v>EFO</v>
      </c>
      <c r="S550" t="str">
        <v>1000012464 LOOPING REPUESTOS SOCIEDAD ANONIMA</v>
      </c>
    </row>
    <row r="551" spans="1:19" x14ac:dyDescent="0.3">
      <c r="A551" s="2" t="s">
        <v>14</v>
      </c>
      <c r="B551" s="3" t="s">
        <v>14</v>
      </c>
      <c r="C551" s="3" t="s">
        <v>602</v>
      </c>
      <c r="D551" s="3" t="s">
        <v>14</v>
      </c>
      <c r="E551" s="3" t="s">
        <v>466</v>
      </c>
      <c r="F551" s="4">
        <v>46113</v>
      </c>
      <c r="G551" s="3" t="s">
        <v>17</v>
      </c>
      <c r="H551" s="5">
        <v>-42598.9</v>
      </c>
      <c r="I551" s="3" t="s">
        <v>18</v>
      </c>
      <c r="J551" s="3" t="s">
        <v>14</v>
      </c>
      <c r="K551" s="3" t="s">
        <v>14</v>
      </c>
      <c r="L551" s="3" t="s">
        <v>603</v>
      </c>
      <c r="M551" s="4">
        <v>46113</v>
      </c>
      <c r="N551" s="3" t="s">
        <v>604</v>
      </c>
      <c r="O551" s="3" t="s">
        <v>30</v>
      </c>
      <c r="P551" t="str">
        <f t="shared" si="8"/>
        <v>450012362010</v>
      </c>
      <c r="Q551" s="7" cm="1">
        <f t="array" ref="Q551:S551">VLOOKUP(P551,Hoja1!C:F,{2,3,4},FALSE)</f>
        <v>46118</v>
      </c>
      <c r="R551" t="str">
        <v>C38</v>
      </c>
      <c r="S551" t="str">
        <v>1000000161 BOSCO GERMAN, BOSCO LUCIO Y BOSCO</v>
      </c>
    </row>
    <row r="552" spans="1:19" x14ac:dyDescent="0.3">
      <c r="A552" s="2" t="s">
        <v>14</v>
      </c>
      <c r="B552" s="3" t="s">
        <v>14</v>
      </c>
      <c r="C552" s="3" t="s">
        <v>605</v>
      </c>
      <c r="D552" s="3" t="s">
        <v>32</v>
      </c>
      <c r="E552" s="3" t="s">
        <v>466</v>
      </c>
      <c r="F552" s="4">
        <v>46119</v>
      </c>
      <c r="G552" s="3" t="s">
        <v>17</v>
      </c>
      <c r="H552" s="5">
        <v>-716783.52</v>
      </c>
      <c r="I552" s="3" t="s">
        <v>18</v>
      </c>
      <c r="J552" s="3" t="s">
        <v>14</v>
      </c>
      <c r="K552" s="3" t="s">
        <v>14</v>
      </c>
      <c r="L552" s="3" t="s">
        <v>606</v>
      </c>
      <c r="M552" s="4">
        <v>46119</v>
      </c>
      <c r="N552" s="3" t="s">
        <v>607</v>
      </c>
      <c r="O552" s="3" t="s">
        <v>30</v>
      </c>
      <c r="P552" t="str">
        <f t="shared" si="8"/>
        <v>450012317310</v>
      </c>
      <c r="Q552" s="7" cm="1">
        <f t="array" ref="Q552:S552">VLOOKUP(P552,Hoja1!C:F,{2,3,4},FALSE)</f>
        <v>46118</v>
      </c>
      <c r="R552" t="str">
        <v>C11</v>
      </c>
      <c r="S552" t="str">
        <v>1000012359 D'AMICO DARIO RUBEN</v>
      </c>
    </row>
    <row r="553" spans="1:19" x14ac:dyDescent="0.3">
      <c r="A553" s="2" t="s">
        <v>14</v>
      </c>
      <c r="B553" s="3" t="s">
        <v>14</v>
      </c>
      <c r="C553" s="3" t="s">
        <v>608</v>
      </c>
      <c r="D553" s="3" t="s">
        <v>14</v>
      </c>
      <c r="E553" s="3" t="s">
        <v>466</v>
      </c>
      <c r="F553" s="4">
        <v>45783</v>
      </c>
      <c r="G553" s="3" t="s">
        <v>17</v>
      </c>
      <c r="H553" s="5">
        <v>-598875.43999999994</v>
      </c>
      <c r="I553" s="3" t="s">
        <v>18</v>
      </c>
      <c r="J553" s="3" t="s">
        <v>14</v>
      </c>
      <c r="K553" s="3" t="s">
        <v>14</v>
      </c>
      <c r="L553" s="3" t="s">
        <v>195</v>
      </c>
      <c r="M553" s="4">
        <v>45783</v>
      </c>
      <c r="N553" s="3" t="s">
        <v>609</v>
      </c>
      <c r="O553" s="3" t="s">
        <v>52</v>
      </c>
      <c r="P553" t="str">
        <f t="shared" si="8"/>
        <v>450009810280</v>
      </c>
      <c r="Q553" s="7" cm="1">
        <f t="array" ref="Q553:S553">VLOOKUP(P553,Hoja1!C:F,{2,3,4},FALSE)</f>
        <v>45657</v>
      </c>
      <c r="R553" t="str">
        <v>C37</v>
      </c>
      <c r="S553" t="str">
        <v>1000000037 LA ELENA S.A.</v>
      </c>
    </row>
    <row r="554" spans="1:19" x14ac:dyDescent="0.3">
      <c r="A554" s="2" t="s">
        <v>14</v>
      </c>
      <c r="B554" s="3" t="s">
        <v>14</v>
      </c>
      <c r="C554" s="3" t="s">
        <v>610</v>
      </c>
      <c r="D554" s="3" t="s">
        <v>32</v>
      </c>
      <c r="E554" s="3" t="s">
        <v>466</v>
      </c>
      <c r="F554" s="4">
        <v>46119</v>
      </c>
      <c r="G554" s="3" t="s">
        <v>17</v>
      </c>
      <c r="H554" s="5">
        <v>-48000</v>
      </c>
      <c r="I554" s="3" t="s">
        <v>18</v>
      </c>
      <c r="J554" s="3" t="s">
        <v>14</v>
      </c>
      <c r="K554" s="3" t="s">
        <v>14</v>
      </c>
      <c r="L554" s="3" t="s">
        <v>611</v>
      </c>
      <c r="M554" s="4">
        <v>46119</v>
      </c>
      <c r="N554" s="3" t="s">
        <v>612</v>
      </c>
      <c r="O554" s="3" t="s">
        <v>144</v>
      </c>
      <c r="P554" t="str">
        <f t="shared" si="8"/>
        <v>450012347850</v>
      </c>
      <c r="Q554" s="7" cm="1">
        <f t="array" ref="Q554:S554">VLOOKUP(P554,Hoja1!C:F,{2,3,4},FALSE)</f>
        <v>46112</v>
      </c>
      <c r="R554" t="str">
        <v>C27</v>
      </c>
      <c r="S554" t="str">
        <v>1000011432 SCHVAB JULIO CESAR</v>
      </c>
    </row>
    <row r="555" spans="1:19" x14ac:dyDescent="0.3">
      <c r="A555" s="2" t="s">
        <v>14</v>
      </c>
      <c r="B555" s="3" t="s">
        <v>14</v>
      </c>
      <c r="C555" s="3" t="s">
        <v>613</v>
      </c>
      <c r="D555" s="3" t="s">
        <v>14</v>
      </c>
      <c r="E555" s="3" t="s">
        <v>466</v>
      </c>
      <c r="F555" s="4">
        <v>46122</v>
      </c>
      <c r="G555" s="3" t="s">
        <v>17</v>
      </c>
      <c r="H555" s="5">
        <v>-550200.81999999995</v>
      </c>
      <c r="I555" s="3" t="s">
        <v>18</v>
      </c>
      <c r="J555" s="3" t="s">
        <v>14</v>
      </c>
      <c r="K555" s="3" t="s">
        <v>14</v>
      </c>
      <c r="L555" s="3" t="s">
        <v>614</v>
      </c>
      <c r="M555" s="4">
        <v>46122</v>
      </c>
      <c r="N555" s="3" t="s">
        <v>615</v>
      </c>
      <c r="O555" s="3" t="s">
        <v>30</v>
      </c>
      <c r="P555" t="str">
        <f t="shared" si="8"/>
        <v>450012083010</v>
      </c>
      <c r="Q555" s="7" cm="1">
        <f t="array" ref="Q555:S555">VLOOKUP(P555,Hoja1!C:F,{2,3,4},FALSE)</f>
        <v>46132</v>
      </c>
      <c r="R555" t="str">
        <v>C03</v>
      </c>
      <c r="S555" t="str">
        <v>2000000164 SANY INTERNACIONAL</v>
      </c>
    </row>
    <row r="556" spans="1:19" x14ac:dyDescent="0.3">
      <c r="A556" s="2" t="s">
        <v>14</v>
      </c>
      <c r="B556" s="3" t="s">
        <v>14</v>
      </c>
      <c r="C556" s="3" t="s">
        <v>613</v>
      </c>
      <c r="D556" s="3" t="s">
        <v>14</v>
      </c>
      <c r="E556" s="3" t="s">
        <v>466</v>
      </c>
      <c r="F556" s="4">
        <v>46122</v>
      </c>
      <c r="G556" s="3" t="s">
        <v>17</v>
      </c>
      <c r="H556" s="5">
        <v>-550200.81999999995</v>
      </c>
      <c r="I556" s="3" t="s">
        <v>18</v>
      </c>
      <c r="J556" s="3" t="s">
        <v>14</v>
      </c>
      <c r="K556" s="3" t="s">
        <v>14</v>
      </c>
      <c r="L556" s="3" t="s">
        <v>614</v>
      </c>
      <c r="M556" s="4">
        <v>46122</v>
      </c>
      <c r="N556" s="3" t="s">
        <v>615</v>
      </c>
      <c r="O556" s="3" t="s">
        <v>22</v>
      </c>
      <c r="P556" t="str">
        <f t="shared" si="8"/>
        <v>450012083020</v>
      </c>
      <c r="Q556" s="7" cm="1">
        <f t="array" ref="Q556:S556">VLOOKUP(P556,Hoja1!C:F,{2,3,4},FALSE)</f>
        <v>46132</v>
      </c>
      <c r="R556" t="str">
        <v>C03</v>
      </c>
      <c r="S556" t="str">
        <v>2000000164 SANY INTERNACIONAL</v>
      </c>
    </row>
    <row r="557" spans="1:19" x14ac:dyDescent="0.3">
      <c r="A557" s="2" t="s">
        <v>14</v>
      </c>
      <c r="B557" s="3" t="s">
        <v>14</v>
      </c>
      <c r="C557" s="3" t="s">
        <v>616</v>
      </c>
      <c r="D557" s="3" t="s">
        <v>14</v>
      </c>
      <c r="E557" s="3" t="s">
        <v>466</v>
      </c>
      <c r="F557" s="4">
        <v>46122</v>
      </c>
      <c r="G557" s="3" t="s">
        <v>17</v>
      </c>
      <c r="H557" s="5">
        <v>-6612.5</v>
      </c>
      <c r="I557" s="3" t="s">
        <v>18</v>
      </c>
      <c r="J557" s="3" t="s">
        <v>14</v>
      </c>
      <c r="K557" s="3" t="s">
        <v>14</v>
      </c>
      <c r="L557" s="3" t="s">
        <v>617</v>
      </c>
      <c r="M557" s="4">
        <v>46122</v>
      </c>
      <c r="N557" s="3" t="s">
        <v>618</v>
      </c>
      <c r="O557" s="3" t="s">
        <v>30</v>
      </c>
      <c r="P557" t="str">
        <f t="shared" si="8"/>
        <v>450012472910</v>
      </c>
      <c r="Q557" s="7" cm="1">
        <f t="array" ref="Q557:S557">VLOOKUP(P557,Hoja1!C:F,{2,3,4},FALSE)</f>
        <v>46127</v>
      </c>
      <c r="R557" t="str">
        <v>EFO</v>
      </c>
      <c r="S557" t="str">
        <v>1000000018 REPUESTOS CARLITOS</v>
      </c>
    </row>
    <row r="558" spans="1:19" x14ac:dyDescent="0.3">
      <c r="A558" s="2" t="s">
        <v>14</v>
      </c>
      <c r="B558" s="3" t="s">
        <v>14</v>
      </c>
      <c r="C558" s="3" t="s">
        <v>619</v>
      </c>
      <c r="D558" s="3" t="s">
        <v>14</v>
      </c>
      <c r="E558" s="3" t="s">
        <v>466</v>
      </c>
      <c r="F558" s="4">
        <v>46066</v>
      </c>
      <c r="G558" s="3" t="s">
        <v>17</v>
      </c>
      <c r="H558" s="5">
        <v>-223942</v>
      </c>
      <c r="I558" s="3" t="s">
        <v>18</v>
      </c>
      <c r="J558" s="3" t="s">
        <v>14</v>
      </c>
      <c r="K558" s="3" t="s">
        <v>14</v>
      </c>
      <c r="L558" s="3" t="s">
        <v>117</v>
      </c>
      <c r="M558" s="4">
        <v>46125</v>
      </c>
      <c r="N558" s="3" t="s">
        <v>620</v>
      </c>
      <c r="O558" s="3" t="s">
        <v>142</v>
      </c>
      <c r="P558" t="str">
        <f t="shared" si="8"/>
        <v>4500119928130</v>
      </c>
      <c r="Q558" s="7" cm="1">
        <f t="array" ref="Q558:S558">VLOOKUP(P558,Hoja1!C:F,{2,3,4},FALSE)</f>
        <v>46108</v>
      </c>
      <c r="R558" t="str">
        <v>C03</v>
      </c>
      <c r="S558" t="str">
        <v>1000001129 AGRONORTE S.R.L.</v>
      </c>
    </row>
    <row r="559" spans="1:19" x14ac:dyDescent="0.3">
      <c r="A559" s="2" t="s">
        <v>14</v>
      </c>
      <c r="B559" s="3" t="s">
        <v>14</v>
      </c>
      <c r="C559" s="3" t="s">
        <v>619</v>
      </c>
      <c r="D559" s="3" t="s">
        <v>14</v>
      </c>
      <c r="E559" s="3" t="s">
        <v>466</v>
      </c>
      <c r="F559" s="4">
        <v>46066</v>
      </c>
      <c r="G559" s="3" t="s">
        <v>17</v>
      </c>
      <c r="H559" s="5">
        <v>-111971</v>
      </c>
      <c r="I559" s="3" t="s">
        <v>18</v>
      </c>
      <c r="J559" s="3" t="s">
        <v>14</v>
      </c>
      <c r="K559" s="3" t="s">
        <v>14</v>
      </c>
      <c r="L559" s="3" t="s">
        <v>117</v>
      </c>
      <c r="M559" s="4">
        <v>46125</v>
      </c>
      <c r="N559" s="3" t="s">
        <v>620</v>
      </c>
      <c r="O559" s="3" t="s">
        <v>157</v>
      </c>
      <c r="P559" t="str">
        <f t="shared" si="8"/>
        <v>4500119928410</v>
      </c>
      <c r="Q559" s="7" cm="1">
        <f t="array" ref="Q559:S559">VLOOKUP(P559,Hoja1!C:F,{2,3,4},FALSE)</f>
        <v>46108</v>
      </c>
      <c r="R559" t="str">
        <v>C03</v>
      </c>
      <c r="S559" t="str">
        <v>1000001129 AGRONORTE S.R.L.</v>
      </c>
    </row>
    <row r="560" spans="1:19" x14ac:dyDescent="0.3">
      <c r="A560" s="2" t="s">
        <v>14</v>
      </c>
      <c r="B560" s="3" t="s">
        <v>14</v>
      </c>
      <c r="C560" s="3" t="s">
        <v>621</v>
      </c>
      <c r="D560" s="3" t="s">
        <v>32</v>
      </c>
      <c r="E560" s="3" t="s">
        <v>466</v>
      </c>
      <c r="F560" s="4">
        <v>46125</v>
      </c>
      <c r="G560" s="3" t="s">
        <v>17</v>
      </c>
      <c r="H560" s="5">
        <v>-516738</v>
      </c>
      <c r="I560" s="3" t="s">
        <v>18</v>
      </c>
      <c r="J560" s="3" t="s">
        <v>14</v>
      </c>
      <c r="K560" s="3" t="s">
        <v>14</v>
      </c>
      <c r="L560" s="3" t="s">
        <v>50</v>
      </c>
      <c r="M560" s="4">
        <v>46125</v>
      </c>
      <c r="N560" s="3" t="s">
        <v>51</v>
      </c>
      <c r="O560" s="3" t="s">
        <v>52</v>
      </c>
      <c r="P560" t="str">
        <f t="shared" si="8"/>
        <v>450012251080</v>
      </c>
      <c r="Q560" s="7" cm="1">
        <f t="array" ref="Q560:S560">VLOOKUP(P560,Hoja1!C:F,{2,3,4},FALSE)</f>
        <v>46122</v>
      </c>
      <c r="R560" t="str">
        <v>C11</v>
      </c>
      <c r="S560" t="str">
        <v>1000003063 CICCIOELEC SA</v>
      </c>
    </row>
    <row r="561" spans="1:19" x14ac:dyDescent="0.3">
      <c r="A561" s="2" t="s">
        <v>14</v>
      </c>
      <c r="B561" s="3" t="s">
        <v>14</v>
      </c>
      <c r="C561" s="3" t="s">
        <v>621</v>
      </c>
      <c r="D561" s="3" t="s">
        <v>32</v>
      </c>
      <c r="E561" s="3" t="s">
        <v>466</v>
      </c>
      <c r="F561" s="4">
        <v>46125</v>
      </c>
      <c r="G561" s="3" t="s">
        <v>17</v>
      </c>
      <c r="H561" s="5">
        <v>-165635.15</v>
      </c>
      <c r="I561" s="3" t="s">
        <v>18</v>
      </c>
      <c r="J561" s="3" t="s">
        <v>14</v>
      </c>
      <c r="K561" s="3" t="s">
        <v>14</v>
      </c>
      <c r="L561" s="3" t="s">
        <v>50</v>
      </c>
      <c r="M561" s="4">
        <v>46125</v>
      </c>
      <c r="N561" s="3" t="s">
        <v>51</v>
      </c>
      <c r="O561" s="3" t="s">
        <v>138</v>
      </c>
      <c r="P561" t="str">
        <f t="shared" si="8"/>
        <v>450012251090</v>
      </c>
      <c r="Q561" s="7" cm="1">
        <f t="array" ref="Q561:S561">VLOOKUP(P561,Hoja1!C:F,{2,3,4},FALSE)</f>
        <v>46122</v>
      </c>
      <c r="R561" t="str">
        <v>C11</v>
      </c>
      <c r="S561" t="str">
        <v>1000003063 CICCIOELEC SA</v>
      </c>
    </row>
    <row r="562" spans="1:19" x14ac:dyDescent="0.3">
      <c r="A562" s="2" t="s">
        <v>14</v>
      </c>
      <c r="B562" s="3" t="s">
        <v>14</v>
      </c>
      <c r="C562" s="3" t="s">
        <v>621</v>
      </c>
      <c r="D562" s="3" t="s">
        <v>32</v>
      </c>
      <c r="E562" s="3" t="s">
        <v>466</v>
      </c>
      <c r="F562" s="4">
        <v>46125</v>
      </c>
      <c r="G562" s="3" t="s">
        <v>17</v>
      </c>
      <c r="H562" s="5">
        <v>-165635.15</v>
      </c>
      <c r="I562" s="3" t="s">
        <v>18</v>
      </c>
      <c r="J562" s="3" t="s">
        <v>14</v>
      </c>
      <c r="K562" s="3" t="s">
        <v>14</v>
      </c>
      <c r="L562" s="3" t="s">
        <v>50</v>
      </c>
      <c r="M562" s="4">
        <v>46125</v>
      </c>
      <c r="N562" s="3" t="s">
        <v>51</v>
      </c>
      <c r="O562" s="3" t="s">
        <v>45</v>
      </c>
      <c r="P562" t="str">
        <f t="shared" si="8"/>
        <v>4500122510100</v>
      </c>
      <c r="Q562" s="7" cm="1">
        <f t="array" ref="Q562:S562">VLOOKUP(P562,Hoja1!C:F,{2,3,4},FALSE)</f>
        <v>46122</v>
      </c>
      <c r="R562" t="str">
        <v>C11</v>
      </c>
      <c r="S562" t="str">
        <v>1000003063 CICCIOELEC SA</v>
      </c>
    </row>
    <row r="563" spans="1:19" x14ac:dyDescent="0.3">
      <c r="A563" s="2" t="s">
        <v>14</v>
      </c>
      <c r="B563" s="3" t="s">
        <v>14</v>
      </c>
      <c r="C563" s="3" t="s">
        <v>621</v>
      </c>
      <c r="D563" s="3" t="s">
        <v>32</v>
      </c>
      <c r="E563" s="3" t="s">
        <v>466</v>
      </c>
      <c r="F563" s="4">
        <v>46125</v>
      </c>
      <c r="G563" s="3" t="s">
        <v>17</v>
      </c>
      <c r="H563" s="5">
        <v>-1544790.15</v>
      </c>
      <c r="I563" s="3" t="s">
        <v>18</v>
      </c>
      <c r="J563" s="3" t="s">
        <v>14</v>
      </c>
      <c r="K563" s="3" t="s">
        <v>14</v>
      </c>
      <c r="L563" s="3" t="s">
        <v>50</v>
      </c>
      <c r="M563" s="4">
        <v>46125</v>
      </c>
      <c r="N563" s="3" t="s">
        <v>51</v>
      </c>
      <c r="O563" s="3" t="s">
        <v>129</v>
      </c>
      <c r="P563" t="str">
        <f t="shared" si="8"/>
        <v>4500122510160</v>
      </c>
      <c r="Q563" s="7" cm="1">
        <f t="array" ref="Q563:S563">VLOOKUP(P563,Hoja1!C:F,{2,3,4},FALSE)</f>
        <v>46122</v>
      </c>
      <c r="R563" t="str">
        <v>C11</v>
      </c>
      <c r="S563" t="str">
        <v>1000003063 CICCIOELEC SA</v>
      </c>
    </row>
    <row r="564" spans="1:19" x14ac:dyDescent="0.3">
      <c r="A564" s="2" t="s">
        <v>14</v>
      </c>
      <c r="B564" s="3" t="s">
        <v>14</v>
      </c>
      <c r="C564" s="3" t="s">
        <v>621</v>
      </c>
      <c r="D564" s="3" t="s">
        <v>32</v>
      </c>
      <c r="E564" s="3" t="s">
        <v>466</v>
      </c>
      <c r="F564" s="4">
        <v>46125</v>
      </c>
      <c r="G564" s="3" t="s">
        <v>17</v>
      </c>
      <c r="H564" s="5">
        <v>-892470</v>
      </c>
      <c r="I564" s="3" t="s">
        <v>18</v>
      </c>
      <c r="J564" s="3" t="s">
        <v>14</v>
      </c>
      <c r="K564" s="3" t="s">
        <v>14</v>
      </c>
      <c r="L564" s="3" t="s">
        <v>50</v>
      </c>
      <c r="M564" s="4">
        <v>46125</v>
      </c>
      <c r="N564" s="3" t="s">
        <v>51</v>
      </c>
      <c r="O564" s="3" t="s">
        <v>53</v>
      </c>
      <c r="P564" t="str">
        <f t="shared" si="8"/>
        <v>4500122510170</v>
      </c>
      <c r="Q564" s="7" cm="1">
        <f t="array" ref="Q564:S564">VLOOKUP(P564,Hoja1!C:F,{2,3,4},FALSE)</f>
        <v>46122</v>
      </c>
      <c r="R564" t="str">
        <v>C11</v>
      </c>
      <c r="S564" t="str">
        <v>1000003063 CICCIOELEC SA</v>
      </c>
    </row>
    <row r="565" spans="1:19" x14ac:dyDescent="0.3">
      <c r="A565" s="2" t="s">
        <v>14</v>
      </c>
      <c r="B565" s="3" t="s">
        <v>14</v>
      </c>
      <c r="C565" s="3" t="s">
        <v>622</v>
      </c>
      <c r="D565" s="3" t="s">
        <v>14</v>
      </c>
      <c r="E565" s="3" t="s">
        <v>466</v>
      </c>
      <c r="F565" s="4">
        <v>46125</v>
      </c>
      <c r="G565" s="3" t="s">
        <v>17</v>
      </c>
      <c r="H565" s="5">
        <v>-2478600</v>
      </c>
      <c r="I565" s="3" t="s">
        <v>18</v>
      </c>
      <c r="J565" s="3" t="s">
        <v>14</v>
      </c>
      <c r="K565" s="3" t="s">
        <v>14</v>
      </c>
      <c r="L565" s="3" t="s">
        <v>221</v>
      </c>
      <c r="M565" s="4">
        <v>46125</v>
      </c>
      <c r="N565" s="3" t="s">
        <v>222</v>
      </c>
      <c r="O565" s="3" t="s">
        <v>30</v>
      </c>
      <c r="P565" t="str">
        <f t="shared" si="8"/>
        <v>450011874510</v>
      </c>
      <c r="Q565" s="7" cm="1">
        <f t="array" ref="Q565:S565">VLOOKUP(P565,Hoja1!C:F,{2,3,4},FALSE)</f>
        <v>46387</v>
      </c>
      <c r="R565" t="str">
        <v>C24</v>
      </c>
      <c r="S565" t="str">
        <v>1000000026 NEURALSOFT S.R.L.</v>
      </c>
    </row>
    <row r="566" spans="1:19" x14ac:dyDescent="0.3">
      <c r="A566" s="2" t="s">
        <v>14</v>
      </c>
      <c r="B566" s="3" t="s">
        <v>14</v>
      </c>
      <c r="C566" s="3" t="s">
        <v>623</v>
      </c>
      <c r="D566" s="3" t="s">
        <v>14</v>
      </c>
      <c r="E566" s="3" t="s">
        <v>466</v>
      </c>
      <c r="F566" s="4">
        <v>46126</v>
      </c>
      <c r="G566" s="3" t="s">
        <v>17</v>
      </c>
      <c r="H566" s="5">
        <v>-21450</v>
      </c>
      <c r="I566" s="3" t="s">
        <v>18</v>
      </c>
      <c r="J566" s="3" t="s">
        <v>14</v>
      </c>
      <c r="K566" s="3" t="s">
        <v>14</v>
      </c>
      <c r="L566" s="3" t="s">
        <v>207</v>
      </c>
      <c r="M566" s="4">
        <v>46126</v>
      </c>
      <c r="N566" s="3" t="s">
        <v>208</v>
      </c>
      <c r="O566" s="3" t="s">
        <v>23</v>
      </c>
      <c r="P566" t="str">
        <f t="shared" si="8"/>
        <v>450005708040</v>
      </c>
      <c r="Q566" s="7" cm="1">
        <f t="array" ref="Q566:S566">VLOOKUP(P566,Hoja1!C:F,{2,3,4},FALSE)</f>
        <v>46386</v>
      </c>
      <c r="R566" t="str">
        <v>C25</v>
      </c>
      <c r="S566" t="str">
        <v>1000008581 IZAZA PAULA SOLEDAD</v>
      </c>
    </row>
    <row r="567" spans="1:19" x14ac:dyDescent="0.3">
      <c r="A567" s="2" t="s">
        <v>14</v>
      </c>
      <c r="B567" s="3" t="s">
        <v>14</v>
      </c>
      <c r="C567" s="3" t="s">
        <v>624</v>
      </c>
      <c r="D567" s="3" t="s">
        <v>14</v>
      </c>
      <c r="E567" s="3" t="s">
        <v>466</v>
      </c>
      <c r="F567" s="4">
        <v>46126</v>
      </c>
      <c r="G567" s="3" t="s">
        <v>17</v>
      </c>
      <c r="H567" s="5">
        <v>-6484077.5999999996</v>
      </c>
      <c r="I567" s="3" t="s">
        <v>18</v>
      </c>
      <c r="J567" s="3" t="s">
        <v>14</v>
      </c>
      <c r="K567" s="3" t="s">
        <v>14</v>
      </c>
      <c r="L567" s="3" t="s">
        <v>55</v>
      </c>
      <c r="M567" s="4">
        <v>46126</v>
      </c>
      <c r="N567" s="3" t="s">
        <v>56</v>
      </c>
      <c r="O567" s="3" t="s">
        <v>22</v>
      </c>
      <c r="P567" t="str">
        <f t="shared" si="8"/>
        <v>450012332120</v>
      </c>
      <c r="Q567" s="7" cm="1">
        <f t="array" ref="Q567:S567">VLOOKUP(P567,Hoja1!C:F,{2,3,4},FALSE)</f>
        <v>46142</v>
      </c>
      <c r="R567" t="str">
        <v>C14</v>
      </c>
      <c r="S567" t="str">
        <v>1000001146 BUNTECH DEL LAGO SOCIEDAD ANONIMA</v>
      </c>
    </row>
    <row r="568" spans="1:19" x14ac:dyDescent="0.3">
      <c r="A568" s="2" t="s">
        <v>14</v>
      </c>
      <c r="B568" s="3" t="s">
        <v>14</v>
      </c>
      <c r="C568" s="3" t="s">
        <v>625</v>
      </c>
      <c r="D568" s="3" t="s">
        <v>14</v>
      </c>
      <c r="E568" s="3" t="s">
        <v>466</v>
      </c>
      <c r="F568" s="4">
        <v>46126</v>
      </c>
      <c r="G568" s="3" t="s">
        <v>17</v>
      </c>
      <c r="H568" s="5">
        <v>-6588366.96</v>
      </c>
      <c r="I568" s="3" t="s">
        <v>18</v>
      </c>
      <c r="J568" s="3" t="s">
        <v>14</v>
      </c>
      <c r="K568" s="3" t="s">
        <v>14</v>
      </c>
      <c r="L568" s="3" t="s">
        <v>55</v>
      </c>
      <c r="M568" s="4">
        <v>46126</v>
      </c>
      <c r="N568" s="3" t="s">
        <v>56</v>
      </c>
      <c r="O568" s="3" t="s">
        <v>22</v>
      </c>
      <c r="P568" t="str">
        <f t="shared" si="8"/>
        <v>450012332120</v>
      </c>
      <c r="Q568" s="7" cm="1">
        <f t="array" ref="Q568:S568">VLOOKUP(P568,Hoja1!C:F,{2,3,4},FALSE)</f>
        <v>46142</v>
      </c>
      <c r="R568" t="str">
        <v>C14</v>
      </c>
      <c r="S568" t="str">
        <v>1000001146 BUNTECH DEL LAGO SOCIEDAD ANONIMA</v>
      </c>
    </row>
    <row r="569" spans="1:19" x14ac:dyDescent="0.3">
      <c r="A569" s="2" t="s">
        <v>14</v>
      </c>
      <c r="B569" s="3" t="s">
        <v>14</v>
      </c>
      <c r="C569" s="3" t="s">
        <v>626</v>
      </c>
      <c r="D569" s="3" t="s">
        <v>14</v>
      </c>
      <c r="E569" s="3" t="s">
        <v>466</v>
      </c>
      <c r="F569" s="4">
        <v>46127</v>
      </c>
      <c r="G569" s="3" t="s">
        <v>17</v>
      </c>
      <c r="H569" s="5">
        <v>-6697504</v>
      </c>
      <c r="I569" s="3" t="s">
        <v>18</v>
      </c>
      <c r="J569" s="3" t="s">
        <v>14</v>
      </c>
      <c r="K569" s="3" t="s">
        <v>14</v>
      </c>
      <c r="L569" s="3" t="s">
        <v>627</v>
      </c>
      <c r="M569" s="4">
        <v>46127</v>
      </c>
      <c r="N569" s="3" t="s">
        <v>628</v>
      </c>
      <c r="O569" s="3" t="s">
        <v>30</v>
      </c>
      <c r="P569" t="str">
        <f t="shared" si="8"/>
        <v>450011004310</v>
      </c>
      <c r="Q569" s="7" cm="1">
        <f t="array" ref="Q569:S569">VLOOKUP(P569,Hoja1!C:F,{2,3,4},FALSE)</f>
        <v>46203</v>
      </c>
      <c r="R569" t="str">
        <v>C21</v>
      </c>
      <c r="S569" t="str">
        <v>1000000634 RAIZEN ARGENTINA S.A.U.</v>
      </c>
    </row>
    <row r="570" spans="1:19" x14ac:dyDescent="0.3">
      <c r="A570" s="2" t="s">
        <v>14</v>
      </c>
      <c r="B570" s="3" t="s">
        <v>14</v>
      </c>
      <c r="C570" s="3" t="s">
        <v>626</v>
      </c>
      <c r="D570" s="3" t="s">
        <v>14</v>
      </c>
      <c r="E570" s="3" t="s">
        <v>466</v>
      </c>
      <c r="F570" s="4">
        <v>46127</v>
      </c>
      <c r="G570" s="3" t="s">
        <v>17</v>
      </c>
      <c r="H570" s="5">
        <v>-763234</v>
      </c>
      <c r="I570" s="3" t="s">
        <v>18</v>
      </c>
      <c r="J570" s="3" t="s">
        <v>14</v>
      </c>
      <c r="K570" s="3" t="s">
        <v>14</v>
      </c>
      <c r="L570" s="3" t="s">
        <v>627</v>
      </c>
      <c r="M570" s="4">
        <v>46127</v>
      </c>
      <c r="N570" s="3" t="s">
        <v>628</v>
      </c>
      <c r="O570" s="3" t="s">
        <v>30</v>
      </c>
      <c r="P570" t="str">
        <f t="shared" si="8"/>
        <v>450011004310</v>
      </c>
      <c r="Q570" s="7" cm="1">
        <f t="array" ref="Q570:S570">VLOOKUP(P570,Hoja1!C:F,{2,3,4},FALSE)</f>
        <v>46203</v>
      </c>
      <c r="R570" t="str">
        <v>C21</v>
      </c>
      <c r="S570" t="str">
        <v>1000000634 RAIZEN ARGENTINA S.A.U.</v>
      </c>
    </row>
    <row r="571" spans="1:19" x14ac:dyDescent="0.3">
      <c r="A571" s="2" t="s">
        <v>14</v>
      </c>
      <c r="B571" s="3" t="s">
        <v>14</v>
      </c>
      <c r="C571" s="3" t="s">
        <v>629</v>
      </c>
      <c r="D571" s="3" t="s">
        <v>14</v>
      </c>
      <c r="E571" s="3" t="s">
        <v>466</v>
      </c>
      <c r="F571" s="4">
        <v>45794</v>
      </c>
      <c r="G571" s="3" t="s">
        <v>17</v>
      </c>
      <c r="H571" s="5">
        <v>-25350</v>
      </c>
      <c r="I571" s="3" t="s">
        <v>18</v>
      </c>
      <c r="J571" s="3" t="s">
        <v>14</v>
      </c>
      <c r="K571" s="3" t="s">
        <v>14</v>
      </c>
      <c r="L571" s="3" t="s">
        <v>547</v>
      </c>
      <c r="M571" s="4">
        <v>45796</v>
      </c>
      <c r="N571" s="3" t="s">
        <v>548</v>
      </c>
      <c r="O571" s="3" t="s">
        <v>35</v>
      </c>
      <c r="P571" t="str">
        <f t="shared" si="8"/>
        <v>450009551230</v>
      </c>
      <c r="Q571" s="7" cm="1">
        <f t="array" ref="Q571:S571">VLOOKUP(P571,Hoja1!C:F,{2,3,4},FALSE)</f>
        <v>45792</v>
      </c>
      <c r="R571" t="str">
        <v>C03</v>
      </c>
      <c r="S571" t="str">
        <v>1000002964 LACIAR LEANDRO ADOLFO</v>
      </c>
    </row>
    <row r="572" spans="1:19" x14ac:dyDescent="0.3">
      <c r="A572" s="2" t="s">
        <v>14</v>
      </c>
      <c r="B572" s="3" t="s">
        <v>14</v>
      </c>
      <c r="C572" s="3" t="s">
        <v>630</v>
      </c>
      <c r="D572" s="3" t="s">
        <v>32</v>
      </c>
      <c r="E572" s="3" t="s">
        <v>466</v>
      </c>
      <c r="F572" s="4">
        <v>46128</v>
      </c>
      <c r="G572" s="3" t="s">
        <v>17</v>
      </c>
      <c r="H572" s="5">
        <v>-195000</v>
      </c>
      <c r="I572" s="3" t="s">
        <v>18</v>
      </c>
      <c r="J572" s="3" t="s">
        <v>14</v>
      </c>
      <c r="K572" s="3" t="s">
        <v>14</v>
      </c>
      <c r="L572" s="3" t="s">
        <v>181</v>
      </c>
      <c r="M572" s="4">
        <v>46128</v>
      </c>
      <c r="N572" s="3" t="s">
        <v>261</v>
      </c>
      <c r="O572" s="3" t="s">
        <v>30</v>
      </c>
      <c r="P572" t="str">
        <f t="shared" si="8"/>
        <v>450012237610</v>
      </c>
      <c r="Q572" s="7" cm="1">
        <f t="array" ref="Q572:S572">VLOOKUP(P572,Hoja1!C:F,{2,3,4},FALSE)</f>
        <v>46174</v>
      </c>
      <c r="R572" t="str">
        <v>EFO</v>
      </c>
      <c r="S572" t="str">
        <v>1000011461 CONTRERAS BRIAN ALEXANDER</v>
      </c>
    </row>
    <row r="573" spans="1:19" x14ac:dyDescent="0.3">
      <c r="A573" s="2" t="s">
        <v>14</v>
      </c>
      <c r="B573" s="3" t="s">
        <v>14</v>
      </c>
      <c r="C573" s="3" t="s">
        <v>630</v>
      </c>
      <c r="D573" s="3" t="s">
        <v>32</v>
      </c>
      <c r="E573" s="3" t="s">
        <v>466</v>
      </c>
      <c r="F573" s="4">
        <v>46128</v>
      </c>
      <c r="G573" s="3" t="s">
        <v>17</v>
      </c>
      <c r="H573" s="5">
        <v>-180000</v>
      </c>
      <c r="I573" s="3" t="s">
        <v>18</v>
      </c>
      <c r="J573" s="3" t="s">
        <v>14</v>
      </c>
      <c r="K573" s="3" t="s">
        <v>14</v>
      </c>
      <c r="L573" s="3" t="s">
        <v>181</v>
      </c>
      <c r="M573" s="4">
        <v>46128</v>
      </c>
      <c r="N573" s="3" t="s">
        <v>261</v>
      </c>
      <c r="O573" s="3" t="s">
        <v>22</v>
      </c>
      <c r="P573" t="str">
        <f t="shared" si="8"/>
        <v>450012237620</v>
      </c>
      <c r="Q573" s="7" cm="1">
        <f t="array" ref="Q573:S573">VLOOKUP(P573,Hoja1!C:F,{2,3,4},FALSE)</f>
        <v>46174</v>
      </c>
      <c r="R573" t="str">
        <v>EFO</v>
      </c>
      <c r="S573" t="str">
        <v>1000011461 CONTRERAS BRIAN ALEXANDER</v>
      </c>
    </row>
    <row r="574" spans="1:19" x14ac:dyDescent="0.3">
      <c r="A574" s="2" t="s">
        <v>14</v>
      </c>
      <c r="B574" s="3" t="s">
        <v>14</v>
      </c>
      <c r="C574" s="3" t="s">
        <v>630</v>
      </c>
      <c r="D574" s="3" t="s">
        <v>32</v>
      </c>
      <c r="E574" s="3" t="s">
        <v>466</v>
      </c>
      <c r="F574" s="4">
        <v>46128</v>
      </c>
      <c r="G574" s="3" t="s">
        <v>17</v>
      </c>
      <c r="H574" s="5">
        <v>-1300000</v>
      </c>
      <c r="I574" s="3" t="s">
        <v>18</v>
      </c>
      <c r="J574" s="3" t="s">
        <v>14</v>
      </c>
      <c r="K574" s="3" t="s">
        <v>14</v>
      </c>
      <c r="L574" s="3" t="s">
        <v>181</v>
      </c>
      <c r="M574" s="4">
        <v>46128</v>
      </c>
      <c r="N574" s="3" t="s">
        <v>261</v>
      </c>
      <c r="O574" s="3" t="s">
        <v>35</v>
      </c>
      <c r="P574" t="str">
        <f t="shared" si="8"/>
        <v>450012237630</v>
      </c>
      <c r="Q574" s="7" cm="1">
        <f t="array" ref="Q574:S574">VLOOKUP(P574,Hoja1!C:F,{2,3,4},FALSE)</f>
        <v>46174</v>
      </c>
      <c r="R574" t="str">
        <v>EFO</v>
      </c>
      <c r="S574" t="str">
        <v>1000011461 CONTRERAS BRIAN ALEXANDER</v>
      </c>
    </row>
    <row r="575" spans="1:19" x14ac:dyDescent="0.3">
      <c r="A575" s="2" t="s">
        <v>14</v>
      </c>
      <c r="B575" s="3" t="s">
        <v>14</v>
      </c>
      <c r="C575" s="3" t="s">
        <v>630</v>
      </c>
      <c r="D575" s="3" t="s">
        <v>32</v>
      </c>
      <c r="E575" s="3" t="s">
        <v>466</v>
      </c>
      <c r="F575" s="4">
        <v>46128</v>
      </c>
      <c r="G575" s="3" t="s">
        <v>17</v>
      </c>
      <c r="H575" s="5">
        <v>-204000</v>
      </c>
      <c r="I575" s="3" t="s">
        <v>18</v>
      </c>
      <c r="J575" s="3" t="s">
        <v>14</v>
      </c>
      <c r="K575" s="3" t="s">
        <v>14</v>
      </c>
      <c r="L575" s="3" t="s">
        <v>181</v>
      </c>
      <c r="M575" s="4">
        <v>46128</v>
      </c>
      <c r="N575" s="3" t="s">
        <v>261</v>
      </c>
      <c r="O575" s="3" t="s">
        <v>141</v>
      </c>
      <c r="P575" t="str">
        <f t="shared" si="8"/>
        <v>450012237660</v>
      </c>
      <c r="Q575" s="7" cm="1">
        <f t="array" ref="Q575:S575">VLOOKUP(P575,Hoja1!C:F,{2,3,4},FALSE)</f>
        <v>46174</v>
      </c>
      <c r="R575" t="str">
        <v>EFO</v>
      </c>
      <c r="S575" t="str">
        <v>1000011461 CONTRERAS BRIAN ALEXANDER</v>
      </c>
    </row>
    <row r="576" spans="1:19" x14ac:dyDescent="0.3">
      <c r="A576" s="2" t="s">
        <v>14</v>
      </c>
      <c r="B576" s="3" t="s">
        <v>14</v>
      </c>
      <c r="C576" s="3" t="s">
        <v>631</v>
      </c>
      <c r="D576" s="3" t="s">
        <v>32</v>
      </c>
      <c r="E576" s="3" t="s">
        <v>466</v>
      </c>
      <c r="F576" s="4">
        <v>46129</v>
      </c>
      <c r="G576" s="3" t="s">
        <v>17</v>
      </c>
      <c r="H576" s="5">
        <v>-102333.61</v>
      </c>
      <c r="I576" s="3" t="s">
        <v>18</v>
      </c>
      <c r="J576" s="3" t="s">
        <v>14</v>
      </c>
      <c r="K576" s="3" t="s">
        <v>14</v>
      </c>
      <c r="L576" s="3" t="s">
        <v>88</v>
      </c>
      <c r="M576" s="4">
        <v>46129</v>
      </c>
      <c r="N576" s="3" t="s">
        <v>632</v>
      </c>
      <c r="O576" s="3" t="s">
        <v>30</v>
      </c>
      <c r="P576" t="str">
        <f t="shared" si="8"/>
        <v>450012534710</v>
      </c>
      <c r="Q576" s="7" cm="1">
        <f t="array" ref="Q576:S576">VLOOKUP(P576,Hoja1!C:F,{2,3,4},FALSE)</f>
        <v>46132</v>
      </c>
      <c r="R576" t="str">
        <v>C21</v>
      </c>
      <c r="S576" t="str">
        <v>1000004906 FERRARO Y CIA S.A.</v>
      </c>
    </row>
    <row r="577" spans="1:19" x14ac:dyDescent="0.3">
      <c r="A577" s="2" t="s">
        <v>14</v>
      </c>
      <c r="B577" s="3" t="s">
        <v>14</v>
      </c>
      <c r="C577" s="3" t="s">
        <v>633</v>
      </c>
      <c r="D577" s="3" t="s">
        <v>32</v>
      </c>
      <c r="E577" s="3" t="s">
        <v>466</v>
      </c>
      <c r="F577" s="4">
        <v>46129</v>
      </c>
      <c r="G577" s="3" t="s">
        <v>17</v>
      </c>
      <c r="H577" s="5">
        <v>-1028660</v>
      </c>
      <c r="I577" s="3" t="s">
        <v>18</v>
      </c>
      <c r="J577" s="3" t="s">
        <v>14</v>
      </c>
      <c r="K577" s="3" t="s">
        <v>14</v>
      </c>
      <c r="L577" s="3" t="s">
        <v>634</v>
      </c>
      <c r="M577" s="4">
        <v>46129</v>
      </c>
      <c r="N577" s="3" t="s">
        <v>635</v>
      </c>
      <c r="O577" s="3" t="s">
        <v>30</v>
      </c>
      <c r="P577" t="str">
        <f t="shared" si="8"/>
        <v>450011758910</v>
      </c>
      <c r="Q577" s="7" cm="1">
        <f t="array" ref="Q577:S577">VLOOKUP(P577,Hoja1!C:F,{2,3,4},FALSE)</f>
        <v>46051</v>
      </c>
      <c r="R577" t="str">
        <v>C27</v>
      </c>
      <c r="S577" t="str">
        <v>1000002945 METALURGICA RP SRL</v>
      </c>
    </row>
    <row r="578" spans="1:19" x14ac:dyDescent="0.3">
      <c r="A578" s="2" t="s">
        <v>14</v>
      </c>
      <c r="B578" s="3" t="s">
        <v>14</v>
      </c>
      <c r="C578" s="3" t="s">
        <v>636</v>
      </c>
      <c r="D578" s="3" t="s">
        <v>14</v>
      </c>
      <c r="E578" s="3" t="s">
        <v>466</v>
      </c>
      <c r="F578" s="4">
        <v>46133</v>
      </c>
      <c r="G578" s="3" t="s">
        <v>17</v>
      </c>
      <c r="H578" s="5">
        <v>-96000</v>
      </c>
      <c r="I578" s="3" t="s">
        <v>18</v>
      </c>
      <c r="J578" s="3" t="s">
        <v>14</v>
      </c>
      <c r="K578" s="3" t="s">
        <v>14</v>
      </c>
      <c r="L578" s="3" t="s">
        <v>246</v>
      </c>
      <c r="M578" s="4">
        <v>46133</v>
      </c>
      <c r="N578" s="3" t="s">
        <v>247</v>
      </c>
      <c r="O578" s="3" t="s">
        <v>144</v>
      </c>
      <c r="P578" t="str">
        <f t="shared" si="8"/>
        <v>450011578350</v>
      </c>
      <c r="Q578" s="7" cm="1">
        <f t="array" ref="Q578:S578">VLOOKUP(P578,Hoja1!C:F,{2,3,4},FALSE)</f>
        <v>46142</v>
      </c>
      <c r="R578" t="str">
        <v>C24</v>
      </c>
      <c r="S578" t="str">
        <v>1000000185 BUREAU VERITAS ARG. S.A.</v>
      </c>
    </row>
    <row r="579" spans="1:19" x14ac:dyDescent="0.3">
      <c r="A579" s="2" t="s">
        <v>14</v>
      </c>
      <c r="B579" s="3" t="s">
        <v>14</v>
      </c>
      <c r="C579" s="3" t="s">
        <v>637</v>
      </c>
      <c r="D579" s="3" t="s">
        <v>25</v>
      </c>
      <c r="E579" s="3" t="s">
        <v>466</v>
      </c>
      <c r="F579" s="4">
        <v>46133</v>
      </c>
      <c r="G579" s="3" t="s">
        <v>17</v>
      </c>
      <c r="H579" s="5">
        <v>-1852633.86</v>
      </c>
      <c r="I579" s="3" t="s">
        <v>18</v>
      </c>
      <c r="J579" s="3" t="s">
        <v>14</v>
      </c>
      <c r="K579" s="3" t="s">
        <v>14</v>
      </c>
      <c r="L579" s="3" t="s">
        <v>627</v>
      </c>
      <c r="M579" s="4">
        <v>46133</v>
      </c>
      <c r="N579" s="3" t="s">
        <v>638</v>
      </c>
      <c r="O579" s="3" t="s">
        <v>30</v>
      </c>
      <c r="P579" t="str">
        <f t="shared" ref="P579:P642" si="9">_xlfn.CONCAT(N579:O579)</f>
        <v>450012525010</v>
      </c>
      <c r="Q579" s="7" cm="1">
        <f t="array" ref="Q579:S579">VLOOKUP(P579,Hoja1!C:F,{2,3,4},FALSE)</f>
        <v>46142</v>
      </c>
      <c r="R579" t="str">
        <v>C21</v>
      </c>
      <c r="S579" t="str">
        <v>1000000634 RAIZEN ARGENTINA S.A.U.</v>
      </c>
    </row>
    <row r="580" spans="1:19" x14ac:dyDescent="0.3">
      <c r="A580" s="2" t="s">
        <v>14</v>
      </c>
      <c r="B580" s="3" t="s">
        <v>14</v>
      </c>
      <c r="C580" s="3" t="s">
        <v>637</v>
      </c>
      <c r="D580" s="3" t="s">
        <v>25</v>
      </c>
      <c r="E580" s="3" t="s">
        <v>466</v>
      </c>
      <c r="F580" s="4">
        <v>46133</v>
      </c>
      <c r="G580" s="3" t="s">
        <v>17</v>
      </c>
      <c r="H580" s="5">
        <v>-207189.67</v>
      </c>
      <c r="I580" s="3" t="s">
        <v>18</v>
      </c>
      <c r="J580" s="3" t="s">
        <v>14</v>
      </c>
      <c r="K580" s="3" t="s">
        <v>14</v>
      </c>
      <c r="L580" s="3" t="s">
        <v>627</v>
      </c>
      <c r="M580" s="4">
        <v>46133</v>
      </c>
      <c r="N580" s="3" t="s">
        <v>638</v>
      </c>
      <c r="O580" s="3" t="s">
        <v>30</v>
      </c>
      <c r="P580" t="str">
        <f t="shared" si="9"/>
        <v>450012525010</v>
      </c>
      <c r="Q580" s="7" cm="1">
        <f t="array" ref="Q580:S580">VLOOKUP(P580,Hoja1!C:F,{2,3,4},FALSE)</f>
        <v>46142</v>
      </c>
      <c r="R580" t="str">
        <v>C21</v>
      </c>
      <c r="S580" t="str">
        <v>1000000634 RAIZEN ARGENTINA S.A.U.</v>
      </c>
    </row>
    <row r="581" spans="1:19" x14ac:dyDescent="0.3">
      <c r="A581" s="2" t="s">
        <v>14</v>
      </c>
      <c r="B581" s="3" t="s">
        <v>14</v>
      </c>
      <c r="C581" s="3" t="s">
        <v>639</v>
      </c>
      <c r="D581" s="3" t="s">
        <v>32</v>
      </c>
      <c r="E581" s="3" t="s">
        <v>466</v>
      </c>
      <c r="F581" s="4">
        <v>46133</v>
      </c>
      <c r="G581" s="3" t="s">
        <v>17</v>
      </c>
      <c r="H581" s="5">
        <v>-127746</v>
      </c>
      <c r="I581" s="3" t="s">
        <v>18</v>
      </c>
      <c r="J581" s="3" t="s">
        <v>14</v>
      </c>
      <c r="K581" s="3" t="s">
        <v>14</v>
      </c>
      <c r="L581" s="3" t="s">
        <v>379</v>
      </c>
      <c r="M581" s="4">
        <v>46133</v>
      </c>
      <c r="N581" s="3" t="s">
        <v>640</v>
      </c>
      <c r="O581" s="3" t="s">
        <v>30</v>
      </c>
      <c r="P581" t="str">
        <f t="shared" si="9"/>
        <v>450012502710</v>
      </c>
      <c r="Q581" s="7" cm="1">
        <f t="array" ref="Q581:S581">VLOOKUP(P581,Hoja1!C:F,{2,3,4},FALSE)</f>
        <v>46142</v>
      </c>
      <c r="R581" t="str">
        <v>C08</v>
      </c>
      <c r="S581" t="str">
        <v>1000000134 SIPAR ACEROS S.A.</v>
      </c>
    </row>
    <row r="582" spans="1:19" x14ac:dyDescent="0.3">
      <c r="A582" s="2" t="s">
        <v>14</v>
      </c>
      <c r="B582" s="3" t="s">
        <v>14</v>
      </c>
      <c r="C582" s="3" t="s">
        <v>641</v>
      </c>
      <c r="D582" s="3" t="s">
        <v>14</v>
      </c>
      <c r="E582" s="3" t="s">
        <v>466</v>
      </c>
      <c r="F582" s="4">
        <v>46134</v>
      </c>
      <c r="G582" s="3" t="s">
        <v>17</v>
      </c>
      <c r="H582" s="5">
        <v>-1371</v>
      </c>
      <c r="I582" s="3" t="s">
        <v>18</v>
      </c>
      <c r="J582" s="3" t="s">
        <v>14</v>
      </c>
      <c r="K582" s="3" t="s">
        <v>14</v>
      </c>
      <c r="L582" s="3" t="s">
        <v>274</v>
      </c>
      <c r="M582" s="4">
        <v>46134</v>
      </c>
      <c r="N582" s="3" t="s">
        <v>642</v>
      </c>
      <c r="O582" s="3" t="s">
        <v>30</v>
      </c>
      <c r="P582" t="str">
        <f t="shared" si="9"/>
        <v>450011914210</v>
      </c>
      <c r="Q582" s="7" cm="1">
        <f t="array" ref="Q582:S582">VLOOKUP(P582,Hoja1!C:F,{2,3,4},FALSE)</f>
        <v>46068</v>
      </c>
      <c r="R582" t="str">
        <v>C38</v>
      </c>
      <c r="S582" t="str">
        <v>1000000072 BERTEC S.A</v>
      </c>
    </row>
    <row r="583" spans="1:19" x14ac:dyDescent="0.3">
      <c r="A583" s="2" t="s">
        <v>14</v>
      </c>
      <c r="B583" s="3" t="s">
        <v>14</v>
      </c>
      <c r="C583" s="3" t="s">
        <v>643</v>
      </c>
      <c r="D583" s="3" t="s">
        <v>14</v>
      </c>
      <c r="E583" s="3" t="s">
        <v>466</v>
      </c>
      <c r="F583" s="4">
        <v>46134</v>
      </c>
      <c r="G583" s="3" t="s">
        <v>17</v>
      </c>
      <c r="H583" s="5">
        <v>-1371</v>
      </c>
      <c r="I583" s="3" t="s">
        <v>18</v>
      </c>
      <c r="J583" s="3" t="s">
        <v>14</v>
      </c>
      <c r="K583" s="3" t="s">
        <v>14</v>
      </c>
      <c r="L583" s="3" t="s">
        <v>274</v>
      </c>
      <c r="M583" s="4">
        <v>46134</v>
      </c>
      <c r="N583" s="3" t="s">
        <v>642</v>
      </c>
      <c r="O583" s="3" t="s">
        <v>35</v>
      </c>
      <c r="P583" t="str">
        <f t="shared" si="9"/>
        <v>450011914230</v>
      </c>
      <c r="Q583" s="7" cm="1">
        <f t="array" ref="Q583:S583">VLOOKUP(P583,Hoja1!C:F,{2,3,4},FALSE)</f>
        <v>46068</v>
      </c>
      <c r="R583" t="str">
        <v>C38</v>
      </c>
      <c r="S583" t="str">
        <v>1000000072 BERTEC S.A</v>
      </c>
    </row>
    <row r="584" spans="1:19" x14ac:dyDescent="0.3">
      <c r="A584" s="2" t="s">
        <v>14</v>
      </c>
      <c r="B584" s="3" t="s">
        <v>14</v>
      </c>
      <c r="C584" s="3" t="s">
        <v>644</v>
      </c>
      <c r="D584" s="3" t="s">
        <v>14</v>
      </c>
      <c r="E584" s="3" t="s">
        <v>466</v>
      </c>
      <c r="F584" s="4">
        <v>46135</v>
      </c>
      <c r="G584" s="3" t="s">
        <v>17</v>
      </c>
      <c r="H584" s="5">
        <v>-306000</v>
      </c>
      <c r="I584" s="3" t="s">
        <v>18</v>
      </c>
      <c r="J584" s="3" t="s">
        <v>14</v>
      </c>
      <c r="K584" s="3" t="s">
        <v>14</v>
      </c>
      <c r="L584" s="3" t="s">
        <v>522</v>
      </c>
      <c r="M584" s="4">
        <v>46135</v>
      </c>
      <c r="N584" s="3" t="s">
        <v>555</v>
      </c>
      <c r="O584" s="3" t="s">
        <v>35</v>
      </c>
      <c r="P584" t="str">
        <f t="shared" si="9"/>
        <v>450011749030</v>
      </c>
      <c r="Q584" s="7" cm="1">
        <f t="array" ref="Q584:S584">VLOOKUP(P584,Hoja1!C:F,{2,3,4},FALSE)</f>
        <v>46143</v>
      </c>
      <c r="R584" t="str">
        <v>C03</v>
      </c>
      <c r="S584" t="str">
        <v>1000000052 DEVOL S.A.</v>
      </c>
    </row>
    <row r="585" spans="1:19" x14ac:dyDescent="0.3">
      <c r="A585" s="2" t="s">
        <v>14</v>
      </c>
      <c r="B585" s="3" t="s">
        <v>14</v>
      </c>
      <c r="C585" s="3" t="s">
        <v>645</v>
      </c>
      <c r="D585" s="3" t="s">
        <v>14</v>
      </c>
      <c r="E585" s="3" t="s">
        <v>466</v>
      </c>
      <c r="F585" s="4">
        <v>46134</v>
      </c>
      <c r="G585" s="3" t="s">
        <v>17</v>
      </c>
      <c r="H585" s="5">
        <v>-16898</v>
      </c>
      <c r="I585" s="3" t="s">
        <v>18</v>
      </c>
      <c r="J585" s="3" t="s">
        <v>14</v>
      </c>
      <c r="K585" s="3" t="s">
        <v>14</v>
      </c>
      <c r="L585" s="3" t="s">
        <v>603</v>
      </c>
      <c r="M585" s="4">
        <v>46136</v>
      </c>
      <c r="N585" s="3" t="s">
        <v>646</v>
      </c>
      <c r="O585" s="3" t="s">
        <v>30</v>
      </c>
      <c r="P585" t="str">
        <f t="shared" si="9"/>
        <v>450012546810</v>
      </c>
      <c r="Q585" s="7" cm="1">
        <f t="array" ref="Q585:S585">VLOOKUP(P585,Hoja1!C:F,{2,3,4},FALSE)</f>
        <v>46274</v>
      </c>
      <c r="R585" t="str">
        <v>C42</v>
      </c>
      <c r="S585" t="str">
        <v>1000000161 BOSCO GERMAN, BOSCO LUCIO Y BOSCO</v>
      </c>
    </row>
    <row r="586" spans="1:19" x14ac:dyDescent="0.3">
      <c r="A586" s="2" t="s">
        <v>14</v>
      </c>
      <c r="B586" s="3" t="s">
        <v>14</v>
      </c>
      <c r="C586" s="3" t="s">
        <v>647</v>
      </c>
      <c r="D586" s="3" t="s">
        <v>14</v>
      </c>
      <c r="E586" s="3" t="s">
        <v>466</v>
      </c>
      <c r="F586" s="4">
        <v>46121</v>
      </c>
      <c r="G586" s="3" t="s">
        <v>17</v>
      </c>
      <c r="H586" s="5">
        <v>-375753.58</v>
      </c>
      <c r="I586" s="3" t="s">
        <v>18</v>
      </c>
      <c r="J586" s="3" t="s">
        <v>14</v>
      </c>
      <c r="K586" s="3" t="s">
        <v>14</v>
      </c>
      <c r="L586" s="3" t="s">
        <v>73</v>
      </c>
      <c r="M586" s="4">
        <v>46121</v>
      </c>
      <c r="N586" s="3" t="s">
        <v>74</v>
      </c>
      <c r="O586" s="3" t="s">
        <v>30</v>
      </c>
      <c r="P586" t="str">
        <f t="shared" si="9"/>
        <v>450012597910</v>
      </c>
      <c r="Q586" s="7" cm="1">
        <f t="array" ref="Q586:S586">VLOOKUP(P586,Hoja1!C:F,{2,3,4},FALSE)</f>
        <v>46254</v>
      </c>
      <c r="R586" t="str">
        <v>C21</v>
      </c>
      <c r="S586" t="str">
        <v>1000000808 GLOBAL OIL S.R.L.</v>
      </c>
    </row>
    <row r="587" spans="1:19" x14ac:dyDescent="0.3">
      <c r="A587" s="2" t="s">
        <v>14</v>
      </c>
      <c r="B587" s="3" t="s">
        <v>14</v>
      </c>
      <c r="C587" s="3" t="s">
        <v>647</v>
      </c>
      <c r="D587" s="3" t="s">
        <v>14</v>
      </c>
      <c r="E587" s="3" t="s">
        <v>466</v>
      </c>
      <c r="F587" s="4">
        <v>46121</v>
      </c>
      <c r="G587" s="3" t="s">
        <v>17</v>
      </c>
      <c r="H587" s="5">
        <v>-79107.539999999994</v>
      </c>
      <c r="I587" s="3" t="s">
        <v>18</v>
      </c>
      <c r="J587" s="3" t="s">
        <v>14</v>
      </c>
      <c r="K587" s="3" t="s">
        <v>14</v>
      </c>
      <c r="L587" s="3" t="s">
        <v>73</v>
      </c>
      <c r="M587" s="4">
        <v>46121</v>
      </c>
      <c r="N587" s="3" t="s">
        <v>74</v>
      </c>
      <c r="O587" s="3" t="s">
        <v>30</v>
      </c>
      <c r="P587" t="str">
        <f t="shared" si="9"/>
        <v>450012597910</v>
      </c>
      <c r="Q587" s="7" cm="1">
        <f t="array" ref="Q587:S587">VLOOKUP(P587,Hoja1!C:F,{2,3,4},FALSE)</f>
        <v>46254</v>
      </c>
      <c r="R587" t="str">
        <v>C21</v>
      </c>
      <c r="S587" t="str">
        <v>1000000808 GLOBAL OIL S.R.L.</v>
      </c>
    </row>
    <row r="588" spans="1:19" x14ac:dyDescent="0.3">
      <c r="A588" s="2" t="s">
        <v>14</v>
      </c>
      <c r="B588" s="3" t="s">
        <v>14</v>
      </c>
      <c r="C588" s="3" t="s">
        <v>648</v>
      </c>
      <c r="D588" s="3" t="s">
        <v>14</v>
      </c>
      <c r="E588" s="3" t="s">
        <v>466</v>
      </c>
      <c r="F588" s="4">
        <v>46123</v>
      </c>
      <c r="G588" s="3" t="s">
        <v>17</v>
      </c>
      <c r="H588" s="5">
        <v>-362684</v>
      </c>
      <c r="I588" s="3" t="s">
        <v>18</v>
      </c>
      <c r="J588" s="3" t="s">
        <v>14</v>
      </c>
      <c r="K588" s="3" t="s">
        <v>14</v>
      </c>
      <c r="L588" s="3" t="s">
        <v>73</v>
      </c>
      <c r="M588" s="4">
        <v>46123</v>
      </c>
      <c r="N588" s="3" t="s">
        <v>74</v>
      </c>
      <c r="O588" s="3" t="s">
        <v>30</v>
      </c>
      <c r="P588" t="str">
        <f t="shared" si="9"/>
        <v>450012597910</v>
      </c>
      <c r="Q588" s="7" cm="1">
        <f t="array" ref="Q588:S588">VLOOKUP(P588,Hoja1!C:F,{2,3,4},FALSE)</f>
        <v>46254</v>
      </c>
      <c r="R588" t="str">
        <v>C21</v>
      </c>
      <c r="S588" t="str">
        <v>1000000808 GLOBAL OIL S.R.L.</v>
      </c>
    </row>
    <row r="589" spans="1:19" x14ac:dyDescent="0.3">
      <c r="A589" s="2" t="s">
        <v>14</v>
      </c>
      <c r="B589" s="3" t="s">
        <v>14</v>
      </c>
      <c r="C589" s="3" t="s">
        <v>648</v>
      </c>
      <c r="D589" s="3" t="s">
        <v>14</v>
      </c>
      <c r="E589" s="3" t="s">
        <v>466</v>
      </c>
      <c r="F589" s="4">
        <v>46123</v>
      </c>
      <c r="G589" s="3" t="s">
        <v>17</v>
      </c>
      <c r="H589" s="5">
        <v>-76356</v>
      </c>
      <c r="I589" s="3" t="s">
        <v>18</v>
      </c>
      <c r="J589" s="3" t="s">
        <v>14</v>
      </c>
      <c r="K589" s="3" t="s">
        <v>14</v>
      </c>
      <c r="L589" s="3" t="s">
        <v>73</v>
      </c>
      <c r="M589" s="4">
        <v>46123</v>
      </c>
      <c r="N589" s="3" t="s">
        <v>74</v>
      </c>
      <c r="O589" s="3" t="s">
        <v>30</v>
      </c>
      <c r="P589" t="str">
        <f t="shared" si="9"/>
        <v>450012597910</v>
      </c>
      <c r="Q589" s="7" cm="1">
        <f t="array" ref="Q589:S589">VLOOKUP(P589,Hoja1!C:F,{2,3,4},FALSE)</f>
        <v>46254</v>
      </c>
      <c r="R589" t="str">
        <v>C21</v>
      </c>
      <c r="S589" t="str">
        <v>1000000808 GLOBAL OIL S.R.L.</v>
      </c>
    </row>
    <row r="590" spans="1:19" x14ac:dyDescent="0.3">
      <c r="A590" s="2" t="s">
        <v>14</v>
      </c>
      <c r="B590" s="3" t="s">
        <v>14</v>
      </c>
      <c r="C590" s="3" t="s">
        <v>649</v>
      </c>
      <c r="D590" s="3" t="s">
        <v>14</v>
      </c>
      <c r="E590" s="3" t="s">
        <v>466</v>
      </c>
      <c r="F590" s="4">
        <v>46126</v>
      </c>
      <c r="G590" s="3" t="s">
        <v>17</v>
      </c>
      <c r="H590" s="5">
        <v>-472849.27</v>
      </c>
      <c r="I590" s="3" t="s">
        <v>18</v>
      </c>
      <c r="J590" s="3" t="s">
        <v>14</v>
      </c>
      <c r="K590" s="3" t="s">
        <v>14</v>
      </c>
      <c r="L590" s="3" t="s">
        <v>73</v>
      </c>
      <c r="M590" s="4">
        <v>46126</v>
      </c>
      <c r="N590" s="3" t="s">
        <v>74</v>
      </c>
      <c r="O590" s="3" t="s">
        <v>30</v>
      </c>
      <c r="P590" t="str">
        <f t="shared" si="9"/>
        <v>450012597910</v>
      </c>
      <c r="Q590" s="7" cm="1">
        <f t="array" ref="Q590:S590">VLOOKUP(P590,Hoja1!C:F,{2,3,4},FALSE)</f>
        <v>46254</v>
      </c>
      <c r="R590" t="str">
        <v>C21</v>
      </c>
      <c r="S590" t="str">
        <v>1000000808 GLOBAL OIL S.R.L.</v>
      </c>
    </row>
    <row r="591" spans="1:19" x14ac:dyDescent="0.3">
      <c r="A591" s="2" t="s">
        <v>14</v>
      </c>
      <c r="B591" s="3" t="s">
        <v>14</v>
      </c>
      <c r="C591" s="3" t="s">
        <v>649</v>
      </c>
      <c r="D591" s="3" t="s">
        <v>14</v>
      </c>
      <c r="E591" s="3" t="s">
        <v>466</v>
      </c>
      <c r="F591" s="4">
        <v>46126</v>
      </c>
      <c r="G591" s="3" t="s">
        <v>17</v>
      </c>
      <c r="H591" s="5">
        <v>-99549.14</v>
      </c>
      <c r="I591" s="3" t="s">
        <v>18</v>
      </c>
      <c r="J591" s="3" t="s">
        <v>14</v>
      </c>
      <c r="K591" s="3" t="s">
        <v>14</v>
      </c>
      <c r="L591" s="3" t="s">
        <v>73</v>
      </c>
      <c r="M591" s="4">
        <v>46126</v>
      </c>
      <c r="N591" s="3" t="s">
        <v>74</v>
      </c>
      <c r="O591" s="3" t="s">
        <v>30</v>
      </c>
      <c r="P591" t="str">
        <f t="shared" si="9"/>
        <v>450012597910</v>
      </c>
      <c r="Q591" s="7" cm="1">
        <f t="array" ref="Q591:S591">VLOOKUP(P591,Hoja1!C:F,{2,3,4},FALSE)</f>
        <v>46254</v>
      </c>
      <c r="R591" t="str">
        <v>C21</v>
      </c>
      <c r="S591" t="str">
        <v>1000000808 GLOBAL OIL S.R.L.</v>
      </c>
    </row>
    <row r="592" spans="1:19" x14ac:dyDescent="0.3">
      <c r="A592" s="2" t="s">
        <v>14</v>
      </c>
      <c r="B592" s="3" t="s">
        <v>14</v>
      </c>
      <c r="C592" s="3" t="s">
        <v>650</v>
      </c>
      <c r="D592" s="3" t="s">
        <v>14</v>
      </c>
      <c r="E592" s="3" t="s">
        <v>466</v>
      </c>
      <c r="F592" s="4">
        <v>46127</v>
      </c>
      <c r="G592" s="3" t="s">
        <v>17</v>
      </c>
      <c r="H592" s="5">
        <v>-466100.75</v>
      </c>
      <c r="I592" s="3" t="s">
        <v>18</v>
      </c>
      <c r="J592" s="3" t="s">
        <v>14</v>
      </c>
      <c r="K592" s="3" t="s">
        <v>14</v>
      </c>
      <c r="L592" s="3" t="s">
        <v>73</v>
      </c>
      <c r="M592" s="4">
        <v>46127</v>
      </c>
      <c r="N592" s="3" t="s">
        <v>74</v>
      </c>
      <c r="O592" s="3" t="s">
        <v>30</v>
      </c>
      <c r="P592" t="str">
        <f t="shared" si="9"/>
        <v>450012597910</v>
      </c>
      <c r="Q592" s="7" cm="1">
        <f t="array" ref="Q592:S592">VLOOKUP(P592,Hoja1!C:F,{2,3,4},FALSE)</f>
        <v>46254</v>
      </c>
      <c r="R592" t="str">
        <v>C21</v>
      </c>
      <c r="S592" t="str">
        <v>1000000808 GLOBAL OIL S.R.L.</v>
      </c>
    </row>
    <row r="593" spans="1:19" x14ac:dyDescent="0.3">
      <c r="A593" s="2" t="s">
        <v>14</v>
      </c>
      <c r="B593" s="3" t="s">
        <v>14</v>
      </c>
      <c r="C593" s="3" t="s">
        <v>650</v>
      </c>
      <c r="D593" s="3" t="s">
        <v>14</v>
      </c>
      <c r="E593" s="3" t="s">
        <v>466</v>
      </c>
      <c r="F593" s="4">
        <v>46127</v>
      </c>
      <c r="G593" s="3" t="s">
        <v>17</v>
      </c>
      <c r="H593" s="5">
        <v>-98128.37</v>
      </c>
      <c r="I593" s="3" t="s">
        <v>18</v>
      </c>
      <c r="J593" s="3" t="s">
        <v>14</v>
      </c>
      <c r="K593" s="3" t="s">
        <v>14</v>
      </c>
      <c r="L593" s="3" t="s">
        <v>73</v>
      </c>
      <c r="M593" s="4">
        <v>46127</v>
      </c>
      <c r="N593" s="3" t="s">
        <v>74</v>
      </c>
      <c r="O593" s="3" t="s">
        <v>30</v>
      </c>
      <c r="P593" t="str">
        <f t="shared" si="9"/>
        <v>450012597910</v>
      </c>
      <c r="Q593" s="7" cm="1">
        <f t="array" ref="Q593:S593">VLOOKUP(P593,Hoja1!C:F,{2,3,4},FALSE)</f>
        <v>46254</v>
      </c>
      <c r="R593" t="str">
        <v>C21</v>
      </c>
      <c r="S593" t="str">
        <v>1000000808 GLOBAL OIL S.R.L.</v>
      </c>
    </row>
    <row r="594" spans="1:19" x14ac:dyDescent="0.3">
      <c r="A594" s="2" t="s">
        <v>14</v>
      </c>
      <c r="B594" s="3" t="s">
        <v>14</v>
      </c>
      <c r="C594" s="3" t="s">
        <v>651</v>
      </c>
      <c r="D594" s="3" t="s">
        <v>14</v>
      </c>
      <c r="E594" s="3" t="s">
        <v>466</v>
      </c>
      <c r="F594" s="4">
        <v>46128</v>
      </c>
      <c r="G594" s="3" t="s">
        <v>17</v>
      </c>
      <c r="H594" s="5">
        <v>-2332550.33</v>
      </c>
      <c r="I594" s="3" t="s">
        <v>18</v>
      </c>
      <c r="J594" s="3" t="s">
        <v>14</v>
      </c>
      <c r="K594" s="3" t="s">
        <v>14</v>
      </c>
      <c r="L594" s="3" t="s">
        <v>73</v>
      </c>
      <c r="M594" s="4">
        <v>46128</v>
      </c>
      <c r="N594" s="3" t="s">
        <v>74</v>
      </c>
      <c r="O594" s="3" t="s">
        <v>30</v>
      </c>
      <c r="P594" t="str">
        <f t="shared" si="9"/>
        <v>450012597910</v>
      </c>
      <c r="Q594" s="7" cm="1">
        <f t="array" ref="Q594:S594">VLOOKUP(P594,Hoja1!C:F,{2,3,4},FALSE)</f>
        <v>46254</v>
      </c>
      <c r="R594" t="str">
        <v>C21</v>
      </c>
      <c r="S594" t="str">
        <v>1000000808 GLOBAL OIL S.R.L.</v>
      </c>
    </row>
    <row r="595" spans="1:19" x14ac:dyDescent="0.3">
      <c r="A595" s="2" t="s">
        <v>14</v>
      </c>
      <c r="B595" s="3" t="s">
        <v>14</v>
      </c>
      <c r="C595" s="3" t="s">
        <v>651</v>
      </c>
      <c r="D595" s="3" t="s">
        <v>14</v>
      </c>
      <c r="E595" s="3" t="s">
        <v>466</v>
      </c>
      <c r="F595" s="4">
        <v>46128</v>
      </c>
      <c r="G595" s="3" t="s">
        <v>17</v>
      </c>
      <c r="H595" s="5">
        <v>-491072.71</v>
      </c>
      <c r="I595" s="3" t="s">
        <v>18</v>
      </c>
      <c r="J595" s="3" t="s">
        <v>14</v>
      </c>
      <c r="K595" s="3" t="s">
        <v>14</v>
      </c>
      <c r="L595" s="3" t="s">
        <v>73</v>
      </c>
      <c r="M595" s="4">
        <v>46128</v>
      </c>
      <c r="N595" s="3" t="s">
        <v>74</v>
      </c>
      <c r="O595" s="3" t="s">
        <v>30</v>
      </c>
      <c r="P595" t="str">
        <f t="shared" si="9"/>
        <v>450012597910</v>
      </c>
      <c r="Q595" s="7" cm="1">
        <f t="array" ref="Q595:S595">VLOOKUP(P595,Hoja1!C:F,{2,3,4},FALSE)</f>
        <v>46254</v>
      </c>
      <c r="R595" t="str">
        <v>C21</v>
      </c>
      <c r="S595" t="str">
        <v>1000000808 GLOBAL OIL S.R.L.</v>
      </c>
    </row>
    <row r="596" spans="1:19" x14ac:dyDescent="0.3">
      <c r="A596" s="2" t="s">
        <v>14</v>
      </c>
      <c r="B596" s="3" t="s">
        <v>14</v>
      </c>
      <c r="C596" s="3" t="s">
        <v>652</v>
      </c>
      <c r="D596" s="3" t="s">
        <v>14</v>
      </c>
      <c r="E596" s="3" t="s">
        <v>466</v>
      </c>
      <c r="F596" s="4">
        <v>46136</v>
      </c>
      <c r="G596" s="3" t="s">
        <v>17</v>
      </c>
      <c r="H596" s="5">
        <v>-1296038.32</v>
      </c>
      <c r="I596" s="3" t="s">
        <v>18</v>
      </c>
      <c r="J596" s="3" t="s">
        <v>14</v>
      </c>
      <c r="K596" s="3" t="s">
        <v>14</v>
      </c>
      <c r="L596" s="3" t="s">
        <v>73</v>
      </c>
      <c r="M596" s="4">
        <v>46136</v>
      </c>
      <c r="N596" s="3" t="s">
        <v>74</v>
      </c>
      <c r="O596" s="3" t="s">
        <v>30</v>
      </c>
      <c r="P596" t="str">
        <f t="shared" si="9"/>
        <v>450012597910</v>
      </c>
      <c r="Q596" s="7" cm="1">
        <f t="array" ref="Q596:S596">VLOOKUP(P596,Hoja1!C:F,{2,3,4},FALSE)</f>
        <v>46254</v>
      </c>
      <c r="R596" t="str">
        <v>C21</v>
      </c>
      <c r="S596" t="str">
        <v>1000000808 GLOBAL OIL S.R.L.</v>
      </c>
    </row>
    <row r="597" spans="1:19" x14ac:dyDescent="0.3">
      <c r="A597" s="2" t="s">
        <v>14</v>
      </c>
      <c r="B597" s="3" t="s">
        <v>14</v>
      </c>
      <c r="C597" s="3" t="s">
        <v>652</v>
      </c>
      <c r="D597" s="3" t="s">
        <v>14</v>
      </c>
      <c r="E597" s="3" t="s">
        <v>466</v>
      </c>
      <c r="F597" s="4">
        <v>46136</v>
      </c>
      <c r="G597" s="3" t="s">
        <v>17</v>
      </c>
      <c r="H597" s="5">
        <v>-272855.44</v>
      </c>
      <c r="I597" s="3" t="s">
        <v>18</v>
      </c>
      <c r="J597" s="3" t="s">
        <v>14</v>
      </c>
      <c r="K597" s="3" t="s">
        <v>14</v>
      </c>
      <c r="L597" s="3" t="s">
        <v>73</v>
      </c>
      <c r="M597" s="4">
        <v>46136</v>
      </c>
      <c r="N597" s="3" t="s">
        <v>74</v>
      </c>
      <c r="O597" s="3" t="s">
        <v>30</v>
      </c>
      <c r="P597" t="str">
        <f t="shared" si="9"/>
        <v>450012597910</v>
      </c>
      <c r="Q597" s="7" cm="1">
        <f t="array" ref="Q597:S597">VLOOKUP(P597,Hoja1!C:F,{2,3,4},FALSE)</f>
        <v>46254</v>
      </c>
      <c r="R597" t="str">
        <v>C21</v>
      </c>
      <c r="S597" t="str">
        <v>1000000808 GLOBAL OIL S.R.L.</v>
      </c>
    </row>
    <row r="598" spans="1:19" x14ac:dyDescent="0.3">
      <c r="A598" s="2" t="s">
        <v>14</v>
      </c>
      <c r="B598" s="3" t="s">
        <v>14</v>
      </c>
      <c r="C598" s="3" t="s">
        <v>653</v>
      </c>
      <c r="D598" s="3" t="s">
        <v>14</v>
      </c>
      <c r="E598" s="3" t="s">
        <v>466</v>
      </c>
      <c r="F598" s="4">
        <v>46136</v>
      </c>
      <c r="G598" s="3" t="s">
        <v>17</v>
      </c>
      <c r="H598" s="5">
        <v>-907823.96</v>
      </c>
      <c r="I598" s="3" t="s">
        <v>18</v>
      </c>
      <c r="J598" s="3" t="s">
        <v>14</v>
      </c>
      <c r="K598" s="3" t="s">
        <v>14</v>
      </c>
      <c r="L598" s="3" t="s">
        <v>73</v>
      </c>
      <c r="M598" s="4">
        <v>46136</v>
      </c>
      <c r="N598" s="3" t="s">
        <v>74</v>
      </c>
      <c r="O598" s="3" t="s">
        <v>30</v>
      </c>
      <c r="P598" t="str">
        <f t="shared" si="9"/>
        <v>450012597910</v>
      </c>
      <c r="Q598" s="7" cm="1">
        <f t="array" ref="Q598:S598">VLOOKUP(P598,Hoja1!C:F,{2,3,4},FALSE)</f>
        <v>46254</v>
      </c>
      <c r="R598" t="str">
        <v>C21</v>
      </c>
      <c r="S598" t="str">
        <v>1000000808 GLOBAL OIL S.R.L.</v>
      </c>
    </row>
    <row r="599" spans="1:19" x14ac:dyDescent="0.3">
      <c r="A599" s="2" t="s">
        <v>14</v>
      </c>
      <c r="B599" s="3" t="s">
        <v>14</v>
      </c>
      <c r="C599" s="3" t="s">
        <v>653</v>
      </c>
      <c r="D599" s="3" t="s">
        <v>14</v>
      </c>
      <c r="E599" s="3" t="s">
        <v>466</v>
      </c>
      <c r="F599" s="4">
        <v>46136</v>
      </c>
      <c r="G599" s="3" t="s">
        <v>17</v>
      </c>
      <c r="H599" s="5">
        <v>-191124.52</v>
      </c>
      <c r="I599" s="3" t="s">
        <v>18</v>
      </c>
      <c r="J599" s="3" t="s">
        <v>14</v>
      </c>
      <c r="K599" s="3" t="s">
        <v>14</v>
      </c>
      <c r="L599" s="3" t="s">
        <v>73</v>
      </c>
      <c r="M599" s="4">
        <v>46136</v>
      </c>
      <c r="N599" s="3" t="s">
        <v>74</v>
      </c>
      <c r="O599" s="3" t="s">
        <v>30</v>
      </c>
      <c r="P599" t="str">
        <f t="shared" si="9"/>
        <v>450012597910</v>
      </c>
      <c r="Q599" s="7" cm="1">
        <f t="array" ref="Q599:S599">VLOOKUP(P599,Hoja1!C:F,{2,3,4},FALSE)</f>
        <v>46254</v>
      </c>
      <c r="R599" t="str">
        <v>C21</v>
      </c>
      <c r="S599" t="str">
        <v>1000000808 GLOBAL OIL S.R.L.</v>
      </c>
    </row>
    <row r="600" spans="1:19" x14ac:dyDescent="0.3">
      <c r="A600" s="2" t="s">
        <v>14</v>
      </c>
      <c r="B600" s="3" t="s">
        <v>14</v>
      </c>
      <c r="C600" s="3" t="s">
        <v>654</v>
      </c>
      <c r="D600" s="3" t="s">
        <v>14</v>
      </c>
      <c r="E600" s="3" t="s">
        <v>466</v>
      </c>
      <c r="F600" s="4">
        <v>46136</v>
      </c>
      <c r="G600" s="3" t="s">
        <v>17</v>
      </c>
      <c r="H600" s="5">
        <v>-144692.4</v>
      </c>
      <c r="I600" s="3" t="s">
        <v>18</v>
      </c>
      <c r="J600" s="3" t="s">
        <v>14</v>
      </c>
      <c r="K600" s="3" t="s">
        <v>14</v>
      </c>
      <c r="L600" s="3" t="s">
        <v>266</v>
      </c>
      <c r="M600" s="4">
        <v>46136</v>
      </c>
      <c r="N600" s="3" t="s">
        <v>267</v>
      </c>
      <c r="O600" s="3" t="s">
        <v>35</v>
      </c>
      <c r="P600" t="str">
        <f t="shared" si="9"/>
        <v>450012548330</v>
      </c>
      <c r="Q600" s="7" cm="1">
        <f t="array" ref="Q600:S600">VLOOKUP(P600,Hoja1!C:F,{2,3,4},FALSE)</f>
        <v>46136</v>
      </c>
      <c r="R600" t="str">
        <v>C19</v>
      </c>
      <c r="S600" t="str">
        <v>1000000530 RIVESTIMENTO SRL</v>
      </c>
    </row>
    <row r="601" spans="1:19" x14ac:dyDescent="0.3">
      <c r="A601" s="2" t="s">
        <v>14</v>
      </c>
      <c r="B601" s="3" t="s">
        <v>14</v>
      </c>
      <c r="C601" s="3" t="s">
        <v>655</v>
      </c>
      <c r="D601" s="3" t="s">
        <v>14</v>
      </c>
      <c r="E601" s="3" t="s">
        <v>466</v>
      </c>
      <c r="F601" s="4">
        <v>46136</v>
      </c>
      <c r="G601" s="3" t="s">
        <v>17</v>
      </c>
      <c r="H601" s="5">
        <v>-908484.56</v>
      </c>
      <c r="I601" s="3" t="s">
        <v>18</v>
      </c>
      <c r="J601" s="3" t="s">
        <v>14</v>
      </c>
      <c r="K601" s="3" t="s">
        <v>14</v>
      </c>
      <c r="L601" s="3" t="s">
        <v>73</v>
      </c>
      <c r="M601" s="4">
        <v>46136</v>
      </c>
      <c r="N601" s="3" t="s">
        <v>74</v>
      </c>
      <c r="O601" s="3" t="s">
        <v>30</v>
      </c>
      <c r="P601" t="str">
        <f t="shared" si="9"/>
        <v>450012597910</v>
      </c>
      <c r="Q601" s="7" cm="1">
        <f t="array" ref="Q601:S601">VLOOKUP(P601,Hoja1!C:F,{2,3,4},FALSE)</f>
        <v>46254</v>
      </c>
      <c r="R601" t="str">
        <v>C21</v>
      </c>
      <c r="S601" t="str">
        <v>1000000808 GLOBAL OIL S.R.L.</v>
      </c>
    </row>
    <row r="602" spans="1:19" x14ac:dyDescent="0.3">
      <c r="A602" s="2" t="s">
        <v>14</v>
      </c>
      <c r="B602" s="3" t="s">
        <v>14</v>
      </c>
      <c r="C602" s="3" t="s">
        <v>655</v>
      </c>
      <c r="D602" s="3" t="s">
        <v>14</v>
      </c>
      <c r="E602" s="3" t="s">
        <v>466</v>
      </c>
      <c r="F602" s="4">
        <v>46136</v>
      </c>
      <c r="G602" s="3" t="s">
        <v>17</v>
      </c>
      <c r="H602" s="5">
        <v>-191263.6</v>
      </c>
      <c r="I602" s="3" t="s">
        <v>18</v>
      </c>
      <c r="J602" s="3" t="s">
        <v>14</v>
      </c>
      <c r="K602" s="3" t="s">
        <v>14</v>
      </c>
      <c r="L602" s="3" t="s">
        <v>73</v>
      </c>
      <c r="M602" s="4">
        <v>46136</v>
      </c>
      <c r="N602" s="3" t="s">
        <v>74</v>
      </c>
      <c r="O602" s="3" t="s">
        <v>30</v>
      </c>
      <c r="P602" t="str">
        <f t="shared" si="9"/>
        <v>450012597910</v>
      </c>
      <c r="Q602" s="7" cm="1">
        <f t="array" ref="Q602:S602">VLOOKUP(P602,Hoja1!C:F,{2,3,4},FALSE)</f>
        <v>46254</v>
      </c>
      <c r="R602" t="str">
        <v>C21</v>
      </c>
      <c r="S602" t="str">
        <v>1000000808 GLOBAL OIL S.R.L.</v>
      </c>
    </row>
    <row r="603" spans="1:19" x14ac:dyDescent="0.3">
      <c r="A603" s="2" t="s">
        <v>14</v>
      </c>
      <c r="B603" s="3" t="s">
        <v>14</v>
      </c>
      <c r="C603" s="3" t="s">
        <v>656</v>
      </c>
      <c r="D603" s="3" t="s">
        <v>14</v>
      </c>
      <c r="E603" s="3" t="s">
        <v>466</v>
      </c>
      <c r="F603" s="4">
        <v>46113</v>
      </c>
      <c r="G603" s="3" t="s">
        <v>17</v>
      </c>
      <c r="H603" s="5">
        <v>-405687.96</v>
      </c>
      <c r="I603" s="3" t="s">
        <v>18</v>
      </c>
      <c r="J603" s="3" t="s">
        <v>14</v>
      </c>
      <c r="K603" s="3" t="s">
        <v>14</v>
      </c>
      <c r="L603" s="3" t="s">
        <v>73</v>
      </c>
      <c r="M603" s="4">
        <v>46113</v>
      </c>
      <c r="N603" s="3" t="s">
        <v>74</v>
      </c>
      <c r="O603" s="3" t="s">
        <v>30</v>
      </c>
      <c r="P603" t="str">
        <f t="shared" si="9"/>
        <v>450012597910</v>
      </c>
      <c r="Q603" s="7" cm="1">
        <f t="array" ref="Q603:S603">VLOOKUP(P603,Hoja1!C:F,{2,3,4},FALSE)</f>
        <v>46254</v>
      </c>
      <c r="R603" t="str">
        <v>C21</v>
      </c>
      <c r="S603" t="str">
        <v>1000000808 GLOBAL OIL S.R.L.</v>
      </c>
    </row>
    <row r="604" spans="1:19" x14ac:dyDescent="0.3">
      <c r="A604" s="2" t="s">
        <v>14</v>
      </c>
      <c r="B604" s="3" t="s">
        <v>14</v>
      </c>
      <c r="C604" s="3" t="s">
        <v>656</v>
      </c>
      <c r="D604" s="3" t="s">
        <v>14</v>
      </c>
      <c r="E604" s="3" t="s">
        <v>466</v>
      </c>
      <c r="F604" s="4">
        <v>46113</v>
      </c>
      <c r="G604" s="3" t="s">
        <v>17</v>
      </c>
      <c r="H604" s="5">
        <v>-85409.64</v>
      </c>
      <c r="I604" s="3" t="s">
        <v>18</v>
      </c>
      <c r="J604" s="3" t="s">
        <v>14</v>
      </c>
      <c r="K604" s="3" t="s">
        <v>14</v>
      </c>
      <c r="L604" s="3" t="s">
        <v>73</v>
      </c>
      <c r="M604" s="4">
        <v>46113</v>
      </c>
      <c r="N604" s="3" t="s">
        <v>74</v>
      </c>
      <c r="O604" s="3" t="s">
        <v>30</v>
      </c>
      <c r="P604" t="str">
        <f t="shared" si="9"/>
        <v>450012597910</v>
      </c>
      <c r="Q604" s="7" cm="1">
        <f t="array" ref="Q604:S604">VLOOKUP(P604,Hoja1!C:F,{2,3,4},FALSE)</f>
        <v>46254</v>
      </c>
      <c r="R604" t="str">
        <v>C21</v>
      </c>
      <c r="S604" t="str">
        <v>1000000808 GLOBAL OIL S.R.L.</v>
      </c>
    </row>
    <row r="605" spans="1:19" x14ac:dyDescent="0.3">
      <c r="A605" s="2" t="s">
        <v>14</v>
      </c>
      <c r="B605" s="3" t="s">
        <v>14</v>
      </c>
      <c r="C605" s="3" t="s">
        <v>657</v>
      </c>
      <c r="D605" s="3" t="s">
        <v>14</v>
      </c>
      <c r="E605" s="3" t="s">
        <v>466</v>
      </c>
      <c r="F605" s="4">
        <v>46139</v>
      </c>
      <c r="G605" s="3" t="s">
        <v>17</v>
      </c>
      <c r="H605" s="5">
        <v>-592832.01</v>
      </c>
      <c r="I605" s="3" t="s">
        <v>18</v>
      </c>
      <c r="J605" s="3" t="s">
        <v>14</v>
      </c>
      <c r="K605" s="3" t="s">
        <v>14</v>
      </c>
      <c r="L605" s="3" t="s">
        <v>346</v>
      </c>
      <c r="M605" s="4">
        <v>46139</v>
      </c>
      <c r="N605" s="3" t="s">
        <v>658</v>
      </c>
      <c r="O605" s="3" t="s">
        <v>30</v>
      </c>
      <c r="P605" t="str">
        <f t="shared" si="9"/>
        <v>450012541610</v>
      </c>
      <c r="Q605" s="7" cm="1">
        <f t="array" ref="Q605:S605">VLOOKUP(P605,Hoja1!C:F,{2,3,4},FALSE)</f>
        <v>46146</v>
      </c>
      <c r="R605" t="str">
        <v>C38</v>
      </c>
      <c r="S605" t="str">
        <v>1000007907 CENTRO HIDRAULICO S.A.</v>
      </c>
    </row>
    <row r="606" spans="1:19" x14ac:dyDescent="0.3">
      <c r="A606" s="2" t="s">
        <v>14</v>
      </c>
      <c r="B606" s="3" t="s">
        <v>14</v>
      </c>
      <c r="C606" s="3" t="s">
        <v>659</v>
      </c>
      <c r="D606" s="3" t="s">
        <v>14</v>
      </c>
      <c r="E606" s="3" t="s">
        <v>466</v>
      </c>
      <c r="F606" s="4">
        <v>46139</v>
      </c>
      <c r="G606" s="3" t="s">
        <v>17</v>
      </c>
      <c r="H606" s="5">
        <v>-235921.6</v>
      </c>
      <c r="I606" s="3" t="s">
        <v>18</v>
      </c>
      <c r="J606" s="3" t="s">
        <v>14</v>
      </c>
      <c r="K606" s="3" t="s">
        <v>14</v>
      </c>
      <c r="L606" s="3" t="s">
        <v>240</v>
      </c>
      <c r="M606" s="4">
        <v>46139</v>
      </c>
      <c r="N606" s="3" t="s">
        <v>660</v>
      </c>
      <c r="O606" s="3" t="s">
        <v>52</v>
      </c>
      <c r="P606" t="str">
        <f t="shared" si="9"/>
        <v>450012190280</v>
      </c>
      <c r="Q606" s="7" cm="1">
        <f t="array" ref="Q606:S606">VLOOKUP(P606,Hoja1!C:F,{2,3,4},FALSE)</f>
        <v>46097</v>
      </c>
      <c r="R606" t="str">
        <v>C27</v>
      </c>
      <c r="S606" t="str">
        <v>1000011415 SI (SERVICIOS INDUSTRIALES) SIERRA</v>
      </c>
    </row>
    <row r="607" spans="1:19" x14ac:dyDescent="0.3">
      <c r="A607" s="2" t="s">
        <v>14</v>
      </c>
      <c r="B607" s="3" t="s">
        <v>14</v>
      </c>
      <c r="C607" s="3" t="s">
        <v>661</v>
      </c>
      <c r="D607" s="3" t="s">
        <v>32</v>
      </c>
      <c r="E607" s="3" t="s">
        <v>466</v>
      </c>
      <c r="F607" s="4">
        <v>46140</v>
      </c>
      <c r="G607" s="3" t="s">
        <v>17</v>
      </c>
      <c r="H607" s="5">
        <v>-5640.3</v>
      </c>
      <c r="I607" s="3" t="s">
        <v>18</v>
      </c>
      <c r="J607" s="3" t="s">
        <v>14</v>
      </c>
      <c r="K607" s="3" t="s">
        <v>14</v>
      </c>
      <c r="L607" s="3" t="s">
        <v>243</v>
      </c>
      <c r="M607" s="4">
        <v>46140</v>
      </c>
      <c r="N607" s="3" t="s">
        <v>244</v>
      </c>
      <c r="O607" s="3" t="s">
        <v>30</v>
      </c>
      <c r="P607" t="str">
        <f t="shared" si="9"/>
        <v>450011932910</v>
      </c>
      <c r="Q607" s="7" cm="1">
        <f t="array" ref="Q607:S607">VLOOKUP(P607,Hoja1!C:F,{2,3,4},FALSE)</f>
        <v>46234</v>
      </c>
      <c r="R607" t="str">
        <v>C21</v>
      </c>
      <c r="S607" t="str">
        <v>1000005043 LA RONTONDA DE DANIEL MORAN</v>
      </c>
    </row>
    <row r="608" spans="1:19" x14ac:dyDescent="0.3">
      <c r="A608" s="2" t="s">
        <v>14</v>
      </c>
      <c r="B608" s="3" t="s">
        <v>14</v>
      </c>
      <c r="C608" s="3" t="s">
        <v>661</v>
      </c>
      <c r="D608" s="3" t="s">
        <v>32</v>
      </c>
      <c r="E608" s="3" t="s">
        <v>466</v>
      </c>
      <c r="F608" s="4">
        <v>46140</v>
      </c>
      <c r="G608" s="3" t="s">
        <v>17</v>
      </c>
      <c r="H608" s="5">
        <v>-26794.99</v>
      </c>
      <c r="I608" s="3" t="s">
        <v>18</v>
      </c>
      <c r="J608" s="3" t="s">
        <v>14</v>
      </c>
      <c r="K608" s="3" t="s">
        <v>14</v>
      </c>
      <c r="L608" s="3" t="s">
        <v>243</v>
      </c>
      <c r="M608" s="4">
        <v>46140</v>
      </c>
      <c r="N608" s="3" t="s">
        <v>244</v>
      </c>
      <c r="O608" s="3" t="s">
        <v>30</v>
      </c>
      <c r="P608" t="str">
        <f t="shared" si="9"/>
        <v>450011932910</v>
      </c>
      <c r="Q608" s="7" cm="1">
        <f t="array" ref="Q608:S608">VLOOKUP(P608,Hoja1!C:F,{2,3,4},FALSE)</f>
        <v>46234</v>
      </c>
      <c r="R608" t="str">
        <v>C21</v>
      </c>
      <c r="S608" t="str">
        <v>1000005043 LA RONTONDA DE DANIEL MORAN</v>
      </c>
    </row>
    <row r="609" spans="1:19" x14ac:dyDescent="0.3">
      <c r="A609" s="2" t="s">
        <v>14</v>
      </c>
      <c r="B609" s="3" t="s">
        <v>14</v>
      </c>
      <c r="C609" s="3" t="s">
        <v>662</v>
      </c>
      <c r="D609" s="3" t="s">
        <v>32</v>
      </c>
      <c r="E609" s="3" t="s">
        <v>466</v>
      </c>
      <c r="F609" s="4">
        <v>45811</v>
      </c>
      <c r="G609" s="3" t="s">
        <v>17</v>
      </c>
      <c r="H609" s="5">
        <v>-630000</v>
      </c>
      <c r="I609" s="3" t="s">
        <v>18</v>
      </c>
      <c r="J609" s="3" t="s">
        <v>14</v>
      </c>
      <c r="K609" s="3" t="s">
        <v>14</v>
      </c>
      <c r="L609" s="3" t="s">
        <v>663</v>
      </c>
      <c r="M609" s="4">
        <v>45811</v>
      </c>
      <c r="N609" s="3" t="s">
        <v>664</v>
      </c>
      <c r="O609" s="3" t="s">
        <v>30</v>
      </c>
      <c r="P609" t="str">
        <f t="shared" si="9"/>
        <v>450010055210</v>
      </c>
      <c r="Q609" s="7" cm="1">
        <f t="array" ref="Q609:S609">VLOOKUP(P609,Hoja1!C:F,{2,3,4},FALSE)</f>
        <v>45807</v>
      </c>
      <c r="R609" t="str">
        <v>C07</v>
      </c>
      <c r="S609" t="str">
        <v>1000001250 KUHN MATIAS DANIEL</v>
      </c>
    </row>
    <row r="610" spans="1:19" x14ac:dyDescent="0.3">
      <c r="A610" s="2" t="s">
        <v>14</v>
      </c>
      <c r="B610" s="3" t="s">
        <v>14</v>
      </c>
      <c r="C610" s="3" t="s">
        <v>665</v>
      </c>
      <c r="D610" s="3" t="s">
        <v>25</v>
      </c>
      <c r="E610" s="3" t="s">
        <v>466</v>
      </c>
      <c r="F610" s="4">
        <v>46141</v>
      </c>
      <c r="G610" s="3" t="s">
        <v>17</v>
      </c>
      <c r="H610" s="5">
        <v>-97852.85</v>
      </c>
      <c r="I610" s="3" t="s">
        <v>18</v>
      </c>
      <c r="J610" s="3" t="s">
        <v>14</v>
      </c>
      <c r="K610" s="3" t="s">
        <v>14</v>
      </c>
      <c r="L610" s="3" t="s">
        <v>50</v>
      </c>
      <c r="M610" s="4">
        <v>46142</v>
      </c>
      <c r="N610" s="3" t="s">
        <v>666</v>
      </c>
      <c r="O610" s="3" t="s">
        <v>30</v>
      </c>
      <c r="P610" t="str">
        <f t="shared" si="9"/>
        <v>450012196710</v>
      </c>
      <c r="Q610" s="7" cm="1">
        <f t="array" ref="Q610:S610">VLOOKUP(P610,Hoja1!C:F,{2,3,4},FALSE)</f>
        <v>46107</v>
      </c>
      <c r="R610" t="str">
        <v>C11</v>
      </c>
      <c r="S610" t="str">
        <v>1000003063 CICCIOELEC SA</v>
      </c>
    </row>
    <row r="611" spans="1:19" x14ac:dyDescent="0.3">
      <c r="A611" s="2" t="s">
        <v>14</v>
      </c>
      <c r="B611" s="3" t="s">
        <v>14</v>
      </c>
      <c r="C611" s="3" t="s">
        <v>667</v>
      </c>
      <c r="D611" s="3" t="s">
        <v>14</v>
      </c>
      <c r="E611" s="3" t="s">
        <v>466</v>
      </c>
      <c r="F611" s="4">
        <v>46142</v>
      </c>
      <c r="G611" s="3" t="s">
        <v>17</v>
      </c>
      <c r="H611" s="5">
        <v>-23515.4</v>
      </c>
      <c r="I611" s="3" t="s">
        <v>18</v>
      </c>
      <c r="J611" s="3" t="s">
        <v>14</v>
      </c>
      <c r="K611" s="3" t="s">
        <v>14</v>
      </c>
      <c r="L611" s="3" t="s">
        <v>47</v>
      </c>
      <c r="M611" s="4">
        <v>46142</v>
      </c>
      <c r="N611" s="3" t="s">
        <v>668</v>
      </c>
      <c r="O611" s="3" t="s">
        <v>30</v>
      </c>
      <c r="P611" t="str">
        <f t="shared" si="9"/>
        <v>450012391910</v>
      </c>
      <c r="Q611" s="7" cm="1">
        <f t="array" ref="Q611:S611">VLOOKUP(P611,Hoja1!C:F,{2,3,4},FALSE)</f>
        <v>46043</v>
      </c>
      <c r="R611" t="str">
        <v>EFO</v>
      </c>
      <c r="S611" t="str">
        <v>1000000010 GASES ROSARIO S.R.L.</v>
      </c>
    </row>
    <row r="612" spans="1:19" x14ac:dyDescent="0.3">
      <c r="A612" s="2" t="s">
        <v>14</v>
      </c>
      <c r="B612" s="3" t="s">
        <v>14</v>
      </c>
      <c r="C612" s="3" t="s">
        <v>669</v>
      </c>
      <c r="D612" s="3" t="s">
        <v>14</v>
      </c>
      <c r="E612" s="3" t="s">
        <v>466</v>
      </c>
      <c r="F612" s="4">
        <v>46142</v>
      </c>
      <c r="G612" s="3" t="s">
        <v>17</v>
      </c>
      <c r="H612" s="5">
        <v>-1891215.72</v>
      </c>
      <c r="I612" s="3" t="s">
        <v>18</v>
      </c>
      <c r="J612" s="3" t="s">
        <v>14</v>
      </c>
      <c r="K612" s="3" t="s">
        <v>14</v>
      </c>
      <c r="L612" s="3" t="s">
        <v>73</v>
      </c>
      <c r="M612" s="4">
        <v>46142</v>
      </c>
      <c r="N612" s="3" t="s">
        <v>74</v>
      </c>
      <c r="O612" s="3" t="s">
        <v>30</v>
      </c>
      <c r="P612" t="str">
        <f t="shared" si="9"/>
        <v>450012597910</v>
      </c>
      <c r="Q612" s="7" cm="1">
        <f t="array" ref="Q612:S612">VLOOKUP(P612,Hoja1!C:F,{2,3,4},FALSE)</f>
        <v>46254</v>
      </c>
      <c r="R612" t="str">
        <v>C21</v>
      </c>
      <c r="S612" t="str">
        <v>1000000808 GLOBAL OIL S.R.L.</v>
      </c>
    </row>
    <row r="613" spans="1:19" x14ac:dyDescent="0.3">
      <c r="A613" s="2" t="s">
        <v>14</v>
      </c>
      <c r="B613" s="3" t="s">
        <v>14</v>
      </c>
      <c r="C613" s="3" t="s">
        <v>669</v>
      </c>
      <c r="D613" s="3" t="s">
        <v>14</v>
      </c>
      <c r="E613" s="3" t="s">
        <v>466</v>
      </c>
      <c r="F613" s="4">
        <v>46142</v>
      </c>
      <c r="G613" s="3" t="s">
        <v>17</v>
      </c>
      <c r="H613" s="5">
        <v>-398158.36</v>
      </c>
      <c r="I613" s="3" t="s">
        <v>18</v>
      </c>
      <c r="J613" s="3" t="s">
        <v>14</v>
      </c>
      <c r="K613" s="3" t="s">
        <v>14</v>
      </c>
      <c r="L613" s="3" t="s">
        <v>73</v>
      </c>
      <c r="M613" s="4">
        <v>46142</v>
      </c>
      <c r="N613" s="3" t="s">
        <v>74</v>
      </c>
      <c r="O613" s="3" t="s">
        <v>30</v>
      </c>
      <c r="P613" t="str">
        <f t="shared" si="9"/>
        <v>450012597910</v>
      </c>
      <c r="Q613" s="7" cm="1">
        <f t="array" ref="Q613:S613">VLOOKUP(P613,Hoja1!C:F,{2,3,4},FALSE)</f>
        <v>46254</v>
      </c>
      <c r="R613" t="str">
        <v>C21</v>
      </c>
      <c r="S613" t="str">
        <v>1000000808 GLOBAL OIL S.R.L.</v>
      </c>
    </row>
    <row r="614" spans="1:19" x14ac:dyDescent="0.3">
      <c r="A614" s="2" t="s">
        <v>14</v>
      </c>
      <c r="B614" s="3" t="s">
        <v>14</v>
      </c>
      <c r="C614" s="3" t="s">
        <v>670</v>
      </c>
      <c r="D614" s="3" t="s">
        <v>32</v>
      </c>
      <c r="E614" s="3" t="s">
        <v>466</v>
      </c>
      <c r="F614" s="4">
        <v>46146</v>
      </c>
      <c r="G614" s="3" t="s">
        <v>17</v>
      </c>
      <c r="H614" s="5">
        <v>-42000</v>
      </c>
      <c r="I614" s="3" t="s">
        <v>18</v>
      </c>
      <c r="J614" s="3" t="s">
        <v>14</v>
      </c>
      <c r="K614" s="3" t="s">
        <v>14</v>
      </c>
      <c r="L614" s="3" t="s">
        <v>671</v>
      </c>
      <c r="M614" s="4">
        <v>46146</v>
      </c>
      <c r="N614" s="3" t="s">
        <v>672</v>
      </c>
      <c r="O614" s="3" t="s">
        <v>30</v>
      </c>
      <c r="P614" t="str">
        <f t="shared" si="9"/>
        <v>450012623410</v>
      </c>
      <c r="Q614" s="7" cm="1">
        <f t="array" ref="Q614:S614">VLOOKUP(P614,Hoja1!C:F,{2,3,4},FALSE)</f>
        <v>46146</v>
      </c>
      <c r="R614" t="str">
        <v>C07</v>
      </c>
      <c r="S614" t="str">
        <v>1000009549 T Y G S.A.</v>
      </c>
    </row>
    <row r="615" spans="1:19" x14ac:dyDescent="0.3">
      <c r="A615" s="2" t="s">
        <v>14</v>
      </c>
      <c r="B615" s="3" t="s">
        <v>14</v>
      </c>
      <c r="C615" s="3" t="s">
        <v>673</v>
      </c>
      <c r="D615" s="3" t="s">
        <v>32</v>
      </c>
      <c r="E615" s="3" t="s">
        <v>466</v>
      </c>
      <c r="F615" s="4">
        <v>46146</v>
      </c>
      <c r="G615" s="3" t="s">
        <v>17</v>
      </c>
      <c r="H615" s="5">
        <v>-1194014</v>
      </c>
      <c r="I615" s="3" t="s">
        <v>18</v>
      </c>
      <c r="J615" s="3" t="s">
        <v>14</v>
      </c>
      <c r="K615" s="3" t="s">
        <v>14</v>
      </c>
      <c r="L615" s="3" t="s">
        <v>62</v>
      </c>
      <c r="M615" s="4">
        <v>46146</v>
      </c>
      <c r="N615" s="3" t="s">
        <v>64</v>
      </c>
      <c r="O615" s="3" t="s">
        <v>35</v>
      </c>
      <c r="P615" t="str">
        <f t="shared" si="9"/>
        <v>450012074430</v>
      </c>
      <c r="Q615" s="7" cm="1">
        <f t="array" ref="Q615:S615">VLOOKUP(P615,Hoja1!C:F,{2,3,4},FALSE)</f>
        <v>46121</v>
      </c>
      <c r="R615" t="str">
        <v>C11</v>
      </c>
      <c r="S615" t="str">
        <v>1000012787 FELRRO SRL</v>
      </c>
    </row>
    <row r="616" spans="1:19" x14ac:dyDescent="0.3">
      <c r="A616" s="2" t="s">
        <v>14</v>
      </c>
      <c r="B616" s="3" t="s">
        <v>14</v>
      </c>
      <c r="C616" s="3" t="s">
        <v>673</v>
      </c>
      <c r="D616" s="3" t="s">
        <v>32</v>
      </c>
      <c r="E616" s="3" t="s">
        <v>466</v>
      </c>
      <c r="F616" s="4">
        <v>46146</v>
      </c>
      <c r="G616" s="3" t="s">
        <v>17</v>
      </c>
      <c r="H616" s="5">
        <v>-1148083.2</v>
      </c>
      <c r="I616" s="3" t="s">
        <v>18</v>
      </c>
      <c r="J616" s="3" t="s">
        <v>14</v>
      </c>
      <c r="K616" s="3" t="s">
        <v>14</v>
      </c>
      <c r="L616" s="3" t="s">
        <v>62</v>
      </c>
      <c r="M616" s="4">
        <v>46146</v>
      </c>
      <c r="N616" s="3" t="s">
        <v>64</v>
      </c>
      <c r="O616" s="3" t="s">
        <v>23</v>
      </c>
      <c r="P616" t="str">
        <f t="shared" si="9"/>
        <v>450012074440</v>
      </c>
      <c r="Q616" s="7" cm="1">
        <f t="array" ref="Q616:S616">VLOOKUP(P616,Hoja1!C:F,{2,3,4},FALSE)</f>
        <v>46121</v>
      </c>
      <c r="R616" t="str">
        <v>C11</v>
      </c>
      <c r="S616" t="str">
        <v>1000012787 FELRRO SRL</v>
      </c>
    </row>
    <row r="617" spans="1:19" x14ac:dyDescent="0.3">
      <c r="A617" s="2" t="s">
        <v>14</v>
      </c>
      <c r="B617" s="3" t="s">
        <v>14</v>
      </c>
      <c r="C617" s="3" t="s">
        <v>673</v>
      </c>
      <c r="D617" s="3" t="s">
        <v>32</v>
      </c>
      <c r="E617" s="3" t="s">
        <v>466</v>
      </c>
      <c r="F617" s="4">
        <v>46146</v>
      </c>
      <c r="G617" s="3" t="s">
        <v>17</v>
      </c>
      <c r="H617" s="5">
        <v>-516838</v>
      </c>
      <c r="I617" s="3" t="s">
        <v>18</v>
      </c>
      <c r="J617" s="3" t="s">
        <v>14</v>
      </c>
      <c r="K617" s="3" t="s">
        <v>14</v>
      </c>
      <c r="L617" s="3" t="s">
        <v>62</v>
      </c>
      <c r="M617" s="4">
        <v>46146</v>
      </c>
      <c r="N617" s="3" t="s">
        <v>64</v>
      </c>
      <c r="O617" s="3" t="s">
        <v>52</v>
      </c>
      <c r="P617" t="str">
        <f t="shared" si="9"/>
        <v>450012074480</v>
      </c>
      <c r="Q617" s="7" cm="1">
        <f t="array" ref="Q617:S617">VLOOKUP(P617,Hoja1!C:F,{2,3,4},FALSE)</f>
        <v>46121</v>
      </c>
      <c r="R617" t="str">
        <v>C11</v>
      </c>
      <c r="S617" t="str">
        <v>1000012787 FELRRO SRL</v>
      </c>
    </row>
    <row r="618" spans="1:19" x14ac:dyDescent="0.3">
      <c r="A618" s="2" t="s">
        <v>14</v>
      </c>
      <c r="B618" s="3" t="s">
        <v>14</v>
      </c>
      <c r="C618" s="3" t="s">
        <v>673</v>
      </c>
      <c r="D618" s="3" t="s">
        <v>32</v>
      </c>
      <c r="E618" s="3" t="s">
        <v>466</v>
      </c>
      <c r="F618" s="4">
        <v>46146</v>
      </c>
      <c r="G618" s="3" t="s">
        <v>17</v>
      </c>
      <c r="H618" s="5">
        <v>-293544</v>
      </c>
      <c r="I618" s="3" t="s">
        <v>18</v>
      </c>
      <c r="J618" s="3" t="s">
        <v>14</v>
      </c>
      <c r="K618" s="3" t="s">
        <v>14</v>
      </c>
      <c r="L618" s="3" t="s">
        <v>62</v>
      </c>
      <c r="M618" s="4">
        <v>46146</v>
      </c>
      <c r="N618" s="3" t="s">
        <v>64</v>
      </c>
      <c r="O618" s="3" t="s">
        <v>138</v>
      </c>
      <c r="P618" t="str">
        <f t="shared" si="9"/>
        <v>450012074490</v>
      </c>
      <c r="Q618" s="7" cm="1">
        <f t="array" ref="Q618:S618">VLOOKUP(P618,Hoja1!C:F,{2,3,4},FALSE)</f>
        <v>46121</v>
      </c>
      <c r="R618" t="str">
        <v>C11</v>
      </c>
      <c r="S618" t="str">
        <v>1000012787 FELRRO SRL</v>
      </c>
    </row>
    <row r="619" spans="1:19" x14ac:dyDescent="0.3">
      <c r="A619" s="2" t="s">
        <v>14</v>
      </c>
      <c r="B619" s="3" t="s">
        <v>14</v>
      </c>
      <c r="C619" s="3" t="s">
        <v>673</v>
      </c>
      <c r="D619" s="3" t="s">
        <v>32</v>
      </c>
      <c r="E619" s="3" t="s">
        <v>466</v>
      </c>
      <c r="F619" s="4">
        <v>46146</v>
      </c>
      <c r="G619" s="3" t="s">
        <v>17</v>
      </c>
      <c r="H619" s="5">
        <v>-226273.5</v>
      </c>
      <c r="I619" s="3" t="s">
        <v>18</v>
      </c>
      <c r="J619" s="3" t="s">
        <v>14</v>
      </c>
      <c r="K619" s="3" t="s">
        <v>14</v>
      </c>
      <c r="L619" s="3" t="s">
        <v>62</v>
      </c>
      <c r="M619" s="4">
        <v>46146</v>
      </c>
      <c r="N619" s="3" t="s">
        <v>64</v>
      </c>
      <c r="O619" s="3" t="s">
        <v>45</v>
      </c>
      <c r="P619" t="str">
        <f t="shared" si="9"/>
        <v>4500120744100</v>
      </c>
      <c r="Q619" s="7" cm="1">
        <f t="array" ref="Q619:S619">VLOOKUP(P619,Hoja1!C:F,{2,3,4},FALSE)</f>
        <v>46121</v>
      </c>
      <c r="R619" t="str">
        <v>C11</v>
      </c>
      <c r="S619" t="str">
        <v>1000012787 FELRRO SRL</v>
      </c>
    </row>
    <row r="620" spans="1:19" x14ac:dyDescent="0.3">
      <c r="A620" s="2" t="s">
        <v>14</v>
      </c>
      <c r="B620" s="3" t="s">
        <v>14</v>
      </c>
      <c r="C620" s="3" t="s">
        <v>674</v>
      </c>
      <c r="D620" s="3" t="s">
        <v>14</v>
      </c>
      <c r="E620" s="3" t="s">
        <v>466</v>
      </c>
      <c r="F620" s="4">
        <v>46147</v>
      </c>
      <c r="G620" s="3" t="s">
        <v>17</v>
      </c>
      <c r="H620" s="5">
        <v>-37260.879999999997</v>
      </c>
      <c r="I620" s="3" t="s">
        <v>18</v>
      </c>
      <c r="J620" s="3" t="s">
        <v>14</v>
      </c>
      <c r="K620" s="3" t="s">
        <v>14</v>
      </c>
      <c r="L620" s="3" t="s">
        <v>675</v>
      </c>
      <c r="M620" s="4">
        <v>46147</v>
      </c>
      <c r="N620" s="3" t="s">
        <v>676</v>
      </c>
      <c r="O620" s="3" t="s">
        <v>30</v>
      </c>
      <c r="P620" t="str">
        <f t="shared" si="9"/>
        <v>450012638110</v>
      </c>
      <c r="Q620" s="7" cm="1">
        <f t="array" ref="Q620:S620">VLOOKUP(P620,Hoja1!C:F,{2,3,4},FALSE)</f>
        <v>46135</v>
      </c>
      <c r="R620" t="str">
        <v>EFO</v>
      </c>
      <c r="S620" t="str">
        <v>1000008423 ACCESORIOS Y REPUESTOS DON CARLOS S</v>
      </c>
    </row>
    <row r="621" spans="1:19" x14ac:dyDescent="0.3">
      <c r="A621" s="2" t="s">
        <v>14</v>
      </c>
      <c r="B621" s="3" t="s">
        <v>14</v>
      </c>
      <c r="C621" s="3" t="s">
        <v>677</v>
      </c>
      <c r="D621" s="3" t="s">
        <v>14</v>
      </c>
      <c r="E621" s="3" t="s">
        <v>466</v>
      </c>
      <c r="F621" s="4">
        <v>45817</v>
      </c>
      <c r="G621" s="3" t="s">
        <v>17</v>
      </c>
      <c r="H621" s="5">
        <v>-20056.400000000001</v>
      </c>
      <c r="I621" s="3" t="s">
        <v>18</v>
      </c>
      <c r="J621" s="3" t="s">
        <v>14</v>
      </c>
      <c r="K621" s="3" t="s">
        <v>14</v>
      </c>
      <c r="L621" s="3" t="s">
        <v>66</v>
      </c>
      <c r="M621" s="4">
        <v>45817</v>
      </c>
      <c r="N621" s="3" t="s">
        <v>67</v>
      </c>
      <c r="O621" s="3" t="s">
        <v>68</v>
      </c>
      <c r="P621" t="str">
        <f t="shared" si="9"/>
        <v>4500099273150</v>
      </c>
      <c r="Q621" s="7" cm="1">
        <f t="array" ref="Q621:S621">VLOOKUP(P621,Hoja1!C:F,{2,3,4},FALSE)</f>
        <v>45838</v>
      </c>
      <c r="R621" t="str">
        <v>C03</v>
      </c>
      <c r="S621" t="str">
        <v>1000003040 LOPEZ DIESEL S.A.</v>
      </c>
    </row>
    <row r="622" spans="1:19" x14ac:dyDescent="0.3">
      <c r="A622" s="2" t="s">
        <v>14</v>
      </c>
      <c r="B622" s="3" t="s">
        <v>14</v>
      </c>
      <c r="C622" s="3" t="s">
        <v>678</v>
      </c>
      <c r="D622" s="3" t="s">
        <v>32</v>
      </c>
      <c r="E622" s="3" t="s">
        <v>466</v>
      </c>
      <c r="F622" s="4">
        <v>46147</v>
      </c>
      <c r="G622" s="3" t="s">
        <v>17</v>
      </c>
      <c r="H622" s="5">
        <v>-10000</v>
      </c>
      <c r="I622" s="3" t="s">
        <v>18</v>
      </c>
      <c r="J622" s="3" t="s">
        <v>14</v>
      </c>
      <c r="K622" s="3" t="s">
        <v>14</v>
      </c>
      <c r="L622" s="3" t="s">
        <v>181</v>
      </c>
      <c r="M622" s="4">
        <v>46147</v>
      </c>
      <c r="N622" s="3" t="s">
        <v>261</v>
      </c>
      <c r="O622" s="3" t="s">
        <v>142</v>
      </c>
      <c r="P622" t="str">
        <f t="shared" si="9"/>
        <v>4500122376130</v>
      </c>
      <c r="Q622" s="7" cm="1">
        <f t="array" ref="Q622:S622">VLOOKUP(P622,Hoja1!C:F,{2,3,4},FALSE)</f>
        <v>46174</v>
      </c>
      <c r="R622" t="str">
        <v>EFO</v>
      </c>
      <c r="S622" t="str">
        <v>1000011461 CONTRERAS BRIAN ALEXANDER</v>
      </c>
    </row>
    <row r="623" spans="1:19" x14ac:dyDescent="0.3">
      <c r="A623" s="2" t="s">
        <v>14</v>
      </c>
      <c r="B623" s="3" t="s">
        <v>14</v>
      </c>
      <c r="C623" s="3" t="s">
        <v>679</v>
      </c>
      <c r="D623" s="3" t="s">
        <v>14</v>
      </c>
      <c r="E623" s="3" t="s">
        <v>466</v>
      </c>
      <c r="F623" s="4">
        <v>45817</v>
      </c>
      <c r="G623" s="3" t="s">
        <v>17</v>
      </c>
      <c r="H623" s="5">
        <v>-6112946.79</v>
      </c>
      <c r="I623" s="3" t="s">
        <v>18</v>
      </c>
      <c r="J623" s="3" t="s">
        <v>14</v>
      </c>
      <c r="K623" s="3" t="s">
        <v>14</v>
      </c>
      <c r="L623" s="3" t="s">
        <v>279</v>
      </c>
      <c r="M623" s="4">
        <v>45817</v>
      </c>
      <c r="N623" s="3" t="s">
        <v>680</v>
      </c>
      <c r="O623" s="3" t="s">
        <v>30</v>
      </c>
      <c r="P623" t="str">
        <f t="shared" si="9"/>
        <v>450009834410</v>
      </c>
      <c r="Q623" s="7" cm="1">
        <f t="array" ref="Q623:S623">VLOOKUP(P623,Hoja1!C:F,{2,3,4},FALSE)</f>
        <v>45869</v>
      </c>
      <c r="R623" t="str">
        <v>C15</v>
      </c>
      <c r="S623" t="str">
        <v>1000010190 ANDREANI LOGISTICA SA</v>
      </c>
    </row>
    <row r="624" spans="1:19" x14ac:dyDescent="0.3">
      <c r="A624" s="2" t="s">
        <v>14</v>
      </c>
      <c r="B624" s="3" t="s">
        <v>14</v>
      </c>
      <c r="C624" s="3" t="s">
        <v>679</v>
      </c>
      <c r="D624" s="3" t="s">
        <v>14</v>
      </c>
      <c r="E624" s="3" t="s">
        <v>466</v>
      </c>
      <c r="F624" s="4">
        <v>45817</v>
      </c>
      <c r="G624" s="3" t="s">
        <v>17</v>
      </c>
      <c r="H624" s="5">
        <v>-226712.62</v>
      </c>
      <c r="I624" s="3" t="s">
        <v>18</v>
      </c>
      <c r="J624" s="3" t="s">
        <v>14</v>
      </c>
      <c r="K624" s="3" t="s">
        <v>14</v>
      </c>
      <c r="L624" s="3" t="s">
        <v>279</v>
      </c>
      <c r="M624" s="4">
        <v>45817</v>
      </c>
      <c r="N624" s="3" t="s">
        <v>681</v>
      </c>
      <c r="O624" s="3" t="s">
        <v>30</v>
      </c>
      <c r="P624" t="str">
        <f t="shared" si="9"/>
        <v>450010106410</v>
      </c>
      <c r="Q624" s="7" cm="1">
        <f t="array" ref="Q624:S624">VLOOKUP(P624,Hoja1!C:F,{2,3,4},FALSE)</f>
        <v>45835</v>
      </c>
      <c r="R624" t="str">
        <v>C15</v>
      </c>
      <c r="S624" t="str">
        <v>1000010190 ANDREANI LOGISTICA SA</v>
      </c>
    </row>
    <row r="625" spans="1:19" x14ac:dyDescent="0.3">
      <c r="A625" s="2" t="s">
        <v>14</v>
      </c>
      <c r="B625" s="3" t="s">
        <v>14</v>
      </c>
      <c r="C625" s="3" t="s">
        <v>682</v>
      </c>
      <c r="D625" s="3" t="s">
        <v>14</v>
      </c>
      <c r="E625" s="3" t="s">
        <v>466</v>
      </c>
      <c r="F625" s="4">
        <v>45426</v>
      </c>
      <c r="G625" s="3" t="s">
        <v>17</v>
      </c>
      <c r="H625" s="5">
        <v>-100000000</v>
      </c>
      <c r="I625" s="3" t="s">
        <v>18</v>
      </c>
      <c r="J625" s="3" t="s">
        <v>14</v>
      </c>
      <c r="K625" s="3" t="s">
        <v>14</v>
      </c>
      <c r="L625" s="3" t="s">
        <v>683</v>
      </c>
      <c r="M625" s="4">
        <v>45426</v>
      </c>
      <c r="N625" s="3" t="s">
        <v>684</v>
      </c>
      <c r="O625" s="3" t="s">
        <v>30</v>
      </c>
      <c r="P625" t="str">
        <f t="shared" si="9"/>
        <v>450007483210</v>
      </c>
      <c r="Q625" s="7" cm="1">
        <f t="array" ref="Q625:S625">VLOOKUP(P625,Hoja1!C:F,{2,3,4},FALSE)</f>
        <v>45443</v>
      </c>
      <c r="R625" t="str">
        <v>C37</v>
      </c>
      <c r="S625" t="str">
        <v>1000000464 ANGEL M.ALVAREZ S.A.</v>
      </c>
    </row>
    <row r="626" spans="1:19" x14ac:dyDescent="0.3">
      <c r="A626" s="2" t="s">
        <v>14</v>
      </c>
      <c r="B626" s="3" t="s">
        <v>14</v>
      </c>
      <c r="C626" s="3" t="s">
        <v>685</v>
      </c>
      <c r="D626" s="3" t="s">
        <v>14</v>
      </c>
      <c r="E626" s="3" t="s">
        <v>466</v>
      </c>
      <c r="F626" s="4">
        <v>46150</v>
      </c>
      <c r="G626" s="3" t="s">
        <v>17</v>
      </c>
      <c r="H626" s="5">
        <v>-1099965.52</v>
      </c>
      <c r="I626" s="3" t="s">
        <v>18</v>
      </c>
      <c r="J626" s="3" t="s">
        <v>14</v>
      </c>
      <c r="K626" s="3" t="s">
        <v>14</v>
      </c>
      <c r="L626" s="3" t="s">
        <v>285</v>
      </c>
      <c r="M626" s="4">
        <v>46150</v>
      </c>
      <c r="N626" s="3" t="s">
        <v>286</v>
      </c>
      <c r="O626" s="3" t="s">
        <v>30</v>
      </c>
      <c r="P626" t="str">
        <f t="shared" si="9"/>
        <v>450012510110</v>
      </c>
      <c r="Q626" s="7" cm="1">
        <f t="array" ref="Q626:S626">VLOOKUP(P626,Hoja1!C:F,{2,3,4},FALSE)</f>
        <v>46157</v>
      </c>
      <c r="R626" t="str">
        <v>C42</v>
      </c>
      <c r="S626" t="str">
        <v>1000008600 AUTOMOTORES MEGA S.A.</v>
      </c>
    </row>
    <row r="627" spans="1:19" x14ac:dyDescent="0.3">
      <c r="A627" s="2" t="s">
        <v>14</v>
      </c>
      <c r="B627" s="3" t="s">
        <v>14</v>
      </c>
      <c r="C627" s="3" t="s">
        <v>686</v>
      </c>
      <c r="D627" s="3" t="s">
        <v>32</v>
      </c>
      <c r="E627" s="3" t="s">
        <v>466</v>
      </c>
      <c r="F627" s="4">
        <v>46150</v>
      </c>
      <c r="G627" s="3" t="s">
        <v>17</v>
      </c>
      <c r="H627" s="5">
        <v>-58776.959999999999</v>
      </c>
      <c r="I627" s="3" t="s">
        <v>18</v>
      </c>
      <c r="J627" s="3" t="s">
        <v>14</v>
      </c>
      <c r="K627" s="3" t="s">
        <v>14</v>
      </c>
      <c r="L627" s="3" t="s">
        <v>62</v>
      </c>
      <c r="M627" s="4">
        <v>46150</v>
      </c>
      <c r="N627" s="3" t="s">
        <v>687</v>
      </c>
      <c r="O627" s="3" t="s">
        <v>30</v>
      </c>
      <c r="P627" t="str">
        <f t="shared" si="9"/>
        <v>450012487410</v>
      </c>
      <c r="Q627" s="7" cm="1">
        <f t="array" ref="Q627:S627">VLOOKUP(P627,Hoja1!C:F,{2,3,4},FALSE)</f>
        <v>46142</v>
      </c>
      <c r="R627" t="str">
        <v>C11</v>
      </c>
      <c r="S627" t="str">
        <v>1000012787 FELRRO SRL</v>
      </c>
    </row>
    <row r="628" spans="1:19" x14ac:dyDescent="0.3">
      <c r="A628" s="2" t="s">
        <v>14</v>
      </c>
      <c r="B628" s="3" t="s">
        <v>14</v>
      </c>
      <c r="C628" s="3" t="s">
        <v>686</v>
      </c>
      <c r="D628" s="3" t="s">
        <v>32</v>
      </c>
      <c r="E628" s="3" t="s">
        <v>466</v>
      </c>
      <c r="F628" s="4">
        <v>46150</v>
      </c>
      <c r="G628" s="3" t="s">
        <v>17</v>
      </c>
      <c r="H628" s="5">
        <v>-86412.15</v>
      </c>
      <c r="I628" s="3" t="s">
        <v>18</v>
      </c>
      <c r="J628" s="3" t="s">
        <v>14</v>
      </c>
      <c r="K628" s="3" t="s">
        <v>14</v>
      </c>
      <c r="L628" s="3" t="s">
        <v>62</v>
      </c>
      <c r="M628" s="4">
        <v>46150</v>
      </c>
      <c r="N628" s="3" t="s">
        <v>687</v>
      </c>
      <c r="O628" s="3" t="s">
        <v>22</v>
      </c>
      <c r="P628" t="str">
        <f t="shared" si="9"/>
        <v>450012487420</v>
      </c>
      <c r="Q628" s="7" cm="1">
        <f t="array" ref="Q628:S628">VLOOKUP(P628,Hoja1!C:F,{2,3,4},FALSE)</f>
        <v>46142</v>
      </c>
      <c r="R628" t="str">
        <v>C11</v>
      </c>
      <c r="S628" t="str">
        <v>1000012787 FELRRO SRL</v>
      </c>
    </row>
    <row r="629" spans="1:19" x14ac:dyDescent="0.3">
      <c r="A629" s="2" t="s">
        <v>14</v>
      </c>
      <c r="B629" s="3" t="s">
        <v>14</v>
      </c>
      <c r="C629" s="3" t="s">
        <v>686</v>
      </c>
      <c r="D629" s="3" t="s">
        <v>32</v>
      </c>
      <c r="E629" s="3" t="s">
        <v>466</v>
      </c>
      <c r="F629" s="4">
        <v>46150</v>
      </c>
      <c r="G629" s="3" t="s">
        <v>17</v>
      </c>
      <c r="H629" s="5">
        <v>-46336.95</v>
      </c>
      <c r="I629" s="3" t="s">
        <v>18</v>
      </c>
      <c r="J629" s="3" t="s">
        <v>14</v>
      </c>
      <c r="K629" s="3" t="s">
        <v>14</v>
      </c>
      <c r="L629" s="3" t="s">
        <v>62</v>
      </c>
      <c r="M629" s="4">
        <v>46150</v>
      </c>
      <c r="N629" s="3" t="s">
        <v>687</v>
      </c>
      <c r="O629" s="3" t="s">
        <v>35</v>
      </c>
      <c r="P629" t="str">
        <f t="shared" si="9"/>
        <v>450012487430</v>
      </c>
      <c r="Q629" s="7" cm="1">
        <f t="array" ref="Q629:S629">VLOOKUP(P629,Hoja1!C:F,{2,3,4},FALSE)</f>
        <v>46142</v>
      </c>
      <c r="R629" t="str">
        <v>C11</v>
      </c>
      <c r="S629" t="str">
        <v>1000012787 FELRRO SRL</v>
      </c>
    </row>
    <row r="630" spans="1:19" x14ac:dyDescent="0.3">
      <c r="A630" s="2" t="s">
        <v>14</v>
      </c>
      <c r="B630" s="3" t="s">
        <v>14</v>
      </c>
      <c r="C630" s="3" t="s">
        <v>688</v>
      </c>
      <c r="D630" s="3" t="s">
        <v>14</v>
      </c>
      <c r="E630" s="3" t="s">
        <v>466</v>
      </c>
      <c r="F630" s="4">
        <v>46151</v>
      </c>
      <c r="G630" s="3" t="s">
        <v>17</v>
      </c>
      <c r="H630" s="5">
        <v>-292127.78000000003</v>
      </c>
      <c r="I630" s="3" t="s">
        <v>18</v>
      </c>
      <c r="J630" s="3" t="s">
        <v>14</v>
      </c>
      <c r="K630" s="3" t="s">
        <v>14</v>
      </c>
      <c r="L630" s="3" t="s">
        <v>73</v>
      </c>
      <c r="M630" s="4">
        <v>46151</v>
      </c>
      <c r="N630" s="3" t="s">
        <v>219</v>
      </c>
      <c r="O630" s="3" t="s">
        <v>30</v>
      </c>
      <c r="P630" t="str">
        <f t="shared" si="9"/>
        <v>450012370410</v>
      </c>
      <c r="Q630" s="7" cm="1">
        <f t="array" ref="Q630:S630">VLOOKUP(P630,Hoja1!C:F,{2,3,4},FALSE)</f>
        <v>46198</v>
      </c>
      <c r="R630" t="str">
        <v>C21</v>
      </c>
      <c r="S630" t="str">
        <v>1000000808 GLOBAL OIL S.R.L.</v>
      </c>
    </row>
    <row r="631" spans="1:19" x14ac:dyDescent="0.3">
      <c r="A631" s="2" t="s">
        <v>14</v>
      </c>
      <c r="B631" s="3" t="s">
        <v>14</v>
      </c>
      <c r="C631" s="3" t="s">
        <v>688</v>
      </c>
      <c r="D631" s="3" t="s">
        <v>14</v>
      </c>
      <c r="E631" s="3" t="s">
        <v>466</v>
      </c>
      <c r="F631" s="4">
        <v>46151</v>
      </c>
      <c r="G631" s="3" t="s">
        <v>17</v>
      </c>
      <c r="H631" s="5">
        <v>-3725.2</v>
      </c>
      <c r="I631" s="3" t="s">
        <v>18</v>
      </c>
      <c r="J631" s="3" t="s">
        <v>14</v>
      </c>
      <c r="K631" s="3" t="s">
        <v>14</v>
      </c>
      <c r="L631" s="3" t="s">
        <v>73</v>
      </c>
      <c r="M631" s="4">
        <v>46151</v>
      </c>
      <c r="N631" s="3" t="s">
        <v>219</v>
      </c>
      <c r="O631" s="3" t="s">
        <v>30</v>
      </c>
      <c r="P631" t="str">
        <f t="shared" si="9"/>
        <v>450012370410</v>
      </c>
      <c r="Q631" s="7" cm="1">
        <f t="array" ref="Q631:S631">VLOOKUP(P631,Hoja1!C:F,{2,3,4},FALSE)</f>
        <v>46198</v>
      </c>
      <c r="R631" t="str">
        <v>C21</v>
      </c>
      <c r="S631" t="str">
        <v>1000000808 GLOBAL OIL S.R.L.</v>
      </c>
    </row>
    <row r="632" spans="1:19" x14ac:dyDescent="0.3">
      <c r="A632" s="2" t="s">
        <v>14</v>
      </c>
      <c r="B632" s="3" t="s">
        <v>14</v>
      </c>
      <c r="C632" s="3" t="s">
        <v>689</v>
      </c>
      <c r="D632" s="3" t="s">
        <v>14</v>
      </c>
      <c r="E632" s="3" t="s">
        <v>466</v>
      </c>
      <c r="F632" s="4">
        <v>46153</v>
      </c>
      <c r="G632" s="3" t="s">
        <v>17</v>
      </c>
      <c r="H632" s="5">
        <v>-378335.25</v>
      </c>
      <c r="I632" s="3" t="s">
        <v>18</v>
      </c>
      <c r="J632" s="3" t="s">
        <v>14</v>
      </c>
      <c r="K632" s="3" t="s">
        <v>14</v>
      </c>
      <c r="L632" s="3" t="s">
        <v>690</v>
      </c>
      <c r="M632" s="4">
        <v>46153</v>
      </c>
      <c r="N632" s="3" t="s">
        <v>691</v>
      </c>
      <c r="O632" s="3" t="s">
        <v>30</v>
      </c>
      <c r="P632" t="str">
        <f t="shared" si="9"/>
        <v>450012656510</v>
      </c>
      <c r="Q632" s="7" cm="1">
        <f t="array" ref="Q632:S632">VLOOKUP(P632,Hoja1!C:F,{2,3,4},FALSE)</f>
        <v>46155</v>
      </c>
      <c r="R632" t="str">
        <v>C28</v>
      </c>
      <c r="S632" t="str">
        <v>1000000669 PROSEIND SA</v>
      </c>
    </row>
    <row r="633" spans="1:19" x14ac:dyDescent="0.3">
      <c r="A633" s="2" t="s">
        <v>14</v>
      </c>
      <c r="B633" s="3" t="s">
        <v>14</v>
      </c>
      <c r="C633" s="3" t="s">
        <v>692</v>
      </c>
      <c r="D633" s="3" t="s">
        <v>32</v>
      </c>
      <c r="E633" s="3" t="s">
        <v>466</v>
      </c>
      <c r="F633" s="4">
        <v>46153</v>
      </c>
      <c r="G633" s="3" t="s">
        <v>17</v>
      </c>
      <c r="H633" s="5">
        <v>-16210031.15</v>
      </c>
      <c r="I633" s="3" t="s">
        <v>18</v>
      </c>
      <c r="J633" s="3" t="s">
        <v>14</v>
      </c>
      <c r="K633" s="3" t="s">
        <v>14</v>
      </c>
      <c r="L633" s="3" t="s">
        <v>62</v>
      </c>
      <c r="M633" s="4">
        <v>46153</v>
      </c>
      <c r="N633" s="3" t="s">
        <v>64</v>
      </c>
      <c r="O633" s="3" t="s">
        <v>22</v>
      </c>
      <c r="P633" t="str">
        <f t="shared" si="9"/>
        <v>450012074420</v>
      </c>
      <c r="Q633" s="7" cm="1">
        <f t="array" ref="Q633:S633">VLOOKUP(P633,Hoja1!C:F,{2,3,4},FALSE)</f>
        <v>46121</v>
      </c>
      <c r="R633" t="str">
        <v>C11</v>
      </c>
      <c r="S633" t="str">
        <v>1000012787 FELRRO SRL</v>
      </c>
    </row>
    <row r="634" spans="1:19" x14ac:dyDescent="0.3">
      <c r="A634" s="2" t="s">
        <v>14</v>
      </c>
      <c r="B634" s="3" t="s">
        <v>14</v>
      </c>
      <c r="C634" s="3" t="s">
        <v>693</v>
      </c>
      <c r="D634" s="3" t="s">
        <v>32</v>
      </c>
      <c r="E634" s="3" t="s">
        <v>466</v>
      </c>
      <c r="F634" s="4">
        <v>46153</v>
      </c>
      <c r="G634" s="3" t="s">
        <v>17</v>
      </c>
      <c r="H634" s="5">
        <v>-53284.78</v>
      </c>
      <c r="I634" s="3" t="s">
        <v>18</v>
      </c>
      <c r="J634" s="3" t="s">
        <v>14</v>
      </c>
      <c r="K634" s="3" t="s">
        <v>14</v>
      </c>
      <c r="L634" s="3" t="s">
        <v>62</v>
      </c>
      <c r="M634" s="4">
        <v>46153</v>
      </c>
      <c r="N634" s="3" t="s">
        <v>63</v>
      </c>
      <c r="O634" s="3" t="s">
        <v>35</v>
      </c>
      <c r="P634" t="str">
        <f t="shared" si="9"/>
        <v>450012595930</v>
      </c>
      <c r="Q634" s="7" cm="1">
        <f t="array" ref="Q634:S634">VLOOKUP(P634,Hoja1!C:F,{2,3,4},FALSE)</f>
        <v>46156</v>
      </c>
      <c r="R634" t="str">
        <v>C11</v>
      </c>
      <c r="S634" t="str">
        <v>1000012787 FELRRO SRL</v>
      </c>
    </row>
    <row r="635" spans="1:19" x14ac:dyDescent="0.3">
      <c r="A635" s="2" t="s">
        <v>14</v>
      </c>
      <c r="B635" s="3" t="s">
        <v>14</v>
      </c>
      <c r="C635" s="3" t="s">
        <v>694</v>
      </c>
      <c r="D635" s="3" t="s">
        <v>25</v>
      </c>
      <c r="E635" s="3" t="s">
        <v>466</v>
      </c>
      <c r="F635" s="4">
        <v>46155</v>
      </c>
      <c r="G635" s="3" t="s">
        <v>17</v>
      </c>
      <c r="H635" s="5">
        <v>-39529.879999999997</v>
      </c>
      <c r="I635" s="3" t="s">
        <v>18</v>
      </c>
      <c r="J635" s="3" t="s">
        <v>14</v>
      </c>
      <c r="K635" s="3" t="s">
        <v>14</v>
      </c>
      <c r="L635" s="3" t="s">
        <v>695</v>
      </c>
      <c r="M635" s="4">
        <v>46155</v>
      </c>
      <c r="N635" s="3" t="s">
        <v>696</v>
      </c>
      <c r="O635" s="3" t="s">
        <v>30</v>
      </c>
      <c r="P635" t="str">
        <f t="shared" si="9"/>
        <v>450012735910</v>
      </c>
      <c r="Q635" s="7" cm="1">
        <f t="array" ref="Q635:S635">VLOOKUP(P635,Hoja1!C:F,{2,3,4},FALSE)</f>
        <v>46168</v>
      </c>
      <c r="R635" t="str">
        <v>C21</v>
      </c>
      <c r="S635" t="str">
        <v>1000000714 HOROFE GAS SRL</v>
      </c>
    </row>
    <row r="636" spans="1:19" x14ac:dyDescent="0.3">
      <c r="A636" s="2" t="s">
        <v>14</v>
      </c>
      <c r="B636" s="3" t="s">
        <v>14</v>
      </c>
      <c r="C636" s="3" t="s">
        <v>694</v>
      </c>
      <c r="D636" s="3" t="s">
        <v>25</v>
      </c>
      <c r="E636" s="3" t="s">
        <v>466</v>
      </c>
      <c r="F636" s="4">
        <v>46155</v>
      </c>
      <c r="G636" s="3" t="s">
        <v>17</v>
      </c>
      <c r="H636" s="5">
        <v>-2421.9</v>
      </c>
      <c r="I636" s="3" t="s">
        <v>18</v>
      </c>
      <c r="J636" s="3" t="s">
        <v>14</v>
      </c>
      <c r="K636" s="3" t="s">
        <v>14</v>
      </c>
      <c r="L636" s="3" t="s">
        <v>695</v>
      </c>
      <c r="M636" s="4">
        <v>46155</v>
      </c>
      <c r="N636" s="3" t="s">
        <v>696</v>
      </c>
      <c r="O636" s="3" t="s">
        <v>30</v>
      </c>
      <c r="P636" t="str">
        <f t="shared" si="9"/>
        <v>450012735910</v>
      </c>
      <c r="Q636" s="7" cm="1">
        <f t="array" ref="Q636:S636">VLOOKUP(P636,Hoja1!C:F,{2,3,4},FALSE)</f>
        <v>46168</v>
      </c>
      <c r="R636" t="str">
        <v>C21</v>
      </c>
      <c r="S636" t="str">
        <v>1000000714 HOROFE GAS SRL</v>
      </c>
    </row>
    <row r="637" spans="1:19" x14ac:dyDescent="0.3">
      <c r="A637" s="2" t="s">
        <v>14</v>
      </c>
      <c r="B637" s="3" t="s">
        <v>14</v>
      </c>
      <c r="C637" s="3" t="s">
        <v>697</v>
      </c>
      <c r="D637" s="3" t="s">
        <v>698</v>
      </c>
      <c r="E637" s="3" t="s">
        <v>466</v>
      </c>
      <c r="F637" s="4">
        <v>45832</v>
      </c>
      <c r="G637" s="3" t="s">
        <v>17</v>
      </c>
      <c r="H637" s="5">
        <v>-3500000</v>
      </c>
      <c r="I637" s="3" t="s">
        <v>18</v>
      </c>
      <c r="J637" s="3" t="s">
        <v>14</v>
      </c>
      <c r="K637" s="3" t="s">
        <v>14</v>
      </c>
      <c r="L637" s="3" t="s">
        <v>699</v>
      </c>
      <c r="M637" s="4">
        <v>45832</v>
      </c>
      <c r="N637" s="3" t="s">
        <v>700</v>
      </c>
      <c r="O637" s="3" t="s">
        <v>30</v>
      </c>
      <c r="P637" t="str">
        <f t="shared" si="9"/>
        <v>450010140910</v>
      </c>
      <c r="Q637" s="7" cm="1">
        <f t="array" ref="Q637:S637">VLOOKUP(P637,Hoja1!C:F,{2,3,4},FALSE)</f>
        <v>45828</v>
      </c>
      <c r="R637" t="str">
        <v>C15</v>
      </c>
      <c r="S637" t="str">
        <v>1000010405 EL CANARIO TRANSPORTES Y MONTAJES</v>
      </c>
    </row>
    <row r="638" spans="1:19" x14ac:dyDescent="0.3">
      <c r="A638" s="2" t="s">
        <v>14</v>
      </c>
      <c r="B638" s="3" t="s">
        <v>14</v>
      </c>
      <c r="C638" s="3" t="s">
        <v>701</v>
      </c>
      <c r="D638" s="3" t="s">
        <v>84</v>
      </c>
      <c r="E638" s="3" t="s">
        <v>466</v>
      </c>
      <c r="F638" s="4">
        <v>46156</v>
      </c>
      <c r="G638" s="3" t="s">
        <v>17</v>
      </c>
      <c r="H638" s="5">
        <v>-205980.48</v>
      </c>
      <c r="I638" s="3" t="s">
        <v>18</v>
      </c>
      <c r="J638" s="3" t="s">
        <v>14</v>
      </c>
      <c r="K638" s="3" t="s">
        <v>14</v>
      </c>
      <c r="L638" s="3" t="s">
        <v>366</v>
      </c>
      <c r="M638" s="4">
        <v>46157</v>
      </c>
      <c r="N638" s="3" t="s">
        <v>702</v>
      </c>
      <c r="O638" s="3" t="s">
        <v>138</v>
      </c>
      <c r="P638" t="str">
        <f t="shared" si="9"/>
        <v>450012745190</v>
      </c>
      <c r="Q638" s="7" cm="1">
        <f t="array" ref="Q638:S638">VLOOKUP(P638,Hoja1!C:F,{2,3,4},FALSE)</f>
        <v>46160</v>
      </c>
      <c r="R638" t="str">
        <v>C27</v>
      </c>
      <c r="S638" t="str">
        <v>1000000014 LOPEZ - FORCINITI S.A.</v>
      </c>
    </row>
    <row r="639" spans="1:19" x14ac:dyDescent="0.3">
      <c r="A639" s="2" t="s">
        <v>14</v>
      </c>
      <c r="B639" s="3" t="s">
        <v>14</v>
      </c>
      <c r="C639" s="3" t="s">
        <v>703</v>
      </c>
      <c r="D639" s="3" t="s">
        <v>32</v>
      </c>
      <c r="E639" s="3" t="s">
        <v>466</v>
      </c>
      <c r="F639" s="4">
        <v>45833</v>
      </c>
      <c r="G639" s="3" t="s">
        <v>17</v>
      </c>
      <c r="H639" s="5">
        <v>-7800</v>
      </c>
      <c r="I639" s="3" t="s">
        <v>18</v>
      </c>
      <c r="J639" s="3" t="s">
        <v>14</v>
      </c>
      <c r="K639" s="3" t="s">
        <v>14</v>
      </c>
      <c r="L639" s="3" t="s">
        <v>704</v>
      </c>
      <c r="M639" s="4">
        <v>45833</v>
      </c>
      <c r="N639" s="3" t="s">
        <v>705</v>
      </c>
      <c r="O639" s="3" t="s">
        <v>30</v>
      </c>
      <c r="P639" t="str">
        <f t="shared" si="9"/>
        <v>450010217110</v>
      </c>
      <c r="Q639" s="7" cm="1">
        <f t="array" ref="Q639:S639">VLOOKUP(P639,Hoja1!C:F,{2,3,4},FALSE)</f>
        <v>45835</v>
      </c>
      <c r="R639" t="str">
        <v>C07</v>
      </c>
      <c r="S639" t="str">
        <v>1000008072 COLOR INDUSTRIAL S.A.</v>
      </c>
    </row>
    <row r="640" spans="1:19" x14ac:dyDescent="0.3">
      <c r="A640" s="2" t="s">
        <v>14</v>
      </c>
      <c r="B640" s="3" t="s">
        <v>14</v>
      </c>
      <c r="C640" s="3" t="s">
        <v>703</v>
      </c>
      <c r="D640" s="3" t="s">
        <v>32</v>
      </c>
      <c r="E640" s="3" t="s">
        <v>466</v>
      </c>
      <c r="F640" s="4">
        <v>45833</v>
      </c>
      <c r="G640" s="3" t="s">
        <v>17</v>
      </c>
      <c r="H640" s="5">
        <v>-9775</v>
      </c>
      <c r="I640" s="3" t="s">
        <v>18</v>
      </c>
      <c r="J640" s="3" t="s">
        <v>14</v>
      </c>
      <c r="K640" s="3" t="s">
        <v>14</v>
      </c>
      <c r="L640" s="3" t="s">
        <v>704</v>
      </c>
      <c r="M640" s="4">
        <v>45833</v>
      </c>
      <c r="N640" s="3" t="s">
        <v>705</v>
      </c>
      <c r="O640" s="3" t="s">
        <v>22</v>
      </c>
      <c r="P640" t="str">
        <f t="shared" si="9"/>
        <v>450010217120</v>
      </c>
      <c r="Q640" s="7" cm="1">
        <f t="array" ref="Q640:S640">VLOOKUP(P640,Hoja1!C:F,{2,3,4},FALSE)</f>
        <v>45835</v>
      </c>
      <c r="R640" t="str">
        <v>C07</v>
      </c>
      <c r="S640" t="str">
        <v>1000008072 COLOR INDUSTRIAL S.A.</v>
      </c>
    </row>
    <row r="641" spans="1:19" x14ac:dyDescent="0.3">
      <c r="A641" s="2" t="s">
        <v>14</v>
      </c>
      <c r="B641" s="3" t="s">
        <v>14</v>
      </c>
      <c r="C641" s="3" t="s">
        <v>703</v>
      </c>
      <c r="D641" s="3" t="s">
        <v>32</v>
      </c>
      <c r="E641" s="3" t="s">
        <v>466</v>
      </c>
      <c r="F641" s="4">
        <v>45833</v>
      </c>
      <c r="G641" s="3" t="s">
        <v>17</v>
      </c>
      <c r="H641" s="5">
        <v>-16593</v>
      </c>
      <c r="I641" s="3" t="s">
        <v>18</v>
      </c>
      <c r="J641" s="3" t="s">
        <v>14</v>
      </c>
      <c r="K641" s="3" t="s">
        <v>14</v>
      </c>
      <c r="L641" s="3" t="s">
        <v>704</v>
      </c>
      <c r="M641" s="4">
        <v>45833</v>
      </c>
      <c r="N641" s="3" t="s">
        <v>705</v>
      </c>
      <c r="O641" s="3" t="s">
        <v>35</v>
      </c>
      <c r="P641" t="str">
        <f t="shared" si="9"/>
        <v>450010217130</v>
      </c>
      <c r="Q641" s="7" cm="1">
        <f t="array" ref="Q641:S641">VLOOKUP(P641,Hoja1!C:F,{2,3,4},FALSE)</f>
        <v>45835</v>
      </c>
      <c r="R641" t="str">
        <v>C07</v>
      </c>
      <c r="S641" t="str">
        <v>1000008072 COLOR INDUSTRIAL S.A.</v>
      </c>
    </row>
    <row r="642" spans="1:19" x14ac:dyDescent="0.3">
      <c r="A642" s="2" t="s">
        <v>14</v>
      </c>
      <c r="B642" s="3" t="s">
        <v>14</v>
      </c>
      <c r="C642" s="3" t="s">
        <v>706</v>
      </c>
      <c r="D642" s="3" t="s">
        <v>14</v>
      </c>
      <c r="E642" s="3" t="s">
        <v>466</v>
      </c>
      <c r="F642" s="4">
        <v>46162</v>
      </c>
      <c r="G642" s="3" t="s">
        <v>17</v>
      </c>
      <c r="H642" s="5">
        <v>-520068.14</v>
      </c>
      <c r="I642" s="3" t="s">
        <v>18</v>
      </c>
      <c r="J642" s="3" t="s">
        <v>14</v>
      </c>
      <c r="K642" s="3" t="s">
        <v>14</v>
      </c>
      <c r="L642" s="3" t="s">
        <v>340</v>
      </c>
      <c r="M642" s="4">
        <v>46162</v>
      </c>
      <c r="N642" s="3" t="s">
        <v>707</v>
      </c>
      <c r="O642" s="3" t="s">
        <v>22</v>
      </c>
      <c r="P642" t="str">
        <f t="shared" si="9"/>
        <v>450012648620</v>
      </c>
      <c r="Q642" s="7" cm="1">
        <f t="array" ref="Q642:S642">VLOOKUP(P642,Hoja1!C:F,{2,3,4},FALSE)</f>
        <v>46194</v>
      </c>
      <c r="R642" t="str">
        <v>C03</v>
      </c>
      <c r="S642" t="str">
        <v>1000000062 FINNING ARGENTINA S.A.</v>
      </c>
    </row>
    <row r="643" spans="1:19" x14ac:dyDescent="0.3">
      <c r="A643" s="2" t="s">
        <v>14</v>
      </c>
      <c r="B643" s="3" t="s">
        <v>14</v>
      </c>
      <c r="C643" s="3" t="s">
        <v>708</v>
      </c>
      <c r="D643" s="3" t="s">
        <v>14</v>
      </c>
      <c r="E643" s="3" t="s">
        <v>466</v>
      </c>
      <c r="F643" s="4">
        <v>46162</v>
      </c>
      <c r="G643" s="3" t="s">
        <v>17</v>
      </c>
      <c r="H643" s="5">
        <v>-532214.44999999995</v>
      </c>
      <c r="I643" s="3" t="s">
        <v>18</v>
      </c>
      <c r="J643" s="3" t="s">
        <v>14</v>
      </c>
      <c r="K643" s="3" t="s">
        <v>14</v>
      </c>
      <c r="L643" s="3" t="s">
        <v>73</v>
      </c>
      <c r="M643" s="4">
        <v>46162</v>
      </c>
      <c r="N643" s="3" t="s">
        <v>219</v>
      </c>
      <c r="O643" s="3" t="s">
        <v>30</v>
      </c>
      <c r="P643" t="str">
        <f t="shared" ref="P643:P706" si="10">_xlfn.CONCAT(N643:O643)</f>
        <v>450012370410</v>
      </c>
      <c r="Q643" s="7" cm="1">
        <f t="array" ref="Q643:S643">VLOOKUP(P643,Hoja1!C:F,{2,3,4},FALSE)</f>
        <v>46198</v>
      </c>
      <c r="R643" t="str">
        <v>C21</v>
      </c>
      <c r="S643" t="str">
        <v>1000000808 GLOBAL OIL S.R.L.</v>
      </c>
    </row>
    <row r="644" spans="1:19" x14ac:dyDescent="0.3">
      <c r="A644" s="2" t="s">
        <v>14</v>
      </c>
      <c r="B644" s="3" t="s">
        <v>14</v>
      </c>
      <c r="C644" s="3" t="s">
        <v>708</v>
      </c>
      <c r="D644" s="3" t="s">
        <v>14</v>
      </c>
      <c r="E644" s="3" t="s">
        <v>466</v>
      </c>
      <c r="F644" s="4">
        <v>46162</v>
      </c>
      <c r="G644" s="3" t="s">
        <v>17</v>
      </c>
      <c r="H644" s="5">
        <v>-6786.77</v>
      </c>
      <c r="I644" s="3" t="s">
        <v>18</v>
      </c>
      <c r="J644" s="3" t="s">
        <v>14</v>
      </c>
      <c r="K644" s="3" t="s">
        <v>14</v>
      </c>
      <c r="L644" s="3" t="s">
        <v>73</v>
      </c>
      <c r="M644" s="4">
        <v>46162</v>
      </c>
      <c r="N644" s="3" t="s">
        <v>219</v>
      </c>
      <c r="O644" s="3" t="s">
        <v>30</v>
      </c>
      <c r="P644" t="str">
        <f t="shared" si="10"/>
        <v>450012370410</v>
      </c>
      <c r="Q644" s="7" cm="1">
        <f t="array" ref="Q644:S644">VLOOKUP(P644,Hoja1!C:F,{2,3,4},FALSE)</f>
        <v>46198</v>
      </c>
      <c r="R644" t="str">
        <v>C21</v>
      </c>
      <c r="S644" t="str">
        <v>1000000808 GLOBAL OIL S.R.L.</v>
      </c>
    </row>
    <row r="645" spans="1:19" x14ac:dyDescent="0.3">
      <c r="A645" s="2" t="s">
        <v>14</v>
      </c>
      <c r="B645" s="3" t="s">
        <v>14</v>
      </c>
      <c r="C645" s="3" t="s">
        <v>709</v>
      </c>
      <c r="D645" s="3" t="s">
        <v>14</v>
      </c>
      <c r="E645" s="3" t="s">
        <v>466</v>
      </c>
      <c r="F645" s="4">
        <v>46163</v>
      </c>
      <c r="G645" s="3" t="s">
        <v>17</v>
      </c>
      <c r="H645" s="5">
        <v>-27300</v>
      </c>
      <c r="I645" s="3" t="s">
        <v>18</v>
      </c>
      <c r="J645" s="3" t="s">
        <v>14</v>
      </c>
      <c r="K645" s="3" t="s">
        <v>14</v>
      </c>
      <c r="L645" s="3" t="s">
        <v>207</v>
      </c>
      <c r="M645" s="4">
        <v>46163</v>
      </c>
      <c r="N645" s="3" t="s">
        <v>208</v>
      </c>
      <c r="O645" s="3" t="s">
        <v>23</v>
      </c>
      <c r="P645" t="str">
        <f t="shared" si="10"/>
        <v>450005708040</v>
      </c>
      <c r="Q645" s="7" cm="1">
        <f t="array" ref="Q645:S645">VLOOKUP(P645,Hoja1!C:F,{2,3,4},FALSE)</f>
        <v>46386</v>
      </c>
      <c r="R645" t="str">
        <v>C25</v>
      </c>
      <c r="S645" t="str">
        <v>1000008581 IZAZA PAULA SOLEDAD</v>
      </c>
    </row>
    <row r="646" spans="1:19" x14ac:dyDescent="0.3">
      <c r="A646" s="2" t="s">
        <v>14</v>
      </c>
      <c r="B646" s="3" t="s">
        <v>14</v>
      </c>
      <c r="C646" s="3" t="s">
        <v>710</v>
      </c>
      <c r="D646" s="3" t="s">
        <v>14</v>
      </c>
      <c r="E646" s="3" t="s">
        <v>466</v>
      </c>
      <c r="F646" s="4">
        <v>46163</v>
      </c>
      <c r="G646" s="3" t="s">
        <v>17</v>
      </c>
      <c r="H646" s="5">
        <v>-6716160</v>
      </c>
      <c r="I646" s="3" t="s">
        <v>18</v>
      </c>
      <c r="J646" s="3" t="s">
        <v>14</v>
      </c>
      <c r="K646" s="3" t="s">
        <v>14</v>
      </c>
      <c r="L646" s="3" t="s">
        <v>627</v>
      </c>
      <c r="M646" s="4">
        <v>46163</v>
      </c>
      <c r="N646" s="3" t="s">
        <v>711</v>
      </c>
      <c r="O646" s="3" t="s">
        <v>30</v>
      </c>
      <c r="P646" t="str">
        <f t="shared" si="10"/>
        <v>450011239110</v>
      </c>
      <c r="Q646" s="7" cm="1">
        <f t="array" ref="Q646:S646">VLOOKUP(P646,Hoja1!C:F,{2,3,4},FALSE)</f>
        <v>46386</v>
      </c>
      <c r="R646" t="str">
        <v>C21</v>
      </c>
      <c r="S646" t="str">
        <v>1000000634 RAIZEN ARGENTINA S.A.U.</v>
      </c>
    </row>
    <row r="647" spans="1:19" x14ac:dyDescent="0.3">
      <c r="A647" s="2" t="s">
        <v>14</v>
      </c>
      <c r="B647" s="3" t="s">
        <v>14</v>
      </c>
      <c r="C647" s="3" t="s">
        <v>710</v>
      </c>
      <c r="D647" s="3" t="s">
        <v>14</v>
      </c>
      <c r="E647" s="3" t="s">
        <v>466</v>
      </c>
      <c r="F647" s="4">
        <v>46163</v>
      </c>
      <c r="G647" s="3" t="s">
        <v>17</v>
      </c>
      <c r="H647" s="5">
        <v>-765360</v>
      </c>
      <c r="I647" s="3" t="s">
        <v>18</v>
      </c>
      <c r="J647" s="3" t="s">
        <v>14</v>
      </c>
      <c r="K647" s="3" t="s">
        <v>14</v>
      </c>
      <c r="L647" s="3" t="s">
        <v>627</v>
      </c>
      <c r="M647" s="4">
        <v>46163</v>
      </c>
      <c r="N647" s="3" t="s">
        <v>711</v>
      </c>
      <c r="O647" s="3" t="s">
        <v>30</v>
      </c>
      <c r="P647" t="str">
        <f t="shared" si="10"/>
        <v>450011239110</v>
      </c>
      <c r="Q647" s="7" cm="1">
        <f t="array" ref="Q647:S647">VLOOKUP(P647,Hoja1!C:F,{2,3,4},FALSE)</f>
        <v>46386</v>
      </c>
      <c r="R647" t="str">
        <v>C21</v>
      </c>
      <c r="S647" t="str">
        <v>1000000634 RAIZEN ARGENTINA S.A.U.</v>
      </c>
    </row>
    <row r="648" spans="1:19" x14ac:dyDescent="0.3">
      <c r="A648" s="2" t="s">
        <v>14</v>
      </c>
      <c r="B648" s="3" t="s">
        <v>14</v>
      </c>
      <c r="C648" s="3" t="s">
        <v>712</v>
      </c>
      <c r="D648" s="3" t="s">
        <v>14</v>
      </c>
      <c r="E648" s="3" t="s">
        <v>466</v>
      </c>
      <c r="F648" s="4">
        <v>46164</v>
      </c>
      <c r="G648" s="3" t="s">
        <v>17</v>
      </c>
      <c r="H648" s="5">
        <v>-7107936</v>
      </c>
      <c r="I648" s="3" t="s">
        <v>18</v>
      </c>
      <c r="J648" s="3" t="s">
        <v>14</v>
      </c>
      <c r="K648" s="3" t="s">
        <v>14</v>
      </c>
      <c r="L648" s="3" t="s">
        <v>627</v>
      </c>
      <c r="M648" s="4">
        <v>46164</v>
      </c>
      <c r="N648" s="3" t="s">
        <v>628</v>
      </c>
      <c r="O648" s="3" t="s">
        <v>30</v>
      </c>
      <c r="P648" t="str">
        <f t="shared" si="10"/>
        <v>450011004310</v>
      </c>
      <c r="Q648" s="7" cm="1">
        <f t="array" ref="Q648:S648">VLOOKUP(P648,Hoja1!C:F,{2,3,4},FALSE)</f>
        <v>46203</v>
      </c>
      <c r="R648" t="str">
        <v>C21</v>
      </c>
      <c r="S648" t="str">
        <v>1000000634 RAIZEN ARGENTINA S.A.U.</v>
      </c>
    </row>
    <row r="649" spans="1:19" x14ac:dyDescent="0.3">
      <c r="A649" s="2" t="s">
        <v>14</v>
      </c>
      <c r="B649" s="3" t="s">
        <v>14</v>
      </c>
      <c r="C649" s="3" t="s">
        <v>712</v>
      </c>
      <c r="D649" s="3" t="s">
        <v>14</v>
      </c>
      <c r="E649" s="3" t="s">
        <v>466</v>
      </c>
      <c r="F649" s="4">
        <v>46164</v>
      </c>
      <c r="G649" s="3" t="s">
        <v>17</v>
      </c>
      <c r="H649" s="5">
        <v>-810006</v>
      </c>
      <c r="I649" s="3" t="s">
        <v>18</v>
      </c>
      <c r="J649" s="3" t="s">
        <v>14</v>
      </c>
      <c r="K649" s="3" t="s">
        <v>14</v>
      </c>
      <c r="L649" s="3" t="s">
        <v>627</v>
      </c>
      <c r="M649" s="4">
        <v>46164</v>
      </c>
      <c r="N649" s="3" t="s">
        <v>628</v>
      </c>
      <c r="O649" s="3" t="s">
        <v>30</v>
      </c>
      <c r="P649" t="str">
        <f t="shared" si="10"/>
        <v>450011004310</v>
      </c>
      <c r="Q649" s="7" cm="1">
        <f t="array" ref="Q649:S649">VLOOKUP(P649,Hoja1!C:F,{2,3,4},FALSE)</f>
        <v>46203</v>
      </c>
      <c r="R649" t="str">
        <v>C21</v>
      </c>
      <c r="S649" t="str">
        <v>1000000634 RAIZEN ARGENTINA S.A.U.</v>
      </c>
    </row>
    <row r="650" spans="1:19" x14ac:dyDescent="0.3">
      <c r="A650" s="2" t="s">
        <v>14</v>
      </c>
      <c r="B650" s="3" t="s">
        <v>14</v>
      </c>
      <c r="C650" s="3" t="s">
        <v>713</v>
      </c>
      <c r="D650" s="3" t="s">
        <v>32</v>
      </c>
      <c r="E650" s="3" t="s">
        <v>466</v>
      </c>
      <c r="F650" s="4">
        <v>46165</v>
      </c>
      <c r="G650" s="3" t="s">
        <v>17</v>
      </c>
      <c r="H650" s="5">
        <v>-202186</v>
      </c>
      <c r="I650" s="3" t="s">
        <v>18</v>
      </c>
      <c r="J650" s="3" t="s">
        <v>14</v>
      </c>
      <c r="K650" s="3" t="s">
        <v>14</v>
      </c>
      <c r="L650" s="3" t="s">
        <v>70</v>
      </c>
      <c r="M650" s="4">
        <v>46167</v>
      </c>
      <c r="N650" s="3" t="s">
        <v>71</v>
      </c>
      <c r="O650" s="3" t="s">
        <v>30</v>
      </c>
      <c r="P650" t="str">
        <f t="shared" si="10"/>
        <v>450012556110</v>
      </c>
      <c r="Q650" s="7" cm="1">
        <f t="array" ref="Q650:S650">VLOOKUP(P650,Hoja1!C:F,{2,3,4},FALSE)</f>
        <v>46171</v>
      </c>
      <c r="R650" t="str">
        <v>C28</v>
      </c>
      <c r="S650" t="str">
        <v>1000011064 RANAWEL SA</v>
      </c>
    </row>
    <row r="651" spans="1:19" x14ac:dyDescent="0.3">
      <c r="A651" s="2" t="s">
        <v>14</v>
      </c>
      <c r="B651" s="3" t="s">
        <v>14</v>
      </c>
      <c r="C651" s="3" t="s">
        <v>713</v>
      </c>
      <c r="D651" s="3" t="s">
        <v>32</v>
      </c>
      <c r="E651" s="3" t="s">
        <v>466</v>
      </c>
      <c r="F651" s="4">
        <v>46165</v>
      </c>
      <c r="G651" s="3" t="s">
        <v>17</v>
      </c>
      <c r="H651" s="5">
        <v>-1010930</v>
      </c>
      <c r="I651" s="3" t="s">
        <v>18</v>
      </c>
      <c r="J651" s="3" t="s">
        <v>14</v>
      </c>
      <c r="K651" s="3" t="s">
        <v>14</v>
      </c>
      <c r="L651" s="3" t="s">
        <v>70</v>
      </c>
      <c r="M651" s="4">
        <v>46167</v>
      </c>
      <c r="N651" s="3" t="s">
        <v>71</v>
      </c>
      <c r="O651" s="3" t="s">
        <v>22</v>
      </c>
      <c r="P651" t="str">
        <f t="shared" si="10"/>
        <v>450012556120</v>
      </c>
      <c r="Q651" s="7" cm="1">
        <f t="array" ref="Q651:S651">VLOOKUP(P651,Hoja1!C:F,{2,3,4},FALSE)</f>
        <v>46171</v>
      </c>
      <c r="R651" t="str">
        <v>C28</v>
      </c>
      <c r="S651" t="str">
        <v>1000011064 RANAWEL SA</v>
      </c>
    </row>
    <row r="652" spans="1:19" x14ac:dyDescent="0.3">
      <c r="A652" s="2" t="s">
        <v>14</v>
      </c>
      <c r="B652" s="3" t="s">
        <v>14</v>
      </c>
      <c r="C652" s="3" t="s">
        <v>714</v>
      </c>
      <c r="D652" s="3" t="s">
        <v>14</v>
      </c>
      <c r="E652" s="3" t="s">
        <v>466</v>
      </c>
      <c r="F652" s="4">
        <v>46168</v>
      </c>
      <c r="G652" s="3" t="s">
        <v>17</v>
      </c>
      <c r="H652" s="5">
        <v>-128662</v>
      </c>
      <c r="I652" s="3" t="s">
        <v>18</v>
      </c>
      <c r="J652" s="3" t="s">
        <v>14</v>
      </c>
      <c r="K652" s="3" t="s">
        <v>14</v>
      </c>
      <c r="L652" s="3" t="s">
        <v>690</v>
      </c>
      <c r="M652" s="4">
        <v>46168</v>
      </c>
      <c r="N652" s="3" t="s">
        <v>715</v>
      </c>
      <c r="O652" s="3" t="s">
        <v>30</v>
      </c>
      <c r="P652" t="str">
        <f t="shared" si="10"/>
        <v>450012827510</v>
      </c>
      <c r="Q652" s="7" cm="1">
        <f t="array" ref="Q652:S652">VLOOKUP(P652,Hoja1!C:F,{2,3,4},FALSE)</f>
        <v>46171</v>
      </c>
      <c r="R652" t="str">
        <v>C28</v>
      </c>
      <c r="S652" t="str">
        <v>1000000669 PROSEIND SA</v>
      </c>
    </row>
    <row r="653" spans="1:19" x14ac:dyDescent="0.3">
      <c r="A653" s="2" t="s">
        <v>14</v>
      </c>
      <c r="B653" s="3" t="s">
        <v>14</v>
      </c>
      <c r="C653" s="3" t="s">
        <v>716</v>
      </c>
      <c r="D653" s="3" t="s">
        <v>14</v>
      </c>
      <c r="E653" s="3" t="s">
        <v>466</v>
      </c>
      <c r="F653" s="4">
        <v>46168</v>
      </c>
      <c r="G653" s="3" t="s">
        <v>17</v>
      </c>
      <c r="H653" s="5">
        <v>-4020281.94</v>
      </c>
      <c r="I653" s="3" t="s">
        <v>18</v>
      </c>
      <c r="J653" s="3" t="s">
        <v>14</v>
      </c>
      <c r="K653" s="3" t="s">
        <v>14</v>
      </c>
      <c r="L653" s="3" t="s">
        <v>125</v>
      </c>
      <c r="M653" s="4">
        <v>46168</v>
      </c>
      <c r="N653" s="3" t="s">
        <v>717</v>
      </c>
      <c r="O653" s="3" t="s">
        <v>30</v>
      </c>
      <c r="P653" t="str">
        <f t="shared" si="10"/>
        <v>450011882910</v>
      </c>
      <c r="Q653" s="7" cm="1">
        <f t="array" ref="Q653:S653">VLOOKUP(P653,Hoja1!C:F,{2,3,4},FALSE)</f>
        <v>46175</v>
      </c>
      <c r="R653" t="str">
        <v>C03</v>
      </c>
      <c r="S653" t="str">
        <v>1000001470 SUDAMERICANA CAMIONES SA</v>
      </c>
    </row>
    <row r="654" spans="1:19" x14ac:dyDescent="0.3">
      <c r="A654" s="2" t="s">
        <v>14</v>
      </c>
      <c r="B654" s="3" t="s">
        <v>14</v>
      </c>
      <c r="C654" s="3" t="s">
        <v>718</v>
      </c>
      <c r="D654" s="3" t="s">
        <v>14</v>
      </c>
      <c r="E654" s="3" t="s">
        <v>466</v>
      </c>
      <c r="F654" s="4">
        <v>46169</v>
      </c>
      <c r="G654" s="3" t="s">
        <v>17</v>
      </c>
      <c r="H654" s="5">
        <v>-1062236.67</v>
      </c>
      <c r="I654" s="3" t="s">
        <v>18</v>
      </c>
      <c r="J654" s="3" t="s">
        <v>14</v>
      </c>
      <c r="K654" s="3" t="s">
        <v>14</v>
      </c>
      <c r="L654" s="3" t="s">
        <v>73</v>
      </c>
      <c r="M654" s="4">
        <v>46169</v>
      </c>
      <c r="N654" s="3" t="s">
        <v>74</v>
      </c>
      <c r="O654" s="3" t="s">
        <v>30</v>
      </c>
      <c r="P654" t="str">
        <f t="shared" si="10"/>
        <v>450012597910</v>
      </c>
      <c r="Q654" s="7" cm="1">
        <f t="array" ref="Q654:S654">VLOOKUP(P654,Hoja1!C:F,{2,3,4},FALSE)</f>
        <v>46254</v>
      </c>
      <c r="R654" t="str">
        <v>C21</v>
      </c>
      <c r="S654" t="str">
        <v>1000000808 GLOBAL OIL S.R.L.</v>
      </c>
    </row>
    <row r="655" spans="1:19" x14ac:dyDescent="0.3">
      <c r="A655" s="2" t="s">
        <v>14</v>
      </c>
      <c r="B655" s="3" t="s">
        <v>14</v>
      </c>
      <c r="C655" s="3" t="s">
        <v>718</v>
      </c>
      <c r="D655" s="3" t="s">
        <v>14</v>
      </c>
      <c r="E655" s="3" t="s">
        <v>466</v>
      </c>
      <c r="F655" s="4">
        <v>46169</v>
      </c>
      <c r="G655" s="3" t="s">
        <v>17</v>
      </c>
      <c r="H655" s="5">
        <v>-223633.09</v>
      </c>
      <c r="I655" s="3" t="s">
        <v>18</v>
      </c>
      <c r="J655" s="3" t="s">
        <v>14</v>
      </c>
      <c r="K655" s="3" t="s">
        <v>14</v>
      </c>
      <c r="L655" s="3" t="s">
        <v>73</v>
      </c>
      <c r="M655" s="4">
        <v>46169</v>
      </c>
      <c r="N655" s="3" t="s">
        <v>74</v>
      </c>
      <c r="O655" s="3" t="s">
        <v>30</v>
      </c>
      <c r="P655" t="str">
        <f t="shared" si="10"/>
        <v>450012597910</v>
      </c>
      <c r="Q655" s="7" cm="1">
        <f t="array" ref="Q655:S655">VLOOKUP(P655,Hoja1!C:F,{2,3,4},FALSE)</f>
        <v>46254</v>
      </c>
      <c r="R655" t="str">
        <v>C21</v>
      </c>
      <c r="S655" t="str">
        <v>1000000808 GLOBAL OIL S.R.L.</v>
      </c>
    </row>
    <row r="656" spans="1:19" x14ac:dyDescent="0.3">
      <c r="A656" s="2" t="s">
        <v>14</v>
      </c>
      <c r="B656" s="3" t="s">
        <v>14</v>
      </c>
      <c r="C656" s="3" t="s">
        <v>719</v>
      </c>
      <c r="D656" s="3" t="s">
        <v>14</v>
      </c>
      <c r="E656" s="3" t="s">
        <v>466</v>
      </c>
      <c r="F656" s="4">
        <v>46169</v>
      </c>
      <c r="G656" s="3" t="s">
        <v>17</v>
      </c>
      <c r="H656" s="5">
        <v>-206755.5</v>
      </c>
      <c r="I656" s="3" t="s">
        <v>18</v>
      </c>
      <c r="J656" s="3" t="s">
        <v>14</v>
      </c>
      <c r="K656" s="3" t="s">
        <v>14</v>
      </c>
      <c r="L656" s="3" t="s">
        <v>720</v>
      </c>
      <c r="M656" s="4">
        <v>46169</v>
      </c>
      <c r="N656" s="3" t="s">
        <v>721</v>
      </c>
      <c r="O656" s="3" t="s">
        <v>30</v>
      </c>
      <c r="P656" t="str">
        <f t="shared" si="10"/>
        <v>450012816110</v>
      </c>
      <c r="Q656" s="7" cm="1">
        <f t="array" ref="Q656:S656">VLOOKUP(P656,Hoja1!C:F,{2,3,4},FALSE)</f>
        <v>46164</v>
      </c>
      <c r="R656" t="str">
        <v>C38</v>
      </c>
      <c r="S656" t="str">
        <v>1000001379 TECNO CONSULTING SA</v>
      </c>
    </row>
    <row r="657" spans="1:19" x14ac:dyDescent="0.3">
      <c r="A657" s="2" t="s">
        <v>14</v>
      </c>
      <c r="B657" s="3" t="s">
        <v>14</v>
      </c>
      <c r="C657" s="3" t="s">
        <v>722</v>
      </c>
      <c r="D657" s="3" t="s">
        <v>25</v>
      </c>
      <c r="E657" s="3" t="s">
        <v>466</v>
      </c>
      <c r="F657" s="4">
        <v>46169</v>
      </c>
      <c r="G657" s="3" t="s">
        <v>17</v>
      </c>
      <c r="H657" s="5">
        <v>-3211360.8</v>
      </c>
      <c r="I657" s="3" t="s">
        <v>18</v>
      </c>
      <c r="J657" s="3" t="s">
        <v>14</v>
      </c>
      <c r="K657" s="3" t="s">
        <v>14</v>
      </c>
      <c r="L657" s="3" t="s">
        <v>627</v>
      </c>
      <c r="M657" s="4">
        <v>46169</v>
      </c>
      <c r="N657" s="3" t="s">
        <v>723</v>
      </c>
      <c r="O657" s="3" t="s">
        <v>30</v>
      </c>
      <c r="P657" t="str">
        <f t="shared" si="10"/>
        <v>450012844310</v>
      </c>
      <c r="Q657" s="7" cm="1">
        <f t="array" ref="Q657:S657">VLOOKUP(P657,Hoja1!C:F,{2,3,4},FALSE)</f>
        <v>46203</v>
      </c>
      <c r="R657" t="str">
        <v>C21</v>
      </c>
      <c r="S657" t="str">
        <v>1000000634 RAIZEN ARGENTINA S.A.U.</v>
      </c>
    </row>
    <row r="658" spans="1:19" x14ac:dyDescent="0.3">
      <c r="A658" s="2" t="s">
        <v>14</v>
      </c>
      <c r="B658" s="3" t="s">
        <v>14</v>
      </c>
      <c r="C658" s="3" t="s">
        <v>722</v>
      </c>
      <c r="D658" s="3" t="s">
        <v>25</v>
      </c>
      <c r="E658" s="3" t="s">
        <v>466</v>
      </c>
      <c r="F658" s="4">
        <v>46169</v>
      </c>
      <c r="G658" s="3" t="s">
        <v>17</v>
      </c>
      <c r="H658" s="5">
        <v>-361791.3</v>
      </c>
      <c r="I658" s="3" t="s">
        <v>18</v>
      </c>
      <c r="J658" s="3" t="s">
        <v>14</v>
      </c>
      <c r="K658" s="3" t="s">
        <v>14</v>
      </c>
      <c r="L658" s="3" t="s">
        <v>627</v>
      </c>
      <c r="M658" s="4">
        <v>46169</v>
      </c>
      <c r="N658" s="3" t="s">
        <v>723</v>
      </c>
      <c r="O658" s="3" t="s">
        <v>30</v>
      </c>
      <c r="P658" t="str">
        <f t="shared" si="10"/>
        <v>450012844310</v>
      </c>
      <c r="Q658" s="7" cm="1">
        <f t="array" ref="Q658:S658">VLOOKUP(P658,Hoja1!C:F,{2,3,4},FALSE)</f>
        <v>46203</v>
      </c>
      <c r="R658" t="str">
        <v>C21</v>
      </c>
      <c r="S658" t="str">
        <v>1000000634 RAIZEN ARGENTINA S.A.U.</v>
      </c>
    </row>
    <row r="659" spans="1:19" x14ac:dyDescent="0.3">
      <c r="A659" s="2" t="s">
        <v>14</v>
      </c>
      <c r="B659" s="3" t="s">
        <v>14</v>
      </c>
      <c r="C659" s="3" t="s">
        <v>724</v>
      </c>
      <c r="D659" s="3" t="s">
        <v>14</v>
      </c>
      <c r="E659" s="3" t="s">
        <v>466</v>
      </c>
      <c r="F659" s="4">
        <v>46169</v>
      </c>
      <c r="G659" s="3" t="s">
        <v>17</v>
      </c>
      <c r="H659" s="5">
        <v>-94228.4</v>
      </c>
      <c r="I659" s="3" t="s">
        <v>18</v>
      </c>
      <c r="J659" s="3" t="s">
        <v>14</v>
      </c>
      <c r="K659" s="3" t="s">
        <v>14</v>
      </c>
      <c r="L659" s="3" t="s">
        <v>88</v>
      </c>
      <c r="M659" s="4">
        <v>46169</v>
      </c>
      <c r="N659" s="3" t="s">
        <v>89</v>
      </c>
      <c r="O659" s="3" t="s">
        <v>30</v>
      </c>
      <c r="P659" t="str">
        <f t="shared" si="10"/>
        <v>450011990410</v>
      </c>
      <c r="Q659" s="7" cm="1">
        <f t="array" ref="Q659:S659">VLOOKUP(P659,Hoja1!C:F,{2,3,4},FALSE)</f>
        <v>46284</v>
      </c>
      <c r="R659" t="str">
        <v>C21</v>
      </c>
      <c r="S659" t="str">
        <v>1000004906 FERRARO Y CIA S.A.</v>
      </c>
    </row>
    <row r="660" spans="1:19" x14ac:dyDescent="0.3">
      <c r="A660" s="2" t="s">
        <v>14</v>
      </c>
      <c r="B660" s="3" t="s">
        <v>14</v>
      </c>
      <c r="C660" s="3" t="s">
        <v>724</v>
      </c>
      <c r="D660" s="3" t="s">
        <v>14</v>
      </c>
      <c r="E660" s="3" t="s">
        <v>466</v>
      </c>
      <c r="F660" s="4">
        <v>46169</v>
      </c>
      <c r="G660" s="3" t="s">
        <v>17</v>
      </c>
      <c r="H660" s="5">
        <v>-1676.5</v>
      </c>
      <c r="I660" s="3" t="s">
        <v>18</v>
      </c>
      <c r="J660" s="3" t="s">
        <v>14</v>
      </c>
      <c r="K660" s="3" t="s">
        <v>14</v>
      </c>
      <c r="L660" s="3" t="s">
        <v>88</v>
      </c>
      <c r="M660" s="4">
        <v>46169</v>
      </c>
      <c r="N660" s="3" t="s">
        <v>89</v>
      </c>
      <c r="O660" s="3" t="s">
        <v>30</v>
      </c>
      <c r="P660" t="str">
        <f t="shared" si="10"/>
        <v>450011990410</v>
      </c>
      <c r="Q660" s="7" cm="1">
        <f t="array" ref="Q660:S660">VLOOKUP(P660,Hoja1!C:F,{2,3,4},FALSE)</f>
        <v>46284</v>
      </c>
      <c r="R660" t="str">
        <v>C21</v>
      </c>
      <c r="S660" t="str">
        <v>1000004906 FERRARO Y CIA S.A.</v>
      </c>
    </row>
    <row r="661" spans="1:19" x14ac:dyDescent="0.3">
      <c r="A661" s="2" t="s">
        <v>14</v>
      </c>
      <c r="B661" s="3" t="s">
        <v>14</v>
      </c>
      <c r="C661" s="3" t="s">
        <v>724</v>
      </c>
      <c r="D661" s="3" t="s">
        <v>14</v>
      </c>
      <c r="E661" s="3" t="s">
        <v>466</v>
      </c>
      <c r="F661" s="4">
        <v>46169</v>
      </c>
      <c r="G661" s="3" t="s">
        <v>17</v>
      </c>
      <c r="H661" s="5">
        <v>-14707</v>
      </c>
      <c r="I661" s="3" t="s">
        <v>18</v>
      </c>
      <c r="J661" s="3" t="s">
        <v>14</v>
      </c>
      <c r="K661" s="3" t="s">
        <v>14</v>
      </c>
      <c r="L661" s="3" t="s">
        <v>88</v>
      </c>
      <c r="M661" s="4">
        <v>46169</v>
      </c>
      <c r="N661" s="3" t="s">
        <v>89</v>
      </c>
      <c r="O661" s="3" t="s">
        <v>30</v>
      </c>
      <c r="P661" t="str">
        <f t="shared" si="10"/>
        <v>450011990410</v>
      </c>
      <c r="Q661" s="7" cm="1">
        <f t="array" ref="Q661:S661">VLOOKUP(P661,Hoja1!C:F,{2,3,4},FALSE)</f>
        <v>46284</v>
      </c>
      <c r="R661" t="str">
        <v>C21</v>
      </c>
      <c r="S661" t="str">
        <v>1000004906 FERRARO Y CIA S.A.</v>
      </c>
    </row>
    <row r="662" spans="1:19" x14ac:dyDescent="0.3">
      <c r="A662" s="2" t="s">
        <v>14</v>
      </c>
      <c r="B662" s="3" t="s">
        <v>14</v>
      </c>
      <c r="C662" s="3" t="s">
        <v>725</v>
      </c>
      <c r="D662" s="3" t="s">
        <v>14</v>
      </c>
      <c r="E662" s="3" t="s">
        <v>466</v>
      </c>
      <c r="F662" s="4">
        <v>46169</v>
      </c>
      <c r="G662" s="3" t="s">
        <v>17</v>
      </c>
      <c r="H662" s="5">
        <v>-61600</v>
      </c>
      <c r="I662" s="3" t="s">
        <v>18</v>
      </c>
      <c r="J662" s="3" t="s">
        <v>14</v>
      </c>
      <c r="K662" s="3" t="s">
        <v>14</v>
      </c>
      <c r="L662" s="3" t="s">
        <v>600</v>
      </c>
      <c r="M662" s="4">
        <v>46169</v>
      </c>
      <c r="N662" s="3" t="s">
        <v>726</v>
      </c>
      <c r="O662" s="3" t="s">
        <v>30</v>
      </c>
      <c r="P662" t="str">
        <f t="shared" si="10"/>
        <v>450011803910</v>
      </c>
      <c r="Q662" s="7" cm="1">
        <f t="array" ref="Q662:S662">VLOOKUP(P662,Hoja1!C:F,{2,3,4},FALSE)</f>
        <v>46048</v>
      </c>
      <c r="R662" t="str">
        <v>EFO</v>
      </c>
      <c r="S662" t="str">
        <v>1000012464 LOOPING REPUESTOS SOCIEDAD ANONIMA</v>
      </c>
    </row>
    <row r="663" spans="1:19" x14ac:dyDescent="0.3">
      <c r="A663" s="2" t="s">
        <v>14</v>
      </c>
      <c r="B663" s="3" t="s">
        <v>14</v>
      </c>
      <c r="C663" s="3" t="s">
        <v>727</v>
      </c>
      <c r="D663" s="3" t="s">
        <v>14</v>
      </c>
      <c r="E663" s="3" t="s">
        <v>466</v>
      </c>
      <c r="F663" s="4">
        <v>46169</v>
      </c>
      <c r="G663" s="3" t="s">
        <v>17</v>
      </c>
      <c r="H663" s="5">
        <v>-8677.5</v>
      </c>
      <c r="I663" s="3" t="s">
        <v>18</v>
      </c>
      <c r="J663" s="3" t="s">
        <v>14</v>
      </c>
      <c r="K663" s="3" t="s">
        <v>14</v>
      </c>
      <c r="L663" s="3" t="s">
        <v>47</v>
      </c>
      <c r="M663" s="4">
        <v>46169</v>
      </c>
      <c r="N663" s="3" t="s">
        <v>728</v>
      </c>
      <c r="O663" s="3" t="s">
        <v>30</v>
      </c>
      <c r="P663" t="str">
        <f t="shared" si="10"/>
        <v>450012869210</v>
      </c>
      <c r="Q663" s="7" cm="1">
        <f t="array" ref="Q663:S663">VLOOKUP(P663,Hoja1!C:F,{2,3,4},FALSE)</f>
        <v>46175</v>
      </c>
      <c r="R663" t="str">
        <v>C42</v>
      </c>
      <c r="S663" t="str">
        <v>1000000010 GASES ROSARIO S.R.L.</v>
      </c>
    </row>
    <row r="664" spans="1:19" x14ac:dyDescent="0.3">
      <c r="A664" s="2" t="s">
        <v>14</v>
      </c>
      <c r="B664" s="3" t="s">
        <v>14</v>
      </c>
      <c r="C664" s="3" t="s">
        <v>729</v>
      </c>
      <c r="D664" s="3" t="s">
        <v>14</v>
      </c>
      <c r="E664" s="3" t="s">
        <v>466</v>
      </c>
      <c r="F664" s="4">
        <v>46169</v>
      </c>
      <c r="G664" s="3" t="s">
        <v>17</v>
      </c>
      <c r="H664" s="5">
        <v>-40200</v>
      </c>
      <c r="I664" s="3" t="s">
        <v>18</v>
      </c>
      <c r="J664" s="3" t="s">
        <v>14</v>
      </c>
      <c r="K664" s="3" t="s">
        <v>14</v>
      </c>
      <c r="L664" s="3" t="s">
        <v>47</v>
      </c>
      <c r="M664" s="4">
        <v>46169</v>
      </c>
      <c r="N664" s="3" t="s">
        <v>730</v>
      </c>
      <c r="O664" s="3" t="s">
        <v>30</v>
      </c>
      <c r="P664" t="str">
        <f t="shared" si="10"/>
        <v>450012875110</v>
      </c>
      <c r="Q664" s="7" cm="1">
        <f t="array" ref="Q664:S664">VLOOKUP(P664,Hoja1!C:F,{2,3,4},FALSE)</f>
        <v>46185</v>
      </c>
      <c r="R664" t="str">
        <v>C42</v>
      </c>
      <c r="S664" t="str">
        <v>1000000010 GASES ROSARIO S.R.L.</v>
      </c>
    </row>
    <row r="665" spans="1:19" x14ac:dyDescent="0.3">
      <c r="A665" s="2" t="s">
        <v>14</v>
      </c>
      <c r="B665" s="3" t="s">
        <v>14</v>
      </c>
      <c r="C665" s="3" t="s">
        <v>731</v>
      </c>
      <c r="D665" s="3" t="s">
        <v>14</v>
      </c>
      <c r="E665" s="3" t="s">
        <v>466</v>
      </c>
      <c r="F665" s="4">
        <v>46169</v>
      </c>
      <c r="G665" s="3" t="s">
        <v>17</v>
      </c>
      <c r="H665" s="5">
        <v>-53613</v>
      </c>
      <c r="I665" s="3" t="s">
        <v>18</v>
      </c>
      <c r="J665" s="3" t="s">
        <v>14</v>
      </c>
      <c r="K665" s="3" t="s">
        <v>14</v>
      </c>
      <c r="L665" s="3" t="s">
        <v>47</v>
      </c>
      <c r="M665" s="4">
        <v>46169</v>
      </c>
      <c r="N665" s="3" t="s">
        <v>732</v>
      </c>
      <c r="O665" s="3" t="s">
        <v>30</v>
      </c>
      <c r="P665" t="str">
        <f t="shared" si="10"/>
        <v>450012875210</v>
      </c>
      <c r="Q665" s="7" cm="1">
        <f t="array" ref="Q665:S665">VLOOKUP(P665,Hoja1!C:F,{2,3,4},FALSE)</f>
        <v>46188</v>
      </c>
      <c r="R665" t="str">
        <v>C42</v>
      </c>
      <c r="S665" t="str">
        <v>1000000010 GASES ROSARIO S.R.L.</v>
      </c>
    </row>
    <row r="666" spans="1:19" x14ac:dyDescent="0.3">
      <c r="A666" s="2" t="s">
        <v>14</v>
      </c>
      <c r="B666" s="3" t="s">
        <v>14</v>
      </c>
      <c r="C666" s="3" t="s">
        <v>731</v>
      </c>
      <c r="D666" s="3" t="s">
        <v>14</v>
      </c>
      <c r="E666" s="3" t="s">
        <v>466</v>
      </c>
      <c r="F666" s="4">
        <v>46169</v>
      </c>
      <c r="G666" s="3" t="s">
        <v>17</v>
      </c>
      <c r="H666" s="5">
        <v>-53613</v>
      </c>
      <c r="I666" s="3" t="s">
        <v>18</v>
      </c>
      <c r="J666" s="3" t="s">
        <v>14</v>
      </c>
      <c r="K666" s="3" t="s">
        <v>14</v>
      </c>
      <c r="L666" s="3" t="s">
        <v>47</v>
      </c>
      <c r="M666" s="4">
        <v>46169</v>
      </c>
      <c r="N666" s="3" t="s">
        <v>732</v>
      </c>
      <c r="O666" s="3" t="s">
        <v>22</v>
      </c>
      <c r="P666" t="str">
        <f t="shared" si="10"/>
        <v>450012875220</v>
      </c>
      <c r="Q666" s="7" cm="1">
        <f t="array" ref="Q666:S666">VLOOKUP(P666,Hoja1!C:F,{2,3,4},FALSE)</f>
        <v>46188</v>
      </c>
      <c r="R666" t="str">
        <v>C42</v>
      </c>
      <c r="S666" t="str">
        <v>1000000010 GASES ROSARIO S.R.L.</v>
      </c>
    </row>
    <row r="667" spans="1:19" x14ac:dyDescent="0.3">
      <c r="A667" s="2" t="s">
        <v>14</v>
      </c>
      <c r="B667" s="3" t="s">
        <v>14</v>
      </c>
      <c r="C667" s="3" t="s">
        <v>733</v>
      </c>
      <c r="D667" s="3" t="s">
        <v>32</v>
      </c>
      <c r="E667" s="3" t="s">
        <v>466</v>
      </c>
      <c r="F667" s="4">
        <v>46170</v>
      </c>
      <c r="G667" s="3" t="s">
        <v>17</v>
      </c>
      <c r="H667" s="5">
        <v>-3211360.8</v>
      </c>
      <c r="I667" s="3" t="s">
        <v>18</v>
      </c>
      <c r="J667" s="3" t="s">
        <v>14</v>
      </c>
      <c r="K667" s="3" t="s">
        <v>14</v>
      </c>
      <c r="L667" s="3" t="s">
        <v>627</v>
      </c>
      <c r="M667" s="4">
        <v>46170</v>
      </c>
      <c r="N667" s="3" t="s">
        <v>734</v>
      </c>
      <c r="O667" s="3" t="s">
        <v>30</v>
      </c>
      <c r="P667" t="str">
        <f t="shared" si="10"/>
        <v>450012862810</v>
      </c>
      <c r="Q667" s="7" cm="1">
        <f t="array" ref="Q667:S667">VLOOKUP(P667,Hoja1!C:F,{2,3,4},FALSE)</f>
        <v>46386</v>
      </c>
      <c r="R667" t="str">
        <v>C21</v>
      </c>
      <c r="S667" t="str">
        <v>1000000634 RAIZEN ARGENTINA S.A.U.</v>
      </c>
    </row>
    <row r="668" spans="1:19" x14ac:dyDescent="0.3">
      <c r="A668" s="2" t="s">
        <v>14</v>
      </c>
      <c r="B668" s="3" t="s">
        <v>14</v>
      </c>
      <c r="C668" s="3" t="s">
        <v>733</v>
      </c>
      <c r="D668" s="3" t="s">
        <v>32</v>
      </c>
      <c r="E668" s="3" t="s">
        <v>466</v>
      </c>
      <c r="F668" s="4">
        <v>46170</v>
      </c>
      <c r="G668" s="3" t="s">
        <v>17</v>
      </c>
      <c r="H668" s="5">
        <v>-361791.3</v>
      </c>
      <c r="I668" s="3" t="s">
        <v>18</v>
      </c>
      <c r="J668" s="3" t="s">
        <v>14</v>
      </c>
      <c r="K668" s="3" t="s">
        <v>14</v>
      </c>
      <c r="L668" s="3" t="s">
        <v>627</v>
      </c>
      <c r="M668" s="4">
        <v>46170</v>
      </c>
      <c r="N668" s="3" t="s">
        <v>734</v>
      </c>
      <c r="O668" s="3" t="s">
        <v>30</v>
      </c>
      <c r="P668" t="str">
        <f t="shared" si="10"/>
        <v>450012862810</v>
      </c>
      <c r="Q668" s="7" cm="1">
        <f t="array" ref="Q668:S668">VLOOKUP(P668,Hoja1!C:F,{2,3,4},FALSE)</f>
        <v>46386</v>
      </c>
      <c r="R668" t="str">
        <v>C21</v>
      </c>
      <c r="S668" t="str">
        <v>1000000634 RAIZEN ARGENTINA S.A.U.</v>
      </c>
    </row>
    <row r="669" spans="1:19" x14ac:dyDescent="0.3">
      <c r="A669" s="2" t="s">
        <v>14</v>
      </c>
      <c r="B669" s="3" t="s">
        <v>14</v>
      </c>
      <c r="C669" s="3" t="s">
        <v>735</v>
      </c>
      <c r="D669" s="3" t="s">
        <v>14</v>
      </c>
      <c r="E669" s="3" t="s">
        <v>466</v>
      </c>
      <c r="F669" s="4">
        <v>46170</v>
      </c>
      <c r="G669" s="3" t="s">
        <v>17</v>
      </c>
      <c r="H669" s="5">
        <v>-2505654.17</v>
      </c>
      <c r="I669" s="3" t="s">
        <v>18</v>
      </c>
      <c r="J669" s="3" t="s">
        <v>14</v>
      </c>
      <c r="K669" s="3" t="s">
        <v>14</v>
      </c>
      <c r="L669" s="3" t="s">
        <v>279</v>
      </c>
      <c r="M669" s="4">
        <v>46170</v>
      </c>
      <c r="N669" s="3" t="s">
        <v>280</v>
      </c>
      <c r="O669" s="3" t="s">
        <v>30</v>
      </c>
      <c r="P669" t="str">
        <f t="shared" si="10"/>
        <v>450012861210</v>
      </c>
      <c r="Q669" s="7" cm="1">
        <f t="array" ref="Q669:S669">VLOOKUP(P669,Hoja1!C:F,{2,3,4},FALSE)</f>
        <v>46295</v>
      </c>
      <c r="R669" t="str">
        <v>C15</v>
      </c>
      <c r="S669" t="str">
        <v>1000010190 ANDREANI LOGISTICA SA</v>
      </c>
    </row>
    <row r="670" spans="1:19" x14ac:dyDescent="0.3">
      <c r="A670" s="2" t="s">
        <v>14</v>
      </c>
      <c r="B670" s="3" t="s">
        <v>14</v>
      </c>
      <c r="C670" s="3" t="s">
        <v>736</v>
      </c>
      <c r="D670" s="3" t="s">
        <v>14</v>
      </c>
      <c r="E670" s="3" t="s">
        <v>466</v>
      </c>
      <c r="F670" s="4">
        <v>46170</v>
      </c>
      <c r="G670" s="3" t="s">
        <v>17</v>
      </c>
      <c r="H670" s="5">
        <v>-3379200</v>
      </c>
      <c r="I670" s="3" t="s">
        <v>18</v>
      </c>
      <c r="J670" s="3" t="s">
        <v>14</v>
      </c>
      <c r="K670" s="3" t="s">
        <v>14</v>
      </c>
      <c r="L670" s="3" t="s">
        <v>737</v>
      </c>
      <c r="M670" s="4">
        <v>46170</v>
      </c>
      <c r="N670" s="3" t="s">
        <v>738</v>
      </c>
      <c r="O670" s="3" t="s">
        <v>30</v>
      </c>
      <c r="P670" t="str">
        <f t="shared" si="10"/>
        <v>450012488010</v>
      </c>
      <c r="Q670" s="7" cm="1">
        <f t="array" ref="Q670:S670">VLOOKUP(P670,Hoja1!C:F,{2,3,4},FALSE)</f>
        <v>46142</v>
      </c>
      <c r="R670" t="str">
        <v>C07</v>
      </c>
      <c r="S670" t="str">
        <v>1000003841 FAMEIM S.A.</v>
      </c>
    </row>
    <row r="671" spans="1:19" x14ac:dyDescent="0.3">
      <c r="A671" s="2" t="s">
        <v>14</v>
      </c>
      <c r="B671" s="3" t="s">
        <v>14</v>
      </c>
      <c r="C671" s="3" t="s">
        <v>736</v>
      </c>
      <c r="D671" s="3" t="s">
        <v>32</v>
      </c>
      <c r="E671" s="3" t="s">
        <v>466</v>
      </c>
      <c r="F671" s="4">
        <v>46170</v>
      </c>
      <c r="G671" s="3" t="s">
        <v>17</v>
      </c>
      <c r="H671" s="5">
        <v>-352000</v>
      </c>
      <c r="I671" s="3" t="s">
        <v>18</v>
      </c>
      <c r="J671" s="3" t="s">
        <v>14</v>
      </c>
      <c r="K671" s="3" t="s">
        <v>14</v>
      </c>
      <c r="L671" s="3" t="s">
        <v>737</v>
      </c>
      <c r="M671" s="4">
        <v>46170</v>
      </c>
      <c r="N671" s="3" t="s">
        <v>738</v>
      </c>
      <c r="O671" s="3" t="s">
        <v>22</v>
      </c>
      <c r="P671" t="str">
        <f t="shared" si="10"/>
        <v>450012488020</v>
      </c>
      <c r="Q671" s="7" cm="1">
        <f t="array" ref="Q671:S671">VLOOKUP(P671,Hoja1!C:F,{2,3,4},FALSE)</f>
        <v>46142</v>
      </c>
      <c r="R671" t="str">
        <v>C07</v>
      </c>
      <c r="S671" t="str">
        <v>1000003841 FAMEIM S.A.</v>
      </c>
    </row>
    <row r="672" spans="1:19" x14ac:dyDescent="0.3">
      <c r="A672" s="2" t="s">
        <v>14</v>
      </c>
      <c r="B672" s="3" t="s">
        <v>14</v>
      </c>
      <c r="C672" s="3" t="s">
        <v>739</v>
      </c>
      <c r="D672" s="3" t="s">
        <v>14</v>
      </c>
      <c r="E672" s="3" t="s">
        <v>466</v>
      </c>
      <c r="F672" s="4">
        <v>46170</v>
      </c>
      <c r="G672" s="3" t="s">
        <v>17</v>
      </c>
      <c r="H672" s="5">
        <v>-102980</v>
      </c>
      <c r="I672" s="3" t="s">
        <v>18</v>
      </c>
      <c r="J672" s="3" t="s">
        <v>14</v>
      </c>
      <c r="K672" s="3" t="s">
        <v>14</v>
      </c>
      <c r="L672" s="3" t="s">
        <v>617</v>
      </c>
      <c r="M672" s="4">
        <v>46170</v>
      </c>
      <c r="N672" s="3" t="s">
        <v>740</v>
      </c>
      <c r="O672" s="3" t="s">
        <v>30</v>
      </c>
      <c r="P672" t="str">
        <f t="shared" si="10"/>
        <v>450012883310</v>
      </c>
      <c r="Q672" s="7" cm="1">
        <f t="array" ref="Q672:S672">VLOOKUP(P672,Hoja1!C:F,{2,3,4},FALSE)</f>
        <v>46183</v>
      </c>
      <c r="R672" t="str">
        <v>C42</v>
      </c>
      <c r="S672" t="str">
        <v>1000000018 REPUESTOS CARLITOS</v>
      </c>
    </row>
    <row r="673" spans="1:19" x14ac:dyDescent="0.3">
      <c r="A673" s="2" t="s">
        <v>14</v>
      </c>
      <c r="B673" s="3" t="s">
        <v>14</v>
      </c>
      <c r="C673" s="3" t="s">
        <v>741</v>
      </c>
      <c r="D673" s="3" t="s">
        <v>14</v>
      </c>
      <c r="E673" s="3" t="s">
        <v>466</v>
      </c>
      <c r="F673" s="4">
        <v>46171</v>
      </c>
      <c r="G673" s="3" t="s">
        <v>17</v>
      </c>
      <c r="H673" s="5">
        <v>-538448</v>
      </c>
      <c r="I673" s="3" t="s">
        <v>18</v>
      </c>
      <c r="J673" s="3" t="s">
        <v>14</v>
      </c>
      <c r="K673" s="3" t="s">
        <v>14</v>
      </c>
      <c r="L673" s="3" t="s">
        <v>88</v>
      </c>
      <c r="M673" s="4">
        <v>46171</v>
      </c>
      <c r="N673" s="3" t="s">
        <v>89</v>
      </c>
      <c r="O673" s="3" t="s">
        <v>30</v>
      </c>
      <c r="P673" t="str">
        <f t="shared" si="10"/>
        <v>450011990410</v>
      </c>
      <c r="Q673" s="7" cm="1">
        <f t="array" ref="Q673:S673">VLOOKUP(P673,Hoja1!C:F,{2,3,4},FALSE)</f>
        <v>46284</v>
      </c>
      <c r="R673" t="str">
        <v>C21</v>
      </c>
      <c r="S673" t="str">
        <v>1000004906 FERRARO Y CIA S.A.</v>
      </c>
    </row>
    <row r="674" spans="1:19" x14ac:dyDescent="0.3">
      <c r="A674" s="2" t="s">
        <v>14</v>
      </c>
      <c r="B674" s="3" t="s">
        <v>14</v>
      </c>
      <c r="C674" s="3" t="s">
        <v>741</v>
      </c>
      <c r="D674" s="3" t="s">
        <v>14</v>
      </c>
      <c r="E674" s="3" t="s">
        <v>466</v>
      </c>
      <c r="F674" s="4">
        <v>46171</v>
      </c>
      <c r="G674" s="3" t="s">
        <v>17</v>
      </c>
      <c r="H674" s="5">
        <v>-9580</v>
      </c>
      <c r="I674" s="3" t="s">
        <v>18</v>
      </c>
      <c r="J674" s="3" t="s">
        <v>14</v>
      </c>
      <c r="K674" s="3" t="s">
        <v>14</v>
      </c>
      <c r="L674" s="3" t="s">
        <v>88</v>
      </c>
      <c r="M674" s="4">
        <v>46171</v>
      </c>
      <c r="N674" s="3" t="s">
        <v>89</v>
      </c>
      <c r="O674" s="3" t="s">
        <v>30</v>
      </c>
      <c r="P674" t="str">
        <f t="shared" si="10"/>
        <v>450011990410</v>
      </c>
      <c r="Q674" s="7" cm="1">
        <f t="array" ref="Q674:S674">VLOOKUP(P674,Hoja1!C:F,{2,3,4},FALSE)</f>
        <v>46284</v>
      </c>
      <c r="R674" t="str">
        <v>C21</v>
      </c>
      <c r="S674" t="str">
        <v>1000004906 FERRARO Y CIA S.A.</v>
      </c>
    </row>
    <row r="675" spans="1:19" x14ac:dyDescent="0.3">
      <c r="A675" s="2" t="s">
        <v>14</v>
      </c>
      <c r="B675" s="3" t="s">
        <v>14</v>
      </c>
      <c r="C675" s="3" t="s">
        <v>741</v>
      </c>
      <c r="D675" s="3" t="s">
        <v>14</v>
      </c>
      <c r="E675" s="3" t="s">
        <v>466</v>
      </c>
      <c r="F675" s="4">
        <v>46171</v>
      </c>
      <c r="G675" s="3" t="s">
        <v>17</v>
      </c>
      <c r="H675" s="5">
        <v>-84040</v>
      </c>
      <c r="I675" s="3" t="s">
        <v>18</v>
      </c>
      <c r="J675" s="3" t="s">
        <v>14</v>
      </c>
      <c r="K675" s="3" t="s">
        <v>14</v>
      </c>
      <c r="L675" s="3" t="s">
        <v>88</v>
      </c>
      <c r="M675" s="4">
        <v>46171</v>
      </c>
      <c r="N675" s="3" t="s">
        <v>89</v>
      </c>
      <c r="O675" s="3" t="s">
        <v>30</v>
      </c>
      <c r="P675" t="str">
        <f t="shared" si="10"/>
        <v>450011990410</v>
      </c>
      <c r="Q675" s="7" cm="1">
        <f t="array" ref="Q675:S675">VLOOKUP(P675,Hoja1!C:F,{2,3,4},FALSE)</f>
        <v>46284</v>
      </c>
      <c r="R675" t="str">
        <v>C21</v>
      </c>
      <c r="S675" t="str">
        <v>1000004906 FERRARO Y CIA S.A.</v>
      </c>
    </row>
    <row r="676" spans="1:19" x14ac:dyDescent="0.3">
      <c r="A676" s="2" t="s">
        <v>14</v>
      </c>
      <c r="B676" s="3" t="s">
        <v>14</v>
      </c>
      <c r="C676" s="3" t="s">
        <v>742</v>
      </c>
      <c r="D676" s="3" t="s">
        <v>14</v>
      </c>
      <c r="E676" s="3" t="s">
        <v>466</v>
      </c>
      <c r="F676" s="4">
        <v>46171</v>
      </c>
      <c r="G676" s="3" t="s">
        <v>17</v>
      </c>
      <c r="H676" s="5">
        <v>-511565.98</v>
      </c>
      <c r="I676" s="3" t="s">
        <v>18</v>
      </c>
      <c r="J676" s="3" t="s">
        <v>14</v>
      </c>
      <c r="K676" s="3" t="s">
        <v>14</v>
      </c>
      <c r="L676" s="3" t="s">
        <v>88</v>
      </c>
      <c r="M676" s="4">
        <v>46171</v>
      </c>
      <c r="N676" s="3" t="s">
        <v>89</v>
      </c>
      <c r="O676" s="3" t="s">
        <v>30</v>
      </c>
      <c r="P676" t="str">
        <f t="shared" si="10"/>
        <v>450011990410</v>
      </c>
      <c r="Q676" s="7" cm="1">
        <f t="array" ref="Q676:S676">VLOOKUP(P676,Hoja1!C:F,{2,3,4},FALSE)</f>
        <v>46284</v>
      </c>
      <c r="R676" t="str">
        <v>C21</v>
      </c>
      <c r="S676" t="str">
        <v>1000004906 FERRARO Y CIA S.A.</v>
      </c>
    </row>
    <row r="677" spans="1:19" x14ac:dyDescent="0.3">
      <c r="A677" s="2" t="s">
        <v>14</v>
      </c>
      <c r="B677" s="3" t="s">
        <v>14</v>
      </c>
      <c r="C677" s="3" t="s">
        <v>742</v>
      </c>
      <c r="D677" s="3" t="s">
        <v>14</v>
      </c>
      <c r="E677" s="3" t="s">
        <v>466</v>
      </c>
      <c r="F677" s="4">
        <v>46171</v>
      </c>
      <c r="G677" s="3" t="s">
        <v>17</v>
      </c>
      <c r="H677" s="5">
        <v>-79844.3</v>
      </c>
      <c r="I677" s="3" t="s">
        <v>18</v>
      </c>
      <c r="J677" s="3" t="s">
        <v>14</v>
      </c>
      <c r="K677" s="3" t="s">
        <v>14</v>
      </c>
      <c r="L677" s="3" t="s">
        <v>88</v>
      </c>
      <c r="M677" s="4">
        <v>46171</v>
      </c>
      <c r="N677" s="3" t="s">
        <v>89</v>
      </c>
      <c r="O677" s="3" t="s">
        <v>30</v>
      </c>
      <c r="P677" t="str">
        <f t="shared" si="10"/>
        <v>450011990410</v>
      </c>
      <c r="Q677" s="7" cm="1">
        <f t="array" ref="Q677:S677">VLOOKUP(P677,Hoja1!C:F,{2,3,4},FALSE)</f>
        <v>46284</v>
      </c>
      <c r="R677" t="str">
        <v>C21</v>
      </c>
      <c r="S677" t="str">
        <v>1000004906 FERRARO Y CIA S.A.</v>
      </c>
    </row>
    <row r="678" spans="1:19" x14ac:dyDescent="0.3">
      <c r="A678" s="2" t="s">
        <v>14</v>
      </c>
      <c r="B678" s="3" t="s">
        <v>14</v>
      </c>
      <c r="C678" s="3" t="s">
        <v>743</v>
      </c>
      <c r="D678" s="3" t="s">
        <v>14</v>
      </c>
      <c r="E678" s="3" t="s">
        <v>466</v>
      </c>
      <c r="F678" s="4">
        <v>46171</v>
      </c>
      <c r="G678" s="3" t="s">
        <v>17</v>
      </c>
      <c r="H678" s="5">
        <v>-479986.01</v>
      </c>
      <c r="I678" s="3" t="s">
        <v>18</v>
      </c>
      <c r="J678" s="3" t="s">
        <v>14</v>
      </c>
      <c r="K678" s="3" t="s">
        <v>14</v>
      </c>
      <c r="L678" s="3" t="s">
        <v>88</v>
      </c>
      <c r="M678" s="4">
        <v>46171</v>
      </c>
      <c r="N678" s="3" t="s">
        <v>89</v>
      </c>
      <c r="O678" s="3" t="s">
        <v>30</v>
      </c>
      <c r="P678" t="str">
        <f t="shared" si="10"/>
        <v>450011990410</v>
      </c>
      <c r="Q678" s="7" cm="1">
        <f t="array" ref="Q678:S678">VLOOKUP(P678,Hoja1!C:F,{2,3,4},FALSE)</f>
        <v>46284</v>
      </c>
      <c r="R678" t="str">
        <v>C21</v>
      </c>
      <c r="S678" t="str">
        <v>1000004906 FERRARO Y CIA S.A.</v>
      </c>
    </row>
    <row r="679" spans="1:19" x14ac:dyDescent="0.3">
      <c r="A679" s="2" t="s">
        <v>14</v>
      </c>
      <c r="B679" s="3" t="s">
        <v>14</v>
      </c>
      <c r="C679" s="3" t="s">
        <v>743</v>
      </c>
      <c r="D679" s="3" t="s">
        <v>14</v>
      </c>
      <c r="E679" s="3" t="s">
        <v>466</v>
      </c>
      <c r="F679" s="4">
        <v>46171</v>
      </c>
      <c r="G679" s="3" t="s">
        <v>17</v>
      </c>
      <c r="H679" s="5">
        <v>-8539.85</v>
      </c>
      <c r="I679" s="3" t="s">
        <v>18</v>
      </c>
      <c r="J679" s="3" t="s">
        <v>14</v>
      </c>
      <c r="K679" s="3" t="s">
        <v>14</v>
      </c>
      <c r="L679" s="3" t="s">
        <v>88</v>
      </c>
      <c r="M679" s="4">
        <v>46171</v>
      </c>
      <c r="N679" s="3" t="s">
        <v>89</v>
      </c>
      <c r="O679" s="3" t="s">
        <v>30</v>
      </c>
      <c r="P679" t="str">
        <f t="shared" si="10"/>
        <v>450011990410</v>
      </c>
      <c r="Q679" s="7" cm="1">
        <f t="array" ref="Q679:S679">VLOOKUP(P679,Hoja1!C:F,{2,3,4},FALSE)</f>
        <v>46284</v>
      </c>
      <c r="R679" t="str">
        <v>C21</v>
      </c>
      <c r="S679" t="str">
        <v>1000004906 FERRARO Y CIA S.A.</v>
      </c>
    </row>
    <row r="680" spans="1:19" x14ac:dyDescent="0.3">
      <c r="A680" s="2" t="s">
        <v>14</v>
      </c>
      <c r="B680" s="3" t="s">
        <v>14</v>
      </c>
      <c r="C680" s="3" t="s">
        <v>743</v>
      </c>
      <c r="D680" s="3" t="s">
        <v>14</v>
      </c>
      <c r="E680" s="3" t="s">
        <v>466</v>
      </c>
      <c r="F680" s="4">
        <v>46171</v>
      </c>
      <c r="G680" s="3" t="s">
        <v>17</v>
      </c>
      <c r="H680" s="5">
        <v>-74915.360000000001</v>
      </c>
      <c r="I680" s="3" t="s">
        <v>18</v>
      </c>
      <c r="J680" s="3" t="s">
        <v>14</v>
      </c>
      <c r="K680" s="3" t="s">
        <v>14</v>
      </c>
      <c r="L680" s="3" t="s">
        <v>88</v>
      </c>
      <c r="M680" s="4">
        <v>46171</v>
      </c>
      <c r="N680" s="3" t="s">
        <v>89</v>
      </c>
      <c r="O680" s="3" t="s">
        <v>30</v>
      </c>
      <c r="P680" t="str">
        <f t="shared" si="10"/>
        <v>450011990410</v>
      </c>
      <c r="Q680" s="7" cm="1">
        <f t="array" ref="Q680:S680">VLOOKUP(P680,Hoja1!C:F,{2,3,4},FALSE)</f>
        <v>46284</v>
      </c>
      <c r="R680" t="str">
        <v>C21</v>
      </c>
      <c r="S680" t="str">
        <v>1000004906 FERRARO Y CIA S.A.</v>
      </c>
    </row>
    <row r="681" spans="1:19" x14ac:dyDescent="0.3">
      <c r="A681" s="2" t="s">
        <v>14</v>
      </c>
      <c r="B681" s="3" t="s">
        <v>14</v>
      </c>
      <c r="C681" s="3" t="s">
        <v>744</v>
      </c>
      <c r="D681" s="3" t="s">
        <v>14</v>
      </c>
      <c r="E681" s="3" t="s">
        <v>466</v>
      </c>
      <c r="F681" s="4">
        <v>46171</v>
      </c>
      <c r="G681" s="3" t="s">
        <v>17</v>
      </c>
      <c r="H681" s="5">
        <v>-538474.92000000004</v>
      </c>
      <c r="I681" s="3" t="s">
        <v>18</v>
      </c>
      <c r="J681" s="3" t="s">
        <v>14</v>
      </c>
      <c r="K681" s="3" t="s">
        <v>14</v>
      </c>
      <c r="L681" s="3" t="s">
        <v>88</v>
      </c>
      <c r="M681" s="4">
        <v>46171</v>
      </c>
      <c r="N681" s="3" t="s">
        <v>89</v>
      </c>
      <c r="O681" s="3" t="s">
        <v>30</v>
      </c>
      <c r="P681" t="str">
        <f t="shared" si="10"/>
        <v>450011990410</v>
      </c>
      <c r="Q681" s="7" cm="1">
        <f t="array" ref="Q681:S681">VLOOKUP(P681,Hoja1!C:F,{2,3,4},FALSE)</f>
        <v>46284</v>
      </c>
      <c r="R681" t="str">
        <v>C21</v>
      </c>
      <c r="S681" t="str">
        <v>1000004906 FERRARO Y CIA S.A.</v>
      </c>
    </row>
    <row r="682" spans="1:19" x14ac:dyDescent="0.3">
      <c r="A682" s="2" t="s">
        <v>14</v>
      </c>
      <c r="B682" s="3" t="s">
        <v>14</v>
      </c>
      <c r="C682" s="3" t="s">
        <v>744</v>
      </c>
      <c r="D682" s="3" t="s">
        <v>14</v>
      </c>
      <c r="E682" s="3" t="s">
        <v>466</v>
      </c>
      <c r="F682" s="4">
        <v>46171</v>
      </c>
      <c r="G682" s="3" t="s">
        <v>17</v>
      </c>
      <c r="H682" s="5">
        <v>-9580.48</v>
      </c>
      <c r="I682" s="3" t="s">
        <v>18</v>
      </c>
      <c r="J682" s="3" t="s">
        <v>14</v>
      </c>
      <c r="K682" s="3" t="s">
        <v>14</v>
      </c>
      <c r="L682" s="3" t="s">
        <v>88</v>
      </c>
      <c r="M682" s="4">
        <v>46171</v>
      </c>
      <c r="N682" s="3" t="s">
        <v>89</v>
      </c>
      <c r="O682" s="3" t="s">
        <v>30</v>
      </c>
      <c r="P682" t="str">
        <f t="shared" si="10"/>
        <v>450011990410</v>
      </c>
      <c r="Q682" s="7" cm="1">
        <f t="array" ref="Q682:S682">VLOOKUP(P682,Hoja1!C:F,{2,3,4},FALSE)</f>
        <v>46284</v>
      </c>
      <c r="R682" t="str">
        <v>C21</v>
      </c>
      <c r="S682" t="str">
        <v>1000004906 FERRARO Y CIA S.A.</v>
      </c>
    </row>
    <row r="683" spans="1:19" x14ac:dyDescent="0.3">
      <c r="A683" s="2" t="s">
        <v>14</v>
      </c>
      <c r="B683" s="3" t="s">
        <v>14</v>
      </c>
      <c r="C683" s="3" t="s">
        <v>744</v>
      </c>
      <c r="D683" s="3" t="s">
        <v>14</v>
      </c>
      <c r="E683" s="3" t="s">
        <v>466</v>
      </c>
      <c r="F683" s="4">
        <v>46171</v>
      </c>
      <c r="G683" s="3" t="s">
        <v>17</v>
      </c>
      <c r="H683" s="5">
        <v>-84044.2</v>
      </c>
      <c r="I683" s="3" t="s">
        <v>18</v>
      </c>
      <c r="J683" s="3" t="s">
        <v>14</v>
      </c>
      <c r="K683" s="3" t="s">
        <v>14</v>
      </c>
      <c r="L683" s="3" t="s">
        <v>88</v>
      </c>
      <c r="M683" s="4">
        <v>46171</v>
      </c>
      <c r="N683" s="3" t="s">
        <v>89</v>
      </c>
      <c r="O683" s="3" t="s">
        <v>30</v>
      </c>
      <c r="P683" t="str">
        <f t="shared" si="10"/>
        <v>450011990410</v>
      </c>
      <c r="Q683" s="7" cm="1">
        <f t="array" ref="Q683:S683">VLOOKUP(P683,Hoja1!C:F,{2,3,4},FALSE)</f>
        <v>46284</v>
      </c>
      <c r="R683" t="str">
        <v>C21</v>
      </c>
      <c r="S683" t="str">
        <v>1000004906 FERRARO Y CIA S.A.</v>
      </c>
    </row>
    <row r="684" spans="1:19" x14ac:dyDescent="0.3">
      <c r="A684" s="2" t="s">
        <v>14</v>
      </c>
      <c r="B684" s="3" t="s">
        <v>14</v>
      </c>
      <c r="C684" s="3" t="s">
        <v>745</v>
      </c>
      <c r="D684" s="3" t="s">
        <v>14</v>
      </c>
      <c r="E684" s="3" t="s">
        <v>466</v>
      </c>
      <c r="F684" s="4">
        <v>46171</v>
      </c>
      <c r="G684" s="3" t="s">
        <v>17</v>
      </c>
      <c r="H684" s="5">
        <v>-520598.45</v>
      </c>
      <c r="I684" s="3" t="s">
        <v>18</v>
      </c>
      <c r="J684" s="3" t="s">
        <v>14</v>
      </c>
      <c r="K684" s="3" t="s">
        <v>14</v>
      </c>
      <c r="L684" s="3" t="s">
        <v>88</v>
      </c>
      <c r="M684" s="4">
        <v>46171</v>
      </c>
      <c r="N684" s="3" t="s">
        <v>89</v>
      </c>
      <c r="O684" s="3" t="s">
        <v>30</v>
      </c>
      <c r="P684" t="str">
        <f t="shared" si="10"/>
        <v>450011990410</v>
      </c>
      <c r="Q684" s="7" cm="1">
        <f t="array" ref="Q684:S684">VLOOKUP(P684,Hoja1!C:F,{2,3,4},FALSE)</f>
        <v>46284</v>
      </c>
      <c r="R684" t="str">
        <v>C21</v>
      </c>
      <c r="S684" t="str">
        <v>1000004906 FERRARO Y CIA S.A.</v>
      </c>
    </row>
    <row r="685" spans="1:19" x14ac:dyDescent="0.3">
      <c r="A685" s="2" t="s">
        <v>14</v>
      </c>
      <c r="B685" s="3" t="s">
        <v>14</v>
      </c>
      <c r="C685" s="3" t="s">
        <v>745</v>
      </c>
      <c r="D685" s="3" t="s">
        <v>14</v>
      </c>
      <c r="E685" s="3" t="s">
        <v>466</v>
      </c>
      <c r="F685" s="4">
        <v>46171</v>
      </c>
      <c r="G685" s="3" t="s">
        <v>17</v>
      </c>
      <c r="H685" s="5">
        <v>-9262.42</v>
      </c>
      <c r="I685" s="3" t="s">
        <v>18</v>
      </c>
      <c r="J685" s="3" t="s">
        <v>14</v>
      </c>
      <c r="K685" s="3" t="s">
        <v>14</v>
      </c>
      <c r="L685" s="3" t="s">
        <v>88</v>
      </c>
      <c r="M685" s="4">
        <v>46171</v>
      </c>
      <c r="N685" s="3" t="s">
        <v>89</v>
      </c>
      <c r="O685" s="3" t="s">
        <v>30</v>
      </c>
      <c r="P685" t="str">
        <f t="shared" si="10"/>
        <v>450011990410</v>
      </c>
      <c r="Q685" s="7" cm="1">
        <f t="array" ref="Q685:S685">VLOOKUP(P685,Hoja1!C:F,{2,3,4},FALSE)</f>
        <v>46284</v>
      </c>
      <c r="R685" t="str">
        <v>C21</v>
      </c>
      <c r="S685" t="str">
        <v>1000004906 FERRARO Y CIA S.A.</v>
      </c>
    </row>
    <row r="686" spans="1:19" x14ac:dyDescent="0.3">
      <c r="A686" s="2" t="s">
        <v>14</v>
      </c>
      <c r="B686" s="3" t="s">
        <v>14</v>
      </c>
      <c r="C686" s="3" t="s">
        <v>745</v>
      </c>
      <c r="D686" s="3" t="s">
        <v>14</v>
      </c>
      <c r="E686" s="3" t="s">
        <v>466</v>
      </c>
      <c r="F686" s="4">
        <v>46171</v>
      </c>
      <c r="G686" s="3" t="s">
        <v>17</v>
      </c>
      <c r="H686" s="5">
        <v>-81254.070000000007</v>
      </c>
      <c r="I686" s="3" t="s">
        <v>18</v>
      </c>
      <c r="J686" s="3" t="s">
        <v>14</v>
      </c>
      <c r="K686" s="3" t="s">
        <v>14</v>
      </c>
      <c r="L686" s="3" t="s">
        <v>88</v>
      </c>
      <c r="M686" s="4">
        <v>46171</v>
      </c>
      <c r="N686" s="3" t="s">
        <v>89</v>
      </c>
      <c r="O686" s="3" t="s">
        <v>30</v>
      </c>
      <c r="P686" t="str">
        <f t="shared" si="10"/>
        <v>450011990410</v>
      </c>
      <c r="Q686" s="7" cm="1">
        <f t="array" ref="Q686:S686">VLOOKUP(P686,Hoja1!C:F,{2,3,4},FALSE)</f>
        <v>46284</v>
      </c>
      <c r="R686" t="str">
        <v>C21</v>
      </c>
      <c r="S686" t="str">
        <v>1000004906 FERRARO Y CIA S.A.</v>
      </c>
    </row>
    <row r="687" spans="1:19" x14ac:dyDescent="0.3">
      <c r="A687" s="2" t="s">
        <v>14</v>
      </c>
      <c r="B687" s="3" t="s">
        <v>14</v>
      </c>
      <c r="C687" s="3" t="s">
        <v>746</v>
      </c>
      <c r="D687" s="3" t="s">
        <v>14</v>
      </c>
      <c r="E687" s="3" t="s">
        <v>466</v>
      </c>
      <c r="F687" s="4">
        <v>46171</v>
      </c>
      <c r="G687" s="3" t="s">
        <v>17</v>
      </c>
      <c r="H687" s="5">
        <v>-538474.92000000004</v>
      </c>
      <c r="I687" s="3" t="s">
        <v>18</v>
      </c>
      <c r="J687" s="3" t="s">
        <v>14</v>
      </c>
      <c r="K687" s="3" t="s">
        <v>14</v>
      </c>
      <c r="L687" s="3" t="s">
        <v>88</v>
      </c>
      <c r="M687" s="4">
        <v>46171</v>
      </c>
      <c r="N687" s="3" t="s">
        <v>89</v>
      </c>
      <c r="O687" s="3" t="s">
        <v>30</v>
      </c>
      <c r="P687" t="str">
        <f t="shared" si="10"/>
        <v>450011990410</v>
      </c>
      <c r="Q687" s="7" cm="1">
        <f t="array" ref="Q687:S687">VLOOKUP(P687,Hoja1!C:F,{2,3,4},FALSE)</f>
        <v>46284</v>
      </c>
      <c r="R687" t="str">
        <v>C21</v>
      </c>
      <c r="S687" t="str">
        <v>1000004906 FERRARO Y CIA S.A.</v>
      </c>
    </row>
    <row r="688" spans="1:19" x14ac:dyDescent="0.3">
      <c r="A688" s="2" t="s">
        <v>14</v>
      </c>
      <c r="B688" s="3" t="s">
        <v>14</v>
      </c>
      <c r="C688" s="3" t="s">
        <v>746</v>
      </c>
      <c r="D688" s="3" t="s">
        <v>14</v>
      </c>
      <c r="E688" s="3" t="s">
        <v>466</v>
      </c>
      <c r="F688" s="4">
        <v>46171</v>
      </c>
      <c r="G688" s="3" t="s">
        <v>17</v>
      </c>
      <c r="H688" s="5">
        <v>-9580.48</v>
      </c>
      <c r="I688" s="3" t="s">
        <v>18</v>
      </c>
      <c r="J688" s="3" t="s">
        <v>14</v>
      </c>
      <c r="K688" s="3" t="s">
        <v>14</v>
      </c>
      <c r="L688" s="3" t="s">
        <v>88</v>
      </c>
      <c r="M688" s="4">
        <v>46171</v>
      </c>
      <c r="N688" s="3" t="s">
        <v>89</v>
      </c>
      <c r="O688" s="3" t="s">
        <v>30</v>
      </c>
      <c r="P688" t="str">
        <f t="shared" si="10"/>
        <v>450011990410</v>
      </c>
      <c r="Q688" s="7" cm="1">
        <f t="array" ref="Q688:S688">VLOOKUP(P688,Hoja1!C:F,{2,3,4},FALSE)</f>
        <v>46284</v>
      </c>
      <c r="R688" t="str">
        <v>C21</v>
      </c>
      <c r="S688" t="str">
        <v>1000004906 FERRARO Y CIA S.A.</v>
      </c>
    </row>
    <row r="689" spans="1:19" x14ac:dyDescent="0.3">
      <c r="A689" s="2" t="s">
        <v>14</v>
      </c>
      <c r="B689" s="3" t="s">
        <v>14</v>
      </c>
      <c r="C689" s="3" t="s">
        <v>746</v>
      </c>
      <c r="D689" s="3" t="s">
        <v>14</v>
      </c>
      <c r="E689" s="3" t="s">
        <v>466</v>
      </c>
      <c r="F689" s="4">
        <v>46171</v>
      </c>
      <c r="G689" s="3" t="s">
        <v>17</v>
      </c>
      <c r="H689" s="5">
        <v>-84044.2</v>
      </c>
      <c r="I689" s="3" t="s">
        <v>18</v>
      </c>
      <c r="J689" s="3" t="s">
        <v>14</v>
      </c>
      <c r="K689" s="3" t="s">
        <v>14</v>
      </c>
      <c r="L689" s="3" t="s">
        <v>88</v>
      </c>
      <c r="M689" s="4">
        <v>46171</v>
      </c>
      <c r="N689" s="3" t="s">
        <v>89</v>
      </c>
      <c r="O689" s="3" t="s">
        <v>30</v>
      </c>
      <c r="P689" t="str">
        <f t="shared" si="10"/>
        <v>450011990410</v>
      </c>
      <c r="Q689" s="7" cm="1">
        <f t="array" ref="Q689:S689">VLOOKUP(P689,Hoja1!C:F,{2,3,4},FALSE)</f>
        <v>46284</v>
      </c>
      <c r="R689" t="str">
        <v>C21</v>
      </c>
      <c r="S689" t="str">
        <v>1000004906 FERRARO Y CIA S.A.</v>
      </c>
    </row>
    <row r="690" spans="1:19" x14ac:dyDescent="0.3">
      <c r="A690" s="2" t="s">
        <v>14</v>
      </c>
      <c r="B690" s="3" t="s">
        <v>14</v>
      </c>
      <c r="C690" s="3" t="s">
        <v>747</v>
      </c>
      <c r="D690" s="3" t="s">
        <v>32</v>
      </c>
      <c r="E690" s="3" t="s">
        <v>466</v>
      </c>
      <c r="F690" s="4">
        <v>46174</v>
      </c>
      <c r="G690" s="3" t="s">
        <v>17</v>
      </c>
      <c r="H690" s="5">
        <v>-1205661</v>
      </c>
      <c r="I690" s="3" t="s">
        <v>18</v>
      </c>
      <c r="J690" s="3" t="s">
        <v>14</v>
      </c>
      <c r="K690" s="3" t="s">
        <v>14</v>
      </c>
      <c r="L690" s="3" t="s">
        <v>748</v>
      </c>
      <c r="M690" s="4">
        <v>46174</v>
      </c>
      <c r="N690" s="3" t="s">
        <v>749</v>
      </c>
      <c r="O690" s="3" t="s">
        <v>30</v>
      </c>
      <c r="P690" t="str">
        <f t="shared" si="10"/>
        <v>450012828710</v>
      </c>
      <c r="Q690" s="7" cm="1">
        <f t="array" ref="Q690:S690">VLOOKUP(P690,Hoja1!C:F,{2,3,4},FALSE)</f>
        <v>46174</v>
      </c>
      <c r="R690" t="str">
        <v>C25</v>
      </c>
      <c r="S690" t="str">
        <v>1000011671 SOLUCIONES AMBIENTALES PATAGONIA</v>
      </c>
    </row>
    <row r="691" spans="1:19" x14ac:dyDescent="0.3">
      <c r="A691" s="2" t="s">
        <v>14</v>
      </c>
      <c r="B691" s="3" t="s">
        <v>14</v>
      </c>
      <c r="C691" s="3" t="s">
        <v>747</v>
      </c>
      <c r="D691" s="3" t="s">
        <v>32</v>
      </c>
      <c r="E691" s="3" t="s">
        <v>466</v>
      </c>
      <c r="F691" s="4">
        <v>46174</v>
      </c>
      <c r="G691" s="3" t="s">
        <v>17</v>
      </c>
      <c r="H691" s="5">
        <v>-4246836.45</v>
      </c>
      <c r="I691" s="3" t="s">
        <v>18</v>
      </c>
      <c r="J691" s="3" t="s">
        <v>14</v>
      </c>
      <c r="K691" s="3" t="s">
        <v>14</v>
      </c>
      <c r="L691" s="3" t="s">
        <v>748</v>
      </c>
      <c r="M691" s="4">
        <v>46174</v>
      </c>
      <c r="N691" s="3" t="s">
        <v>749</v>
      </c>
      <c r="O691" s="3" t="s">
        <v>22</v>
      </c>
      <c r="P691" t="str">
        <f t="shared" si="10"/>
        <v>450012828720</v>
      </c>
      <c r="Q691" s="7" cm="1">
        <f t="array" ref="Q691:S691">VLOOKUP(P691,Hoja1!C:F,{2,3,4},FALSE)</f>
        <v>46174</v>
      </c>
      <c r="R691" t="str">
        <v>C25</v>
      </c>
      <c r="S691" t="str">
        <v>1000011671 SOLUCIONES AMBIENTALES PATAGONIA</v>
      </c>
    </row>
    <row r="692" spans="1:19" x14ac:dyDescent="0.3">
      <c r="A692" s="2" t="s">
        <v>14</v>
      </c>
      <c r="B692" s="3" t="s">
        <v>14</v>
      </c>
      <c r="C692" s="3" t="s">
        <v>750</v>
      </c>
      <c r="D692" s="3" t="s">
        <v>14</v>
      </c>
      <c r="E692" s="3" t="s">
        <v>466</v>
      </c>
      <c r="F692" s="4">
        <v>46170</v>
      </c>
      <c r="G692" s="3" t="s">
        <v>17</v>
      </c>
      <c r="H692" s="5">
        <v>-900597.88</v>
      </c>
      <c r="I692" s="3" t="s">
        <v>18</v>
      </c>
      <c r="J692" s="3" t="s">
        <v>14</v>
      </c>
      <c r="K692" s="3" t="s">
        <v>14</v>
      </c>
      <c r="L692" s="3" t="s">
        <v>589</v>
      </c>
      <c r="M692" s="4">
        <v>46174</v>
      </c>
      <c r="N692" s="3" t="s">
        <v>751</v>
      </c>
      <c r="O692" s="3" t="s">
        <v>164</v>
      </c>
      <c r="P692" t="str">
        <f t="shared" si="10"/>
        <v>4500119057440</v>
      </c>
      <c r="Q692" s="7" cm="1">
        <f t="array" ref="Q692:S692">VLOOKUP(P692,Hoja1!C:F,{2,3,4},FALSE)</f>
        <v>46307</v>
      </c>
      <c r="R692" t="str">
        <v>C03</v>
      </c>
      <c r="S692" t="str">
        <v>1000001123 HAULOTTE ARGENTINA S.A.</v>
      </c>
    </row>
    <row r="693" spans="1:19" x14ac:dyDescent="0.3">
      <c r="A693" s="2" t="s">
        <v>14</v>
      </c>
      <c r="B693" s="3" t="s">
        <v>14</v>
      </c>
      <c r="C693" s="3" t="s">
        <v>752</v>
      </c>
      <c r="D693" s="3" t="s">
        <v>14</v>
      </c>
      <c r="E693" s="3" t="s">
        <v>466</v>
      </c>
      <c r="F693" s="4">
        <v>46176</v>
      </c>
      <c r="G693" s="3" t="s">
        <v>17</v>
      </c>
      <c r="H693" s="5">
        <v>-240000</v>
      </c>
      <c r="I693" s="3" t="s">
        <v>18</v>
      </c>
      <c r="J693" s="3" t="s">
        <v>14</v>
      </c>
      <c r="K693" s="3" t="s">
        <v>14</v>
      </c>
      <c r="L693" s="3" t="s">
        <v>753</v>
      </c>
      <c r="M693" s="4">
        <v>46176</v>
      </c>
      <c r="N693" s="3" t="s">
        <v>754</v>
      </c>
      <c r="O693" s="3" t="s">
        <v>35</v>
      </c>
      <c r="P693" t="str">
        <f t="shared" si="10"/>
        <v>450012624430</v>
      </c>
      <c r="Q693" s="7" cm="1">
        <f t="array" ref="Q693:S693">VLOOKUP(P693,Hoja1!C:F,{2,3,4},FALSE)</f>
        <v>46143</v>
      </c>
      <c r="R693" t="str">
        <v>EFO</v>
      </c>
      <c r="S693" t="str">
        <v>1000000772 SASSIA DANIEL EDUARDO</v>
      </c>
    </row>
    <row r="694" spans="1:19" x14ac:dyDescent="0.3">
      <c r="A694" s="2" t="s">
        <v>14</v>
      </c>
      <c r="B694" s="3" t="s">
        <v>14</v>
      </c>
      <c r="C694" s="3" t="s">
        <v>755</v>
      </c>
      <c r="D694" s="3" t="s">
        <v>14</v>
      </c>
      <c r="E694" s="3" t="s">
        <v>466</v>
      </c>
      <c r="F694" s="4">
        <v>46176</v>
      </c>
      <c r="G694" s="3" t="s">
        <v>17</v>
      </c>
      <c r="H694" s="5">
        <v>-239736</v>
      </c>
      <c r="I694" s="3" t="s">
        <v>18</v>
      </c>
      <c r="J694" s="3" t="s">
        <v>14</v>
      </c>
      <c r="K694" s="3" t="s">
        <v>14</v>
      </c>
      <c r="L694" s="3" t="s">
        <v>47</v>
      </c>
      <c r="M694" s="4">
        <v>46177</v>
      </c>
      <c r="N694" s="3" t="s">
        <v>756</v>
      </c>
      <c r="O694" s="3" t="s">
        <v>30</v>
      </c>
      <c r="P694" t="str">
        <f t="shared" si="10"/>
        <v>450012928810</v>
      </c>
      <c r="Q694" s="7" cm="1">
        <f t="array" ref="Q694:S694">VLOOKUP(P694,Hoja1!C:F,{2,3,4},FALSE)</f>
        <v>46189</v>
      </c>
      <c r="R694" t="str">
        <v>C42</v>
      </c>
      <c r="S694" t="str">
        <v>1000000010 GASES ROSARIO S.R.L.</v>
      </c>
    </row>
    <row r="695" spans="1:19" x14ac:dyDescent="0.3">
      <c r="A695" s="2" t="s">
        <v>14</v>
      </c>
      <c r="B695" s="3" t="s">
        <v>14</v>
      </c>
      <c r="C695" s="3" t="s">
        <v>755</v>
      </c>
      <c r="D695" s="3" t="s">
        <v>14</v>
      </c>
      <c r="E695" s="3" t="s">
        <v>466</v>
      </c>
      <c r="F695" s="4">
        <v>46176</v>
      </c>
      <c r="G695" s="3" t="s">
        <v>17</v>
      </c>
      <c r="H695" s="5">
        <v>-139482</v>
      </c>
      <c r="I695" s="3" t="s">
        <v>18</v>
      </c>
      <c r="J695" s="3" t="s">
        <v>14</v>
      </c>
      <c r="K695" s="3" t="s">
        <v>14</v>
      </c>
      <c r="L695" s="3" t="s">
        <v>47</v>
      </c>
      <c r="M695" s="4">
        <v>46177</v>
      </c>
      <c r="N695" s="3" t="s">
        <v>756</v>
      </c>
      <c r="O695" s="3" t="s">
        <v>22</v>
      </c>
      <c r="P695" t="str">
        <f t="shared" si="10"/>
        <v>450012928820</v>
      </c>
      <c r="Q695" s="7" cm="1">
        <f t="array" ref="Q695:S695">VLOOKUP(P695,Hoja1!C:F,{2,3,4},FALSE)</f>
        <v>46189</v>
      </c>
      <c r="R695" t="str">
        <v>C42</v>
      </c>
      <c r="S695" t="str">
        <v>1000000010 GASES ROSARIO S.R.L.</v>
      </c>
    </row>
    <row r="696" spans="1:19" x14ac:dyDescent="0.3">
      <c r="A696" s="2" t="s">
        <v>14</v>
      </c>
      <c r="B696" s="3" t="s">
        <v>14</v>
      </c>
      <c r="C696" s="3" t="s">
        <v>757</v>
      </c>
      <c r="D696" s="3" t="s">
        <v>25</v>
      </c>
      <c r="E696" s="3" t="s">
        <v>466</v>
      </c>
      <c r="F696" s="4">
        <v>46175</v>
      </c>
      <c r="G696" s="3" t="s">
        <v>17</v>
      </c>
      <c r="H696" s="5">
        <v>-1111631.3799999999</v>
      </c>
      <c r="I696" s="3" t="s">
        <v>18</v>
      </c>
      <c r="J696" s="3" t="s">
        <v>14</v>
      </c>
      <c r="K696" s="3" t="s">
        <v>14</v>
      </c>
      <c r="L696" s="3" t="s">
        <v>28</v>
      </c>
      <c r="M696" s="4">
        <v>46177</v>
      </c>
      <c r="N696" s="3" t="s">
        <v>76</v>
      </c>
      <c r="O696" s="3" t="s">
        <v>30</v>
      </c>
      <c r="P696" t="str">
        <f t="shared" si="10"/>
        <v>450012811210</v>
      </c>
      <c r="Q696" s="7" cm="1">
        <f t="array" ref="Q696:S696">VLOOKUP(P696,Hoja1!C:F,{2,3,4},FALSE)</f>
        <v>46234</v>
      </c>
      <c r="R696" t="str">
        <v>C14</v>
      </c>
      <c r="S696" t="str">
        <v>1000000681 LA LILY S.A</v>
      </c>
    </row>
    <row r="697" spans="1:19" x14ac:dyDescent="0.3">
      <c r="A697" s="2" t="s">
        <v>14</v>
      </c>
      <c r="B697" s="3" t="s">
        <v>14</v>
      </c>
      <c r="C697" s="3" t="s">
        <v>758</v>
      </c>
      <c r="D697" s="3" t="s">
        <v>32</v>
      </c>
      <c r="E697" s="3" t="s">
        <v>466</v>
      </c>
      <c r="F697" s="4">
        <v>46177</v>
      </c>
      <c r="G697" s="3" t="s">
        <v>17</v>
      </c>
      <c r="H697" s="5">
        <v>-98150.12</v>
      </c>
      <c r="I697" s="3" t="s">
        <v>18</v>
      </c>
      <c r="J697" s="3" t="s">
        <v>14</v>
      </c>
      <c r="K697" s="3" t="s">
        <v>14</v>
      </c>
      <c r="L697" s="3" t="s">
        <v>759</v>
      </c>
      <c r="M697" s="4">
        <v>46177</v>
      </c>
      <c r="N697" s="3" t="s">
        <v>760</v>
      </c>
      <c r="O697" s="3" t="s">
        <v>22</v>
      </c>
      <c r="P697" t="str">
        <f t="shared" si="10"/>
        <v>450012942720</v>
      </c>
      <c r="Q697" s="7" cm="1">
        <f t="array" ref="Q697:S697">VLOOKUP(P697,Hoja1!C:F,{2,3,4},FALSE)</f>
        <v>46233</v>
      </c>
      <c r="R697" t="str">
        <v>C25</v>
      </c>
      <c r="S697" t="str">
        <v>1000011497 MAINETE JAVIER ALBERTO</v>
      </c>
    </row>
    <row r="698" spans="1:19" x14ac:dyDescent="0.3">
      <c r="A698" s="2" t="s">
        <v>14</v>
      </c>
      <c r="B698" s="3" t="s">
        <v>14</v>
      </c>
      <c r="C698" s="3" t="s">
        <v>761</v>
      </c>
      <c r="D698" s="3" t="s">
        <v>25</v>
      </c>
      <c r="E698" s="3" t="s">
        <v>466</v>
      </c>
      <c r="F698" s="4">
        <v>46177</v>
      </c>
      <c r="G698" s="3" t="s">
        <v>17</v>
      </c>
      <c r="H698" s="5">
        <v>-39529.879999999997</v>
      </c>
      <c r="I698" s="3" t="s">
        <v>18</v>
      </c>
      <c r="J698" s="3" t="s">
        <v>14</v>
      </c>
      <c r="K698" s="3" t="s">
        <v>14</v>
      </c>
      <c r="L698" s="3" t="s">
        <v>695</v>
      </c>
      <c r="M698" s="4">
        <v>46177</v>
      </c>
      <c r="N698" s="3" t="s">
        <v>762</v>
      </c>
      <c r="O698" s="3" t="s">
        <v>30</v>
      </c>
      <c r="P698" t="str">
        <f t="shared" si="10"/>
        <v>450012942910</v>
      </c>
      <c r="Q698" s="7" cm="1">
        <f t="array" ref="Q698:S698">VLOOKUP(P698,Hoja1!C:F,{2,3,4},FALSE)</f>
        <v>46196</v>
      </c>
      <c r="R698" t="str">
        <v>C21</v>
      </c>
      <c r="S698" t="str">
        <v>1000000714 HOROFE GAS SRL</v>
      </c>
    </row>
    <row r="699" spans="1:19" x14ac:dyDescent="0.3">
      <c r="A699" s="2" t="s">
        <v>14</v>
      </c>
      <c r="B699" s="3" t="s">
        <v>14</v>
      </c>
      <c r="C699" s="3" t="s">
        <v>761</v>
      </c>
      <c r="D699" s="3" t="s">
        <v>25</v>
      </c>
      <c r="E699" s="3" t="s">
        <v>466</v>
      </c>
      <c r="F699" s="4">
        <v>46177</v>
      </c>
      <c r="G699" s="3" t="s">
        <v>17</v>
      </c>
      <c r="H699" s="5">
        <v>-743.71</v>
      </c>
      <c r="I699" s="3" t="s">
        <v>18</v>
      </c>
      <c r="J699" s="3" t="s">
        <v>14</v>
      </c>
      <c r="K699" s="3" t="s">
        <v>14</v>
      </c>
      <c r="L699" s="3" t="s">
        <v>695</v>
      </c>
      <c r="M699" s="4">
        <v>46177</v>
      </c>
      <c r="N699" s="3" t="s">
        <v>762</v>
      </c>
      <c r="O699" s="3" t="s">
        <v>30</v>
      </c>
      <c r="P699" t="str">
        <f t="shared" si="10"/>
        <v>450012942910</v>
      </c>
      <c r="Q699" s="7" cm="1">
        <f t="array" ref="Q699:S699">VLOOKUP(P699,Hoja1!C:F,{2,3,4},FALSE)</f>
        <v>46196</v>
      </c>
      <c r="R699" t="str">
        <v>C21</v>
      </c>
      <c r="S699" t="str">
        <v>1000000714 HOROFE GAS SRL</v>
      </c>
    </row>
    <row r="700" spans="1:19" x14ac:dyDescent="0.3">
      <c r="A700" s="2" t="s">
        <v>14</v>
      </c>
      <c r="B700" s="3" t="s">
        <v>14</v>
      </c>
      <c r="C700" s="3" t="s">
        <v>761</v>
      </c>
      <c r="D700" s="3" t="s">
        <v>25</v>
      </c>
      <c r="E700" s="3" t="s">
        <v>466</v>
      </c>
      <c r="F700" s="4">
        <v>46177</v>
      </c>
      <c r="G700" s="3" t="s">
        <v>17</v>
      </c>
      <c r="H700" s="5">
        <v>-39529.879999999997</v>
      </c>
      <c r="I700" s="3" t="s">
        <v>18</v>
      </c>
      <c r="J700" s="3" t="s">
        <v>14</v>
      </c>
      <c r="K700" s="3" t="s">
        <v>14</v>
      </c>
      <c r="L700" s="3" t="s">
        <v>695</v>
      </c>
      <c r="M700" s="4">
        <v>46177</v>
      </c>
      <c r="N700" s="3" t="s">
        <v>762</v>
      </c>
      <c r="O700" s="3" t="s">
        <v>22</v>
      </c>
      <c r="P700" t="str">
        <f t="shared" si="10"/>
        <v>450012942920</v>
      </c>
      <c r="Q700" s="7" cm="1">
        <f t="array" ref="Q700:S700">VLOOKUP(P700,Hoja1!C:F,{2,3,4},FALSE)</f>
        <v>46196</v>
      </c>
      <c r="R700" t="str">
        <v>C21</v>
      </c>
      <c r="S700" t="str">
        <v>1000000714 HOROFE GAS SRL</v>
      </c>
    </row>
    <row r="701" spans="1:19" x14ac:dyDescent="0.3">
      <c r="A701" s="2" t="s">
        <v>14</v>
      </c>
      <c r="B701" s="3" t="s">
        <v>14</v>
      </c>
      <c r="C701" s="3" t="s">
        <v>761</v>
      </c>
      <c r="D701" s="3" t="s">
        <v>25</v>
      </c>
      <c r="E701" s="3" t="s">
        <v>466</v>
      </c>
      <c r="F701" s="4">
        <v>46177</v>
      </c>
      <c r="G701" s="3" t="s">
        <v>17</v>
      </c>
      <c r="H701" s="5">
        <v>-745.2</v>
      </c>
      <c r="I701" s="3" t="s">
        <v>18</v>
      </c>
      <c r="J701" s="3" t="s">
        <v>14</v>
      </c>
      <c r="K701" s="3" t="s">
        <v>14</v>
      </c>
      <c r="L701" s="3" t="s">
        <v>695</v>
      </c>
      <c r="M701" s="4">
        <v>46177</v>
      </c>
      <c r="N701" s="3" t="s">
        <v>762</v>
      </c>
      <c r="O701" s="3" t="s">
        <v>22</v>
      </c>
      <c r="P701" t="str">
        <f t="shared" si="10"/>
        <v>450012942920</v>
      </c>
      <c r="Q701" s="7" cm="1">
        <f t="array" ref="Q701:S701">VLOOKUP(P701,Hoja1!C:F,{2,3,4},FALSE)</f>
        <v>46196</v>
      </c>
      <c r="R701" t="str">
        <v>C21</v>
      </c>
      <c r="S701" t="str">
        <v>1000000714 HOROFE GAS SRL</v>
      </c>
    </row>
    <row r="702" spans="1:19" x14ac:dyDescent="0.3">
      <c r="A702" s="2" t="s">
        <v>14</v>
      </c>
      <c r="B702" s="3" t="s">
        <v>14</v>
      </c>
      <c r="C702" s="3" t="s">
        <v>763</v>
      </c>
      <c r="D702" s="3" t="s">
        <v>25</v>
      </c>
      <c r="E702" s="3" t="s">
        <v>466</v>
      </c>
      <c r="F702" s="4">
        <v>46177</v>
      </c>
      <c r="G702" s="3" t="s">
        <v>17</v>
      </c>
      <c r="H702" s="5">
        <v>-1227458.7</v>
      </c>
      <c r="I702" s="3" t="s">
        <v>18</v>
      </c>
      <c r="J702" s="3" t="s">
        <v>14</v>
      </c>
      <c r="K702" s="3" t="s">
        <v>14</v>
      </c>
      <c r="L702" s="3" t="s">
        <v>28</v>
      </c>
      <c r="M702" s="4">
        <v>46177</v>
      </c>
      <c r="N702" s="3" t="s">
        <v>76</v>
      </c>
      <c r="O702" s="3" t="s">
        <v>30</v>
      </c>
      <c r="P702" t="str">
        <f t="shared" si="10"/>
        <v>450012811210</v>
      </c>
      <c r="Q702" s="7" cm="1">
        <f t="array" ref="Q702:S702">VLOOKUP(P702,Hoja1!C:F,{2,3,4},FALSE)</f>
        <v>46234</v>
      </c>
      <c r="R702" t="str">
        <v>C14</v>
      </c>
      <c r="S702" t="str">
        <v>1000000681 LA LILY S.A</v>
      </c>
    </row>
    <row r="703" spans="1:19" x14ac:dyDescent="0.3">
      <c r="A703" s="2" t="s">
        <v>14</v>
      </c>
      <c r="B703" s="3" t="s">
        <v>14</v>
      </c>
      <c r="C703" s="3" t="s">
        <v>764</v>
      </c>
      <c r="D703" s="3" t="s">
        <v>14</v>
      </c>
      <c r="E703" s="3" t="s">
        <v>466</v>
      </c>
      <c r="F703" s="4">
        <v>46178</v>
      </c>
      <c r="G703" s="3" t="s">
        <v>17</v>
      </c>
      <c r="H703" s="5">
        <v>-61530.44</v>
      </c>
      <c r="I703" s="3" t="s">
        <v>18</v>
      </c>
      <c r="J703" s="3" t="s">
        <v>14</v>
      </c>
      <c r="K703" s="3" t="s">
        <v>14</v>
      </c>
      <c r="L703" s="3" t="s">
        <v>519</v>
      </c>
      <c r="M703" s="4">
        <v>46178</v>
      </c>
      <c r="N703" s="3" t="s">
        <v>765</v>
      </c>
      <c r="O703" s="3" t="s">
        <v>30</v>
      </c>
      <c r="P703" t="str">
        <f t="shared" si="10"/>
        <v>450012830110</v>
      </c>
      <c r="Q703" s="7" cm="1">
        <f t="array" ref="Q703:S703">VLOOKUP(P703,Hoja1!C:F,{2,3,4},FALSE)</f>
        <v>46368</v>
      </c>
      <c r="R703" t="str">
        <v>C21</v>
      </c>
      <c r="S703" t="str">
        <v>1000011498 1263 S. R. L.</v>
      </c>
    </row>
    <row r="704" spans="1:19" x14ac:dyDescent="0.3">
      <c r="A704" s="2" t="s">
        <v>14</v>
      </c>
      <c r="B704" s="3" t="s">
        <v>14</v>
      </c>
      <c r="C704" s="3" t="s">
        <v>764</v>
      </c>
      <c r="D704" s="3" t="s">
        <v>14</v>
      </c>
      <c r="E704" s="3" t="s">
        <v>466</v>
      </c>
      <c r="F704" s="4">
        <v>46178</v>
      </c>
      <c r="G704" s="3" t="s">
        <v>17</v>
      </c>
      <c r="H704" s="5">
        <v>-763.7</v>
      </c>
      <c r="I704" s="3" t="s">
        <v>18</v>
      </c>
      <c r="J704" s="3" t="s">
        <v>14</v>
      </c>
      <c r="K704" s="3" t="s">
        <v>14</v>
      </c>
      <c r="L704" s="3" t="s">
        <v>519</v>
      </c>
      <c r="M704" s="4">
        <v>46178</v>
      </c>
      <c r="N704" s="3" t="s">
        <v>765</v>
      </c>
      <c r="O704" s="3" t="s">
        <v>30</v>
      </c>
      <c r="P704" t="str">
        <f t="shared" si="10"/>
        <v>450012830110</v>
      </c>
      <c r="Q704" s="7" cm="1">
        <f t="array" ref="Q704:S704">VLOOKUP(P704,Hoja1!C:F,{2,3,4},FALSE)</f>
        <v>46368</v>
      </c>
      <c r="R704" t="str">
        <v>C21</v>
      </c>
      <c r="S704" t="str">
        <v>1000011498 1263 S. R. L.</v>
      </c>
    </row>
    <row r="705" spans="1:19" x14ac:dyDescent="0.3">
      <c r="A705" s="2" t="s">
        <v>14</v>
      </c>
      <c r="B705" s="3" t="s">
        <v>14</v>
      </c>
      <c r="C705" s="3" t="s">
        <v>766</v>
      </c>
      <c r="D705" s="3" t="s">
        <v>14</v>
      </c>
      <c r="E705" s="3" t="s">
        <v>466</v>
      </c>
      <c r="F705" s="4">
        <v>46176</v>
      </c>
      <c r="G705" s="3" t="s">
        <v>17</v>
      </c>
      <c r="H705" s="5">
        <v>-62179.87</v>
      </c>
      <c r="I705" s="3" t="s">
        <v>18</v>
      </c>
      <c r="J705" s="3" t="s">
        <v>14</v>
      </c>
      <c r="K705" s="3" t="s">
        <v>14</v>
      </c>
      <c r="L705" s="3" t="s">
        <v>519</v>
      </c>
      <c r="M705" s="4">
        <v>46179</v>
      </c>
      <c r="N705" s="3" t="s">
        <v>765</v>
      </c>
      <c r="O705" s="3" t="s">
        <v>30</v>
      </c>
      <c r="P705" t="str">
        <f t="shared" si="10"/>
        <v>450012830110</v>
      </c>
      <c r="Q705" s="7" cm="1">
        <f t="array" ref="Q705:S705">VLOOKUP(P705,Hoja1!C:F,{2,3,4},FALSE)</f>
        <v>46368</v>
      </c>
      <c r="R705" t="str">
        <v>C21</v>
      </c>
      <c r="S705" t="str">
        <v>1000011498 1263 S. R. L.</v>
      </c>
    </row>
    <row r="706" spans="1:19" x14ac:dyDescent="0.3">
      <c r="A706" s="2" t="s">
        <v>14</v>
      </c>
      <c r="B706" s="3" t="s">
        <v>14</v>
      </c>
      <c r="C706" s="3" t="s">
        <v>766</v>
      </c>
      <c r="D706" s="3" t="s">
        <v>14</v>
      </c>
      <c r="E706" s="3" t="s">
        <v>466</v>
      </c>
      <c r="F706" s="4">
        <v>46176</v>
      </c>
      <c r="G706" s="3" t="s">
        <v>17</v>
      </c>
      <c r="H706" s="5">
        <v>-771.76</v>
      </c>
      <c r="I706" s="3" t="s">
        <v>18</v>
      </c>
      <c r="J706" s="3" t="s">
        <v>14</v>
      </c>
      <c r="K706" s="3" t="s">
        <v>14</v>
      </c>
      <c r="L706" s="3" t="s">
        <v>519</v>
      </c>
      <c r="M706" s="4">
        <v>46179</v>
      </c>
      <c r="N706" s="3" t="s">
        <v>765</v>
      </c>
      <c r="O706" s="3" t="s">
        <v>30</v>
      </c>
      <c r="P706" t="str">
        <f t="shared" si="10"/>
        <v>450012830110</v>
      </c>
      <c r="Q706" s="7" cm="1">
        <f t="array" ref="Q706:S706">VLOOKUP(P706,Hoja1!C:F,{2,3,4},FALSE)</f>
        <v>46368</v>
      </c>
      <c r="R706" t="str">
        <v>C21</v>
      </c>
      <c r="S706" t="str">
        <v>1000011498 1263 S. R. L.</v>
      </c>
    </row>
    <row r="707" spans="1:19" x14ac:dyDescent="0.3">
      <c r="A707" s="2" t="s">
        <v>14</v>
      </c>
      <c r="B707" s="3" t="s">
        <v>14</v>
      </c>
      <c r="C707" s="3" t="s">
        <v>767</v>
      </c>
      <c r="D707" s="3" t="s">
        <v>14</v>
      </c>
      <c r="E707" s="3" t="s">
        <v>466</v>
      </c>
      <c r="F707" s="4">
        <v>46181</v>
      </c>
      <c r="G707" s="3" t="s">
        <v>17</v>
      </c>
      <c r="H707" s="5">
        <v>-16528.93</v>
      </c>
      <c r="I707" s="3" t="s">
        <v>18</v>
      </c>
      <c r="J707" s="3" t="s">
        <v>14</v>
      </c>
      <c r="K707" s="3" t="s">
        <v>14</v>
      </c>
      <c r="L707" s="3" t="s">
        <v>449</v>
      </c>
      <c r="M707" s="4">
        <v>46181</v>
      </c>
      <c r="N707" s="3" t="s">
        <v>768</v>
      </c>
      <c r="O707" s="3" t="s">
        <v>30</v>
      </c>
      <c r="P707" t="str">
        <f t="shared" ref="P707:P770" si="11">_xlfn.CONCAT(N707:O707)</f>
        <v>450012963810</v>
      </c>
      <c r="Q707" s="7" cm="1">
        <f t="array" ref="Q707:S707">VLOOKUP(P707,Hoja1!C:F,{2,3,4},FALSE)</f>
        <v>46184</v>
      </c>
      <c r="R707" t="str">
        <v>EFO</v>
      </c>
      <c r="S707" t="str">
        <v>1000000011 GOMERIA ALICIA S.A.</v>
      </c>
    </row>
    <row r="708" spans="1:19" x14ac:dyDescent="0.3">
      <c r="A708" s="2" t="s">
        <v>14</v>
      </c>
      <c r="B708" s="3" t="s">
        <v>14</v>
      </c>
      <c r="C708" s="3" t="s">
        <v>769</v>
      </c>
      <c r="D708" s="3" t="s">
        <v>25</v>
      </c>
      <c r="E708" s="3" t="s">
        <v>466</v>
      </c>
      <c r="F708" s="4">
        <v>46181</v>
      </c>
      <c r="G708" s="3" t="s">
        <v>17</v>
      </c>
      <c r="H708" s="5">
        <v>-1299753.6100000001</v>
      </c>
      <c r="I708" s="3" t="s">
        <v>18</v>
      </c>
      <c r="J708" s="3" t="s">
        <v>14</v>
      </c>
      <c r="K708" s="3" t="s">
        <v>14</v>
      </c>
      <c r="L708" s="3" t="s">
        <v>28</v>
      </c>
      <c r="M708" s="4">
        <v>46181</v>
      </c>
      <c r="N708" s="3" t="s">
        <v>76</v>
      </c>
      <c r="O708" s="3" t="s">
        <v>30</v>
      </c>
      <c r="P708" t="str">
        <f t="shared" si="11"/>
        <v>450012811210</v>
      </c>
      <c r="Q708" s="7" cm="1">
        <f t="array" ref="Q708:S708">VLOOKUP(P708,Hoja1!C:F,{2,3,4},FALSE)</f>
        <v>46234</v>
      </c>
      <c r="R708" t="str">
        <v>C14</v>
      </c>
      <c r="S708" t="str">
        <v>1000000681 LA LILY S.A</v>
      </c>
    </row>
    <row r="709" spans="1:19" x14ac:dyDescent="0.3">
      <c r="A709" s="2" t="s">
        <v>14</v>
      </c>
      <c r="B709" s="3" t="s">
        <v>14</v>
      </c>
      <c r="C709" s="3" t="s">
        <v>770</v>
      </c>
      <c r="D709" s="3" t="s">
        <v>14</v>
      </c>
      <c r="E709" s="3" t="s">
        <v>466</v>
      </c>
      <c r="F709" s="4">
        <v>46181</v>
      </c>
      <c r="G709" s="3" t="s">
        <v>17</v>
      </c>
      <c r="H709" s="5">
        <v>-96041.47</v>
      </c>
      <c r="I709" s="3" t="s">
        <v>18</v>
      </c>
      <c r="J709" s="3" t="s">
        <v>14</v>
      </c>
      <c r="K709" s="3" t="s">
        <v>14</v>
      </c>
      <c r="L709" s="3" t="s">
        <v>519</v>
      </c>
      <c r="M709" s="4">
        <v>46181</v>
      </c>
      <c r="N709" s="3" t="s">
        <v>765</v>
      </c>
      <c r="O709" s="3" t="s">
        <v>30</v>
      </c>
      <c r="P709" t="str">
        <f t="shared" si="11"/>
        <v>450012830110</v>
      </c>
      <c r="Q709" s="7" cm="1">
        <f t="array" ref="Q709:S709">VLOOKUP(P709,Hoja1!C:F,{2,3,4},FALSE)</f>
        <v>46368</v>
      </c>
      <c r="R709" t="str">
        <v>C21</v>
      </c>
      <c r="S709" t="str">
        <v>1000011498 1263 S. R. L.</v>
      </c>
    </row>
    <row r="710" spans="1:19" x14ac:dyDescent="0.3">
      <c r="A710" s="2" t="s">
        <v>14</v>
      </c>
      <c r="B710" s="3" t="s">
        <v>14</v>
      </c>
      <c r="C710" s="3" t="s">
        <v>770</v>
      </c>
      <c r="D710" s="3" t="s">
        <v>14</v>
      </c>
      <c r="E710" s="3" t="s">
        <v>466</v>
      </c>
      <c r="F710" s="4">
        <v>46181</v>
      </c>
      <c r="G710" s="3" t="s">
        <v>17</v>
      </c>
      <c r="H710" s="5">
        <v>-1192.03</v>
      </c>
      <c r="I710" s="3" t="s">
        <v>18</v>
      </c>
      <c r="J710" s="3" t="s">
        <v>14</v>
      </c>
      <c r="K710" s="3" t="s">
        <v>14</v>
      </c>
      <c r="L710" s="3" t="s">
        <v>519</v>
      </c>
      <c r="M710" s="4">
        <v>46181</v>
      </c>
      <c r="N710" s="3" t="s">
        <v>765</v>
      </c>
      <c r="O710" s="3" t="s">
        <v>30</v>
      </c>
      <c r="P710" t="str">
        <f t="shared" si="11"/>
        <v>450012830110</v>
      </c>
      <c r="Q710" s="7" cm="1">
        <f t="array" ref="Q710:S710">VLOOKUP(P710,Hoja1!C:F,{2,3,4},FALSE)</f>
        <v>46368</v>
      </c>
      <c r="R710" t="str">
        <v>C21</v>
      </c>
      <c r="S710" t="str">
        <v>1000011498 1263 S. R. L.</v>
      </c>
    </row>
    <row r="711" spans="1:19" x14ac:dyDescent="0.3">
      <c r="A711" s="2" t="s">
        <v>14</v>
      </c>
      <c r="B711" s="3" t="s">
        <v>14</v>
      </c>
      <c r="C711" s="3" t="s">
        <v>771</v>
      </c>
      <c r="D711" s="3" t="s">
        <v>14</v>
      </c>
      <c r="E711" s="3" t="s">
        <v>466</v>
      </c>
      <c r="F711" s="4">
        <v>46182</v>
      </c>
      <c r="G711" s="3" t="s">
        <v>17</v>
      </c>
      <c r="H711" s="5">
        <v>-90883.199999999997</v>
      </c>
      <c r="I711" s="3" t="s">
        <v>18</v>
      </c>
      <c r="J711" s="3" t="s">
        <v>14</v>
      </c>
      <c r="K711" s="3" t="s">
        <v>14</v>
      </c>
      <c r="L711" s="3" t="s">
        <v>772</v>
      </c>
      <c r="M711" s="4">
        <v>46182</v>
      </c>
      <c r="N711" s="3" t="s">
        <v>773</v>
      </c>
      <c r="O711" s="3" t="s">
        <v>30</v>
      </c>
      <c r="P711" t="str">
        <f t="shared" si="11"/>
        <v>450012959310</v>
      </c>
      <c r="Q711" s="7" cm="1">
        <f t="array" ref="Q711:S711">VLOOKUP(P711,Hoja1!C:F,{2,3,4},FALSE)</f>
        <v>46192</v>
      </c>
      <c r="R711" t="str">
        <v>C01</v>
      </c>
      <c r="S711" t="str">
        <v>1000003606 ZAMOLO HNOS SA</v>
      </c>
    </row>
    <row r="712" spans="1:19" x14ac:dyDescent="0.3">
      <c r="A712" s="2" t="s">
        <v>14</v>
      </c>
      <c r="B712" s="3" t="s">
        <v>14</v>
      </c>
      <c r="C712" s="3" t="s">
        <v>774</v>
      </c>
      <c r="D712" s="3" t="s">
        <v>14</v>
      </c>
      <c r="E712" s="3" t="s">
        <v>466</v>
      </c>
      <c r="F712" s="4">
        <v>46182</v>
      </c>
      <c r="G712" s="3" t="s">
        <v>17</v>
      </c>
      <c r="H712" s="5">
        <v>-157849.5</v>
      </c>
      <c r="I712" s="3" t="s">
        <v>18</v>
      </c>
      <c r="J712" s="3" t="s">
        <v>14</v>
      </c>
      <c r="K712" s="3" t="s">
        <v>14</v>
      </c>
      <c r="L712" s="3" t="s">
        <v>775</v>
      </c>
      <c r="M712" s="4">
        <v>46182</v>
      </c>
      <c r="N712" s="3" t="s">
        <v>776</v>
      </c>
      <c r="O712" s="3" t="s">
        <v>30</v>
      </c>
      <c r="P712" t="str">
        <f t="shared" si="11"/>
        <v>450011355710</v>
      </c>
      <c r="Q712" s="7" cm="1">
        <f t="array" ref="Q712:S712">VLOOKUP(P712,Hoja1!C:F,{2,3,4},FALSE)</f>
        <v>46098</v>
      </c>
      <c r="R712" t="str">
        <v>C29</v>
      </c>
      <c r="S712" t="str">
        <v>1000000046 MIGNANI HNOS. S.R.L.</v>
      </c>
    </row>
    <row r="713" spans="1:19" x14ac:dyDescent="0.3">
      <c r="A713" s="2" t="s">
        <v>14</v>
      </c>
      <c r="B713" s="3" t="s">
        <v>14</v>
      </c>
      <c r="C713" s="3" t="s">
        <v>777</v>
      </c>
      <c r="D713" s="3" t="s">
        <v>14</v>
      </c>
      <c r="E713" s="3" t="s">
        <v>466</v>
      </c>
      <c r="F713" s="4">
        <v>46183</v>
      </c>
      <c r="G713" s="3" t="s">
        <v>17</v>
      </c>
      <c r="H713" s="5">
        <v>-6931572.1799999997</v>
      </c>
      <c r="I713" s="3" t="s">
        <v>18</v>
      </c>
      <c r="J713" s="3" t="s">
        <v>14</v>
      </c>
      <c r="K713" s="3" t="s">
        <v>14</v>
      </c>
      <c r="L713" s="3" t="s">
        <v>778</v>
      </c>
      <c r="M713" s="4">
        <v>46183</v>
      </c>
      <c r="N713" s="3" t="s">
        <v>779</v>
      </c>
      <c r="O713" s="3" t="s">
        <v>30</v>
      </c>
      <c r="P713" t="str">
        <f t="shared" si="11"/>
        <v>450012944610</v>
      </c>
      <c r="Q713" s="7" cm="1">
        <f t="array" ref="Q713:S713">VLOOKUP(P713,Hoja1!C:F,{2,3,4},FALSE)</f>
        <v>46203</v>
      </c>
      <c r="R713" t="str">
        <v>C04</v>
      </c>
      <c r="S713" t="str">
        <v>1000003716 MEI GROUP PTY. LTD.SUC. ARG.</v>
      </c>
    </row>
    <row r="714" spans="1:19" x14ac:dyDescent="0.3">
      <c r="A714" s="2" t="s">
        <v>14</v>
      </c>
      <c r="B714" s="3" t="s">
        <v>14</v>
      </c>
      <c r="C714" s="3" t="s">
        <v>780</v>
      </c>
      <c r="D714" s="3" t="s">
        <v>14</v>
      </c>
      <c r="E714" s="3" t="s">
        <v>466</v>
      </c>
      <c r="F714" s="4">
        <v>46183</v>
      </c>
      <c r="G714" s="3" t="s">
        <v>17</v>
      </c>
      <c r="H714" s="5">
        <v>-90445.8</v>
      </c>
      <c r="I714" s="3" t="s">
        <v>18</v>
      </c>
      <c r="J714" s="3" t="s">
        <v>14</v>
      </c>
      <c r="K714" s="3" t="s">
        <v>14</v>
      </c>
      <c r="L714" s="3" t="s">
        <v>88</v>
      </c>
      <c r="M714" s="4">
        <v>46183</v>
      </c>
      <c r="N714" s="3" t="s">
        <v>89</v>
      </c>
      <c r="O714" s="3" t="s">
        <v>30</v>
      </c>
      <c r="P714" t="str">
        <f t="shared" si="11"/>
        <v>450011990410</v>
      </c>
      <c r="Q714" s="7" cm="1">
        <f t="array" ref="Q714:S714">VLOOKUP(P714,Hoja1!C:F,{2,3,4},FALSE)</f>
        <v>46284</v>
      </c>
      <c r="R714" t="str">
        <v>C21</v>
      </c>
      <c r="S714" t="str">
        <v>1000004906 FERRARO Y CIA S.A.</v>
      </c>
    </row>
    <row r="715" spans="1:19" x14ac:dyDescent="0.3">
      <c r="A715" s="2" t="s">
        <v>14</v>
      </c>
      <c r="B715" s="3" t="s">
        <v>14</v>
      </c>
      <c r="C715" s="3" t="s">
        <v>780</v>
      </c>
      <c r="D715" s="3" t="s">
        <v>14</v>
      </c>
      <c r="E715" s="3" t="s">
        <v>466</v>
      </c>
      <c r="F715" s="4">
        <v>46183</v>
      </c>
      <c r="G715" s="3" t="s">
        <v>17</v>
      </c>
      <c r="H715" s="5">
        <v>-1609.2</v>
      </c>
      <c r="I715" s="3" t="s">
        <v>18</v>
      </c>
      <c r="J715" s="3" t="s">
        <v>14</v>
      </c>
      <c r="K715" s="3" t="s">
        <v>14</v>
      </c>
      <c r="L715" s="3" t="s">
        <v>88</v>
      </c>
      <c r="M715" s="4">
        <v>46183</v>
      </c>
      <c r="N715" s="3" t="s">
        <v>89</v>
      </c>
      <c r="O715" s="3" t="s">
        <v>30</v>
      </c>
      <c r="P715" t="str">
        <f t="shared" si="11"/>
        <v>450011990410</v>
      </c>
      <c r="Q715" s="7" cm="1">
        <f t="array" ref="Q715:S715">VLOOKUP(P715,Hoja1!C:F,{2,3,4},FALSE)</f>
        <v>46284</v>
      </c>
      <c r="R715" t="str">
        <v>C21</v>
      </c>
      <c r="S715" t="str">
        <v>1000004906 FERRARO Y CIA S.A.</v>
      </c>
    </row>
    <row r="716" spans="1:19" x14ac:dyDescent="0.3">
      <c r="A716" s="2" t="s">
        <v>14</v>
      </c>
      <c r="B716" s="3" t="s">
        <v>14</v>
      </c>
      <c r="C716" s="3" t="s">
        <v>780</v>
      </c>
      <c r="D716" s="3" t="s">
        <v>14</v>
      </c>
      <c r="E716" s="3" t="s">
        <v>466</v>
      </c>
      <c r="F716" s="4">
        <v>46183</v>
      </c>
      <c r="G716" s="3" t="s">
        <v>17</v>
      </c>
      <c r="H716" s="5">
        <v>-14116.62</v>
      </c>
      <c r="I716" s="3" t="s">
        <v>18</v>
      </c>
      <c r="J716" s="3" t="s">
        <v>14</v>
      </c>
      <c r="K716" s="3" t="s">
        <v>14</v>
      </c>
      <c r="L716" s="3" t="s">
        <v>88</v>
      </c>
      <c r="M716" s="4">
        <v>46183</v>
      </c>
      <c r="N716" s="3" t="s">
        <v>89</v>
      </c>
      <c r="O716" s="3" t="s">
        <v>30</v>
      </c>
      <c r="P716" t="str">
        <f t="shared" si="11"/>
        <v>450011990410</v>
      </c>
      <c r="Q716" s="7" cm="1">
        <f t="array" ref="Q716:S716">VLOOKUP(P716,Hoja1!C:F,{2,3,4},FALSE)</f>
        <v>46284</v>
      </c>
      <c r="R716" t="str">
        <v>C21</v>
      </c>
      <c r="S716" t="str">
        <v>1000004906 FERRARO Y CIA S.A.</v>
      </c>
    </row>
    <row r="717" spans="1:19" x14ac:dyDescent="0.3">
      <c r="A717" s="2" t="s">
        <v>14</v>
      </c>
      <c r="B717" s="3" t="s">
        <v>14</v>
      </c>
      <c r="C717" s="3" t="s">
        <v>781</v>
      </c>
      <c r="D717" s="3" t="s">
        <v>14</v>
      </c>
      <c r="E717" s="3" t="s">
        <v>466</v>
      </c>
      <c r="F717" s="4">
        <v>46183</v>
      </c>
      <c r="G717" s="3" t="s">
        <v>17</v>
      </c>
      <c r="H717" s="5">
        <v>-538448</v>
      </c>
      <c r="I717" s="3" t="s">
        <v>18</v>
      </c>
      <c r="J717" s="3" t="s">
        <v>14</v>
      </c>
      <c r="K717" s="3" t="s">
        <v>14</v>
      </c>
      <c r="L717" s="3" t="s">
        <v>88</v>
      </c>
      <c r="M717" s="4">
        <v>46183</v>
      </c>
      <c r="N717" s="3" t="s">
        <v>89</v>
      </c>
      <c r="O717" s="3" t="s">
        <v>30</v>
      </c>
      <c r="P717" t="str">
        <f t="shared" si="11"/>
        <v>450011990410</v>
      </c>
      <c r="Q717" s="7" cm="1">
        <f t="array" ref="Q717:S717">VLOOKUP(P717,Hoja1!C:F,{2,3,4},FALSE)</f>
        <v>46284</v>
      </c>
      <c r="R717" t="str">
        <v>C21</v>
      </c>
      <c r="S717" t="str">
        <v>1000004906 FERRARO Y CIA S.A.</v>
      </c>
    </row>
    <row r="718" spans="1:19" x14ac:dyDescent="0.3">
      <c r="A718" s="2" t="s">
        <v>14</v>
      </c>
      <c r="B718" s="3" t="s">
        <v>14</v>
      </c>
      <c r="C718" s="3" t="s">
        <v>781</v>
      </c>
      <c r="D718" s="3" t="s">
        <v>14</v>
      </c>
      <c r="E718" s="3" t="s">
        <v>466</v>
      </c>
      <c r="F718" s="4">
        <v>46183</v>
      </c>
      <c r="G718" s="3" t="s">
        <v>17</v>
      </c>
      <c r="H718" s="5">
        <v>-9580</v>
      </c>
      <c r="I718" s="3" t="s">
        <v>18</v>
      </c>
      <c r="J718" s="3" t="s">
        <v>14</v>
      </c>
      <c r="K718" s="3" t="s">
        <v>14</v>
      </c>
      <c r="L718" s="3" t="s">
        <v>88</v>
      </c>
      <c r="M718" s="4">
        <v>46183</v>
      </c>
      <c r="N718" s="3" t="s">
        <v>89</v>
      </c>
      <c r="O718" s="3" t="s">
        <v>30</v>
      </c>
      <c r="P718" t="str">
        <f t="shared" si="11"/>
        <v>450011990410</v>
      </c>
      <c r="Q718" s="7" cm="1">
        <f t="array" ref="Q718:S718">VLOOKUP(P718,Hoja1!C:F,{2,3,4},FALSE)</f>
        <v>46284</v>
      </c>
      <c r="R718" t="str">
        <v>C21</v>
      </c>
      <c r="S718" t="str">
        <v>1000004906 FERRARO Y CIA S.A.</v>
      </c>
    </row>
    <row r="719" spans="1:19" x14ac:dyDescent="0.3">
      <c r="A719" s="2" t="s">
        <v>14</v>
      </c>
      <c r="B719" s="3" t="s">
        <v>14</v>
      </c>
      <c r="C719" s="3" t="s">
        <v>781</v>
      </c>
      <c r="D719" s="3" t="s">
        <v>14</v>
      </c>
      <c r="E719" s="3" t="s">
        <v>466</v>
      </c>
      <c r="F719" s="4">
        <v>46183</v>
      </c>
      <c r="G719" s="3" t="s">
        <v>17</v>
      </c>
      <c r="H719" s="5">
        <v>-84040</v>
      </c>
      <c r="I719" s="3" t="s">
        <v>18</v>
      </c>
      <c r="J719" s="3" t="s">
        <v>14</v>
      </c>
      <c r="K719" s="3" t="s">
        <v>14</v>
      </c>
      <c r="L719" s="3" t="s">
        <v>88</v>
      </c>
      <c r="M719" s="4">
        <v>46183</v>
      </c>
      <c r="N719" s="3" t="s">
        <v>89</v>
      </c>
      <c r="O719" s="3" t="s">
        <v>30</v>
      </c>
      <c r="P719" t="str">
        <f t="shared" si="11"/>
        <v>450011990410</v>
      </c>
      <c r="Q719" s="7" cm="1">
        <f t="array" ref="Q719:S719">VLOOKUP(P719,Hoja1!C:F,{2,3,4},FALSE)</f>
        <v>46284</v>
      </c>
      <c r="R719" t="str">
        <v>C21</v>
      </c>
      <c r="S719" t="str">
        <v>1000004906 FERRARO Y CIA S.A.</v>
      </c>
    </row>
    <row r="720" spans="1:19" x14ac:dyDescent="0.3">
      <c r="A720" s="2" t="s">
        <v>14</v>
      </c>
      <c r="B720" s="3" t="s">
        <v>14</v>
      </c>
      <c r="C720" s="3" t="s">
        <v>782</v>
      </c>
      <c r="D720" s="3" t="s">
        <v>14</v>
      </c>
      <c r="E720" s="3" t="s">
        <v>466</v>
      </c>
      <c r="F720" s="4">
        <v>46183</v>
      </c>
      <c r="G720" s="3" t="s">
        <v>17</v>
      </c>
      <c r="H720" s="5">
        <v>-538448</v>
      </c>
      <c r="I720" s="3" t="s">
        <v>18</v>
      </c>
      <c r="J720" s="3" t="s">
        <v>14</v>
      </c>
      <c r="K720" s="3" t="s">
        <v>14</v>
      </c>
      <c r="L720" s="3" t="s">
        <v>88</v>
      </c>
      <c r="M720" s="4">
        <v>46183</v>
      </c>
      <c r="N720" s="3" t="s">
        <v>89</v>
      </c>
      <c r="O720" s="3" t="s">
        <v>30</v>
      </c>
      <c r="P720" t="str">
        <f t="shared" si="11"/>
        <v>450011990410</v>
      </c>
      <c r="Q720" s="7" cm="1">
        <f t="array" ref="Q720:S720">VLOOKUP(P720,Hoja1!C:F,{2,3,4},FALSE)</f>
        <v>46284</v>
      </c>
      <c r="R720" t="str">
        <v>C21</v>
      </c>
      <c r="S720" t="str">
        <v>1000004906 FERRARO Y CIA S.A.</v>
      </c>
    </row>
    <row r="721" spans="1:19" x14ac:dyDescent="0.3">
      <c r="A721" s="2" t="s">
        <v>14</v>
      </c>
      <c r="B721" s="3" t="s">
        <v>14</v>
      </c>
      <c r="C721" s="3" t="s">
        <v>782</v>
      </c>
      <c r="D721" s="3" t="s">
        <v>14</v>
      </c>
      <c r="E721" s="3" t="s">
        <v>466</v>
      </c>
      <c r="F721" s="4">
        <v>46183</v>
      </c>
      <c r="G721" s="3" t="s">
        <v>17</v>
      </c>
      <c r="H721" s="5">
        <v>-9580</v>
      </c>
      <c r="I721" s="3" t="s">
        <v>18</v>
      </c>
      <c r="J721" s="3" t="s">
        <v>14</v>
      </c>
      <c r="K721" s="3" t="s">
        <v>14</v>
      </c>
      <c r="L721" s="3" t="s">
        <v>88</v>
      </c>
      <c r="M721" s="4">
        <v>46183</v>
      </c>
      <c r="N721" s="3" t="s">
        <v>89</v>
      </c>
      <c r="O721" s="3" t="s">
        <v>30</v>
      </c>
      <c r="P721" t="str">
        <f t="shared" si="11"/>
        <v>450011990410</v>
      </c>
      <c r="Q721" s="7" cm="1">
        <f t="array" ref="Q721:S721">VLOOKUP(P721,Hoja1!C:F,{2,3,4},FALSE)</f>
        <v>46284</v>
      </c>
      <c r="R721" t="str">
        <v>C21</v>
      </c>
      <c r="S721" t="str">
        <v>1000004906 FERRARO Y CIA S.A.</v>
      </c>
    </row>
    <row r="722" spans="1:19" x14ac:dyDescent="0.3">
      <c r="A722" s="2" t="s">
        <v>14</v>
      </c>
      <c r="B722" s="3" t="s">
        <v>14</v>
      </c>
      <c r="C722" s="3" t="s">
        <v>782</v>
      </c>
      <c r="D722" s="3" t="s">
        <v>14</v>
      </c>
      <c r="E722" s="3" t="s">
        <v>466</v>
      </c>
      <c r="F722" s="4">
        <v>46183</v>
      </c>
      <c r="G722" s="3" t="s">
        <v>17</v>
      </c>
      <c r="H722" s="5">
        <v>-84040</v>
      </c>
      <c r="I722" s="3" t="s">
        <v>18</v>
      </c>
      <c r="J722" s="3" t="s">
        <v>14</v>
      </c>
      <c r="K722" s="3" t="s">
        <v>14</v>
      </c>
      <c r="L722" s="3" t="s">
        <v>88</v>
      </c>
      <c r="M722" s="4">
        <v>46183</v>
      </c>
      <c r="N722" s="3" t="s">
        <v>89</v>
      </c>
      <c r="O722" s="3" t="s">
        <v>30</v>
      </c>
      <c r="P722" t="str">
        <f t="shared" si="11"/>
        <v>450011990410</v>
      </c>
      <c r="Q722" s="7" cm="1">
        <f t="array" ref="Q722:S722">VLOOKUP(P722,Hoja1!C:F,{2,3,4},FALSE)</f>
        <v>46284</v>
      </c>
      <c r="R722" t="str">
        <v>C21</v>
      </c>
      <c r="S722" t="str">
        <v>1000004906 FERRARO Y CIA S.A.</v>
      </c>
    </row>
    <row r="723" spans="1:19" x14ac:dyDescent="0.3">
      <c r="A723" s="2" t="s">
        <v>14</v>
      </c>
      <c r="B723" s="3" t="s">
        <v>14</v>
      </c>
      <c r="C723" s="3" t="s">
        <v>783</v>
      </c>
      <c r="D723" s="3" t="s">
        <v>14</v>
      </c>
      <c r="E723" s="3" t="s">
        <v>466</v>
      </c>
      <c r="F723" s="4">
        <v>46183</v>
      </c>
      <c r="G723" s="3" t="s">
        <v>17</v>
      </c>
      <c r="H723" s="5">
        <v>-88251.63</v>
      </c>
      <c r="I723" s="3" t="s">
        <v>18</v>
      </c>
      <c r="J723" s="3" t="s">
        <v>14</v>
      </c>
      <c r="K723" s="3" t="s">
        <v>14</v>
      </c>
      <c r="L723" s="3" t="s">
        <v>88</v>
      </c>
      <c r="M723" s="4">
        <v>46183</v>
      </c>
      <c r="N723" s="3" t="s">
        <v>89</v>
      </c>
      <c r="O723" s="3" t="s">
        <v>30</v>
      </c>
      <c r="P723" t="str">
        <f t="shared" si="11"/>
        <v>450011990410</v>
      </c>
      <c r="Q723" s="7" cm="1">
        <f t="array" ref="Q723:S723">VLOOKUP(P723,Hoja1!C:F,{2,3,4},FALSE)</f>
        <v>46284</v>
      </c>
      <c r="R723" t="str">
        <v>C21</v>
      </c>
      <c r="S723" t="str">
        <v>1000004906 FERRARO Y CIA S.A.</v>
      </c>
    </row>
    <row r="724" spans="1:19" x14ac:dyDescent="0.3">
      <c r="A724" s="2" t="s">
        <v>14</v>
      </c>
      <c r="B724" s="3" t="s">
        <v>14</v>
      </c>
      <c r="C724" s="3" t="s">
        <v>783</v>
      </c>
      <c r="D724" s="3" t="s">
        <v>14</v>
      </c>
      <c r="E724" s="3" t="s">
        <v>466</v>
      </c>
      <c r="F724" s="4">
        <v>46183</v>
      </c>
      <c r="G724" s="3" t="s">
        <v>17</v>
      </c>
      <c r="H724" s="5">
        <v>-1570.16</v>
      </c>
      <c r="I724" s="3" t="s">
        <v>18</v>
      </c>
      <c r="J724" s="3" t="s">
        <v>14</v>
      </c>
      <c r="K724" s="3" t="s">
        <v>14</v>
      </c>
      <c r="L724" s="3" t="s">
        <v>88</v>
      </c>
      <c r="M724" s="4">
        <v>46183</v>
      </c>
      <c r="N724" s="3" t="s">
        <v>89</v>
      </c>
      <c r="O724" s="3" t="s">
        <v>30</v>
      </c>
      <c r="P724" t="str">
        <f t="shared" si="11"/>
        <v>450011990410</v>
      </c>
      <c r="Q724" s="7" cm="1">
        <f t="array" ref="Q724:S724">VLOOKUP(P724,Hoja1!C:F,{2,3,4},FALSE)</f>
        <v>46284</v>
      </c>
      <c r="R724" t="str">
        <v>C21</v>
      </c>
      <c r="S724" t="str">
        <v>1000004906 FERRARO Y CIA S.A.</v>
      </c>
    </row>
    <row r="725" spans="1:19" x14ac:dyDescent="0.3">
      <c r="A725" s="2" t="s">
        <v>14</v>
      </c>
      <c r="B725" s="3" t="s">
        <v>14</v>
      </c>
      <c r="C725" s="3" t="s">
        <v>783</v>
      </c>
      <c r="D725" s="3" t="s">
        <v>14</v>
      </c>
      <c r="E725" s="3" t="s">
        <v>466</v>
      </c>
      <c r="F725" s="4">
        <v>46183</v>
      </c>
      <c r="G725" s="3" t="s">
        <v>17</v>
      </c>
      <c r="H725" s="5">
        <v>-13774.16</v>
      </c>
      <c r="I725" s="3" t="s">
        <v>18</v>
      </c>
      <c r="J725" s="3" t="s">
        <v>14</v>
      </c>
      <c r="K725" s="3" t="s">
        <v>14</v>
      </c>
      <c r="L725" s="3" t="s">
        <v>88</v>
      </c>
      <c r="M725" s="4">
        <v>46183</v>
      </c>
      <c r="N725" s="3" t="s">
        <v>89</v>
      </c>
      <c r="O725" s="3" t="s">
        <v>30</v>
      </c>
      <c r="P725" t="str">
        <f t="shared" si="11"/>
        <v>450011990410</v>
      </c>
      <c r="Q725" s="7" cm="1">
        <f t="array" ref="Q725:S725">VLOOKUP(P725,Hoja1!C:F,{2,3,4},FALSE)</f>
        <v>46284</v>
      </c>
      <c r="R725" t="str">
        <v>C21</v>
      </c>
      <c r="S725" t="str">
        <v>1000004906 FERRARO Y CIA S.A.</v>
      </c>
    </row>
    <row r="726" spans="1:19" x14ac:dyDescent="0.3">
      <c r="A726" s="2" t="s">
        <v>14</v>
      </c>
      <c r="B726" s="3" t="s">
        <v>14</v>
      </c>
      <c r="C726" s="3" t="s">
        <v>784</v>
      </c>
      <c r="D726" s="3" t="s">
        <v>14</v>
      </c>
      <c r="E726" s="3" t="s">
        <v>466</v>
      </c>
      <c r="F726" s="4">
        <v>46183</v>
      </c>
      <c r="G726" s="3" t="s">
        <v>17</v>
      </c>
      <c r="H726" s="5">
        <v>-1582.98</v>
      </c>
      <c r="I726" s="3" t="s">
        <v>18</v>
      </c>
      <c r="J726" s="3" t="s">
        <v>14</v>
      </c>
      <c r="K726" s="3" t="s">
        <v>14</v>
      </c>
      <c r="L726" s="3" t="s">
        <v>88</v>
      </c>
      <c r="M726" s="4">
        <v>46183</v>
      </c>
      <c r="N726" s="3" t="s">
        <v>89</v>
      </c>
      <c r="O726" s="3" t="s">
        <v>30</v>
      </c>
      <c r="P726" t="str">
        <f t="shared" si="11"/>
        <v>450011990410</v>
      </c>
      <c r="Q726" s="7" cm="1">
        <f t="array" ref="Q726:S726">VLOOKUP(P726,Hoja1!C:F,{2,3,4},FALSE)</f>
        <v>46284</v>
      </c>
      <c r="R726" t="str">
        <v>C21</v>
      </c>
      <c r="S726" t="str">
        <v>1000004906 FERRARO Y CIA S.A.</v>
      </c>
    </row>
    <row r="727" spans="1:19" x14ac:dyDescent="0.3">
      <c r="A727" s="2" t="s">
        <v>14</v>
      </c>
      <c r="B727" s="3" t="s">
        <v>14</v>
      </c>
      <c r="C727" s="3" t="s">
        <v>784</v>
      </c>
      <c r="D727" s="3" t="s">
        <v>14</v>
      </c>
      <c r="E727" s="3" t="s">
        <v>466</v>
      </c>
      <c r="F727" s="4">
        <v>46183</v>
      </c>
      <c r="G727" s="3" t="s">
        <v>17</v>
      </c>
      <c r="H727" s="5">
        <v>-13886.56</v>
      </c>
      <c r="I727" s="3" t="s">
        <v>18</v>
      </c>
      <c r="J727" s="3" t="s">
        <v>14</v>
      </c>
      <c r="K727" s="3" t="s">
        <v>14</v>
      </c>
      <c r="L727" s="3" t="s">
        <v>88</v>
      </c>
      <c r="M727" s="4">
        <v>46183</v>
      </c>
      <c r="N727" s="3" t="s">
        <v>89</v>
      </c>
      <c r="O727" s="3" t="s">
        <v>30</v>
      </c>
      <c r="P727" t="str">
        <f t="shared" si="11"/>
        <v>450011990410</v>
      </c>
      <c r="Q727" s="7" cm="1">
        <f t="array" ref="Q727:S727">VLOOKUP(P727,Hoja1!C:F,{2,3,4},FALSE)</f>
        <v>46284</v>
      </c>
      <c r="R727" t="str">
        <v>C21</v>
      </c>
      <c r="S727" t="str">
        <v>1000004906 FERRARO Y CIA S.A.</v>
      </c>
    </row>
    <row r="728" spans="1:19" x14ac:dyDescent="0.3">
      <c r="A728" s="2" t="s">
        <v>14</v>
      </c>
      <c r="B728" s="3" t="s">
        <v>14</v>
      </c>
      <c r="C728" s="3" t="s">
        <v>785</v>
      </c>
      <c r="D728" s="3" t="s">
        <v>14</v>
      </c>
      <c r="E728" s="3" t="s">
        <v>466</v>
      </c>
      <c r="F728" s="4">
        <v>45866</v>
      </c>
      <c r="G728" s="3" t="s">
        <v>17</v>
      </c>
      <c r="H728" s="5">
        <v>-15289.26</v>
      </c>
      <c r="I728" s="3" t="s">
        <v>18</v>
      </c>
      <c r="J728" s="3" t="s">
        <v>14</v>
      </c>
      <c r="K728" s="3" t="s">
        <v>14</v>
      </c>
      <c r="L728" s="3" t="s">
        <v>786</v>
      </c>
      <c r="M728" s="4">
        <v>45866</v>
      </c>
      <c r="N728" s="3" t="s">
        <v>787</v>
      </c>
      <c r="O728" s="3" t="s">
        <v>30</v>
      </c>
      <c r="P728" t="str">
        <f t="shared" si="11"/>
        <v>450010464610</v>
      </c>
      <c r="Q728" s="7" cm="1">
        <f t="array" ref="Q728:S728">VLOOKUP(P728,Hoja1!C:F,{2,3,4},FALSE)</f>
        <v>45869</v>
      </c>
      <c r="R728" t="str">
        <v>C07</v>
      </c>
      <c r="S728" t="str">
        <v>1000008055 RUMAOS S.A.</v>
      </c>
    </row>
    <row r="729" spans="1:19" x14ac:dyDescent="0.3">
      <c r="A729" s="2" t="s">
        <v>14</v>
      </c>
      <c r="B729" s="3" t="s">
        <v>14</v>
      </c>
      <c r="C729" s="3" t="s">
        <v>788</v>
      </c>
      <c r="D729" s="3" t="s">
        <v>14</v>
      </c>
      <c r="E729" s="3" t="s">
        <v>466</v>
      </c>
      <c r="F729" s="4">
        <v>46184</v>
      </c>
      <c r="G729" s="3" t="s">
        <v>17</v>
      </c>
      <c r="H729" s="5">
        <v>-78611.58</v>
      </c>
      <c r="I729" s="3" t="s">
        <v>18</v>
      </c>
      <c r="J729" s="3" t="s">
        <v>14</v>
      </c>
      <c r="K729" s="3" t="s">
        <v>14</v>
      </c>
      <c r="L729" s="3" t="s">
        <v>789</v>
      </c>
      <c r="M729" s="4">
        <v>46184</v>
      </c>
      <c r="N729" s="3" t="s">
        <v>790</v>
      </c>
      <c r="O729" s="3" t="s">
        <v>30</v>
      </c>
      <c r="P729" t="str">
        <f t="shared" si="11"/>
        <v>450012995410</v>
      </c>
      <c r="Q729" s="7" cm="1">
        <f t="array" ref="Q729:S729">VLOOKUP(P729,Hoja1!C:F,{2,3,4},FALSE)</f>
        <v>46202</v>
      </c>
      <c r="R729" t="str">
        <v>C01</v>
      </c>
      <c r="S729" t="str">
        <v>1000003548 CARLOS A DIORIO</v>
      </c>
    </row>
    <row r="730" spans="1:19" x14ac:dyDescent="0.3">
      <c r="A730" s="2" t="s">
        <v>14</v>
      </c>
      <c r="B730" s="3" t="s">
        <v>14</v>
      </c>
      <c r="C730" s="3" t="s">
        <v>791</v>
      </c>
      <c r="D730" s="3" t="s">
        <v>84</v>
      </c>
      <c r="E730" s="3" t="s">
        <v>466</v>
      </c>
      <c r="F730" s="4">
        <v>46184</v>
      </c>
      <c r="G730" s="3" t="s">
        <v>17</v>
      </c>
      <c r="H730" s="5">
        <v>-145690</v>
      </c>
      <c r="I730" s="3" t="s">
        <v>18</v>
      </c>
      <c r="J730" s="3" t="s">
        <v>14</v>
      </c>
      <c r="K730" s="3" t="s">
        <v>14</v>
      </c>
      <c r="L730" s="3" t="s">
        <v>792</v>
      </c>
      <c r="M730" s="4">
        <v>46184</v>
      </c>
      <c r="N730" s="3" t="s">
        <v>793</v>
      </c>
      <c r="O730" s="3" t="s">
        <v>30</v>
      </c>
      <c r="P730" t="str">
        <f t="shared" si="11"/>
        <v>450013004210</v>
      </c>
      <c r="Q730" s="7" cm="1">
        <f t="array" ref="Q730:S730">VLOOKUP(P730,Hoja1!C:F,{2,3,4},FALSE)</f>
        <v>46188</v>
      </c>
      <c r="R730" t="str">
        <v>C27</v>
      </c>
      <c r="S730" t="str">
        <v>1000000004 ARGELEC S.A.</v>
      </c>
    </row>
    <row r="731" spans="1:19" x14ac:dyDescent="0.3">
      <c r="A731" s="2" t="s">
        <v>14</v>
      </c>
      <c r="B731" s="3" t="s">
        <v>14</v>
      </c>
      <c r="C731" s="3" t="s">
        <v>794</v>
      </c>
      <c r="D731" s="3" t="s">
        <v>14</v>
      </c>
      <c r="E731" s="3" t="s">
        <v>466</v>
      </c>
      <c r="F731" s="4">
        <v>46185</v>
      </c>
      <c r="G731" s="3" t="s">
        <v>17</v>
      </c>
      <c r="H731" s="5">
        <v>-3669.96</v>
      </c>
      <c r="I731" s="3" t="s">
        <v>18</v>
      </c>
      <c r="J731" s="3" t="s">
        <v>14</v>
      </c>
      <c r="K731" s="3" t="s">
        <v>14</v>
      </c>
      <c r="L731" s="3" t="s">
        <v>43</v>
      </c>
      <c r="M731" s="4">
        <v>46185</v>
      </c>
      <c r="N731" s="3" t="s">
        <v>795</v>
      </c>
      <c r="O731" s="3" t="s">
        <v>30</v>
      </c>
      <c r="P731" t="str">
        <f t="shared" si="11"/>
        <v>450011751510</v>
      </c>
      <c r="Q731" s="7" cm="1">
        <f t="array" ref="Q731:S731">VLOOKUP(P731,Hoja1!C:F,{2,3,4},FALSE)</f>
        <v>46051</v>
      </c>
      <c r="R731" t="str">
        <v>EFO</v>
      </c>
      <c r="S731" t="str">
        <v>1000001211 EQUIPEL SRL</v>
      </c>
    </row>
    <row r="732" spans="1:19" x14ac:dyDescent="0.3">
      <c r="A732" s="2" t="s">
        <v>14</v>
      </c>
      <c r="B732" s="3" t="s">
        <v>14</v>
      </c>
      <c r="C732" s="3" t="s">
        <v>794</v>
      </c>
      <c r="D732" s="3" t="s">
        <v>14</v>
      </c>
      <c r="E732" s="3" t="s">
        <v>466</v>
      </c>
      <c r="F732" s="4">
        <v>46185</v>
      </c>
      <c r="G732" s="3" t="s">
        <v>17</v>
      </c>
      <c r="H732" s="5">
        <v>-80810.52</v>
      </c>
      <c r="I732" s="3" t="s">
        <v>18</v>
      </c>
      <c r="J732" s="3" t="s">
        <v>14</v>
      </c>
      <c r="K732" s="3" t="s">
        <v>14</v>
      </c>
      <c r="L732" s="3" t="s">
        <v>43</v>
      </c>
      <c r="M732" s="4">
        <v>46185</v>
      </c>
      <c r="N732" s="3" t="s">
        <v>795</v>
      </c>
      <c r="O732" s="3" t="s">
        <v>22</v>
      </c>
      <c r="P732" t="str">
        <f t="shared" si="11"/>
        <v>450011751520</v>
      </c>
      <c r="Q732" s="7" cm="1">
        <f t="array" ref="Q732:S732">VLOOKUP(P732,Hoja1!C:F,{2,3,4},FALSE)</f>
        <v>46051</v>
      </c>
      <c r="R732" t="str">
        <v>EFO</v>
      </c>
      <c r="S732" t="str">
        <v>1000001211 EQUIPEL SRL</v>
      </c>
    </row>
    <row r="733" spans="1:19" x14ac:dyDescent="0.3">
      <c r="A733" s="2" t="s">
        <v>14</v>
      </c>
      <c r="B733" s="3" t="s">
        <v>14</v>
      </c>
      <c r="C733" s="3" t="s">
        <v>796</v>
      </c>
      <c r="D733" s="3" t="s">
        <v>14</v>
      </c>
      <c r="E733" s="3" t="s">
        <v>466</v>
      </c>
      <c r="F733" s="4">
        <v>46183</v>
      </c>
      <c r="G733" s="3" t="s">
        <v>17</v>
      </c>
      <c r="H733" s="5">
        <v>-32082</v>
      </c>
      <c r="I733" s="3" t="s">
        <v>18</v>
      </c>
      <c r="J733" s="3" t="s">
        <v>14</v>
      </c>
      <c r="K733" s="3" t="s">
        <v>14</v>
      </c>
      <c r="L733" s="3" t="s">
        <v>519</v>
      </c>
      <c r="M733" s="4">
        <v>46186</v>
      </c>
      <c r="N733" s="3" t="s">
        <v>765</v>
      </c>
      <c r="O733" s="3" t="s">
        <v>30</v>
      </c>
      <c r="P733" t="str">
        <f t="shared" si="11"/>
        <v>450012830110</v>
      </c>
      <c r="Q733" s="7" cm="1">
        <f t="array" ref="Q733:S733">VLOOKUP(P733,Hoja1!C:F,{2,3,4},FALSE)</f>
        <v>46368</v>
      </c>
      <c r="R733" t="str">
        <v>C21</v>
      </c>
      <c r="S733" t="str">
        <v>1000011498 1263 S. R. L.</v>
      </c>
    </row>
    <row r="734" spans="1:19" x14ac:dyDescent="0.3">
      <c r="A734" s="2" t="s">
        <v>14</v>
      </c>
      <c r="B734" s="3" t="s">
        <v>14</v>
      </c>
      <c r="C734" s="3" t="s">
        <v>796</v>
      </c>
      <c r="D734" s="3" t="s">
        <v>14</v>
      </c>
      <c r="E734" s="3" t="s">
        <v>466</v>
      </c>
      <c r="F734" s="4">
        <v>46183</v>
      </c>
      <c r="G734" s="3" t="s">
        <v>17</v>
      </c>
      <c r="H734" s="5">
        <v>-398.19</v>
      </c>
      <c r="I734" s="3" t="s">
        <v>18</v>
      </c>
      <c r="J734" s="3" t="s">
        <v>14</v>
      </c>
      <c r="K734" s="3" t="s">
        <v>14</v>
      </c>
      <c r="L734" s="3" t="s">
        <v>519</v>
      </c>
      <c r="M734" s="4">
        <v>46186</v>
      </c>
      <c r="N734" s="3" t="s">
        <v>765</v>
      </c>
      <c r="O734" s="3" t="s">
        <v>30</v>
      </c>
      <c r="P734" t="str">
        <f t="shared" si="11"/>
        <v>450012830110</v>
      </c>
      <c r="Q734" s="7" cm="1">
        <f t="array" ref="Q734:S734">VLOOKUP(P734,Hoja1!C:F,{2,3,4},FALSE)</f>
        <v>46368</v>
      </c>
      <c r="R734" t="str">
        <v>C21</v>
      </c>
      <c r="S734" t="str">
        <v>1000011498 1263 S. R. L.</v>
      </c>
    </row>
    <row r="735" spans="1:19" x14ac:dyDescent="0.3">
      <c r="A735" s="2" t="s">
        <v>14</v>
      </c>
      <c r="B735" s="3" t="s">
        <v>14</v>
      </c>
      <c r="C735" s="3" t="s">
        <v>797</v>
      </c>
      <c r="D735" s="3" t="s">
        <v>14</v>
      </c>
      <c r="E735" s="3" t="s">
        <v>466</v>
      </c>
      <c r="F735" s="4">
        <v>46186</v>
      </c>
      <c r="G735" s="3" t="s">
        <v>17</v>
      </c>
      <c r="H735" s="5">
        <v>-488749.25</v>
      </c>
      <c r="I735" s="3" t="s">
        <v>18</v>
      </c>
      <c r="J735" s="3" t="s">
        <v>14</v>
      </c>
      <c r="K735" s="3" t="s">
        <v>14</v>
      </c>
      <c r="L735" s="3" t="s">
        <v>88</v>
      </c>
      <c r="M735" s="4">
        <v>46186</v>
      </c>
      <c r="N735" s="3" t="s">
        <v>89</v>
      </c>
      <c r="O735" s="3" t="s">
        <v>30</v>
      </c>
      <c r="P735" t="str">
        <f t="shared" si="11"/>
        <v>450011990410</v>
      </c>
      <c r="Q735" s="7" cm="1">
        <f t="array" ref="Q735:S735">VLOOKUP(P735,Hoja1!C:F,{2,3,4},FALSE)</f>
        <v>46284</v>
      </c>
      <c r="R735" t="str">
        <v>C21</v>
      </c>
      <c r="S735" t="str">
        <v>1000004906 FERRARO Y CIA S.A.</v>
      </c>
    </row>
    <row r="736" spans="1:19" x14ac:dyDescent="0.3">
      <c r="A736" s="2" t="s">
        <v>14</v>
      </c>
      <c r="B736" s="3" t="s">
        <v>14</v>
      </c>
      <c r="C736" s="3" t="s">
        <v>797</v>
      </c>
      <c r="D736" s="3" t="s">
        <v>14</v>
      </c>
      <c r="E736" s="3" t="s">
        <v>466</v>
      </c>
      <c r="F736" s="4">
        <v>46186</v>
      </c>
      <c r="G736" s="3" t="s">
        <v>17</v>
      </c>
      <c r="H736" s="5">
        <v>-8695.77</v>
      </c>
      <c r="I736" s="3" t="s">
        <v>18</v>
      </c>
      <c r="J736" s="3" t="s">
        <v>14</v>
      </c>
      <c r="K736" s="3" t="s">
        <v>14</v>
      </c>
      <c r="L736" s="3" t="s">
        <v>88</v>
      </c>
      <c r="M736" s="4">
        <v>46186</v>
      </c>
      <c r="N736" s="3" t="s">
        <v>89</v>
      </c>
      <c r="O736" s="3" t="s">
        <v>30</v>
      </c>
      <c r="P736" t="str">
        <f t="shared" si="11"/>
        <v>450011990410</v>
      </c>
      <c r="Q736" s="7" cm="1">
        <f t="array" ref="Q736:S736">VLOOKUP(P736,Hoja1!C:F,{2,3,4},FALSE)</f>
        <v>46284</v>
      </c>
      <c r="R736" t="str">
        <v>C21</v>
      </c>
      <c r="S736" t="str">
        <v>1000004906 FERRARO Y CIA S.A.</v>
      </c>
    </row>
    <row r="737" spans="1:19" x14ac:dyDescent="0.3">
      <c r="A737" s="2" t="s">
        <v>14</v>
      </c>
      <c r="B737" s="3" t="s">
        <v>14</v>
      </c>
      <c r="C737" s="3" t="s">
        <v>797</v>
      </c>
      <c r="D737" s="3" t="s">
        <v>14</v>
      </c>
      <c r="E737" s="3" t="s">
        <v>466</v>
      </c>
      <c r="F737" s="4">
        <v>46186</v>
      </c>
      <c r="G737" s="3" t="s">
        <v>17</v>
      </c>
      <c r="H737" s="5">
        <v>-76283.11</v>
      </c>
      <c r="I737" s="3" t="s">
        <v>18</v>
      </c>
      <c r="J737" s="3" t="s">
        <v>14</v>
      </c>
      <c r="K737" s="3" t="s">
        <v>14</v>
      </c>
      <c r="L737" s="3" t="s">
        <v>88</v>
      </c>
      <c r="M737" s="4">
        <v>46186</v>
      </c>
      <c r="N737" s="3" t="s">
        <v>89</v>
      </c>
      <c r="O737" s="3" t="s">
        <v>30</v>
      </c>
      <c r="P737" t="str">
        <f t="shared" si="11"/>
        <v>450011990410</v>
      </c>
      <c r="Q737" s="7" cm="1">
        <f t="array" ref="Q737:S737">VLOOKUP(P737,Hoja1!C:F,{2,3,4},FALSE)</f>
        <v>46284</v>
      </c>
      <c r="R737" t="str">
        <v>C21</v>
      </c>
      <c r="S737" t="str">
        <v>1000004906 FERRARO Y CIA S.A.</v>
      </c>
    </row>
    <row r="738" spans="1:19" x14ac:dyDescent="0.3">
      <c r="A738" s="2" t="s">
        <v>14</v>
      </c>
      <c r="B738" s="3" t="s">
        <v>14</v>
      </c>
      <c r="C738" s="3" t="s">
        <v>798</v>
      </c>
      <c r="D738" s="3" t="s">
        <v>14</v>
      </c>
      <c r="E738" s="3" t="s">
        <v>466</v>
      </c>
      <c r="F738" s="4">
        <v>46188</v>
      </c>
      <c r="G738" s="3" t="s">
        <v>17</v>
      </c>
      <c r="H738" s="5">
        <v>-83182.7</v>
      </c>
      <c r="I738" s="3" t="s">
        <v>18</v>
      </c>
      <c r="J738" s="3" t="s">
        <v>14</v>
      </c>
      <c r="K738" s="3" t="s">
        <v>14</v>
      </c>
      <c r="L738" s="3" t="s">
        <v>519</v>
      </c>
      <c r="M738" s="4">
        <v>46188</v>
      </c>
      <c r="N738" s="3" t="s">
        <v>765</v>
      </c>
      <c r="O738" s="3" t="s">
        <v>30</v>
      </c>
      <c r="P738" t="str">
        <f t="shared" si="11"/>
        <v>450012830110</v>
      </c>
      <c r="Q738" s="7" cm="1">
        <f t="array" ref="Q738:S738">VLOOKUP(P738,Hoja1!C:F,{2,3,4},FALSE)</f>
        <v>46368</v>
      </c>
      <c r="R738" t="str">
        <v>C21</v>
      </c>
      <c r="S738" t="str">
        <v>1000011498 1263 S. R. L.</v>
      </c>
    </row>
    <row r="739" spans="1:19" x14ac:dyDescent="0.3">
      <c r="A739" s="2" t="s">
        <v>14</v>
      </c>
      <c r="B739" s="3" t="s">
        <v>14</v>
      </c>
      <c r="C739" s="3" t="s">
        <v>798</v>
      </c>
      <c r="D739" s="3" t="s">
        <v>14</v>
      </c>
      <c r="E739" s="3" t="s">
        <v>466</v>
      </c>
      <c r="F739" s="4">
        <v>46188</v>
      </c>
      <c r="G739" s="3" t="s">
        <v>17</v>
      </c>
      <c r="H739" s="5">
        <v>-1032.44</v>
      </c>
      <c r="I739" s="3" t="s">
        <v>18</v>
      </c>
      <c r="J739" s="3" t="s">
        <v>14</v>
      </c>
      <c r="K739" s="3" t="s">
        <v>14</v>
      </c>
      <c r="L739" s="3" t="s">
        <v>519</v>
      </c>
      <c r="M739" s="4">
        <v>46188</v>
      </c>
      <c r="N739" s="3" t="s">
        <v>765</v>
      </c>
      <c r="O739" s="3" t="s">
        <v>30</v>
      </c>
      <c r="P739" t="str">
        <f t="shared" si="11"/>
        <v>450012830110</v>
      </c>
      <c r="Q739" s="7" cm="1">
        <f t="array" ref="Q739:S739">VLOOKUP(P739,Hoja1!C:F,{2,3,4},FALSE)</f>
        <v>46368</v>
      </c>
      <c r="R739" t="str">
        <v>C21</v>
      </c>
      <c r="S739" t="str">
        <v>1000011498 1263 S. R. L.</v>
      </c>
    </row>
    <row r="740" spans="1:19" x14ac:dyDescent="0.3">
      <c r="A740" s="2" t="s">
        <v>14</v>
      </c>
      <c r="B740" s="3" t="s">
        <v>14</v>
      </c>
      <c r="C740" s="3" t="s">
        <v>799</v>
      </c>
      <c r="D740" s="3" t="s">
        <v>14</v>
      </c>
      <c r="E740" s="3" t="s">
        <v>466</v>
      </c>
      <c r="F740" s="4">
        <v>46189</v>
      </c>
      <c r="G740" s="3" t="s">
        <v>17</v>
      </c>
      <c r="H740" s="5">
        <v>-35399.339999999997</v>
      </c>
      <c r="I740" s="3" t="s">
        <v>18</v>
      </c>
      <c r="J740" s="3" t="s">
        <v>14</v>
      </c>
      <c r="K740" s="3" t="s">
        <v>14</v>
      </c>
      <c r="L740" s="3" t="s">
        <v>519</v>
      </c>
      <c r="M740" s="4">
        <v>46189</v>
      </c>
      <c r="N740" s="3" t="s">
        <v>765</v>
      </c>
      <c r="O740" s="3" t="s">
        <v>30</v>
      </c>
      <c r="P740" t="str">
        <f t="shared" si="11"/>
        <v>450012830110</v>
      </c>
      <c r="Q740" s="7" cm="1">
        <f t="array" ref="Q740:S740">VLOOKUP(P740,Hoja1!C:F,{2,3,4},FALSE)</f>
        <v>46368</v>
      </c>
      <c r="R740" t="str">
        <v>C21</v>
      </c>
      <c r="S740" t="str">
        <v>1000011498 1263 S. R. L.</v>
      </c>
    </row>
    <row r="741" spans="1:19" x14ac:dyDescent="0.3">
      <c r="A741" s="2" t="s">
        <v>14</v>
      </c>
      <c r="B741" s="3" t="s">
        <v>14</v>
      </c>
      <c r="C741" s="3" t="s">
        <v>799</v>
      </c>
      <c r="D741" s="3" t="s">
        <v>14</v>
      </c>
      <c r="E741" s="3" t="s">
        <v>466</v>
      </c>
      <c r="F741" s="4">
        <v>46189</v>
      </c>
      <c r="G741" s="3" t="s">
        <v>17</v>
      </c>
      <c r="H741" s="5">
        <v>-439.36</v>
      </c>
      <c r="I741" s="3" t="s">
        <v>18</v>
      </c>
      <c r="J741" s="3" t="s">
        <v>14</v>
      </c>
      <c r="K741" s="3" t="s">
        <v>14</v>
      </c>
      <c r="L741" s="3" t="s">
        <v>519</v>
      </c>
      <c r="M741" s="4">
        <v>46189</v>
      </c>
      <c r="N741" s="3" t="s">
        <v>765</v>
      </c>
      <c r="O741" s="3" t="s">
        <v>30</v>
      </c>
      <c r="P741" t="str">
        <f t="shared" si="11"/>
        <v>450012830110</v>
      </c>
      <c r="Q741" s="7" cm="1">
        <f t="array" ref="Q741:S741">VLOOKUP(P741,Hoja1!C:F,{2,3,4},FALSE)</f>
        <v>46368</v>
      </c>
      <c r="R741" t="str">
        <v>C21</v>
      </c>
      <c r="S741" t="str">
        <v>1000011498 1263 S. R. L.</v>
      </c>
    </row>
    <row r="742" spans="1:19" x14ac:dyDescent="0.3">
      <c r="A742" s="2" t="s">
        <v>14</v>
      </c>
      <c r="B742" s="3" t="s">
        <v>14</v>
      </c>
      <c r="C742" s="3" t="s">
        <v>800</v>
      </c>
      <c r="D742" s="3" t="s">
        <v>14</v>
      </c>
      <c r="E742" s="3" t="s">
        <v>466</v>
      </c>
      <c r="F742" s="4">
        <v>46189</v>
      </c>
      <c r="G742" s="3" t="s">
        <v>17</v>
      </c>
      <c r="H742" s="5">
        <v>-5572774.7400000002</v>
      </c>
      <c r="I742" s="3" t="s">
        <v>18</v>
      </c>
      <c r="J742" s="3" t="s">
        <v>14</v>
      </c>
      <c r="K742" s="3" t="s">
        <v>14</v>
      </c>
      <c r="L742" s="3" t="s">
        <v>589</v>
      </c>
      <c r="M742" s="4">
        <v>46189</v>
      </c>
      <c r="N742" s="3" t="s">
        <v>751</v>
      </c>
      <c r="O742" s="3" t="s">
        <v>127</v>
      </c>
      <c r="P742" t="str">
        <f t="shared" si="11"/>
        <v>4500119057190</v>
      </c>
      <c r="Q742" s="7" cm="1">
        <f t="array" ref="Q742:S742">VLOOKUP(P742,Hoja1!C:F,{2,3,4},FALSE)</f>
        <v>46307</v>
      </c>
      <c r="R742" t="str">
        <v>C03</v>
      </c>
      <c r="S742" t="str">
        <v>1000001123 HAULOTTE ARGENTINA S.A.</v>
      </c>
    </row>
    <row r="743" spans="1:19" x14ac:dyDescent="0.3">
      <c r="A743" s="2" t="s">
        <v>14</v>
      </c>
      <c r="B743" s="3" t="s">
        <v>14</v>
      </c>
      <c r="C743" s="3" t="s">
        <v>801</v>
      </c>
      <c r="D743" s="3" t="s">
        <v>14</v>
      </c>
      <c r="E743" s="3" t="s">
        <v>466</v>
      </c>
      <c r="F743" s="4">
        <v>46189</v>
      </c>
      <c r="G743" s="3" t="s">
        <v>17</v>
      </c>
      <c r="H743" s="5">
        <v>-2660094.4500000002</v>
      </c>
      <c r="I743" s="3" t="s">
        <v>18</v>
      </c>
      <c r="J743" s="3" t="s">
        <v>14</v>
      </c>
      <c r="K743" s="3" t="s">
        <v>14</v>
      </c>
      <c r="L743" s="3" t="s">
        <v>589</v>
      </c>
      <c r="M743" s="4">
        <v>46189</v>
      </c>
      <c r="N743" s="3" t="s">
        <v>802</v>
      </c>
      <c r="O743" s="3" t="s">
        <v>30</v>
      </c>
      <c r="P743" t="str">
        <f t="shared" si="11"/>
        <v>450012869310</v>
      </c>
      <c r="Q743" s="7" cm="1">
        <f t="array" ref="Q743:S743">VLOOKUP(P743,Hoja1!C:F,{2,3,4},FALSE)</f>
        <v>46231</v>
      </c>
      <c r="R743" t="str">
        <v>C04</v>
      </c>
      <c r="S743" t="str">
        <v>1000001123 HAULOTTE ARGENTINA S.A.</v>
      </c>
    </row>
    <row r="744" spans="1:19" x14ac:dyDescent="0.3">
      <c r="A744" s="2" t="s">
        <v>14</v>
      </c>
      <c r="B744" s="3" t="s">
        <v>14</v>
      </c>
      <c r="C744" s="3" t="s">
        <v>801</v>
      </c>
      <c r="D744" s="3" t="s">
        <v>14</v>
      </c>
      <c r="E744" s="3" t="s">
        <v>466</v>
      </c>
      <c r="F744" s="4">
        <v>46189</v>
      </c>
      <c r="G744" s="3" t="s">
        <v>17</v>
      </c>
      <c r="H744" s="5">
        <v>-1488354.66</v>
      </c>
      <c r="I744" s="3" t="s">
        <v>18</v>
      </c>
      <c r="J744" s="3" t="s">
        <v>14</v>
      </c>
      <c r="K744" s="3" t="s">
        <v>14</v>
      </c>
      <c r="L744" s="3" t="s">
        <v>589</v>
      </c>
      <c r="M744" s="4">
        <v>46189</v>
      </c>
      <c r="N744" s="3" t="s">
        <v>802</v>
      </c>
      <c r="O744" s="3" t="s">
        <v>22</v>
      </c>
      <c r="P744" t="str">
        <f t="shared" si="11"/>
        <v>450012869320</v>
      </c>
      <c r="Q744" s="7" cm="1">
        <f t="array" ref="Q744:S744">VLOOKUP(P744,Hoja1!C:F,{2,3,4},FALSE)</f>
        <v>46231</v>
      </c>
      <c r="R744" t="str">
        <v>C04</v>
      </c>
      <c r="S744" t="str">
        <v>1000001123 HAULOTTE ARGENTINA S.A.</v>
      </c>
    </row>
    <row r="745" spans="1:19" x14ac:dyDescent="0.3">
      <c r="A745" s="2" t="s">
        <v>14</v>
      </c>
      <c r="B745" s="3" t="s">
        <v>14</v>
      </c>
      <c r="C745" s="3" t="s">
        <v>801</v>
      </c>
      <c r="D745" s="3" t="s">
        <v>14</v>
      </c>
      <c r="E745" s="3" t="s">
        <v>466</v>
      </c>
      <c r="F745" s="4">
        <v>46189</v>
      </c>
      <c r="G745" s="3" t="s">
        <v>17</v>
      </c>
      <c r="H745" s="5">
        <v>-1088635.8600000001</v>
      </c>
      <c r="I745" s="3" t="s">
        <v>18</v>
      </c>
      <c r="J745" s="3" t="s">
        <v>14</v>
      </c>
      <c r="K745" s="3" t="s">
        <v>14</v>
      </c>
      <c r="L745" s="3" t="s">
        <v>589</v>
      </c>
      <c r="M745" s="4">
        <v>46189</v>
      </c>
      <c r="N745" s="3" t="s">
        <v>802</v>
      </c>
      <c r="O745" s="3" t="s">
        <v>144</v>
      </c>
      <c r="P745" t="str">
        <f t="shared" si="11"/>
        <v>450012869350</v>
      </c>
      <c r="Q745" s="7" cm="1">
        <f t="array" ref="Q745:S745">VLOOKUP(P745,Hoja1!C:F,{2,3,4},FALSE)</f>
        <v>46231</v>
      </c>
      <c r="R745" t="str">
        <v>C04</v>
      </c>
      <c r="S745" t="str">
        <v>1000001123 HAULOTTE ARGENTINA S.A.</v>
      </c>
    </row>
    <row r="746" spans="1:19" x14ac:dyDescent="0.3">
      <c r="A746" s="2" t="s">
        <v>14</v>
      </c>
      <c r="B746" s="3" t="s">
        <v>14</v>
      </c>
      <c r="C746" s="3" t="s">
        <v>803</v>
      </c>
      <c r="D746" s="3" t="s">
        <v>14</v>
      </c>
      <c r="E746" s="3" t="s">
        <v>466</v>
      </c>
      <c r="F746" s="4">
        <v>46189</v>
      </c>
      <c r="G746" s="3" t="s">
        <v>17</v>
      </c>
      <c r="H746" s="5">
        <v>-73641</v>
      </c>
      <c r="I746" s="3" t="s">
        <v>18</v>
      </c>
      <c r="J746" s="3" t="s">
        <v>14</v>
      </c>
      <c r="K746" s="3" t="s">
        <v>14</v>
      </c>
      <c r="L746" s="3" t="s">
        <v>320</v>
      </c>
      <c r="M746" s="4">
        <v>46189</v>
      </c>
      <c r="N746" s="3" t="s">
        <v>321</v>
      </c>
      <c r="O746" s="3" t="s">
        <v>30</v>
      </c>
      <c r="P746" t="str">
        <f t="shared" si="11"/>
        <v>450012906810</v>
      </c>
      <c r="Q746" s="7" cm="1">
        <f t="array" ref="Q746:S746">VLOOKUP(P746,Hoja1!C:F,{2,3,4},FALSE)</f>
        <v>46250</v>
      </c>
      <c r="R746" t="str">
        <v>C21</v>
      </c>
      <c r="S746" t="str">
        <v>1000000038 YPF S.A.</v>
      </c>
    </row>
    <row r="747" spans="1:19" x14ac:dyDescent="0.3">
      <c r="A747" s="2" t="s">
        <v>14</v>
      </c>
      <c r="B747" s="3" t="s">
        <v>14</v>
      </c>
      <c r="C747" s="3" t="s">
        <v>803</v>
      </c>
      <c r="D747" s="3" t="s">
        <v>14</v>
      </c>
      <c r="E747" s="3" t="s">
        <v>466</v>
      </c>
      <c r="F747" s="4">
        <v>46189</v>
      </c>
      <c r="G747" s="3" t="s">
        <v>17</v>
      </c>
      <c r="H747" s="5">
        <v>-8394</v>
      </c>
      <c r="I747" s="3" t="s">
        <v>18</v>
      </c>
      <c r="J747" s="3" t="s">
        <v>14</v>
      </c>
      <c r="K747" s="3" t="s">
        <v>14</v>
      </c>
      <c r="L747" s="3" t="s">
        <v>320</v>
      </c>
      <c r="M747" s="4">
        <v>46189</v>
      </c>
      <c r="N747" s="3" t="s">
        <v>321</v>
      </c>
      <c r="O747" s="3" t="s">
        <v>30</v>
      </c>
      <c r="P747" t="str">
        <f t="shared" si="11"/>
        <v>450012906810</v>
      </c>
      <c r="Q747" s="7" cm="1">
        <f t="array" ref="Q747:S747">VLOOKUP(P747,Hoja1!C:F,{2,3,4},FALSE)</f>
        <v>46250</v>
      </c>
      <c r="R747" t="str">
        <v>C21</v>
      </c>
      <c r="S747" t="str">
        <v>1000000038 YPF S.A.</v>
      </c>
    </row>
    <row r="748" spans="1:19" x14ac:dyDescent="0.3">
      <c r="A748" s="2" t="s">
        <v>14</v>
      </c>
      <c r="B748" s="3" t="s">
        <v>14</v>
      </c>
      <c r="C748" s="3" t="s">
        <v>804</v>
      </c>
      <c r="D748" s="3" t="s">
        <v>14</v>
      </c>
      <c r="E748" s="3" t="s">
        <v>466</v>
      </c>
      <c r="F748" s="4">
        <v>46189</v>
      </c>
      <c r="G748" s="3" t="s">
        <v>17</v>
      </c>
      <c r="H748" s="5">
        <v>-98188</v>
      </c>
      <c r="I748" s="3" t="s">
        <v>18</v>
      </c>
      <c r="J748" s="3" t="s">
        <v>14</v>
      </c>
      <c r="K748" s="3" t="s">
        <v>14</v>
      </c>
      <c r="L748" s="3" t="s">
        <v>320</v>
      </c>
      <c r="M748" s="4">
        <v>46189</v>
      </c>
      <c r="N748" s="3" t="s">
        <v>321</v>
      </c>
      <c r="O748" s="3" t="s">
        <v>30</v>
      </c>
      <c r="P748" t="str">
        <f t="shared" si="11"/>
        <v>450012906810</v>
      </c>
      <c r="Q748" s="7" cm="1">
        <f t="array" ref="Q748:S748">VLOOKUP(P748,Hoja1!C:F,{2,3,4},FALSE)</f>
        <v>46250</v>
      </c>
      <c r="R748" t="str">
        <v>C21</v>
      </c>
      <c r="S748" t="str">
        <v>1000000038 YPF S.A.</v>
      </c>
    </row>
    <row r="749" spans="1:19" x14ac:dyDescent="0.3">
      <c r="A749" s="2" t="s">
        <v>14</v>
      </c>
      <c r="B749" s="3" t="s">
        <v>14</v>
      </c>
      <c r="C749" s="3" t="s">
        <v>804</v>
      </c>
      <c r="D749" s="3" t="s">
        <v>14</v>
      </c>
      <c r="E749" s="3" t="s">
        <v>466</v>
      </c>
      <c r="F749" s="4">
        <v>46189</v>
      </c>
      <c r="G749" s="3" t="s">
        <v>17</v>
      </c>
      <c r="H749" s="5">
        <v>-11192</v>
      </c>
      <c r="I749" s="3" t="s">
        <v>18</v>
      </c>
      <c r="J749" s="3" t="s">
        <v>14</v>
      </c>
      <c r="K749" s="3" t="s">
        <v>14</v>
      </c>
      <c r="L749" s="3" t="s">
        <v>320</v>
      </c>
      <c r="M749" s="4">
        <v>46189</v>
      </c>
      <c r="N749" s="3" t="s">
        <v>321</v>
      </c>
      <c r="O749" s="3" t="s">
        <v>30</v>
      </c>
      <c r="P749" t="str">
        <f t="shared" si="11"/>
        <v>450012906810</v>
      </c>
      <c r="Q749" s="7" cm="1">
        <f t="array" ref="Q749:S749">VLOOKUP(P749,Hoja1!C:F,{2,3,4},FALSE)</f>
        <v>46250</v>
      </c>
      <c r="R749" t="str">
        <v>C21</v>
      </c>
      <c r="S749" t="str">
        <v>1000000038 YPF S.A.</v>
      </c>
    </row>
    <row r="750" spans="1:19" x14ac:dyDescent="0.3">
      <c r="A750" s="2" t="s">
        <v>14</v>
      </c>
      <c r="B750" s="3" t="s">
        <v>14</v>
      </c>
      <c r="C750" s="3" t="s">
        <v>805</v>
      </c>
      <c r="D750" s="3" t="s">
        <v>25</v>
      </c>
      <c r="E750" s="3" t="s">
        <v>466</v>
      </c>
      <c r="F750" s="4">
        <v>46190</v>
      </c>
      <c r="G750" s="3" t="s">
        <v>17</v>
      </c>
      <c r="H750" s="5">
        <v>-1219685.06</v>
      </c>
      <c r="I750" s="3" t="s">
        <v>18</v>
      </c>
      <c r="J750" s="3" t="s">
        <v>14</v>
      </c>
      <c r="K750" s="3" t="s">
        <v>14</v>
      </c>
      <c r="L750" s="3" t="s">
        <v>28</v>
      </c>
      <c r="M750" s="4">
        <v>46190</v>
      </c>
      <c r="N750" s="3" t="s">
        <v>76</v>
      </c>
      <c r="O750" s="3" t="s">
        <v>30</v>
      </c>
      <c r="P750" t="str">
        <f t="shared" si="11"/>
        <v>450012811210</v>
      </c>
      <c r="Q750" s="7" cm="1">
        <f t="array" ref="Q750:S750">VLOOKUP(P750,Hoja1!C:F,{2,3,4},FALSE)</f>
        <v>46234</v>
      </c>
      <c r="R750" t="str">
        <v>C14</v>
      </c>
      <c r="S750" t="str">
        <v>1000000681 LA LILY S.A</v>
      </c>
    </row>
    <row r="751" spans="1:19" x14ac:dyDescent="0.3">
      <c r="A751" s="2" t="s">
        <v>14</v>
      </c>
      <c r="B751" s="3" t="s">
        <v>14</v>
      </c>
      <c r="C751" s="3" t="s">
        <v>806</v>
      </c>
      <c r="D751" s="3" t="s">
        <v>14</v>
      </c>
      <c r="E751" s="3" t="s">
        <v>466</v>
      </c>
      <c r="F751" s="4">
        <v>46190</v>
      </c>
      <c r="G751" s="3" t="s">
        <v>17</v>
      </c>
      <c r="H751" s="5">
        <v>-435448.65</v>
      </c>
      <c r="I751" s="3" t="s">
        <v>18</v>
      </c>
      <c r="J751" s="3" t="s">
        <v>14</v>
      </c>
      <c r="K751" s="3" t="s">
        <v>14</v>
      </c>
      <c r="L751" s="3" t="s">
        <v>589</v>
      </c>
      <c r="M751" s="4">
        <v>46190</v>
      </c>
      <c r="N751" s="3" t="s">
        <v>751</v>
      </c>
      <c r="O751" s="3" t="s">
        <v>807</v>
      </c>
      <c r="P751" t="str">
        <f t="shared" si="11"/>
        <v>4500119057780</v>
      </c>
      <c r="Q751" s="7" cm="1">
        <f t="array" ref="Q751:S751">VLOOKUP(P751,Hoja1!C:F,{2,3,4},FALSE)</f>
        <v>46307</v>
      </c>
      <c r="R751" t="str">
        <v>C03</v>
      </c>
      <c r="S751" t="str">
        <v>1000001123 HAULOTTE ARGENTINA S.A.</v>
      </c>
    </row>
    <row r="752" spans="1:19" x14ac:dyDescent="0.3">
      <c r="A752" s="2" t="s">
        <v>14</v>
      </c>
      <c r="B752" s="3" t="s">
        <v>14</v>
      </c>
      <c r="C752" s="3" t="s">
        <v>808</v>
      </c>
      <c r="D752" s="3" t="s">
        <v>14</v>
      </c>
      <c r="E752" s="3" t="s">
        <v>466</v>
      </c>
      <c r="F752" s="4">
        <v>46190</v>
      </c>
      <c r="G752" s="3" t="s">
        <v>17</v>
      </c>
      <c r="H752" s="5">
        <v>-850000</v>
      </c>
      <c r="I752" s="3" t="s">
        <v>18</v>
      </c>
      <c r="J752" s="3" t="s">
        <v>14</v>
      </c>
      <c r="K752" s="3" t="s">
        <v>14</v>
      </c>
      <c r="L752" s="3" t="s">
        <v>809</v>
      </c>
      <c r="M752" s="4">
        <v>46190</v>
      </c>
      <c r="N752" s="3" t="s">
        <v>810</v>
      </c>
      <c r="O752" s="3" t="s">
        <v>30</v>
      </c>
      <c r="P752" t="str">
        <f t="shared" si="11"/>
        <v>450010066910</v>
      </c>
      <c r="Q752" s="7" cm="1">
        <f t="array" ref="Q752:S752">VLOOKUP(P752,Hoja1!C:F,{2,3,4},FALSE)</f>
        <v>45814</v>
      </c>
      <c r="R752" t="str">
        <v>C03</v>
      </c>
      <c r="S752" t="str">
        <v>1000011899 ABASTO SERVICIOS PATAGONICOS S. A.</v>
      </c>
    </row>
    <row r="753" spans="1:19" x14ac:dyDescent="0.3">
      <c r="A753" s="2" t="s">
        <v>14</v>
      </c>
      <c r="B753" s="3" t="s">
        <v>14</v>
      </c>
      <c r="C753" s="3" t="s">
        <v>811</v>
      </c>
      <c r="D753" s="3" t="s">
        <v>14</v>
      </c>
      <c r="E753" s="3" t="s">
        <v>466</v>
      </c>
      <c r="F753" s="4">
        <v>46190</v>
      </c>
      <c r="G753" s="3" t="s">
        <v>17</v>
      </c>
      <c r="H753" s="5">
        <v>-1537721.64</v>
      </c>
      <c r="I753" s="3" t="s">
        <v>18</v>
      </c>
      <c r="J753" s="3" t="s">
        <v>14</v>
      </c>
      <c r="K753" s="3" t="s">
        <v>14</v>
      </c>
      <c r="L753" s="3" t="s">
        <v>589</v>
      </c>
      <c r="M753" s="4">
        <v>46190</v>
      </c>
      <c r="N753" s="3" t="s">
        <v>751</v>
      </c>
      <c r="O753" s="3" t="s">
        <v>177</v>
      </c>
      <c r="P753" t="str">
        <f t="shared" si="11"/>
        <v>4500119057570</v>
      </c>
      <c r="Q753" s="7" cm="1">
        <f t="array" ref="Q753:S753">VLOOKUP(P753,Hoja1!C:F,{2,3,4},FALSE)</f>
        <v>46307</v>
      </c>
      <c r="R753" t="str">
        <v>C03</v>
      </c>
      <c r="S753" t="str">
        <v>1000001123 HAULOTTE ARGENTINA S.A.</v>
      </c>
    </row>
    <row r="754" spans="1:19" x14ac:dyDescent="0.3">
      <c r="A754" s="2" t="s">
        <v>14</v>
      </c>
      <c r="B754" s="3" t="s">
        <v>14</v>
      </c>
      <c r="C754" s="3" t="s">
        <v>812</v>
      </c>
      <c r="D754" s="3" t="s">
        <v>14</v>
      </c>
      <c r="E754" s="3" t="s">
        <v>466</v>
      </c>
      <c r="F754" s="4">
        <v>46190</v>
      </c>
      <c r="G754" s="3" t="s">
        <v>17</v>
      </c>
      <c r="H754" s="5">
        <v>-1971291.27</v>
      </c>
      <c r="I754" s="3" t="s">
        <v>18</v>
      </c>
      <c r="J754" s="3" t="s">
        <v>14</v>
      </c>
      <c r="K754" s="3" t="s">
        <v>14</v>
      </c>
      <c r="L754" s="3" t="s">
        <v>589</v>
      </c>
      <c r="M754" s="4">
        <v>46190</v>
      </c>
      <c r="N754" s="3" t="s">
        <v>751</v>
      </c>
      <c r="O754" s="3" t="s">
        <v>813</v>
      </c>
      <c r="P754" t="str">
        <f t="shared" si="11"/>
        <v>4500119057830</v>
      </c>
      <c r="Q754" s="7" cm="1">
        <f t="array" ref="Q754:S754">VLOOKUP(P754,Hoja1!C:F,{2,3,4},FALSE)</f>
        <v>46307</v>
      </c>
      <c r="R754" t="str">
        <v>C03</v>
      </c>
      <c r="S754" t="str">
        <v>1000001123 HAULOTTE ARGENTINA S.A.</v>
      </c>
    </row>
    <row r="755" spans="1:19" x14ac:dyDescent="0.3">
      <c r="A755" s="2" t="s">
        <v>14</v>
      </c>
      <c r="B755" s="3" t="s">
        <v>14</v>
      </c>
      <c r="C755" s="3" t="s">
        <v>814</v>
      </c>
      <c r="D755" s="3" t="s">
        <v>14</v>
      </c>
      <c r="E755" s="3" t="s">
        <v>466</v>
      </c>
      <c r="F755" s="4">
        <v>46190</v>
      </c>
      <c r="G755" s="3" t="s">
        <v>17</v>
      </c>
      <c r="H755" s="5">
        <v>-34889.99</v>
      </c>
      <c r="I755" s="3" t="s">
        <v>18</v>
      </c>
      <c r="J755" s="3" t="s">
        <v>14</v>
      </c>
      <c r="K755" s="3" t="s">
        <v>14</v>
      </c>
      <c r="L755" s="3" t="s">
        <v>589</v>
      </c>
      <c r="M755" s="4">
        <v>46190</v>
      </c>
      <c r="N755" s="3" t="s">
        <v>751</v>
      </c>
      <c r="O755" s="3" t="s">
        <v>142</v>
      </c>
      <c r="P755" t="str">
        <f t="shared" si="11"/>
        <v>4500119057130</v>
      </c>
      <c r="Q755" s="7" cm="1">
        <f t="array" ref="Q755:S755">VLOOKUP(P755,Hoja1!C:F,{2,3,4},FALSE)</f>
        <v>46307</v>
      </c>
      <c r="R755" t="str">
        <v>C03</v>
      </c>
      <c r="S755" t="str">
        <v>1000001123 HAULOTTE ARGENTINA S.A.</v>
      </c>
    </row>
    <row r="756" spans="1:19" x14ac:dyDescent="0.3">
      <c r="A756" s="2" t="s">
        <v>14</v>
      </c>
      <c r="B756" s="3" t="s">
        <v>14</v>
      </c>
      <c r="C756" s="3" t="s">
        <v>815</v>
      </c>
      <c r="D756" s="3" t="s">
        <v>14</v>
      </c>
      <c r="E756" s="3" t="s">
        <v>466</v>
      </c>
      <c r="F756" s="4">
        <v>46190</v>
      </c>
      <c r="G756" s="3" t="s">
        <v>17</v>
      </c>
      <c r="H756" s="5">
        <v>-105751.82</v>
      </c>
      <c r="I756" s="3" t="s">
        <v>18</v>
      </c>
      <c r="J756" s="3" t="s">
        <v>14</v>
      </c>
      <c r="K756" s="3" t="s">
        <v>14</v>
      </c>
      <c r="L756" s="3" t="s">
        <v>589</v>
      </c>
      <c r="M756" s="4">
        <v>46190</v>
      </c>
      <c r="N756" s="3" t="s">
        <v>751</v>
      </c>
      <c r="O756" s="3" t="s">
        <v>151</v>
      </c>
      <c r="P756" t="str">
        <f t="shared" si="11"/>
        <v>4500119057540</v>
      </c>
      <c r="Q756" s="7" cm="1">
        <f t="array" ref="Q756:S756">VLOOKUP(P756,Hoja1!C:F,{2,3,4},FALSE)</f>
        <v>46307</v>
      </c>
      <c r="R756" t="str">
        <v>C03</v>
      </c>
      <c r="S756" t="str">
        <v>1000001123 HAULOTTE ARGENTINA S.A.</v>
      </c>
    </row>
    <row r="757" spans="1:19" x14ac:dyDescent="0.3">
      <c r="A757" s="2" t="s">
        <v>14</v>
      </c>
      <c r="B757" s="3" t="s">
        <v>14</v>
      </c>
      <c r="C757" s="3" t="s">
        <v>816</v>
      </c>
      <c r="D757" s="3" t="s">
        <v>14</v>
      </c>
      <c r="E757" s="3" t="s">
        <v>466</v>
      </c>
      <c r="F757" s="4">
        <v>46190</v>
      </c>
      <c r="G757" s="3" t="s">
        <v>17</v>
      </c>
      <c r="H757" s="5">
        <v>-610169.04</v>
      </c>
      <c r="I757" s="3" t="s">
        <v>18</v>
      </c>
      <c r="J757" s="3" t="s">
        <v>14</v>
      </c>
      <c r="K757" s="3" t="s">
        <v>14</v>
      </c>
      <c r="L757" s="3" t="s">
        <v>589</v>
      </c>
      <c r="M757" s="4">
        <v>46190</v>
      </c>
      <c r="N757" s="3" t="s">
        <v>751</v>
      </c>
      <c r="O757" s="3" t="s">
        <v>167</v>
      </c>
      <c r="P757" t="str">
        <f t="shared" si="11"/>
        <v>4500119057530</v>
      </c>
      <c r="Q757" s="7" cm="1">
        <f t="array" ref="Q757:S757">VLOOKUP(P757,Hoja1!C:F,{2,3,4},FALSE)</f>
        <v>46307</v>
      </c>
      <c r="R757" t="str">
        <v>C03</v>
      </c>
      <c r="S757" t="str">
        <v>1000001123 HAULOTTE ARGENTINA S.A.</v>
      </c>
    </row>
    <row r="758" spans="1:19" x14ac:dyDescent="0.3">
      <c r="A758" s="2" t="s">
        <v>14</v>
      </c>
      <c r="B758" s="3" t="s">
        <v>14</v>
      </c>
      <c r="C758" s="3" t="s">
        <v>817</v>
      </c>
      <c r="D758" s="3" t="s">
        <v>14</v>
      </c>
      <c r="E758" s="3" t="s">
        <v>466</v>
      </c>
      <c r="F758" s="4">
        <v>46190</v>
      </c>
      <c r="G758" s="3" t="s">
        <v>17</v>
      </c>
      <c r="H758" s="5">
        <v>-271262.15999999997</v>
      </c>
      <c r="I758" s="3" t="s">
        <v>18</v>
      </c>
      <c r="J758" s="3" t="s">
        <v>14</v>
      </c>
      <c r="K758" s="3" t="s">
        <v>14</v>
      </c>
      <c r="L758" s="3" t="s">
        <v>589</v>
      </c>
      <c r="M758" s="4">
        <v>46190</v>
      </c>
      <c r="N758" s="3" t="s">
        <v>751</v>
      </c>
      <c r="O758" s="3" t="s">
        <v>180</v>
      </c>
      <c r="P758" t="str">
        <f t="shared" si="11"/>
        <v>4500119057670</v>
      </c>
      <c r="Q758" s="7" cm="1">
        <f t="array" ref="Q758:S758">VLOOKUP(P758,Hoja1!C:F,{2,3,4},FALSE)</f>
        <v>46307</v>
      </c>
      <c r="R758" t="str">
        <v>C03</v>
      </c>
      <c r="S758" t="str">
        <v>1000001123 HAULOTTE ARGENTINA S.A.</v>
      </c>
    </row>
    <row r="759" spans="1:19" x14ac:dyDescent="0.3">
      <c r="A759" s="2" t="s">
        <v>14</v>
      </c>
      <c r="B759" s="3" t="s">
        <v>14</v>
      </c>
      <c r="C759" s="3" t="s">
        <v>817</v>
      </c>
      <c r="D759" s="3" t="s">
        <v>14</v>
      </c>
      <c r="E759" s="3" t="s">
        <v>466</v>
      </c>
      <c r="F759" s="4">
        <v>46190</v>
      </c>
      <c r="G759" s="3" t="s">
        <v>17</v>
      </c>
      <c r="H759" s="5">
        <v>-535278.71</v>
      </c>
      <c r="I759" s="3" t="s">
        <v>18</v>
      </c>
      <c r="J759" s="3" t="s">
        <v>14</v>
      </c>
      <c r="K759" s="3" t="s">
        <v>14</v>
      </c>
      <c r="L759" s="3" t="s">
        <v>589</v>
      </c>
      <c r="M759" s="4">
        <v>46190</v>
      </c>
      <c r="N759" s="3" t="s">
        <v>751</v>
      </c>
      <c r="O759" s="3" t="s">
        <v>152</v>
      </c>
      <c r="P759" t="str">
        <f t="shared" si="11"/>
        <v>4500119057600</v>
      </c>
      <c r="Q759" s="7" cm="1">
        <f t="array" ref="Q759:S759">VLOOKUP(P759,Hoja1!C:F,{2,3,4},FALSE)</f>
        <v>46307</v>
      </c>
      <c r="R759" t="str">
        <v>C03</v>
      </c>
      <c r="S759" t="str">
        <v>1000001123 HAULOTTE ARGENTINA S.A.</v>
      </c>
    </row>
    <row r="760" spans="1:19" x14ac:dyDescent="0.3">
      <c r="A760" s="2" t="s">
        <v>14</v>
      </c>
      <c r="B760" s="3" t="s">
        <v>14</v>
      </c>
      <c r="C760" s="3" t="s">
        <v>817</v>
      </c>
      <c r="D760" s="3" t="s">
        <v>14</v>
      </c>
      <c r="E760" s="3" t="s">
        <v>466</v>
      </c>
      <c r="F760" s="4">
        <v>46190</v>
      </c>
      <c r="G760" s="3" t="s">
        <v>17</v>
      </c>
      <c r="H760" s="5">
        <v>-271632.27</v>
      </c>
      <c r="I760" s="3" t="s">
        <v>18</v>
      </c>
      <c r="J760" s="3" t="s">
        <v>14</v>
      </c>
      <c r="K760" s="3" t="s">
        <v>14</v>
      </c>
      <c r="L760" s="3" t="s">
        <v>589</v>
      </c>
      <c r="M760" s="4">
        <v>46190</v>
      </c>
      <c r="N760" s="3" t="s">
        <v>751</v>
      </c>
      <c r="O760" s="3" t="s">
        <v>818</v>
      </c>
      <c r="P760" t="str">
        <f t="shared" si="11"/>
        <v>4500119057690</v>
      </c>
      <c r="Q760" s="7" cm="1">
        <f t="array" ref="Q760:S760">VLOOKUP(P760,Hoja1!C:F,{2,3,4},FALSE)</f>
        <v>46307</v>
      </c>
      <c r="R760" t="str">
        <v>C03</v>
      </c>
      <c r="S760" t="str">
        <v>1000001123 HAULOTTE ARGENTINA S.A.</v>
      </c>
    </row>
    <row r="761" spans="1:19" x14ac:dyDescent="0.3">
      <c r="A761" s="2" t="s">
        <v>14</v>
      </c>
      <c r="B761" s="3" t="s">
        <v>14</v>
      </c>
      <c r="C761" s="3" t="s">
        <v>817</v>
      </c>
      <c r="D761" s="3" t="s">
        <v>14</v>
      </c>
      <c r="E761" s="3" t="s">
        <v>466</v>
      </c>
      <c r="F761" s="4">
        <v>46190</v>
      </c>
      <c r="G761" s="3" t="s">
        <v>17</v>
      </c>
      <c r="H761" s="5">
        <v>-252528.9</v>
      </c>
      <c r="I761" s="3" t="s">
        <v>18</v>
      </c>
      <c r="J761" s="3" t="s">
        <v>14</v>
      </c>
      <c r="K761" s="3" t="s">
        <v>14</v>
      </c>
      <c r="L761" s="3" t="s">
        <v>589</v>
      </c>
      <c r="M761" s="4">
        <v>46190</v>
      </c>
      <c r="N761" s="3" t="s">
        <v>751</v>
      </c>
      <c r="O761" s="3" t="s">
        <v>135</v>
      </c>
      <c r="P761" t="str">
        <f t="shared" si="11"/>
        <v>4500119057340</v>
      </c>
      <c r="Q761" s="7" cm="1">
        <f t="array" ref="Q761:S761">VLOOKUP(P761,Hoja1!C:F,{2,3,4},FALSE)</f>
        <v>46307</v>
      </c>
      <c r="R761" t="str">
        <v>C03</v>
      </c>
      <c r="S761" t="str">
        <v>1000001123 HAULOTTE ARGENTINA S.A.</v>
      </c>
    </row>
    <row r="762" spans="1:19" x14ac:dyDescent="0.3">
      <c r="A762" s="2" t="s">
        <v>14</v>
      </c>
      <c r="B762" s="3" t="s">
        <v>14</v>
      </c>
      <c r="C762" s="3" t="s">
        <v>819</v>
      </c>
      <c r="D762" s="3" t="s">
        <v>14</v>
      </c>
      <c r="E762" s="3" t="s">
        <v>466</v>
      </c>
      <c r="F762" s="4">
        <v>46191</v>
      </c>
      <c r="G762" s="3" t="s">
        <v>17</v>
      </c>
      <c r="H762" s="5">
        <v>-34255.94</v>
      </c>
      <c r="I762" s="3" t="s">
        <v>18</v>
      </c>
      <c r="J762" s="3" t="s">
        <v>14</v>
      </c>
      <c r="K762" s="3" t="s">
        <v>14</v>
      </c>
      <c r="L762" s="3" t="s">
        <v>47</v>
      </c>
      <c r="M762" s="4">
        <v>46191</v>
      </c>
      <c r="N762" s="3" t="s">
        <v>820</v>
      </c>
      <c r="O762" s="3" t="s">
        <v>30</v>
      </c>
      <c r="P762" t="str">
        <f t="shared" si="11"/>
        <v>450013044110</v>
      </c>
      <c r="Q762" s="7" cm="1">
        <f t="array" ref="Q762:S762">VLOOKUP(P762,Hoja1!C:F,{2,3,4},FALSE)</f>
        <v>46204</v>
      </c>
      <c r="R762" t="str">
        <v>C38</v>
      </c>
      <c r="S762" t="str">
        <v>1000000010 GASES ROSARIO S.R.L.</v>
      </c>
    </row>
    <row r="763" spans="1:19" x14ac:dyDescent="0.3">
      <c r="A763" s="2" t="s">
        <v>14</v>
      </c>
      <c r="B763" s="3" t="s">
        <v>14</v>
      </c>
      <c r="C763" s="3" t="s">
        <v>821</v>
      </c>
      <c r="D763" s="3" t="s">
        <v>32</v>
      </c>
      <c r="E763" s="3" t="s">
        <v>466</v>
      </c>
      <c r="F763" s="4">
        <v>46191</v>
      </c>
      <c r="G763" s="3" t="s">
        <v>17</v>
      </c>
      <c r="H763" s="5">
        <v>-51597</v>
      </c>
      <c r="I763" s="3" t="s">
        <v>18</v>
      </c>
      <c r="J763" s="3" t="s">
        <v>14</v>
      </c>
      <c r="K763" s="3" t="s">
        <v>14</v>
      </c>
      <c r="L763" s="3" t="s">
        <v>822</v>
      </c>
      <c r="M763" s="4">
        <v>46191</v>
      </c>
      <c r="N763" s="3" t="s">
        <v>823</v>
      </c>
      <c r="O763" s="3" t="s">
        <v>35</v>
      </c>
      <c r="P763" t="str">
        <f t="shared" si="11"/>
        <v>450013050730</v>
      </c>
      <c r="Q763" s="7" cm="1">
        <f t="array" ref="Q763:S763">VLOOKUP(P763,Hoja1!C:F,{2,3,4},FALSE)</f>
        <v>46205</v>
      </c>
      <c r="R763" t="str">
        <v>C25</v>
      </c>
      <c r="S763" t="str">
        <v>1000009543 AC SAT S.R.L.</v>
      </c>
    </row>
    <row r="764" spans="1:19" x14ac:dyDescent="0.3">
      <c r="A764" s="2" t="s">
        <v>14</v>
      </c>
      <c r="B764" s="3" t="s">
        <v>14</v>
      </c>
      <c r="C764" s="3" t="s">
        <v>824</v>
      </c>
      <c r="D764" s="3" t="s">
        <v>14</v>
      </c>
      <c r="E764" s="3" t="s">
        <v>466</v>
      </c>
      <c r="F764" s="4">
        <v>46195</v>
      </c>
      <c r="G764" s="3" t="s">
        <v>17</v>
      </c>
      <c r="H764" s="5">
        <v>-633096.86</v>
      </c>
      <c r="I764" s="3" t="s">
        <v>18</v>
      </c>
      <c r="J764" s="3" t="s">
        <v>14</v>
      </c>
      <c r="K764" s="3" t="s">
        <v>14</v>
      </c>
      <c r="L764" s="3" t="s">
        <v>589</v>
      </c>
      <c r="M764" s="4">
        <v>46195</v>
      </c>
      <c r="N764" s="3" t="s">
        <v>825</v>
      </c>
      <c r="O764" s="3" t="s">
        <v>30</v>
      </c>
      <c r="P764" t="str">
        <f t="shared" si="11"/>
        <v>450013067110</v>
      </c>
      <c r="Q764" s="7" cm="1">
        <f t="array" ref="Q764:S764">VLOOKUP(P764,Hoja1!C:F,{2,3,4},FALSE)</f>
        <v>46198</v>
      </c>
      <c r="R764" t="str">
        <v>C03</v>
      </c>
      <c r="S764" t="str">
        <v>1000001123 HAULOTTE ARGENTINA S.A.</v>
      </c>
    </row>
    <row r="765" spans="1:19" x14ac:dyDescent="0.3">
      <c r="A765" s="2" t="s">
        <v>14</v>
      </c>
      <c r="B765" s="3" t="s">
        <v>14</v>
      </c>
      <c r="C765" s="3" t="s">
        <v>824</v>
      </c>
      <c r="D765" s="3" t="s">
        <v>14</v>
      </c>
      <c r="E765" s="3" t="s">
        <v>466</v>
      </c>
      <c r="F765" s="4">
        <v>46195</v>
      </c>
      <c r="G765" s="3" t="s">
        <v>17</v>
      </c>
      <c r="H765" s="5">
        <v>-6615335.6100000003</v>
      </c>
      <c r="I765" s="3" t="s">
        <v>18</v>
      </c>
      <c r="J765" s="3" t="s">
        <v>14</v>
      </c>
      <c r="K765" s="3" t="s">
        <v>14</v>
      </c>
      <c r="L765" s="3" t="s">
        <v>589</v>
      </c>
      <c r="M765" s="4">
        <v>46195</v>
      </c>
      <c r="N765" s="3" t="s">
        <v>825</v>
      </c>
      <c r="O765" s="3" t="s">
        <v>22</v>
      </c>
      <c r="P765" t="str">
        <f t="shared" si="11"/>
        <v>450013067120</v>
      </c>
      <c r="Q765" s="7" cm="1">
        <f t="array" ref="Q765:S765">VLOOKUP(P765,Hoja1!C:F,{2,3,4},FALSE)</f>
        <v>46198</v>
      </c>
      <c r="R765" t="str">
        <v>C03</v>
      </c>
      <c r="S765" t="str">
        <v>1000001123 HAULOTTE ARGENTINA S.A.</v>
      </c>
    </row>
    <row r="766" spans="1:19" x14ac:dyDescent="0.3">
      <c r="A766" s="2" t="s">
        <v>14</v>
      </c>
      <c r="B766" s="3" t="s">
        <v>14</v>
      </c>
      <c r="C766" s="3" t="s">
        <v>826</v>
      </c>
      <c r="D766" s="3" t="s">
        <v>14</v>
      </c>
      <c r="E766" s="3" t="s">
        <v>466</v>
      </c>
      <c r="F766" s="4">
        <v>46195</v>
      </c>
      <c r="G766" s="3" t="s">
        <v>17</v>
      </c>
      <c r="H766" s="5">
        <v>-25930.799999999999</v>
      </c>
      <c r="I766" s="3" t="s">
        <v>18</v>
      </c>
      <c r="J766" s="3" t="s">
        <v>14</v>
      </c>
      <c r="K766" s="3" t="s">
        <v>14</v>
      </c>
      <c r="L766" s="3" t="s">
        <v>216</v>
      </c>
      <c r="M766" s="4">
        <v>46195</v>
      </c>
      <c r="N766" s="3" t="s">
        <v>297</v>
      </c>
      <c r="O766" s="3" t="s">
        <v>30</v>
      </c>
      <c r="P766" t="str">
        <f t="shared" si="11"/>
        <v>450013080810</v>
      </c>
      <c r="Q766" s="7" cm="1">
        <f t="array" ref="Q766:S766">VLOOKUP(P766,Hoja1!C:F,{2,3,4},FALSE)</f>
        <v>46206</v>
      </c>
      <c r="R766" t="str">
        <v>C38</v>
      </c>
      <c r="S766" t="str">
        <v>1000000861 TUBI-FLEX S.A.</v>
      </c>
    </row>
    <row r="767" spans="1:19" x14ac:dyDescent="0.3">
      <c r="A767" s="2" t="s">
        <v>14</v>
      </c>
      <c r="B767" s="3" t="s">
        <v>14</v>
      </c>
      <c r="C767" s="3" t="s">
        <v>827</v>
      </c>
      <c r="D767" s="3" t="s">
        <v>14</v>
      </c>
      <c r="E767" s="3" t="s">
        <v>466</v>
      </c>
      <c r="F767" s="4">
        <v>46196</v>
      </c>
      <c r="G767" s="3" t="s">
        <v>17</v>
      </c>
      <c r="H767" s="5">
        <v>-529963.59</v>
      </c>
      <c r="I767" s="3" t="s">
        <v>18</v>
      </c>
      <c r="J767" s="3" t="s">
        <v>14</v>
      </c>
      <c r="K767" s="3" t="s">
        <v>14</v>
      </c>
      <c r="L767" s="3" t="s">
        <v>73</v>
      </c>
      <c r="M767" s="4">
        <v>46196</v>
      </c>
      <c r="N767" s="3" t="s">
        <v>81</v>
      </c>
      <c r="O767" s="3" t="s">
        <v>30</v>
      </c>
      <c r="P767" t="str">
        <f t="shared" si="11"/>
        <v>450012991410</v>
      </c>
      <c r="Q767" s="7" cm="1">
        <f t="array" ref="Q767:S767">VLOOKUP(P767,Hoja1!C:F,{2,3,4},FALSE)</f>
        <v>46295</v>
      </c>
      <c r="R767" t="str">
        <v>C21</v>
      </c>
      <c r="S767" t="str">
        <v>1000000808 GLOBAL OIL S.R.L.</v>
      </c>
    </row>
    <row r="768" spans="1:19" x14ac:dyDescent="0.3">
      <c r="A768" s="2" t="s">
        <v>14</v>
      </c>
      <c r="B768" s="3" t="s">
        <v>14</v>
      </c>
      <c r="C768" s="3" t="s">
        <v>828</v>
      </c>
      <c r="D768" s="3" t="s">
        <v>14</v>
      </c>
      <c r="E768" s="3" t="s">
        <v>466</v>
      </c>
      <c r="F768" s="4">
        <v>46196</v>
      </c>
      <c r="G768" s="3" t="s">
        <v>17</v>
      </c>
      <c r="H768" s="5">
        <v>-64961.24</v>
      </c>
      <c r="I768" s="3" t="s">
        <v>18</v>
      </c>
      <c r="J768" s="3" t="s">
        <v>14</v>
      </c>
      <c r="K768" s="3" t="s">
        <v>14</v>
      </c>
      <c r="L768" s="3" t="s">
        <v>519</v>
      </c>
      <c r="M768" s="4">
        <v>46196</v>
      </c>
      <c r="N768" s="3" t="s">
        <v>765</v>
      </c>
      <c r="O768" s="3" t="s">
        <v>30</v>
      </c>
      <c r="P768" t="str">
        <f t="shared" si="11"/>
        <v>450012830110</v>
      </c>
      <c r="Q768" s="7" cm="1">
        <f t="array" ref="Q768:S768">VLOOKUP(P768,Hoja1!C:F,{2,3,4},FALSE)</f>
        <v>46368</v>
      </c>
      <c r="R768" t="str">
        <v>C21</v>
      </c>
      <c r="S768" t="str">
        <v>1000011498 1263 S. R. L.</v>
      </c>
    </row>
    <row r="769" spans="1:19" x14ac:dyDescent="0.3">
      <c r="A769" s="2" t="s">
        <v>14</v>
      </c>
      <c r="B769" s="3" t="s">
        <v>14</v>
      </c>
      <c r="C769" s="3" t="s">
        <v>828</v>
      </c>
      <c r="D769" s="3" t="s">
        <v>14</v>
      </c>
      <c r="E769" s="3" t="s">
        <v>466</v>
      </c>
      <c r="F769" s="4">
        <v>46196</v>
      </c>
      <c r="G769" s="3" t="s">
        <v>17</v>
      </c>
      <c r="H769" s="5">
        <v>-806.28</v>
      </c>
      <c r="I769" s="3" t="s">
        <v>18</v>
      </c>
      <c r="J769" s="3" t="s">
        <v>14</v>
      </c>
      <c r="K769" s="3" t="s">
        <v>14</v>
      </c>
      <c r="L769" s="3" t="s">
        <v>519</v>
      </c>
      <c r="M769" s="4">
        <v>46196</v>
      </c>
      <c r="N769" s="3" t="s">
        <v>765</v>
      </c>
      <c r="O769" s="3" t="s">
        <v>30</v>
      </c>
      <c r="P769" t="str">
        <f t="shared" si="11"/>
        <v>450012830110</v>
      </c>
      <c r="Q769" s="7" cm="1">
        <f t="array" ref="Q769:S769">VLOOKUP(P769,Hoja1!C:F,{2,3,4},FALSE)</f>
        <v>46368</v>
      </c>
      <c r="R769" t="str">
        <v>C21</v>
      </c>
      <c r="S769" t="str">
        <v>1000011498 1263 S. R. L.</v>
      </c>
    </row>
    <row r="770" spans="1:19" x14ac:dyDescent="0.3">
      <c r="A770" s="2" t="s">
        <v>14</v>
      </c>
      <c r="B770" s="3" t="s">
        <v>14</v>
      </c>
      <c r="C770" s="3" t="s">
        <v>829</v>
      </c>
      <c r="D770" s="3" t="s">
        <v>14</v>
      </c>
      <c r="E770" s="3" t="s">
        <v>466</v>
      </c>
      <c r="F770" s="4">
        <v>46196</v>
      </c>
      <c r="G770" s="3" t="s">
        <v>17</v>
      </c>
      <c r="H770" s="5">
        <v>-728500</v>
      </c>
      <c r="I770" s="3" t="s">
        <v>18</v>
      </c>
      <c r="J770" s="3" t="s">
        <v>14</v>
      </c>
      <c r="K770" s="3" t="s">
        <v>14</v>
      </c>
      <c r="L770" s="3" t="s">
        <v>830</v>
      </c>
      <c r="M770" s="4">
        <v>46196</v>
      </c>
      <c r="N770" s="3" t="s">
        <v>831</v>
      </c>
      <c r="O770" s="3" t="s">
        <v>30</v>
      </c>
      <c r="P770" t="str">
        <f t="shared" si="11"/>
        <v>450013080110</v>
      </c>
      <c r="Q770" s="7" cm="1">
        <f t="array" ref="Q770:S770">VLOOKUP(P770,Hoja1!C:F,{2,3,4},FALSE)</f>
        <v>46182</v>
      </c>
      <c r="R770" t="str">
        <v>C38</v>
      </c>
      <c r="S770" t="str">
        <v>1000000756 HYDRASER SA</v>
      </c>
    </row>
    <row r="771" spans="1:19" x14ac:dyDescent="0.3">
      <c r="A771" s="2" t="s">
        <v>14</v>
      </c>
      <c r="B771" s="3" t="s">
        <v>14</v>
      </c>
      <c r="C771" s="3" t="s">
        <v>832</v>
      </c>
      <c r="D771" s="3" t="s">
        <v>14</v>
      </c>
      <c r="E771" s="3" t="s">
        <v>466</v>
      </c>
      <c r="F771" s="4">
        <v>46196</v>
      </c>
      <c r="G771" s="3" t="s">
        <v>17</v>
      </c>
      <c r="H771" s="5">
        <v>-101162.29</v>
      </c>
      <c r="I771" s="3" t="s">
        <v>18</v>
      </c>
      <c r="J771" s="3" t="s">
        <v>14</v>
      </c>
      <c r="K771" s="3" t="s">
        <v>14</v>
      </c>
      <c r="L771" s="3" t="s">
        <v>519</v>
      </c>
      <c r="M771" s="4">
        <v>46196</v>
      </c>
      <c r="N771" s="3" t="s">
        <v>765</v>
      </c>
      <c r="O771" s="3" t="s">
        <v>30</v>
      </c>
      <c r="P771" t="str">
        <f t="shared" ref="P771:P834" si="12">_xlfn.CONCAT(N771:O771)</f>
        <v>450012830110</v>
      </c>
      <c r="Q771" s="7" cm="1">
        <f t="array" ref="Q771:S771">VLOOKUP(P771,Hoja1!C:F,{2,3,4},FALSE)</f>
        <v>46368</v>
      </c>
      <c r="R771" t="str">
        <v>C21</v>
      </c>
      <c r="S771" t="str">
        <v>1000011498 1263 S. R. L.</v>
      </c>
    </row>
    <row r="772" spans="1:19" x14ac:dyDescent="0.3">
      <c r="A772" s="2" t="s">
        <v>14</v>
      </c>
      <c r="B772" s="3" t="s">
        <v>14</v>
      </c>
      <c r="C772" s="3" t="s">
        <v>832</v>
      </c>
      <c r="D772" s="3" t="s">
        <v>14</v>
      </c>
      <c r="E772" s="3" t="s">
        <v>466</v>
      </c>
      <c r="F772" s="4">
        <v>46196</v>
      </c>
      <c r="G772" s="3" t="s">
        <v>17</v>
      </c>
      <c r="H772" s="5">
        <v>-1255.5899999999999</v>
      </c>
      <c r="I772" s="3" t="s">
        <v>18</v>
      </c>
      <c r="J772" s="3" t="s">
        <v>14</v>
      </c>
      <c r="K772" s="3" t="s">
        <v>14</v>
      </c>
      <c r="L772" s="3" t="s">
        <v>519</v>
      </c>
      <c r="M772" s="4">
        <v>46196</v>
      </c>
      <c r="N772" s="3" t="s">
        <v>765</v>
      </c>
      <c r="O772" s="3" t="s">
        <v>30</v>
      </c>
      <c r="P772" t="str">
        <f t="shared" si="12"/>
        <v>450012830110</v>
      </c>
      <c r="Q772" s="7" cm="1">
        <f t="array" ref="Q772:S772">VLOOKUP(P772,Hoja1!C:F,{2,3,4},FALSE)</f>
        <v>46368</v>
      </c>
      <c r="R772" t="str">
        <v>C21</v>
      </c>
      <c r="S772" t="str">
        <v>1000011498 1263 S. R. L.</v>
      </c>
    </row>
    <row r="773" spans="1:19" x14ac:dyDescent="0.3">
      <c r="A773" s="2" t="s">
        <v>14</v>
      </c>
      <c r="B773" s="3" t="s">
        <v>14</v>
      </c>
      <c r="C773" s="3" t="s">
        <v>833</v>
      </c>
      <c r="D773" s="3" t="s">
        <v>14</v>
      </c>
      <c r="E773" s="3" t="s">
        <v>466</v>
      </c>
      <c r="F773" s="4">
        <v>46195</v>
      </c>
      <c r="G773" s="3" t="s">
        <v>17</v>
      </c>
      <c r="H773" s="5">
        <v>-322798.68</v>
      </c>
      <c r="I773" s="3" t="s">
        <v>18</v>
      </c>
      <c r="J773" s="3" t="s">
        <v>14</v>
      </c>
      <c r="K773" s="3" t="s">
        <v>14</v>
      </c>
      <c r="L773" s="3" t="s">
        <v>340</v>
      </c>
      <c r="M773" s="4">
        <v>46197</v>
      </c>
      <c r="N773" s="3" t="s">
        <v>341</v>
      </c>
      <c r="O773" s="3" t="s">
        <v>22</v>
      </c>
      <c r="P773" t="str">
        <f t="shared" si="12"/>
        <v>450013027120</v>
      </c>
      <c r="Q773" s="7" cm="1">
        <f t="array" ref="Q773:S773">VLOOKUP(P773,Hoja1!C:F,{2,3,4},FALSE)</f>
        <v>46195</v>
      </c>
      <c r="R773" t="str">
        <v>C03</v>
      </c>
      <c r="S773" t="str">
        <v>1000000062 FINNING ARGENTINA S.A.</v>
      </c>
    </row>
    <row r="774" spans="1:19" x14ac:dyDescent="0.3">
      <c r="A774" s="2" t="s">
        <v>14</v>
      </c>
      <c r="B774" s="3" t="s">
        <v>14</v>
      </c>
      <c r="C774" s="3" t="s">
        <v>834</v>
      </c>
      <c r="D774" s="3" t="s">
        <v>14</v>
      </c>
      <c r="E774" s="3" t="s">
        <v>466</v>
      </c>
      <c r="F774" s="4">
        <v>46198</v>
      </c>
      <c r="G774" s="3" t="s">
        <v>17</v>
      </c>
      <c r="H774" s="5">
        <v>-1029746.65</v>
      </c>
      <c r="I774" s="3" t="s">
        <v>18</v>
      </c>
      <c r="J774" s="3" t="s">
        <v>14</v>
      </c>
      <c r="K774" s="3" t="s">
        <v>14</v>
      </c>
      <c r="L774" s="3" t="s">
        <v>320</v>
      </c>
      <c r="M774" s="4">
        <v>46198</v>
      </c>
      <c r="N774" s="3" t="s">
        <v>321</v>
      </c>
      <c r="O774" s="3" t="s">
        <v>30</v>
      </c>
      <c r="P774" t="str">
        <f t="shared" si="12"/>
        <v>450012906810</v>
      </c>
      <c r="Q774" s="7" cm="1">
        <f t="array" ref="Q774:S774">VLOOKUP(P774,Hoja1!C:F,{2,3,4},FALSE)</f>
        <v>46250</v>
      </c>
      <c r="R774" t="str">
        <v>C21</v>
      </c>
      <c r="S774" t="str">
        <v>1000000038 YPF S.A.</v>
      </c>
    </row>
    <row r="775" spans="1:19" x14ac:dyDescent="0.3">
      <c r="A775" s="2" t="s">
        <v>14</v>
      </c>
      <c r="B775" s="3" t="s">
        <v>14</v>
      </c>
      <c r="C775" s="3" t="s">
        <v>834</v>
      </c>
      <c r="D775" s="3" t="s">
        <v>14</v>
      </c>
      <c r="E775" s="3" t="s">
        <v>466</v>
      </c>
      <c r="F775" s="4">
        <v>46198</v>
      </c>
      <c r="G775" s="3" t="s">
        <v>17</v>
      </c>
      <c r="H775" s="5">
        <v>-117376.1</v>
      </c>
      <c r="I775" s="3" t="s">
        <v>18</v>
      </c>
      <c r="J775" s="3" t="s">
        <v>14</v>
      </c>
      <c r="K775" s="3" t="s">
        <v>14</v>
      </c>
      <c r="L775" s="3" t="s">
        <v>320</v>
      </c>
      <c r="M775" s="4">
        <v>46198</v>
      </c>
      <c r="N775" s="3" t="s">
        <v>321</v>
      </c>
      <c r="O775" s="3" t="s">
        <v>30</v>
      </c>
      <c r="P775" t="str">
        <f t="shared" si="12"/>
        <v>450012906810</v>
      </c>
      <c r="Q775" s="7" cm="1">
        <f t="array" ref="Q775:S775">VLOOKUP(P775,Hoja1!C:F,{2,3,4},FALSE)</f>
        <v>46250</v>
      </c>
      <c r="R775" t="str">
        <v>C21</v>
      </c>
      <c r="S775" t="str">
        <v>1000000038 YPF S.A.</v>
      </c>
    </row>
    <row r="776" spans="1:19" x14ac:dyDescent="0.3">
      <c r="A776" s="2" t="s">
        <v>14</v>
      </c>
      <c r="B776" s="3" t="s">
        <v>14</v>
      </c>
      <c r="C776" s="3" t="s">
        <v>835</v>
      </c>
      <c r="D776" s="3" t="s">
        <v>14</v>
      </c>
      <c r="E776" s="3" t="s">
        <v>466</v>
      </c>
      <c r="F776" s="4">
        <v>46199</v>
      </c>
      <c r="G776" s="3" t="s">
        <v>17</v>
      </c>
      <c r="H776" s="5">
        <v>-630369.91</v>
      </c>
      <c r="I776" s="3" t="s">
        <v>18</v>
      </c>
      <c r="J776" s="3" t="s">
        <v>14</v>
      </c>
      <c r="K776" s="3" t="s">
        <v>14</v>
      </c>
      <c r="L776" s="3" t="s">
        <v>73</v>
      </c>
      <c r="M776" s="4">
        <v>46199</v>
      </c>
      <c r="N776" s="3" t="s">
        <v>219</v>
      </c>
      <c r="O776" s="3" t="s">
        <v>30</v>
      </c>
      <c r="P776" t="str">
        <f t="shared" si="12"/>
        <v>450012370410</v>
      </c>
      <c r="Q776" s="7" cm="1">
        <f t="array" ref="Q776:S776">VLOOKUP(P776,Hoja1!C:F,{2,3,4},FALSE)</f>
        <v>46198</v>
      </c>
      <c r="R776" t="str">
        <v>C21</v>
      </c>
      <c r="S776" t="str">
        <v>1000000808 GLOBAL OIL S.R.L.</v>
      </c>
    </row>
    <row r="777" spans="1:19" x14ac:dyDescent="0.3">
      <c r="A777" s="2" t="s">
        <v>14</v>
      </c>
      <c r="B777" s="3" t="s">
        <v>14</v>
      </c>
      <c r="C777" s="3" t="s">
        <v>835</v>
      </c>
      <c r="D777" s="3" t="s">
        <v>14</v>
      </c>
      <c r="E777" s="3" t="s">
        <v>466</v>
      </c>
      <c r="F777" s="4">
        <v>46199</v>
      </c>
      <c r="G777" s="3" t="s">
        <v>17</v>
      </c>
      <c r="H777" s="5">
        <v>-8114.84</v>
      </c>
      <c r="I777" s="3" t="s">
        <v>18</v>
      </c>
      <c r="J777" s="3" t="s">
        <v>14</v>
      </c>
      <c r="K777" s="3" t="s">
        <v>14</v>
      </c>
      <c r="L777" s="3" t="s">
        <v>73</v>
      </c>
      <c r="M777" s="4">
        <v>46199</v>
      </c>
      <c r="N777" s="3" t="s">
        <v>219</v>
      </c>
      <c r="O777" s="3" t="s">
        <v>30</v>
      </c>
      <c r="P777" t="str">
        <f t="shared" si="12"/>
        <v>450012370410</v>
      </c>
      <c r="Q777" s="7" cm="1">
        <f t="array" ref="Q777:S777">VLOOKUP(P777,Hoja1!C:F,{2,3,4},FALSE)</f>
        <v>46198</v>
      </c>
      <c r="R777" t="str">
        <v>C21</v>
      </c>
      <c r="S777" t="str">
        <v>1000000808 GLOBAL OIL S.R.L.</v>
      </c>
    </row>
    <row r="778" spans="1:19" x14ac:dyDescent="0.3">
      <c r="A778" s="2" t="s">
        <v>14</v>
      </c>
      <c r="B778" s="3" t="s">
        <v>14</v>
      </c>
      <c r="C778" s="3" t="s">
        <v>836</v>
      </c>
      <c r="D778" s="3" t="s">
        <v>25</v>
      </c>
      <c r="E778" s="3" t="s">
        <v>466</v>
      </c>
      <c r="F778" s="4">
        <v>46199</v>
      </c>
      <c r="G778" s="3" t="s">
        <v>17</v>
      </c>
      <c r="H778" s="5">
        <v>-699628.14</v>
      </c>
      <c r="I778" s="3" t="s">
        <v>18</v>
      </c>
      <c r="J778" s="3" t="s">
        <v>14</v>
      </c>
      <c r="K778" s="3" t="s">
        <v>14</v>
      </c>
      <c r="L778" s="3" t="s">
        <v>28</v>
      </c>
      <c r="M778" s="4">
        <v>46199</v>
      </c>
      <c r="N778" s="3" t="s">
        <v>76</v>
      </c>
      <c r="O778" s="3" t="s">
        <v>30</v>
      </c>
      <c r="P778" t="str">
        <f t="shared" si="12"/>
        <v>450012811210</v>
      </c>
      <c r="Q778" s="7" cm="1">
        <f t="array" ref="Q778:S778">VLOOKUP(P778,Hoja1!C:F,{2,3,4},FALSE)</f>
        <v>46234</v>
      </c>
      <c r="R778" t="str">
        <v>C14</v>
      </c>
      <c r="S778" t="str">
        <v>1000000681 LA LILY S.A</v>
      </c>
    </row>
    <row r="779" spans="1:19" x14ac:dyDescent="0.3">
      <c r="A779" s="2" t="s">
        <v>14</v>
      </c>
      <c r="B779" s="3" t="s">
        <v>14</v>
      </c>
      <c r="C779" s="3" t="s">
        <v>837</v>
      </c>
      <c r="D779" s="3" t="s">
        <v>14</v>
      </c>
      <c r="E779" s="3" t="s">
        <v>466</v>
      </c>
      <c r="F779" s="4">
        <v>46199</v>
      </c>
      <c r="G779" s="3" t="s">
        <v>17</v>
      </c>
      <c r="H779" s="5">
        <v>-53844.800000000003</v>
      </c>
      <c r="I779" s="3" t="s">
        <v>18</v>
      </c>
      <c r="J779" s="3" t="s">
        <v>14</v>
      </c>
      <c r="K779" s="3" t="s">
        <v>14</v>
      </c>
      <c r="L779" s="3" t="s">
        <v>88</v>
      </c>
      <c r="M779" s="4">
        <v>46199</v>
      </c>
      <c r="N779" s="3" t="s">
        <v>89</v>
      </c>
      <c r="O779" s="3" t="s">
        <v>30</v>
      </c>
      <c r="P779" t="str">
        <f t="shared" si="12"/>
        <v>450011990410</v>
      </c>
      <c r="Q779" s="7" cm="1">
        <f t="array" ref="Q779:S779">VLOOKUP(P779,Hoja1!C:F,{2,3,4},FALSE)</f>
        <v>46284</v>
      </c>
      <c r="R779" t="str">
        <v>C21</v>
      </c>
      <c r="S779" t="str">
        <v>1000004906 FERRARO Y CIA S.A.</v>
      </c>
    </row>
    <row r="780" spans="1:19" x14ac:dyDescent="0.3">
      <c r="A780" s="2" t="s">
        <v>14</v>
      </c>
      <c r="B780" s="3" t="s">
        <v>14</v>
      </c>
      <c r="C780" s="3" t="s">
        <v>837</v>
      </c>
      <c r="D780" s="3" t="s">
        <v>14</v>
      </c>
      <c r="E780" s="3" t="s">
        <v>466</v>
      </c>
      <c r="F780" s="4">
        <v>46199</v>
      </c>
      <c r="G780" s="3" t="s">
        <v>17</v>
      </c>
      <c r="H780" s="5">
        <v>-958</v>
      </c>
      <c r="I780" s="3" t="s">
        <v>18</v>
      </c>
      <c r="J780" s="3" t="s">
        <v>14</v>
      </c>
      <c r="K780" s="3" t="s">
        <v>14</v>
      </c>
      <c r="L780" s="3" t="s">
        <v>88</v>
      </c>
      <c r="M780" s="4">
        <v>46199</v>
      </c>
      <c r="N780" s="3" t="s">
        <v>89</v>
      </c>
      <c r="O780" s="3" t="s">
        <v>30</v>
      </c>
      <c r="P780" t="str">
        <f t="shared" si="12"/>
        <v>450011990410</v>
      </c>
      <c r="Q780" s="7" cm="1">
        <f t="array" ref="Q780:S780">VLOOKUP(P780,Hoja1!C:F,{2,3,4},FALSE)</f>
        <v>46284</v>
      </c>
      <c r="R780" t="str">
        <v>C21</v>
      </c>
      <c r="S780" t="str">
        <v>1000004906 FERRARO Y CIA S.A.</v>
      </c>
    </row>
    <row r="781" spans="1:19" x14ac:dyDescent="0.3">
      <c r="A781" s="2" t="s">
        <v>14</v>
      </c>
      <c r="B781" s="3" t="s">
        <v>14</v>
      </c>
      <c r="C781" s="3" t="s">
        <v>837</v>
      </c>
      <c r="D781" s="3" t="s">
        <v>14</v>
      </c>
      <c r="E781" s="3" t="s">
        <v>466</v>
      </c>
      <c r="F781" s="4">
        <v>46199</v>
      </c>
      <c r="G781" s="3" t="s">
        <v>17</v>
      </c>
      <c r="H781" s="5">
        <v>-8404</v>
      </c>
      <c r="I781" s="3" t="s">
        <v>18</v>
      </c>
      <c r="J781" s="3" t="s">
        <v>14</v>
      </c>
      <c r="K781" s="3" t="s">
        <v>14</v>
      </c>
      <c r="L781" s="3" t="s">
        <v>88</v>
      </c>
      <c r="M781" s="4">
        <v>46199</v>
      </c>
      <c r="N781" s="3" t="s">
        <v>89</v>
      </c>
      <c r="O781" s="3" t="s">
        <v>30</v>
      </c>
      <c r="P781" t="str">
        <f t="shared" si="12"/>
        <v>450011990410</v>
      </c>
      <c r="Q781" s="7" cm="1">
        <f t="array" ref="Q781:S781">VLOOKUP(P781,Hoja1!C:F,{2,3,4},FALSE)</f>
        <v>46284</v>
      </c>
      <c r="R781" t="str">
        <v>C21</v>
      </c>
      <c r="S781" t="str">
        <v>1000004906 FERRARO Y CIA S.A.</v>
      </c>
    </row>
    <row r="782" spans="1:19" x14ac:dyDescent="0.3">
      <c r="A782" s="2" t="s">
        <v>14</v>
      </c>
      <c r="B782" s="3" t="s">
        <v>14</v>
      </c>
      <c r="C782" s="3" t="s">
        <v>838</v>
      </c>
      <c r="D782" s="3" t="s">
        <v>14</v>
      </c>
      <c r="E782" s="3" t="s">
        <v>466</v>
      </c>
      <c r="F782" s="4">
        <v>46200</v>
      </c>
      <c r="G782" s="3" t="s">
        <v>17</v>
      </c>
      <c r="H782" s="5">
        <v>-688543.35</v>
      </c>
      <c r="I782" s="3" t="s">
        <v>18</v>
      </c>
      <c r="J782" s="3" t="s">
        <v>14</v>
      </c>
      <c r="K782" s="3" t="s">
        <v>14</v>
      </c>
      <c r="L782" s="3" t="s">
        <v>320</v>
      </c>
      <c r="M782" s="4">
        <v>46200</v>
      </c>
      <c r="N782" s="3" t="s">
        <v>321</v>
      </c>
      <c r="O782" s="3" t="s">
        <v>30</v>
      </c>
      <c r="P782" t="str">
        <f t="shared" si="12"/>
        <v>450012906810</v>
      </c>
      <c r="Q782" s="7" cm="1">
        <f t="array" ref="Q782:S782">VLOOKUP(P782,Hoja1!C:F,{2,3,4},FALSE)</f>
        <v>46250</v>
      </c>
      <c r="R782" t="str">
        <v>C21</v>
      </c>
      <c r="S782" t="str">
        <v>1000000038 YPF S.A.</v>
      </c>
    </row>
    <row r="783" spans="1:19" x14ac:dyDescent="0.3">
      <c r="A783" s="2" t="s">
        <v>14</v>
      </c>
      <c r="B783" s="3" t="s">
        <v>14</v>
      </c>
      <c r="C783" s="3" t="s">
        <v>838</v>
      </c>
      <c r="D783" s="3" t="s">
        <v>14</v>
      </c>
      <c r="E783" s="3" t="s">
        <v>466</v>
      </c>
      <c r="F783" s="4">
        <v>46200</v>
      </c>
      <c r="G783" s="3" t="s">
        <v>17</v>
      </c>
      <c r="H783" s="5">
        <v>-78483.899999999994</v>
      </c>
      <c r="I783" s="3" t="s">
        <v>18</v>
      </c>
      <c r="J783" s="3" t="s">
        <v>14</v>
      </c>
      <c r="K783" s="3" t="s">
        <v>14</v>
      </c>
      <c r="L783" s="3" t="s">
        <v>320</v>
      </c>
      <c r="M783" s="4">
        <v>46200</v>
      </c>
      <c r="N783" s="3" t="s">
        <v>321</v>
      </c>
      <c r="O783" s="3" t="s">
        <v>30</v>
      </c>
      <c r="P783" t="str">
        <f t="shared" si="12"/>
        <v>450012906810</v>
      </c>
      <c r="Q783" s="7" cm="1">
        <f t="array" ref="Q783:S783">VLOOKUP(P783,Hoja1!C:F,{2,3,4},FALSE)</f>
        <v>46250</v>
      </c>
      <c r="R783" t="str">
        <v>C21</v>
      </c>
      <c r="S783" t="str">
        <v>1000000038 YPF S.A.</v>
      </c>
    </row>
    <row r="784" spans="1:19" x14ac:dyDescent="0.3">
      <c r="A784" s="2" t="s">
        <v>14</v>
      </c>
      <c r="B784" s="3" t="s">
        <v>14</v>
      </c>
      <c r="C784" s="3" t="s">
        <v>839</v>
      </c>
      <c r="D784" s="3" t="s">
        <v>14</v>
      </c>
      <c r="E784" s="3" t="s">
        <v>466</v>
      </c>
      <c r="F784" s="4">
        <v>46200</v>
      </c>
      <c r="G784" s="3" t="s">
        <v>17</v>
      </c>
      <c r="H784" s="5">
        <v>-469284.35</v>
      </c>
      <c r="I784" s="3" t="s">
        <v>18</v>
      </c>
      <c r="J784" s="3" t="s">
        <v>14</v>
      </c>
      <c r="K784" s="3" t="s">
        <v>14</v>
      </c>
      <c r="L784" s="3" t="s">
        <v>88</v>
      </c>
      <c r="M784" s="4">
        <v>46200</v>
      </c>
      <c r="N784" s="3" t="s">
        <v>89</v>
      </c>
      <c r="O784" s="3" t="s">
        <v>30</v>
      </c>
      <c r="P784" t="str">
        <f t="shared" si="12"/>
        <v>450011990410</v>
      </c>
      <c r="Q784" s="7" cm="1">
        <f t="array" ref="Q784:S784">VLOOKUP(P784,Hoja1!C:F,{2,3,4},FALSE)</f>
        <v>46284</v>
      </c>
      <c r="R784" t="str">
        <v>C21</v>
      </c>
      <c r="S784" t="str">
        <v>1000004906 FERRARO Y CIA S.A.</v>
      </c>
    </row>
    <row r="785" spans="1:19" x14ac:dyDescent="0.3">
      <c r="A785" s="2" t="s">
        <v>14</v>
      </c>
      <c r="B785" s="3" t="s">
        <v>14</v>
      </c>
      <c r="C785" s="3" t="s">
        <v>839</v>
      </c>
      <c r="D785" s="3" t="s">
        <v>14</v>
      </c>
      <c r="E785" s="3" t="s">
        <v>466</v>
      </c>
      <c r="F785" s="4">
        <v>46200</v>
      </c>
      <c r="G785" s="3" t="s">
        <v>17</v>
      </c>
      <c r="H785" s="5">
        <v>-8349.4500000000007</v>
      </c>
      <c r="I785" s="3" t="s">
        <v>18</v>
      </c>
      <c r="J785" s="3" t="s">
        <v>14</v>
      </c>
      <c r="K785" s="3" t="s">
        <v>14</v>
      </c>
      <c r="L785" s="3" t="s">
        <v>88</v>
      </c>
      <c r="M785" s="4">
        <v>46200</v>
      </c>
      <c r="N785" s="3" t="s">
        <v>89</v>
      </c>
      <c r="O785" s="3" t="s">
        <v>30</v>
      </c>
      <c r="P785" t="str">
        <f t="shared" si="12"/>
        <v>450011990410</v>
      </c>
      <c r="Q785" s="7" cm="1">
        <f t="array" ref="Q785:S785">VLOOKUP(P785,Hoja1!C:F,{2,3,4},FALSE)</f>
        <v>46284</v>
      </c>
      <c r="R785" t="str">
        <v>C21</v>
      </c>
      <c r="S785" t="str">
        <v>1000004906 FERRARO Y CIA S.A.</v>
      </c>
    </row>
    <row r="786" spans="1:19" x14ac:dyDescent="0.3">
      <c r="A786" s="2" t="s">
        <v>14</v>
      </c>
      <c r="B786" s="3" t="s">
        <v>14</v>
      </c>
      <c r="C786" s="3" t="s">
        <v>839</v>
      </c>
      <c r="D786" s="3" t="s">
        <v>14</v>
      </c>
      <c r="E786" s="3" t="s">
        <v>466</v>
      </c>
      <c r="F786" s="4">
        <v>46200</v>
      </c>
      <c r="G786" s="3" t="s">
        <v>17</v>
      </c>
      <c r="H786" s="5">
        <v>-73245.06</v>
      </c>
      <c r="I786" s="3" t="s">
        <v>18</v>
      </c>
      <c r="J786" s="3" t="s">
        <v>14</v>
      </c>
      <c r="K786" s="3" t="s">
        <v>14</v>
      </c>
      <c r="L786" s="3" t="s">
        <v>88</v>
      </c>
      <c r="M786" s="4">
        <v>46200</v>
      </c>
      <c r="N786" s="3" t="s">
        <v>89</v>
      </c>
      <c r="O786" s="3" t="s">
        <v>30</v>
      </c>
      <c r="P786" t="str">
        <f t="shared" si="12"/>
        <v>450011990410</v>
      </c>
      <c r="Q786" s="7" cm="1">
        <f t="array" ref="Q786:S786">VLOOKUP(P786,Hoja1!C:F,{2,3,4},FALSE)</f>
        <v>46284</v>
      </c>
      <c r="R786" t="str">
        <v>C21</v>
      </c>
      <c r="S786" t="str">
        <v>1000004906 FERRARO Y CIA S.A.</v>
      </c>
    </row>
    <row r="787" spans="1:19" x14ac:dyDescent="0.3">
      <c r="A787" s="2" t="s">
        <v>14</v>
      </c>
      <c r="B787" s="3" t="s">
        <v>14</v>
      </c>
      <c r="C787" s="3" t="s">
        <v>840</v>
      </c>
      <c r="D787" s="3" t="s">
        <v>14</v>
      </c>
      <c r="E787" s="3" t="s">
        <v>466</v>
      </c>
      <c r="F787" s="4">
        <v>46202</v>
      </c>
      <c r="G787" s="3" t="s">
        <v>17</v>
      </c>
      <c r="H787" s="5">
        <v>-70208.960000000006</v>
      </c>
      <c r="I787" s="3" t="s">
        <v>18</v>
      </c>
      <c r="J787" s="3" t="s">
        <v>14</v>
      </c>
      <c r="K787" s="3" t="s">
        <v>14</v>
      </c>
      <c r="L787" s="3" t="s">
        <v>519</v>
      </c>
      <c r="M787" s="4">
        <v>46202</v>
      </c>
      <c r="N787" s="3" t="s">
        <v>765</v>
      </c>
      <c r="O787" s="3" t="s">
        <v>30</v>
      </c>
      <c r="P787" t="str">
        <f t="shared" si="12"/>
        <v>450012830110</v>
      </c>
      <c r="Q787" s="7" cm="1">
        <f t="array" ref="Q787:S787">VLOOKUP(P787,Hoja1!C:F,{2,3,4},FALSE)</f>
        <v>46368</v>
      </c>
      <c r="R787" t="str">
        <v>C21</v>
      </c>
      <c r="S787" t="str">
        <v>1000011498 1263 S. R. L.</v>
      </c>
    </row>
    <row r="788" spans="1:19" x14ac:dyDescent="0.3">
      <c r="A788" s="2" t="s">
        <v>14</v>
      </c>
      <c r="B788" s="3" t="s">
        <v>14</v>
      </c>
      <c r="C788" s="3" t="s">
        <v>840</v>
      </c>
      <c r="D788" s="3" t="s">
        <v>14</v>
      </c>
      <c r="E788" s="3" t="s">
        <v>466</v>
      </c>
      <c r="F788" s="4">
        <v>46202</v>
      </c>
      <c r="G788" s="3" t="s">
        <v>17</v>
      </c>
      <c r="H788" s="5">
        <v>-871.41</v>
      </c>
      <c r="I788" s="3" t="s">
        <v>18</v>
      </c>
      <c r="J788" s="3" t="s">
        <v>14</v>
      </c>
      <c r="K788" s="3" t="s">
        <v>14</v>
      </c>
      <c r="L788" s="3" t="s">
        <v>519</v>
      </c>
      <c r="M788" s="4">
        <v>46202</v>
      </c>
      <c r="N788" s="3" t="s">
        <v>765</v>
      </c>
      <c r="O788" s="3" t="s">
        <v>30</v>
      </c>
      <c r="P788" t="str">
        <f t="shared" si="12"/>
        <v>450012830110</v>
      </c>
      <c r="Q788" s="7" cm="1">
        <f t="array" ref="Q788:S788">VLOOKUP(P788,Hoja1!C:F,{2,3,4},FALSE)</f>
        <v>46368</v>
      </c>
      <c r="R788" t="str">
        <v>C21</v>
      </c>
      <c r="S788" t="str">
        <v>1000011498 1263 S. R. L.</v>
      </c>
    </row>
    <row r="789" spans="1:19" x14ac:dyDescent="0.3">
      <c r="A789" s="2" t="s">
        <v>14</v>
      </c>
      <c r="B789" s="3" t="s">
        <v>14</v>
      </c>
      <c r="C789" s="3" t="s">
        <v>841</v>
      </c>
      <c r="D789" s="3" t="s">
        <v>25</v>
      </c>
      <c r="E789" s="3" t="s">
        <v>466</v>
      </c>
      <c r="F789" s="4">
        <v>46202</v>
      </c>
      <c r="G789" s="3" t="s">
        <v>17</v>
      </c>
      <c r="H789" s="5">
        <v>-917290.23</v>
      </c>
      <c r="I789" s="3" t="s">
        <v>18</v>
      </c>
      <c r="J789" s="3" t="s">
        <v>14</v>
      </c>
      <c r="K789" s="3" t="s">
        <v>14</v>
      </c>
      <c r="L789" s="3" t="s">
        <v>28</v>
      </c>
      <c r="M789" s="4">
        <v>46202</v>
      </c>
      <c r="N789" s="3" t="s">
        <v>76</v>
      </c>
      <c r="O789" s="3" t="s">
        <v>30</v>
      </c>
      <c r="P789" t="str">
        <f t="shared" si="12"/>
        <v>450012811210</v>
      </c>
      <c r="Q789" s="7" cm="1">
        <f t="array" ref="Q789:S789">VLOOKUP(P789,Hoja1!C:F,{2,3,4},FALSE)</f>
        <v>46234</v>
      </c>
      <c r="R789" t="str">
        <v>C14</v>
      </c>
      <c r="S789" t="str">
        <v>1000000681 LA LILY S.A</v>
      </c>
    </row>
    <row r="790" spans="1:19" x14ac:dyDescent="0.3">
      <c r="A790" s="2" t="s">
        <v>14</v>
      </c>
      <c r="B790" s="3" t="s">
        <v>14</v>
      </c>
      <c r="C790" s="3" t="s">
        <v>842</v>
      </c>
      <c r="D790" s="3" t="s">
        <v>14</v>
      </c>
      <c r="E790" s="3" t="s">
        <v>466</v>
      </c>
      <c r="F790" s="4">
        <v>46202</v>
      </c>
      <c r="G790" s="3" t="s">
        <v>17</v>
      </c>
      <c r="H790" s="5">
        <v>-55042.95</v>
      </c>
      <c r="I790" s="3" t="s">
        <v>18</v>
      </c>
      <c r="J790" s="3" t="s">
        <v>14</v>
      </c>
      <c r="K790" s="3" t="s">
        <v>14</v>
      </c>
      <c r="L790" s="3" t="s">
        <v>226</v>
      </c>
      <c r="M790" s="4">
        <v>46202</v>
      </c>
      <c r="N790" s="3" t="s">
        <v>227</v>
      </c>
      <c r="O790" s="3" t="s">
        <v>30</v>
      </c>
      <c r="P790" t="str">
        <f t="shared" si="12"/>
        <v>450012398410</v>
      </c>
      <c r="Q790" s="7" cm="1">
        <f t="array" ref="Q790:S790">VLOOKUP(P790,Hoja1!C:F,{2,3,4},FALSE)</f>
        <v>46132</v>
      </c>
      <c r="R790" t="str">
        <v>EFO</v>
      </c>
      <c r="S790" t="str">
        <v>1000009051 GRUPO RP AICHI S.A.S.</v>
      </c>
    </row>
    <row r="791" spans="1:19" x14ac:dyDescent="0.3">
      <c r="A791" s="2" t="s">
        <v>14</v>
      </c>
      <c r="B791" s="3" t="s">
        <v>14</v>
      </c>
      <c r="C791" s="3" t="s">
        <v>843</v>
      </c>
      <c r="D791" s="3" t="s">
        <v>14</v>
      </c>
      <c r="E791" s="3" t="s">
        <v>466</v>
      </c>
      <c r="F791" s="4">
        <v>46202</v>
      </c>
      <c r="G791" s="3" t="s">
        <v>17</v>
      </c>
      <c r="H791" s="5">
        <v>-190082.64</v>
      </c>
      <c r="I791" s="3" t="s">
        <v>18</v>
      </c>
      <c r="J791" s="3" t="s">
        <v>14</v>
      </c>
      <c r="K791" s="3" t="s">
        <v>14</v>
      </c>
      <c r="L791" s="3" t="s">
        <v>844</v>
      </c>
      <c r="M791" s="4">
        <v>46202</v>
      </c>
      <c r="N791" s="3" t="s">
        <v>845</v>
      </c>
      <c r="O791" s="3" t="s">
        <v>35</v>
      </c>
      <c r="P791" t="str">
        <f t="shared" si="12"/>
        <v>450012548430</v>
      </c>
      <c r="Q791" s="7" cm="1">
        <f t="array" ref="Q791:S791">VLOOKUP(P791,Hoja1!C:F,{2,3,4},FALSE)</f>
        <v>46147</v>
      </c>
      <c r="R791" t="str">
        <v>EFO</v>
      </c>
      <c r="S791" t="str">
        <v>1000006585 SALDAÑA LEANDRO EZEQUIEL</v>
      </c>
    </row>
    <row r="792" spans="1:19" x14ac:dyDescent="0.3">
      <c r="A792" s="2" t="s">
        <v>14</v>
      </c>
      <c r="B792" s="3" t="s">
        <v>14</v>
      </c>
      <c r="C792" s="3" t="s">
        <v>846</v>
      </c>
      <c r="D792" s="3" t="s">
        <v>14</v>
      </c>
      <c r="E792" s="3" t="s">
        <v>466</v>
      </c>
      <c r="F792" s="4">
        <v>46202</v>
      </c>
      <c r="G792" s="3" t="s">
        <v>17</v>
      </c>
      <c r="H792" s="5">
        <v>-199937.07</v>
      </c>
      <c r="I792" s="3" t="s">
        <v>18</v>
      </c>
      <c r="J792" s="3" t="s">
        <v>14</v>
      </c>
      <c r="K792" s="3" t="s">
        <v>14</v>
      </c>
      <c r="L792" s="3" t="s">
        <v>226</v>
      </c>
      <c r="M792" s="4">
        <v>46202</v>
      </c>
      <c r="N792" s="3" t="s">
        <v>847</v>
      </c>
      <c r="O792" s="3" t="s">
        <v>30</v>
      </c>
      <c r="P792" t="str">
        <f t="shared" si="12"/>
        <v>450012709310</v>
      </c>
      <c r="Q792" s="7" cm="1">
        <f t="array" ref="Q792:S792">VLOOKUP(P792,Hoja1!C:F,{2,3,4},FALSE)</f>
        <v>46168</v>
      </c>
      <c r="R792" t="str">
        <v>EFO</v>
      </c>
      <c r="S792" t="str">
        <v>1000009051 GRUPO RP AICHI S.A.S.</v>
      </c>
    </row>
    <row r="793" spans="1:19" x14ac:dyDescent="0.3">
      <c r="A793" s="2" t="s">
        <v>14</v>
      </c>
      <c r="B793" s="3" t="s">
        <v>14</v>
      </c>
      <c r="C793" s="3" t="s">
        <v>848</v>
      </c>
      <c r="D793" s="3" t="s">
        <v>32</v>
      </c>
      <c r="E793" s="3" t="s">
        <v>466</v>
      </c>
      <c r="F793" s="4">
        <v>45883</v>
      </c>
      <c r="G793" s="3" t="s">
        <v>17</v>
      </c>
      <c r="H793" s="5">
        <v>-68456.759999999995</v>
      </c>
      <c r="I793" s="3" t="s">
        <v>18</v>
      </c>
      <c r="J793" s="3" t="s">
        <v>14</v>
      </c>
      <c r="K793" s="3" t="s">
        <v>14</v>
      </c>
      <c r="L793" s="3" t="s">
        <v>201</v>
      </c>
      <c r="M793" s="4">
        <v>45883</v>
      </c>
      <c r="N793" s="3" t="s">
        <v>202</v>
      </c>
      <c r="O793" s="3" t="s">
        <v>30</v>
      </c>
      <c r="P793" t="str">
        <f t="shared" si="12"/>
        <v>450008370310</v>
      </c>
      <c r="Q793" s="7" cm="1">
        <f t="array" ref="Q793:S793">VLOOKUP(P793,Hoja1!C:F,{2,3,4},FALSE)</f>
        <v>46233</v>
      </c>
      <c r="R793" t="str">
        <v>C15</v>
      </c>
      <c r="S793" t="str">
        <v>1000007158 EXPRESO LUJAN DE CUYO SA</v>
      </c>
    </row>
    <row r="794" spans="1:19" x14ac:dyDescent="0.3">
      <c r="A794" s="2" t="s">
        <v>14</v>
      </c>
      <c r="B794" s="3" t="s">
        <v>14</v>
      </c>
      <c r="C794" s="3" t="s">
        <v>849</v>
      </c>
      <c r="D794" s="3" t="s">
        <v>14</v>
      </c>
      <c r="E794" s="3" t="s">
        <v>466</v>
      </c>
      <c r="F794" s="4">
        <v>46203</v>
      </c>
      <c r="G794" s="3" t="s">
        <v>17</v>
      </c>
      <c r="H794" s="5">
        <v>-115400</v>
      </c>
      <c r="I794" s="3" t="s">
        <v>18</v>
      </c>
      <c r="J794" s="3" t="s">
        <v>14</v>
      </c>
      <c r="K794" s="3" t="s">
        <v>14</v>
      </c>
      <c r="L794" s="3" t="s">
        <v>844</v>
      </c>
      <c r="M794" s="4">
        <v>46203</v>
      </c>
      <c r="N794" s="3" t="s">
        <v>850</v>
      </c>
      <c r="O794" s="3" t="s">
        <v>30</v>
      </c>
      <c r="P794" t="str">
        <f t="shared" si="12"/>
        <v>450012817010</v>
      </c>
      <c r="Q794" s="7" cm="1">
        <f t="array" ref="Q794:S794">VLOOKUP(P794,Hoja1!C:F,{2,3,4},FALSE)</f>
        <v>46182</v>
      </c>
      <c r="R794" t="str">
        <v>EFO</v>
      </c>
      <c r="S794" t="str">
        <v>1000006585 SALDAÑA LEANDRO EZEQUIEL</v>
      </c>
    </row>
    <row r="795" spans="1:19" x14ac:dyDescent="0.3">
      <c r="A795" s="2" t="s">
        <v>14</v>
      </c>
      <c r="B795" s="3" t="s">
        <v>14</v>
      </c>
      <c r="C795" s="3" t="s">
        <v>851</v>
      </c>
      <c r="D795" s="3" t="s">
        <v>32</v>
      </c>
      <c r="E795" s="3" t="s">
        <v>466</v>
      </c>
      <c r="F795" s="4">
        <v>45883</v>
      </c>
      <c r="G795" s="3" t="s">
        <v>17</v>
      </c>
      <c r="H795" s="5">
        <v>-11000.3</v>
      </c>
      <c r="I795" s="3" t="s">
        <v>18</v>
      </c>
      <c r="J795" s="3" t="s">
        <v>14</v>
      </c>
      <c r="K795" s="3" t="s">
        <v>14</v>
      </c>
      <c r="L795" s="3" t="s">
        <v>201</v>
      </c>
      <c r="M795" s="4">
        <v>45883</v>
      </c>
      <c r="N795" s="3" t="s">
        <v>202</v>
      </c>
      <c r="O795" s="3" t="s">
        <v>30</v>
      </c>
      <c r="P795" t="str">
        <f t="shared" si="12"/>
        <v>450008370310</v>
      </c>
      <c r="Q795" s="7" cm="1">
        <f t="array" ref="Q795:S795">VLOOKUP(P795,Hoja1!C:F,{2,3,4},FALSE)</f>
        <v>46233</v>
      </c>
      <c r="R795" t="str">
        <v>C15</v>
      </c>
      <c r="S795" t="str">
        <v>1000007158 EXPRESO LUJAN DE CUYO SA</v>
      </c>
    </row>
    <row r="796" spans="1:19" x14ac:dyDescent="0.3">
      <c r="A796" s="2" t="s">
        <v>14</v>
      </c>
      <c r="B796" s="3" t="s">
        <v>14</v>
      </c>
      <c r="C796" s="3" t="s">
        <v>852</v>
      </c>
      <c r="D796" s="3" t="s">
        <v>14</v>
      </c>
      <c r="E796" s="3" t="s">
        <v>466</v>
      </c>
      <c r="F796" s="4">
        <v>46203</v>
      </c>
      <c r="G796" s="3" t="s">
        <v>17</v>
      </c>
      <c r="H796" s="5">
        <v>-34191.54</v>
      </c>
      <c r="I796" s="3" t="s">
        <v>18</v>
      </c>
      <c r="J796" s="3" t="s">
        <v>14</v>
      </c>
      <c r="K796" s="3" t="s">
        <v>14</v>
      </c>
      <c r="L796" s="3" t="s">
        <v>519</v>
      </c>
      <c r="M796" s="4">
        <v>46203</v>
      </c>
      <c r="N796" s="3" t="s">
        <v>765</v>
      </c>
      <c r="O796" s="3" t="s">
        <v>30</v>
      </c>
      <c r="P796" t="str">
        <f t="shared" si="12"/>
        <v>450012830110</v>
      </c>
      <c r="Q796" s="7" cm="1">
        <f t="array" ref="Q796:S796">VLOOKUP(P796,Hoja1!C:F,{2,3,4},FALSE)</f>
        <v>46368</v>
      </c>
      <c r="R796" t="str">
        <v>C21</v>
      </c>
      <c r="S796" t="str">
        <v>1000011498 1263 S. R. L.</v>
      </c>
    </row>
    <row r="797" spans="1:19" x14ac:dyDescent="0.3">
      <c r="A797" s="2" t="s">
        <v>14</v>
      </c>
      <c r="B797" s="3" t="s">
        <v>14</v>
      </c>
      <c r="C797" s="3" t="s">
        <v>852</v>
      </c>
      <c r="D797" s="3" t="s">
        <v>14</v>
      </c>
      <c r="E797" s="3" t="s">
        <v>466</v>
      </c>
      <c r="F797" s="4">
        <v>46203</v>
      </c>
      <c r="G797" s="3" t="s">
        <v>17</v>
      </c>
      <c r="H797" s="5">
        <v>-424.37</v>
      </c>
      <c r="I797" s="3" t="s">
        <v>18</v>
      </c>
      <c r="J797" s="3" t="s">
        <v>14</v>
      </c>
      <c r="K797" s="3" t="s">
        <v>14</v>
      </c>
      <c r="L797" s="3" t="s">
        <v>519</v>
      </c>
      <c r="M797" s="4">
        <v>46203</v>
      </c>
      <c r="N797" s="3" t="s">
        <v>765</v>
      </c>
      <c r="O797" s="3" t="s">
        <v>30</v>
      </c>
      <c r="P797" t="str">
        <f t="shared" si="12"/>
        <v>450012830110</v>
      </c>
      <c r="Q797" s="7" cm="1">
        <f t="array" ref="Q797:S797">VLOOKUP(P797,Hoja1!C:F,{2,3,4},FALSE)</f>
        <v>46368</v>
      </c>
      <c r="R797" t="str">
        <v>C21</v>
      </c>
      <c r="S797" t="str">
        <v>1000011498 1263 S. R. L.</v>
      </c>
    </row>
    <row r="798" spans="1:19" x14ac:dyDescent="0.3">
      <c r="A798" s="2" t="s">
        <v>14</v>
      </c>
      <c r="B798" s="3" t="s">
        <v>14</v>
      </c>
      <c r="C798" s="3" t="s">
        <v>853</v>
      </c>
      <c r="D798" s="3" t="s">
        <v>14</v>
      </c>
      <c r="E798" s="3" t="s">
        <v>466</v>
      </c>
      <c r="F798" s="4">
        <v>46204</v>
      </c>
      <c r="G798" s="3" t="s">
        <v>17</v>
      </c>
      <c r="H798" s="5">
        <v>-21487.599999999999</v>
      </c>
      <c r="I798" s="3" t="s">
        <v>18</v>
      </c>
      <c r="J798" s="3" t="s">
        <v>14</v>
      </c>
      <c r="K798" s="3" t="s">
        <v>14</v>
      </c>
      <c r="L798" s="3" t="s">
        <v>854</v>
      </c>
      <c r="M798" s="4">
        <v>46204</v>
      </c>
      <c r="N798" s="3" t="s">
        <v>855</v>
      </c>
      <c r="O798" s="3" t="s">
        <v>30</v>
      </c>
      <c r="P798" t="str">
        <f t="shared" si="12"/>
        <v>450012940610</v>
      </c>
      <c r="Q798" s="7" cm="1">
        <f t="array" ref="Q798:S798">VLOOKUP(P798,Hoja1!C:F,{2,3,4},FALSE)</f>
        <v>46210</v>
      </c>
      <c r="R798" t="str">
        <v>C42</v>
      </c>
      <c r="S798" t="str">
        <v>1000012852 LO GRIPPO JORGE ALBERTO</v>
      </c>
    </row>
    <row r="799" spans="1:19" x14ac:dyDescent="0.3">
      <c r="A799" s="2" t="s">
        <v>14</v>
      </c>
      <c r="B799" s="3" t="s">
        <v>14</v>
      </c>
      <c r="C799" s="3" t="s">
        <v>856</v>
      </c>
      <c r="D799" s="3" t="s">
        <v>14</v>
      </c>
      <c r="E799" s="3" t="s">
        <v>466</v>
      </c>
      <c r="F799" s="4">
        <v>46204</v>
      </c>
      <c r="G799" s="3" t="s">
        <v>17</v>
      </c>
      <c r="H799" s="5">
        <v>-67381.31</v>
      </c>
      <c r="I799" s="3" t="s">
        <v>18</v>
      </c>
      <c r="J799" s="3" t="s">
        <v>14</v>
      </c>
      <c r="K799" s="3" t="s">
        <v>14</v>
      </c>
      <c r="L799" s="3" t="s">
        <v>519</v>
      </c>
      <c r="M799" s="4">
        <v>46204</v>
      </c>
      <c r="N799" s="3" t="s">
        <v>765</v>
      </c>
      <c r="O799" s="3" t="s">
        <v>30</v>
      </c>
      <c r="P799" t="str">
        <f t="shared" si="12"/>
        <v>450012830110</v>
      </c>
      <c r="Q799" s="7" cm="1">
        <f t="array" ref="Q799:S799">VLOOKUP(P799,Hoja1!C:F,{2,3,4},FALSE)</f>
        <v>46368</v>
      </c>
      <c r="R799" t="str">
        <v>C21</v>
      </c>
      <c r="S799" t="str">
        <v>1000011498 1263 S. R. L.</v>
      </c>
    </row>
    <row r="800" spans="1:19" x14ac:dyDescent="0.3">
      <c r="A800" s="2" t="s">
        <v>14</v>
      </c>
      <c r="B800" s="3" t="s">
        <v>14</v>
      </c>
      <c r="C800" s="3" t="s">
        <v>856</v>
      </c>
      <c r="D800" s="3" t="s">
        <v>14</v>
      </c>
      <c r="E800" s="3" t="s">
        <v>466</v>
      </c>
      <c r="F800" s="4">
        <v>46204</v>
      </c>
      <c r="G800" s="3" t="s">
        <v>17</v>
      </c>
      <c r="H800" s="5">
        <v>-836.31</v>
      </c>
      <c r="I800" s="3" t="s">
        <v>18</v>
      </c>
      <c r="J800" s="3" t="s">
        <v>14</v>
      </c>
      <c r="K800" s="3" t="s">
        <v>14</v>
      </c>
      <c r="L800" s="3" t="s">
        <v>519</v>
      </c>
      <c r="M800" s="4">
        <v>46204</v>
      </c>
      <c r="N800" s="3" t="s">
        <v>765</v>
      </c>
      <c r="O800" s="3" t="s">
        <v>30</v>
      </c>
      <c r="P800" t="str">
        <f t="shared" si="12"/>
        <v>450012830110</v>
      </c>
      <c r="Q800" s="7" cm="1">
        <f t="array" ref="Q800:S800">VLOOKUP(P800,Hoja1!C:F,{2,3,4},FALSE)</f>
        <v>46368</v>
      </c>
      <c r="R800" t="str">
        <v>C21</v>
      </c>
      <c r="S800" t="str">
        <v>1000011498 1263 S. R. L.</v>
      </c>
    </row>
    <row r="801" spans="1:19" x14ac:dyDescent="0.3">
      <c r="A801" s="2" t="s">
        <v>14</v>
      </c>
      <c r="B801" s="3" t="s">
        <v>14</v>
      </c>
      <c r="C801" s="3" t="s">
        <v>857</v>
      </c>
      <c r="D801" s="3" t="s">
        <v>32</v>
      </c>
      <c r="E801" s="3" t="s">
        <v>466</v>
      </c>
      <c r="F801" s="4">
        <v>46205</v>
      </c>
      <c r="G801" s="3" t="s">
        <v>17</v>
      </c>
      <c r="H801" s="5">
        <v>-12968.04</v>
      </c>
      <c r="I801" s="3" t="s">
        <v>18</v>
      </c>
      <c r="J801" s="3" t="s">
        <v>14</v>
      </c>
      <c r="K801" s="3" t="s">
        <v>14</v>
      </c>
      <c r="L801" s="3" t="s">
        <v>335</v>
      </c>
      <c r="M801" s="4">
        <v>46205</v>
      </c>
      <c r="N801" s="3" t="s">
        <v>336</v>
      </c>
      <c r="O801" s="3" t="s">
        <v>30</v>
      </c>
      <c r="P801" t="str">
        <f t="shared" si="12"/>
        <v>450013124310</v>
      </c>
      <c r="Q801" s="7" cm="1">
        <f t="array" ref="Q801:S801">VLOOKUP(P801,Hoja1!C:F,{2,3,4},FALSE)</f>
        <v>46433</v>
      </c>
      <c r="R801" t="str">
        <v>C21</v>
      </c>
      <c r="S801" t="str">
        <v>1000013302 PETROTRES SA</v>
      </c>
    </row>
    <row r="802" spans="1:19" x14ac:dyDescent="0.3">
      <c r="A802" s="2" t="s">
        <v>14</v>
      </c>
      <c r="B802" s="3" t="s">
        <v>14</v>
      </c>
      <c r="C802" s="3" t="s">
        <v>857</v>
      </c>
      <c r="D802" s="3" t="s">
        <v>32</v>
      </c>
      <c r="E802" s="3" t="s">
        <v>466</v>
      </c>
      <c r="F802" s="4">
        <v>46205</v>
      </c>
      <c r="G802" s="3" t="s">
        <v>17</v>
      </c>
      <c r="H802" s="5">
        <v>-794.49</v>
      </c>
      <c r="I802" s="3" t="s">
        <v>18</v>
      </c>
      <c r="J802" s="3" t="s">
        <v>14</v>
      </c>
      <c r="K802" s="3" t="s">
        <v>14</v>
      </c>
      <c r="L802" s="3" t="s">
        <v>335</v>
      </c>
      <c r="M802" s="4">
        <v>46205</v>
      </c>
      <c r="N802" s="3" t="s">
        <v>336</v>
      </c>
      <c r="O802" s="3" t="s">
        <v>30</v>
      </c>
      <c r="P802" t="str">
        <f t="shared" si="12"/>
        <v>450013124310</v>
      </c>
      <c r="Q802" s="7" cm="1">
        <f t="array" ref="Q802:S802">VLOOKUP(P802,Hoja1!C:F,{2,3,4},FALSE)</f>
        <v>46433</v>
      </c>
      <c r="R802" t="str">
        <v>C21</v>
      </c>
      <c r="S802" t="str">
        <v>1000013302 PETROTRES SA</v>
      </c>
    </row>
    <row r="803" spans="1:19" x14ac:dyDescent="0.3">
      <c r="A803" s="2" t="s">
        <v>14</v>
      </c>
      <c r="B803" s="3" t="s">
        <v>14</v>
      </c>
      <c r="C803" s="3" t="s">
        <v>858</v>
      </c>
      <c r="D803" s="3" t="s">
        <v>14</v>
      </c>
      <c r="E803" s="3" t="s">
        <v>466</v>
      </c>
      <c r="F803" s="4">
        <v>46203</v>
      </c>
      <c r="G803" s="3" t="s">
        <v>17</v>
      </c>
      <c r="H803" s="5">
        <v>-445143.25</v>
      </c>
      <c r="I803" s="3" t="s">
        <v>18</v>
      </c>
      <c r="J803" s="3" t="s">
        <v>14</v>
      </c>
      <c r="K803" s="3" t="s">
        <v>14</v>
      </c>
      <c r="L803" s="3" t="s">
        <v>73</v>
      </c>
      <c r="M803" s="4">
        <v>46203</v>
      </c>
      <c r="N803" s="3" t="s">
        <v>81</v>
      </c>
      <c r="O803" s="3" t="s">
        <v>30</v>
      </c>
      <c r="P803" t="str">
        <f t="shared" si="12"/>
        <v>450012991410</v>
      </c>
      <c r="Q803" s="7" cm="1">
        <f t="array" ref="Q803:S803">VLOOKUP(P803,Hoja1!C:F,{2,3,4},FALSE)</f>
        <v>46295</v>
      </c>
      <c r="R803" t="str">
        <v>C21</v>
      </c>
      <c r="S803" t="str">
        <v>1000000808 GLOBAL OIL S.R.L.</v>
      </c>
    </row>
    <row r="804" spans="1:19" x14ac:dyDescent="0.3">
      <c r="A804" s="2" t="s">
        <v>14</v>
      </c>
      <c r="B804" s="3" t="s">
        <v>14</v>
      </c>
      <c r="C804" s="3" t="s">
        <v>859</v>
      </c>
      <c r="D804" s="3" t="s">
        <v>14</v>
      </c>
      <c r="E804" s="3" t="s">
        <v>466</v>
      </c>
      <c r="F804" s="4">
        <v>46205</v>
      </c>
      <c r="G804" s="3" t="s">
        <v>17</v>
      </c>
      <c r="H804" s="5">
        <v>-1336050</v>
      </c>
      <c r="I804" s="3" t="s">
        <v>18</v>
      </c>
      <c r="J804" s="3" t="s">
        <v>14</v>
      </c>
      <c r="K804" s="3" t="s">
        <v>14</v>
      </c>
      <c r="L804" s="3" t="s">
        <v>340</v>
      </c>
      <c r="M804" s="4">
        <v>46205</v>
      </c>
      <c r="N804" s="3" t="s">
        <v>860</v>
      </c>
      <c r="O804" s="3" t="s">
        <v>45</v>
      </c>
      <c r="P804" t="str">
        <f t="shared" si="12"/>
        <v>4500094705100</v>
      </c>
      <c r="Q804" s="7" cm="1">
        <f t="array" ref="Q804:S804">VLOOKUP(P804,Hoja1!C:F,{2,3,4},FALSE)</f>
        <v>46182</v>
      </c>
      <c r="R804" t="str">
        <v>C03</v>
      </c>
      <c r="S804" t="str">
        <v>1000000062 FINNING ARGENTINA S.A.</v>
      </c>
    </row>
    <row r="805" spans="1:19" x14ac:dyDescent="0.3">
      <c r="A805" s="2" t="s">
        <v>14</v>
      </c>
      <c r="B805" s="3" t="s">
        <v>14</v>
      </c>
      <c r="C805" s="3" t="s">
        <v>861</v>
      </c>
      <c r="D805" s="3" t="s">
        <v>14</v>
      </c>
      <c r="E805" s="3" t="s">
        <v>466</v>
      </c>
      <c r="F805" s="4">
        <v>46206</v>
      </c>
      <c r="G805" s="3" t="s">
        <v>17</v>
      </c>
      <c r="H805" s="5">
        <v>-160218</v>
      </c>
      <c r="I805" s="3" t="s">
        <v>18</v>
      </c>
      <c r="J805" s="3" t="s">
        <v>14</v>
      </c>
      <c r="K805" s="3" t="s">
        <v>14</v>
      </c>
      <c r="L805" s="3" t="s">
        <v>269</v>
      </c>
      <c r="M805" s="4">
        <v>46206</v>
      </c>
      <c r="N805" s="3" t="s">
        <v>270</v>
      </c>
      <c r="O805" s="3" t="s">
        <v>155</v>
      </c>
      <c r="P805" t="str">
        <f t="shared" si="12"/>
        <v>4500126929420</v>
      </c>
      <c r="Q805" s="7" cm="1">
        <f t="array" ref="Q805:S805">VLOOKUP(P805,Hoja1!C:F,{2,3,4},FALSE)</f>
        <v>46203</v>
      </c>
      <c r="R805" t="str">
        <v>C03</v>
      </c>
      <c r="S805" t="str">
        <v>1000000190 FERNANDEZ INSUA S.A.</v>
      </c>
    </row>
    <row r="806" spans="1:19" x14ac:dyDescent="0.3">
      <c r="A806" s="2" t="s">
        <v>14</v>
      </c>
      <c r="B806" s="3" t="s">
        <v>14</v>
      </c>
      <c r="C806" s="3" t="s">
        <v>861</v>
      </c>
      <c r="D806" s="3" t="s">
        <v>14</v>
      </c>
      <c r="E806" s="3" t="s">
        <v>466</v>
      </c>
      <c r="F806" s="4">
        <v>46206</v>
      </c>
      <c r="G806" s="3" t="s">
        <v>17</v>
      </c>
      <c r="H806" s="5">
        <v>-152820</v>
      </c>
      <c r="I806" s="3" t="s">
        <v>18</v>
      </c>
      <c r="J806" s="3" t="s">
        <v>14</v>
      </c>
      <c r="K806" s="3" t="s">
        <v>14</v>
      </c>
      <c r="L806" s="3" t="s">
        <v>269</v>
      </c>
      <c r="M806" s="4">
        <v>46206</v>
      </c>
      <c r="N806" s="3" t="s">
        <v>270</v>
      </c>
      <c r="O806" s="3" t="s">
        <v>173</v>
      </c>
      <c r="P806" t="str">
        <f t="shared" si="12"/>
        <v>4500126929290</v>
      </c>
      <c r="Q806" s="7" cm="1">
        <f t="array" ref="Q806:S806">VLOOKUP(P806,Hoja1!C:F,{2,3,4},FALSE)</f>
        <v>46203</v>
      </c>
      <c r="R806" t="str">
        <v>C03</v>
      </c>
      <c r="S806" t="str">
        <v>1000000190 FERNANDEZ INSUA S.A.</v>
      </c>
    </row>
    <row r="807" spans="1:19" x14ac:dyDescent="0.3">
      <c r="A807" s="2" t="s">
        <v>14</v>
      </c>
      <c r="B807" s="3" t="s">
        <v>14</v>
      </c>
      <c r="C807" s="3" t="s">
        <v>862</v>
      </c>
      <c r="D807" s="3" t="s">
        <v>14</v>
      </c>
      <c r="E807" s="3" t="s">
        <v>466</v>
      </c>
      <c r="F807" s="4">
        <v>46206</v>
      </c>
      <c r="G807" s="3" t="s">
        <v>17</v>
      </c>
      <c r="H807" s="5">
        <v>-667575</v>
      </c>
      <c r="I807" s="3" t="s">
        <v>18</v>
      </c>
      <c r="J807" s="3" t="s">
        <v>14</v>
      </c>
      <c r="K807" s="3" t="s">
        <v>14</v>
      </c>
      <c r="L807" s="3" t="s">
        <v>269</v>
      </c>
      <c r="M807" s="4">
        <v>46206</v>
      </c>
      <c r="N807" s="3" t="s">
        <v>863</v>
      </c>
      <c r="O807" s="3" t="s">
        <v>22</v>
      </c>
      <c r="P807" t="str">
        <f t="shared" si="12"/>
        <v>450012608620</v>
      </c>
      <c r="Q807" s="7" cm="1">
        <f t="array" ref="Q807:S807">VLOOKUP(P807,Hoja1!C:F,{2,3,4},FALSE)</f>
        <v>46210</v>
      </c>
      <c r="R807" t="str">
        <v>C03</v>
      </c>
      <c r="S807" t="str">
        <v>1000000190 FERNANDEZ INSUA S.A.</v>
      </c>
    </row>
    <row r="808" spans="1:19" x14ac:dyDescent="0.3">
      <c r="A808" s="2" t="s">
        <v>14</v>
      </c>
      <c r="B808" s="3" t="s">
        <v>14</v>
      </c>
      <c r="C808" s="3" t="s">
        <v>864</v>
      </c>
      <c r="D808" s="3" t="s">
        <v>14</v>
      </c>
      <c r="E808" s="3" t="s">
        <v>466</v>
      </c>
      <c r="F808" s="4">
        <v>46209</v>
      </c>
      <c r="G808" s="3" t="s">
        <v>17</v>
      </c>
      <c r="H808" s="5">
        <v>-22727.27</v>
      </c>
      <c r="I808" s="3" t="s">
        <v>18</v>
      </c>
      <c r="J808" s="3" t="s">
        <v>14</v>
      </c>
      <c r="K808" s="3" t="s">
        <v>14</v>
      </c>
      <c r="L808" s="3" t="s">
        <v>865</v>
      </c>
      <c r="M808" s="4">
        <v>46209</v>
      </c>
      <c r="N808" s="3" t="s">
        <v>866</v>
      </c>
      <c r="O808" s="3" t="s">
        <v>30</v>
      </c>
      <c r="P808" t="str">
        <f t="shared" si="12"/>
        <v>450013203410</v>
      </c>
      <c r="Q808" s="7" cm="1">
        <f t="array" ref="Q808:S808">VLOOKUP(P808,Hoja1!C:F,{2,3,4},FALSE)</f>
        <v>46210</v>
      </c>
      <c r="R808" t="str">
        <v>EFO</v>
      </c>
      <c r="S808" t="str">
        <v>1000013272 CHICO VANESA SOLEDAD</v>
      </c>
    </row>
    <row r="809" spans="1:19" x14ac:dyDescent="0.3">
      <c r="A809" s="2" t="s">
        <v>14</v>
      </c>
      <c r="B809" s="3" t="s">
        <v>14</v>
      </c>
      <c r="C809" s="3" t="s">
        <v>867</v>
      </c>
      <c r="D809" s="3" t="s">
        <v>14</v>
      </c>
      <c r="E809" s="3" t="s">
        <v>466</v>
      </c>
      <c r="F809" s="4">
        <v>46209</v>
      </c>
      <c r="G809" s="3" t="s">
        <v>17</v>
      </c>
      <c r="H809" s="5">
        <v>-84088.92</v>
      </c>
      <c r="I809" s="3" t="s">
        <v>18</v>
      </c>
      <c r="J809" s="3" t="s">
        <v>14</v>
      </c>
      <c r="K809" s="3" t="s">
        <v>14</v>
      </c>
      <c r="L809" s="3" t="s">
        <v>519</v>
      </c>
      <c r="M809" s="4">
        <v>46209</v>
      </c>
      <c r="N809" s="3" t="s">
        <v>765</v>
      </c>
      <c r="O809" s="3" t="s">
        <v>30</v>
      </c>
      <c r="P809" t="str">
        <f t="shared" si="12"/>
        <v>450012830110</v>
      </c>
      <c r="Q809" s="7" cm="1">
        <f t="array" ref="Q809:S809">VLOOKUP(P809,Hoja1!C:F,{2,3,4},FALSE)</f>
        <v>46368</v>
      </c>
      <c r="R809" t="str">
        <v>C21</v>
      </c>
      <c r="S809" t="str">
        <v>1000011498 1263 S. R. L.</v>
      </c>
    </row>
    <row r="810" spans="1:19" x14ac:dyDescent="0.3">
      <c r="A810" s="2" t="s">
        <v>14</v>
      </c>
      <c r="B810" s="3" t="s">
        <v>14</v>
      </c>
      <c r="C810" s="3" t="s">
        <v>867</v>
      </c>
      <c r="D810" s="3" t="s">
        <v>14</v>
      </c>
      <c r="E810" s="3" t="s">
        <v>466</v>
      </c>
      <c r="F810" s="4">
        <v>46209</v>
      </c>
      <c r="G810" s="3" t="s">
        <v>17</v>
      </c>
      <c r="H810" s="5">
        <v>-1043.68</v>
      </c>
      <c r="I810" s="3" t="s">
        <v>18</v>
      </c>
      <c r="J810" s="3" t="s">
        <v>14</v>
      </c>
      <c r="K810" s="3" t="s">
        <v>14</v>
      </c>
      <c r="L810" s="3" t="s">
        <v>519</v>
      </c>
      <c r="M810" s="4">
        <v>46209</v>
      </c>
      <c r="N810" s="3" t="s">
        <v>765</v>
      </c>
      <c r="O810" s="3" t="s">
        <v>30</v>
      </c>
      <c r="P810" t="str">
        <f t="shared" si="12"/>
        <v>450012830110</v>
      </c>
      <c r="Q810" s="7" cm="1">
        <f t="array" ref="Q810:S810">VLOOKUP(P810,Hoja1!C:F,{2,3,4},FALSE)</f>
        <v>46368</v>
      </c>
      <c r="R810" t="str">
        <v>C21</v>
      </c>
      <c r="S810" t="str">
        <v>1000011498 1263 S. R. L.</v>
      </c>
    </row>
    <row r="811" spans="1:19" x14ac:dyDescent="0.3">
      <c r="A811" s="2" t="s">
        <v>14</v>
      </c>
      <c r="B811" s="3" t="s">
        <v>14</v>
      </c>
      <c r="C811" s="3" t="s">
        <v>868</v>
      </c>
      <c r="D811" s="3" t="s">
        <v>14</v>
      </c>
      <c r="E811" s="3" t="s">
        <v>466</v>
      </c>
      <c r="F811" s="4">
        <v>46209</v>
      </c>
      <c r="G811" s="3" t="s">
        <v>17</v>
      </c>
      <c r="H811" s="5">
        <v>-167143.22</v>
      </c>
      <c r="I811" s="3" t="s">
        <v>18</v>
      </c>
      <c r="J811" s="3" t="s">
        <v>14</v>
      </c>
      <c r="K811" s="3" t="s">
        <v>14</v>
      </c>
      <c r="L811" s="3" t="s">
        <v>519</v>
      </c>
      <c r="M811" s="4">
        <v>46209</v>
      </c>
      <c r="N811" s="3" t="s">
        <v>765</v>
      </c>
      <c r="O811" s="3" t="s">
        <v>30</v>
      </c>
      <c r="P811" t="str">
        <f t="shared" si="12"/>
        <v>450012830110</v>
      </c>
      <c r="Q811" s="7" cm="1">
        <f t="array" ref="Q811:S811">VLOOKUP(P811,Hoja1!C:F,{2,3,4},FALSE)</f>
        <v>46368</v>
      </c>
      <c r="R811" t="str">
        <v>C21</v>
      </c>
      <c r="S811" t="str">
        <v>1000011498 1263 S. R. L.</v>
      </c>
    </row>
    <row r="812" spans="1:19" x14ac:dyDescent="0.3">
      <c r="A812" s="2" t="s">
        <v>14</v>
      </c>
      <c r="B812" s="3" t="s">
        <v>14</v>
      </c>
      <c r="C812" s="3" t="s">
        <v>868</v>
      </c>
      <c r="D812" s="3" t="s">
        <v>14</v>
      </c>
      <c r="E812" s="3" t="s">
        <v>466</v>
      </c>
      <c r="F812" s="4">
        <v>46209</v>
      </c>
      <c r="G812" s="3" t="s">
        <v>17</v>
      </c>
      <c r="H812" s="5">
        <v>-2074.5300000000002</v>
      </c>
      <c r="I812" s="3" t="s">
        <v>18</v>
      </c>
      <c r="J812" s="3" t="s">
        <v>14</v>
      </c>
      <c r="K812" s="3" t="s">
        <v>14</v>
      </c>
      <c r="L812" s="3" t="s">
        <v>519</v>
      </c>
      <c r="M812" s="4">
        <v>46209</v>
      </c>
      <c r="N812" s="3" t="s">
        <v>765</v>
      </c>
      <c r="O812" s="3" t="s">
        <v>30</v>
      </c>
      <c r="P812" t="str">
        <f t="shared" si="12"/>
        <v>450012830110</v>
      </c>
      <c r="Q812" s="7" cm="1">
        <f t="array" ref="Q812:S812">VLOOKUP(P812,Hoja1!C:F,{2,3,4},FALSE)</f>
        <v>46368</v>
      </c>
      <c r="R812" t="str">
        <v>C21</v>
      </c>
      <c r="S812" t="str">
        <v>1000011498 1263 S. R. L.</v>
      </c>
    </row>
    <row r="813" spans="1:19" x14ac:dyDescent="0.3">
      <c r="A813" s="2" t="s">
        <v>14</v>
      </c>
      <c r="B813" s="3" t="s">
        <v>14</v>
      </c>
      <c r="C813" s="3" t="s">
        <v>869</v>
      </c>
      <c r="D813" s="3" t="s">
        <v>14</v>
      </c>
      <c r="E813" s="3" t="s">
        <v>466</v>
      </c>
      <c r="F813" s="4">
        <v>46211</v>
      </c>
      <c r="G813" s="3" t="s">
        <v>17</v>
      </c>
      <c r="H813" s="5">
        <v>-94228.4</v>
      </c>
      <c r="I813" s="3" t="s">
        <v>18</v>
      </c>
      <c r="J813" s="3" t="s">
        <v>14</v>
      </c>
      <c r="K813" s="3" t="s">
        <v>14</v>
      </c>
      <c r="L813" s="3" t="s">
        <v>88</v>
      </c>
      <c r="M813" s="4">
        <v>46211</v>
      </c>
      <c r="N813" s="3" t="s">
        <v>89</v>
      </c>
      <c r="O813" s="3" t="s">
        <v>30</v>
      </c>
      <c r="P813" t="str">
        <f t="shared" si="12"/>
        <v>450011990410</v>
      </c>
      <c r="Q813" s="7" cm="1">
        <f t="array" ref="Q813:S813">VLOOKUP(P813,Hoja1!C:F,{2,3,4},FALSE)</f>
        <v>46284</v>
      </c>
      <c r="R813" t="str">
        <v>C21</v>
      </c>
      <c r="S813" t="str">
        <v>1000004906 FERRARO Y CIA S.A.</v>
      </c>
    </row>
    <row r="814" spans="1:19" x14ac:dyDescent="0.3">
      <c r="A814" s="2" t="s">
        <v>14</v>
      </c>
      <c r="B814" s="3" t="s">
        <v>14</v>
      </c>
      <c r="C814" s="3" t="s">
        <v>869</v>
      </c>
      <c r="D814" s="3" t="s">
        <v>14</v>
      </c>
      <c r="E814" s="3" t="s">
        <v>466</v>
      </c>
      <c r="F814" s="4">
        <v>46211</v>
      </c>
      <c r="G814" s="3" t="s">
        <v>17</v>
      </c>
      <c r="H814" s="5">
        <v>-1676.5</v>
      </c>
      <c r="I814" s="3" t="s">
        <v>18</v>
      </c>
      <c r="J814" s="3" t="s">
        <v>14</v>
      </c>
      <c r="K814" s="3" t="s">
        <v>14</v>
      </c>
      <c r="L814" s="3" t="s">
        <v>88</v>
      </c>
      <c r="M814" s="4">
        <v>46211</v>
      </c>
      <c r="N814" s="3" t="s">
        <v>89</v>
      </c>
      <c r="O814" s="3" t="s">
        <v>30</v>
      </c>
      <c r="P814" t="str">
        <f t="shared" si="12"/>
        <v>450011990410</v>
      </c>
      <c r="Q814" s="7" cm="1">
        <f t="array" ref="Q814:S814">VLOOKUP(P814,Hoja1!C:F,{2,3,4},FALSE)</f>
        <v>46284</v>
      </c>
      <c r="R814" t="str">
        <v>C21</v>
      </c>
      <c r="S814" t="str">
        <v>1000004906 FERRARO Y CIA S.A.</v>
      </c>
    </row>
    <row r="815" spans="1:19" x14ac:dyDescent="0.3">
      <c r="A815" s="2" t="s">
        <v>14</v>
      </c>
      <c r="B815" s="3" t="s">
        <v>14</v>
      </c>
      <c r="C815" s="3" t="s">
        <v>869</v>
      </c>
      <c r="D815" s="3" t="s">
        <v>14</v>
      </c>
      <c r="E815" s="3" t="s">
        <v>466</v>
      </c>
      <c r="F815" s="4">
        <v>46211</v>
      </c>
      <c r="G815" s="3" t="s">
        <v>17</v>
      </c>
      <c r="H815" s="5">
        <v>-14707</v>
      </c>
      <c r="I815" s="3" t="s">
        <v>18</v>
      </c>
      <c r="J815" s="3" t="s">
        <v>14</v>
      </c>
      <c r="K815" s="3" t="s">
        <v>14</v>
      </c>
      <c r="L815" s="3" t="s">
        <v>88</v>
      </c>
      <c r="M815" s="4">
        <v>46211</v>
      </c>
      <c r="N815" s="3" t="s">
        <v>89</v>
      </c>
      <c r="O815" s="3" t="s">
        <v>30</v>
      </c>
      <c r="P815" t="str">
        <f t="shared" si="12"/>
        <v>450011990410</v>
      </c>
      <c r="Q815" s="7" cm="1">
        <f t="array" ref="Q815:S815">VLOOKUP(P815,Hoja1!C:F,{2,3,4},FALSE)</f>
        <v>46284</v>
      </c>
      <c r="R815" t="str">
        <v>C21</v>
      </c>
      <c r="S815" t="str">
        <v>1000004906 FERRARO Y CIA S.A.</v>
      </c>
    </row>
    <row r="816" spans="1:19" x14ac:dyDescent="0.3">
      <c r="A816" s="2" t="s">
        <v>14</v>
      </c>
      <c r="B816" s="3" t="s">
        <v>14</v>
      </c>
      <c r="C816" s="3" t="s">
        <v>870</v>
      </c>
      <c r="D816" s="3" t="s">
        <v>14</v>
      </c>
      <c r="E816" s="3" t="s">
        <v>466</v>
      </c>
      <c r="F816" s="4">
        <v>46211</v>
      </c>
      <c r="G816" s="3" t="s">
        <v>17</v>
      </c>
      <c r="H816" s="5">
        <v>-142130.07999999999</v>
      </c>
      <c r="I816" s="3" t="s">
        <v>18</v>
      </c>
      <c r="J816" s="3" t="s">
        <v>14</v>
      </c>
      <c r="K816" s="3" t="s">
        <v>14</v>
      </c>
      <c r="L816" s="3" t="s">
        <v>88</v>
      </c>
      <c r="M816" s="4">
        <v>46211</v>
      </c>
      <c r="N816" s="3" t="s">
        <v>89</v>
      </c>
      <c r="O816" s="3" t="s">
        <v>30</v>
      </c>
      <c r="P816" t="str">
        <f t="shared" si="12"/>
        <v>450011990410</v>
      </c>
      <c r="Q816" s="7" cm="1">
        <f t="array" ref="Q816:S816">VLOOKUP(P816,Hoja1!C:F,{2,3,4},FALSE)</f>
        <v>46284</v>
      </c>
      <c r="R816" t="str">
        <v>C21</v>
      </c>
      <c r="S816" t="str">
        <v>1000004906 FERRARO Y CIA S.A.</v>
      </c>
    </row>
    <row r="817" spans="1:19" x14ac:dyDescent="0.3">
      <c r="A817" s="2" t="s">
        <v>14</v>
      </c>
      <c r="B817" s="3" t="s">
        <v>14</v>
      </c>
      <c r="C817" s="3" t="s">
        <v>870</v>
      </c>
      <c r="D817" s="3" t="s">
        <v>14</v>
      </c>
      <c r="E817" s="3" t="s">
        <v>466</v>
      </c>
      <c r="F817" s="4">
        <v>46211</v>
      </c>
      <c r="G817" s="3" t="s">
        <v>17</v>
      </c>
      <c r="H817" s="5">
        <v>-2528.7600000000002</v>
      </c>
      <c r="I817" s="3" t="s">
        <v>18</v>
      </c>
      <c r="J817" s="3" t="s">
        <v>14</v>
      </c>
      <c r="K817" s="3" t="s">
        <v>14</v>
      </c>
      <c r="L817" s="3" t="s">
        <v>88</v>
      </c>
      <c r="M817" s="4">
        <v>46211</v>
      </c>
      <c r="N817" s="3" t="s">
        <v>89</v>
      </c>
      <c r="O817" s="3" t="s">
        <v>30</v>
      </c>
      <c r="P817" t="str">
        <f t="shared" si="12"/>
        <v>450011990410</v>
      </c>
      <c r="Q817" s="7" cm="1">
        <f t="array" ref="Q817:S817">VLOOKUP(P817,Hoja1!C:F,{2,3,4},FALSE)</f>
        <v>46284</v>
      </c>
      <c r="R817" t="str">
        <v>C21</v>
      </c>
      <c r="S817" t="str">
        <v>1000004906 FERRARO Y CIA S.A.</v>
      </c>
    </row>
    <row r="818" spans="1:19" x14ac:dyDescent="0.3">
      <c r="A818" s="2" t="s">
        <v>14</v>
      </c>
      <c r="B818" s="3" t="s">
        <v>14</v>
      </c>
      <c r="C818" s="3" t="s">
        <v>870</v>
      </c>
      <c r="D818" s="3" t="s">
        <v>14</v>
      </c>
      <c r="E818" s="3" t="s">
        <v>466</v>
      </c>
      <c r="F818" s="4">
        <v>46211</v>
      </c>
      <c r="G818" s="3" t="s">
        <v>17</v>
      </c>
      <c r="H818" s="5">
        <v>-22183.41</v>
      </c>
      <c r="I818" s="3" t="s">
        <v>18</v>
      </c>
      <c r="J818" s="3" t="s">
        <v>14</v>
      </c>
      <c r="K818" s="3" t="s">
        <v>14</v>
      </c>
      <c r="L818" s="3" t="s">
        <v>88</v>
      </c>
      <c r="M818" s="4">
        <v>46211</v>
      </c>
      <c r="N818" s="3" t="s">
        <v>89</v>
      </c>
      <c r="O818" s="3" t="s">
        <v>30</v>
      </c>
      <c r="P818" t="str">
        <f t="shared" si="12"/>
        <v>450011990410</v>
      </c>
      <c r="Q818" s="7" cm="1">
        <f t="array" ref="Q818:S818">VLOOKUP(P818,Hoja1!C:F,{2,3,4},FALSE)</f>
        <v>46284</v>
      </c>
      <c r="R818" t="str">
        <v>C21</v>
      </c>
      <c r="S818" t="str">
        <v>1000004906 FERRARO Y CIA S.A.</v>
      </c>
    </row>
    <row r="819" spans="1:19" x14ac:dyDescent="0.3">
      <c r="A819" s="2" t="s">
        <v>14</v>
      </c>
      <c r="B819" s="3" t="s">
        <v>14</v>
      </c>
      <c r="C819" s="3" t="s">
        <v>871</v>
      </c>
      <c r="D819" s="3" t="s">
        <v>14</v>
      </c>
      <c r="E819" s="3" t="s">
        <v>466</v>
      </c>
      <c r="F819" s="4">
        <v>46211</v>
      </c>
      <c r="G819" s="3" t="s">
        <v>17</v>
      </c>
      <c r="H819" s="5">
        <v>-160641.92000000001</v>
      </c>
      <c r="I819" s="3" t="s">
        <v>18</v>
      </c>
      <c r="J819" s="3" t="s">
        <v>14</v>
      </c>
      <c r="K819" s="3" t="s">
        <v>14</v>
      </c>
      <c r="L819" s="3" t="s">
        <v>88</v>
      </c>
      <c r="M819" s="4">
        <v>46211</v>
      </c>
      <c r="N819" s="3" t="s">
        <v>89</v>
      </c>
      <c r="O819" s="3" t="s">
        <v>30</v>
      </c>
      <c r="P819" t="str">
        <f t="shared" si="12"/>
        <v>450011990410</v>
      </c>
      <c r="Q819" s="7" cm="1">
        <f t="array" ref="Q819:S819">VLOOKUP(P819,Hoja1!C:F,{2,3,4},FALSE)</f>
        <v>46284</v>
      </c>
      <c r="R819" t="str">
        <v>C21</v>
      </c>
      <c r="S819" t="str">
        <v>1000004906 FERRARO Y CIA S.A.</v>
      </c>
    </row>
    <row r="820" spans="1:19" x14ac:dyDescent="0.3">
      <c r="A820" s="2" t="s">
        <v>14</v>
      </c>
      <c r="B820" s="3" t="s">
        <v>14</v>
      </c>
      <c r="C820" s="3" t="s">
        <v>871</v>
      </c>
      <c r="D820" s="3" t="s">
        <v>14</v>
      </c>
      <c r="E820" s="3" t="s">
        <v>466</v>
      </c>
      <c r="F820" s="4">
        <v>46211</v>
      </c>
      <c r="G820" s="3" t="s">
        <v>17</v>
      </c>
      <c r="H820" s="5">
        <v>-2858.12</v>
      </c>
      <c r="I820" s="3" t="s">
        <v>18</v>
      </c>
      <c r="J820" s="3" t="s">
        <v>14</v>
      </c>
      <c r="K820" s="3" t="s">
        <v>14</v>
      </c>
      <c r="L820" s="3" t="s">
        <v>88</v>
      </c>
      <c r="M820" s="4">
        <v>46211</v>
      </c>
      <c r="N820" s="3" t="s">
        <v>89</v>
      </c>
      <c r="O820" s="3" t="s">
        <v>30</v>
      </c>
      <c r="P820" t="str">
        <f t="shared" si="12"/>
        <v>450011990410</v>
      </c>
      <c r="Q820" s="7" cm="1">
        <f t="array" ref="Q820:S820">VLOOKUP(P820,Hoja1!C:F,{2,3,4},FALSE)</f>
        <v>46284</v>
      </c>
      <c r="R820" t="str">
        <v>C21</v>
      </c>
      <c r="S820" t="str">
        <v>1000004906 FERRARO Y CIA S.A.</v>
      </c>
    </row>
    <row r="821" spans="1:19" x14ac:dyDescent="0.3">
      <c r="A821" s="2" t="s">
        <v>14</v>
      </c>
      <c r="B821" s="3" t="s">
        <v>14</v>
      </c>
      <c r="C821" s="3" t="s">
        <v>871</v>
      </c>
      <c r="D821" s="3" t="s">
        <v>14</v>
      </c>
      <c r="E821" s="3" t="s">
        <v>466</v>
      </c>
      <c r="F821" s="4">
        <v>46211</v>
      </c>
      <c r="G821" s="3" t="s">
        <v>17</v>
      </c>
      <c r="H821" s="5">
        <v>-25072.7</v>
      </c>
      <c r="I821" s="3" t="s">
        <v>18</v>
      </c>
      <c r="J821" s="3" t="s">
        <v>14</v>
      </c>
      <c r="K821" s="3" t="s">
        <v>14</v>
      </c>
      <c r="L821" s="3" t="s">
        <v>88</v>
      </c>
      <c r="M821" s="4">
        <v>46211</v>
      </c>
      <c r="N821" s="3" t="s">
        <v>89</v>
      </c>
      <c r="O821" s="3" t="s">
        <v>30</v>
      </c>
      <c r="P821" t="str">
        <f t="shared" si="12"/>
        <v>450011990410</v>
      </c>
      <c r="Q821" s="7" cm="1">
        <f t="array" ref="Q821:S821">VLOOKUP(P821,Hoja1!C:F,{2,3,4},FALSE)</f>
        <v>46284</v>
      </c>
      <c r="R821" t="str">
        <v>C21</v>
      </c>
      <c r="S821" t="str">
        <v>1000004906 FERRARO Y CIA S.A.</v>
      </c>
    </row>
    <row r="822" spans="1:19" x14ac:dyDescent="0.3">
      <c r="A822" s="2" t="s">
        <v>14</v>
      </c>
      <c r="B822" s="3" t="s">
        <v>14</v>
      </c>
      <c r="C822" s="3" t="s">
        <v>872</v>
      </c>
      <c r="D822" s="3" t="s">
        <v>14</v>
      </c>
      <c r="E822" s="3" t="s">
        <v>466</v>
      </c>
      <c r="F822" s="4">
        <v>46211</v>
      </c>
      <c r="G822" s="3" t="s">
        <v>17</v>
      </c>
      <c r="H822" s="5">
        <v>-220000</v>
      </c>
      <c r="I822" s="3" t="s">
        <v>18</v>
      </c>
      <c r="J822" s="3" t="s">
        <v>14</v>
      </c>
      <c r="K822" s="3" t="s">
        <v>14</v>
      </c>
      <c r="L822" s="3" t="s">
        <v>444</v>
      </c>
      <c r="M822" s="4">
        <v>46211</v>
      </c>
      <c r="N822" s="3" t="s">
        <v>873</v>
      </c>
      <c r="O822" s="3" t="s">
        <v>30</v>
      </c>
      <c r="P822" t="str">
        <f t="shared" si="12"/>
        <v>450013153510</v>
      </c>
      <c r="Q822" s="7" cm="1">
        <f t="array" ref="Q822:S822">VLOOKUP(P822,Hoja1!C:F,{2,3,4},FALSE)</f>
        <v>46205</v>
      </c>
      <c r="R822" t="str">
        <v>C38</v>
      </c>
      <c r="S822" t="str">
        <v>1000000029 PARABRISAS BURZA S.R.L.</v>
      </c>
    </row>
    <row r="823" spans="1:19" x14ac:dyDescent="0.3">
      <c r="A823" s="2" t="s">
        <v>14</v>
      </c>
      <c r="B823" s="3" t="s">
        <v>14</v>
      </c>
      <c r="C823" s="3" t="s">
        <v>874</v>
      </c>
      <c r="D823" s="3" t="s">
        <v>14</v>
      </c>
      <c r="E823" s="3" t="s">
        <v>466</v>
      </c>
      <c r="F823" s="4">
        <v>46212</v>
      </c>
      <c r="G823" s="3" t="s">
        <v>17</v>
      </c>
      <c r="H823" s="5">
        <v>-33918.33</v>
      </c>
      <c r="I823" s="3" t="s">
        <v>18</v>
      </c>
      <c r="J823" s="3" t="s">
        <v>14</v>
      </c>
      <c r="K823" s="3" t="s">
        <v>14</v>
      </c>
      <c r="L823" s="3" t="s">
        <v>519</v>
      </c>
      <c r="M823" s="4">
        <v>46212</v>
      </c>
      <c r="N823" s="3" t="s">
        <v>765</v>
      </c>
      <c r="O823" s="3" t="s">
        <v>30</v>
      </c>
      <c r="P823" t="str">
        <f t="shared" si="12"/>
        <v>450012830110</v>
      </c>
      <c r="Q823" s="7" cm="1">
        <f t="array" ref="Q823:S823">VLOOKUP(P823,Hoja1!C:F,{2,3,4},FALSE)</f>
        <v>46368</v>
      </c>
      <c r="R823" t="str">
        <v>C21</v>
      </c>
      <c r="S823" t="str">
        <v>1000011498 1263 S. R. L.</v>
      </c>
    </row>
    <row r="824" spans="1:19" x14ac:dyDescent="0.3">
      <c r="A824" s="2" t="s">
        <v>14</v>
      </c>
      <c r="B824" s="3" t="s">
        <v>14</v>
      </c>
      <c r="C824" s="3" t="s">
        <v>874</v>
      </c>
      <c r="D824" s="3" t="s">
        <v>14</v>
      </c>
      <c r="E824" s="3" t="s">
        <v>466</v>
      </c>
      <c r="F824" s="4">
        <v>46212</v>
      </c>
      <c r="G824" s="3" t="s">
        <v>17</v>
      </c>
      <c r="H824" s="5">
        <v>-420.98</v>
      </c>
      <c r="I824" s="3" t="s">
        <v>18</v>
      </c>
      <c r="J824" s="3" t="s">
        <v>14</v>
      </c>
      <c r="K824" s="3" t="s">
        <v>14</v>
      </c>
      <c r="L824" s="3" t="s">
        <v>519</v>
      </c>
      <c r="M824" s="4">
        <v>46212</v>
      </c>
      <c r="N824" s="3" t="s">
        <v>765</v>
      </c>
      <c r="O824" s="3" t="s">
        <v>30</v>
      </c>
      <c r="P824" t="str">
        <f t="shared" si="12"/>
        <v>450012830110</v>
      </c>
      <c r="Q824" s="7" cm="1">
        <f t="array" ref="Q824:S824">VLOOKUP(P824,Hoja1!C:F,{2,3,4},FALSE)</f>
        <v>46368</v>
      </c>
      <c r="R824" t="str">
        <v>C21</v>
      </c>
      <c r="S824" t="str">
        <v>1000011498 1263 S. R. L.</v>
      </c>
    </row>
    <row r="825" spans="1:19" x14ac:dyDescent="0.3">
      <c r="A825" s="2" t="s">
        <v>14</v>
      </c>
      <c r="B825" s="3" t="s">
        <v>14</v>
      </c>
      <c r="C825" s="3" t="s">
        <v>875</v>
      </c>
      <c r="D825" s="3" t="s">
        <v>14</v>
      </c>
      <c r="E825" s="3" t="s">
        <v>466</v>
      </c>
      <c r="F825" s="4">
        <v>46206</v>
      </c>
      <c r="G825" s="3" t="s">
        <v>17</v>
      </c>
      <c r="H825" s="5">
        <v>-279001.84999999998</v>
      </c>
      <c r="I825" s="3" t="s">
        <v>18</v>
      </c>
      <c r="J825" s="3" t="s">
        <v>14</v>
      </c>
      <c r="K825" s="3" t="s">
        <v>14</v>
      </c>
      <c r="L825" s="3" t="s">
        <v>340</v>
      </c>
      <c r="M825" s="4">
        <v>46213</v>
      </c>
      <c r="N825" s="3" t="s">
        <v>876</v>
      </c>
      <c r="O825" s="3" t="s">
        <v>30</v>
      </c>
      <c r="P825" t="str">
        <f t="shared" si="12"/>
        <v>450013149310</v>
      </c>
      <c r="Q825" s="7" cm="1">
        <f t="array" ref="Q825:S825">VLOOKUP(P825,Hoja1!C:F,{2,3,4},FALSE)</f>
        <v>46224</v>
      </c>
      <c r="R825" t="str">
        <v>C29</v>
      </c>
      <c r="S825" t="str">
        <v>1000000062 FINNING ARGENTINA S.A.</v>
      </c>
    </row>
    <row r="826" spans="1:19" x14ac:dyDescent="0.3">
      <c r="A826" s="2" t="s">
        <v>14</v>
      </c>
      <c r="B826" s="3" t="s">
        <v>14</v>
      </c>
      <c r="C826" s="3" t="s">
        <v>877</v>
      </c>
      <c r="D826" s="3" t="s">
        <v>14</v>
      </c>
      <c r="E826" s="3" t="s">
        <v>466</v>
      </c>
      <c r="F826" s="4">
        <v>46213</v>
      </c>
      <c r="G826" s="3" t="s">
        <v>17</v>
      </c>
      <c r="H826" s="5">
        <v>-50158.21</v>
      </c>
      <c r="I826" s="3" t="s">
        <v>18</v>
      </c>
      <c r="J826" s="3" t="s">
        <v>14</v>
      </c>
      <c r="K826" s="3" t="s">
        <v>14</v>
      </c>
      <c r="L826" s="3" t="s">
        <v>575</v>
      </c>
      <c r="M826" s="4">
        <v>46213</v>
      </c>
      <c r="N826" s="3" t="s">
        <v>878</v>
      </c>
      <c r="O826" s="3" t="s">
        <v>130</v>
      </c>
      <c r="P826" t="str">
        <f t="shared" si="12"/>
        <v>4500131049180</v>
      </c>
      <c r="Q826" s="7" cm="1">
        <f t="array" ref="Q826:S826">VLOOKUP(P826,Hoja1!C:F,{2,3,4},FALSE)</f>
        <v>46199</v>
      </c>
      <c r="R826" t="str">
        <v>C27</v>
      </c>
      <c r="S826" t="str">
        <v>1000000001 FERRETERA SAN LUIS</v>
      </c>
    </row>
    <row r="827" spans="1:19" x14ac:dyDescent="0.3">
      <c r="A827" s="2" t="s">
        <v>14</v>
      </c>
      <c r="B827" s="3" t="s">
        <v>14</v>
      </c>
      <c r="C827" s="3" t="s">
        <v>879</v>
      </c>
      <c r="D827" s="3" t="s">
        <v>32</v>
      </c>
      <c r="E827" s="3" t="s">
        <v>466</v>
      </c>
      <c r="F827" s="4">
        <v>46214</v>
      </c>
      <c r="G827" s="3" t="s">
        <v>17</v>
      </c>
      <c r="H827" s="5">
        <v>-16380.68</v>
      </c>
      <c r="I827" s="3" t="s">
        <v>18</v>
      </c>
      <c r="J827" s="3" t="s">
        <v>14</v>
      </c>
      <c r="K827" s="3" t="s">
        <v>14</v>
      </c>
      <c r="L827" s="3" t="s">
        <v>335</v>
      </c>
      <c r="M827" s="4">
        <v>46214</v>
      </c>
      <c r="N827" s="3" t="s">
        <v>336</v>
      </c>
      <c r="O827" s="3" t="s">
        <v>30</v>
      </c>
      <c r="P827" t="str">
        <f t="shared" si="12"/>
        <v>450013124310</v>
      </c>
      <c r="Q827" s="7" cm="1">
        <f t="array" ref="Q827:S827">VLOOKUP(P827,Hoja1!C:F,{2,3,4},FALSE)</f>
        <v>46433</v>
      </c>
      <c r="R827" t="str">
        <v>C21</v>
      </c>
      <c r="S827" t="str">
        <v>1000013302 PETROTRES SA</v>
      </c>
    </row>
    <row r="828" spans="1:19" x14ac:dyDescent="0.3">
      <c r="A828" s="2" t="s">
        <v>14</v>
      </c>
      <c r="B828" s="3" t="s">
        <v>14</v>
      </c>
      <c r="C828" s="3" t="s">
        <v>879</v>
      </c>
      <c r="D828" s="3" t="s">
        <v>32</v>
      </c>
      <c r="E828" s="3" t="s">
        <v>466</v>
      </c>
      <c r="F828" s="4">
        <v>46214</v>
      </c>
      <c r="G828" s="3" t="s">
        <v>17</v>
      </c>
      <c r="H828" s="5">
        <v>-1003.56</v>
      </c>
      <c r="I828" s="3" t="s">
        <v>18</v>
      </c>
      <c r="J828" s="3" t="s">
        <v>14</v>
      </c>
      <c r="K828" s="3" t="s">
        <v>14</v>
      </c>
      <c r="L828" s="3" t="s">
        <v>335</v>
      </c>
      <c r="M828" s="4">
        <v>46214</v>
      </c>
      <c r="N828" s="3" t="s">
        <v>336</v>
      </c>
      <c r="O828" s="3" t="s">
        <v>30</v>
      </c>
      <c r="P828" t="str">
        <f t="shared" si="12"/>
        <v>450013124310</v>
      </c>
      <c r="Q828" s="7" cm="1">
        <f t="array" ref="Q828:S828">VLOOKUP(P828,Hoja1!C:F,{2,3,4},FALSE)</f>
        <v>46433</v>
      </c>
      <c r="R828" t="str">
        <v>C21</v>
      </c>
      <c r="S828" t="str">
        <v>1000013302 PETROTRES SA</v>
      </c>
    </row>
    <row r="829" spans="1:19" x14ac:dyDescent="0.3">
      <c r="A829" s="2" t="s">
        <v>14</v>
      </c>
      <c r="B829" s="3" t="s">
        <v>14</v>
      </c>
      <c r="C829" s="3" t="s">
        <v>880</v>
      </c>
      <c r="D829" s="3" t="s">
        <v>32</v>
      </c>
      <c r="E829" s="3" t="s">
        <v>466</v>
      </c>
      <c r="F829" s="4">
        <v>46214</v>
      </c>
      <c r="G829" s="3" t="s">
        <v>17</v>
      </c>
      <c r="H829" s="5">
        <v>-9403.7900000000009</v>
      </c>
      <c r="I829" s="3" t="s">
        <v>18</v>
      </c>
      <c r="J829" s="3" t="s">
        <v>14</v>
      </c>
      <c r="K829" s="3" t="s">
        <v>14</v>
      </c>
      <c r="L829" s="3" t="s">
        <v>335</v>
      </c>
      <c r="M829" s="4">
        <v>46214</v>
      </c>
      <c r="N829" s="3" t="s">
        <v>336</v>
      </c>
      <c r="O829" s="3" t="s">
        <v>30</v>
      </c>
      <c r="P829" t="str">
        <f t="shared" si="12"/>
        <v>450013124310</v>
      </c>
      <c r="Q829" s="7" cm="1">
        <f t="array" ref="Q829:S829">VLOOKUP(P829,Hoja1!C:F,{2,3,4},FALSE)</f>
        <v>46433</v>
      </c>
      <c r="R829" t="str">
        <v>C21</v>
      </c>
      <c r="S829" t="str">
        <v>1000013302 PETROTRES SA</v>
      </c>
    </row>
    <row r="830" spans="1:19" x14ac:dyDescent="0.3">
      <c r="A830" s="2" t="s">
        <v>14</v>
      </c>
      <c r="B830" s="3" t="s">
        <v>14</v>
      </c>
      <c r="C830" s="3" t="s">
        <v>880</v>
      </c>
      <c r="D830" s="3" t="s">
        <v>32</v>
      </c>
      <c r="E830" s="3" t="s">
        <v>466</v>
      </c>
      <c r="F830" s="4">
        <v>46214</v>
      </c>
      <c r="G830" s="3" t="s">
        <v>17</v>
      </c>
      <c r="H830" s="5">
        <v>-576.12</v>
      </c>
      <c r="I830" s="3" t="s">
        <v>18</v>
      </c>
      <c r="J830" s="3" t="s">
        <v>14</v>
      </c>
      <c r="K830" s="3" t="s">
        <v>14</v>
      </c>
      <c r="L830" s="3" t="s">
        <v>335</v>
      </c>
      <c r="M830" s="4">
        <v>46214</v>
      </c>
      <c r="N830" s="3" t="s">
        <v>336</v>
      </c>
      <c r="O830" s="3" t="s">
        <v>30</v>
      </c>
      <c r="P830" t="str">
        <f t="shared" si="12"/>
        <v>450013124310</v>
      </c>
      <c r="Q830" s="7" cm="1">
        <f t="array" ref="Q830:S830">VLOOKUP(P830,Hoja1!C:F,{2,3,4},FALSE)</f>
        <v>46433</v>
      </c>
      <c r="R830" t="str">
        <v>C21</v>
      </c>
      <c r="S830" t="str">
        <v>1000013302 PETROTRES SA</v>
      </c>
    </row>
    <row r="831" spans="1:19" x14ac:dyDescent="0.3">
      <c r="A831" s="2" t="s">
        <v>14</v>
      </c>
      <c r="B831" s="3" t="s">
        <v>14</v>
      </c>
      <c r="C831" s="3" t="s">
        <v>881</v>
      </c>
      <c r="D831" s="3" t="s">
        <v>14</v>
      </c>
      <c r="E831" s="3" t="s">
        <v>466</v>
      </c>
      <c r="F831" s="4">
        <v>46214</v>
      </c>
      <c r="G831" s="3" t="s">
        <v>17</v>
      </c>
      <c r="H831" s="5">
        <v>-458340.4</v>
      </c>
      <c r="I831" s="3" t="s">
        <v>18</v>
      </c>
      <c r="J831" s="3" t="s">
        <v>14</v>
      </c>
      <c r="K831" s="3" t="s">
        <v>14</v>
      </c>
      <c r="L831" s="3" t="s">
        <v>88</v>
      </c>
      <c r="M831" s="4">
        <v>46214</v>
      </c>
      <c r="N831" s="3" t="s">
        <v>89</v>
      </c>
      <c r="O831" s="3" t="s">
        <v>30</v>
      </c>
      <c r="P831" t="str">
        <f t="shared" si="12"/>
        <v>450011990410</v>
      </c>
      <c r="Q831" s="7" cm="1">
        <f t="array" ref="Q831:S831">VLOOKUP(P831,Hoja1!C:F,{2,3,4},FALSE)</f>
        <v>46284</v>
      </c>
      <c r="R831" t="str">
        <v>C21</v>
      </c>
      <c r="S831" t="str">
        <v>1000004906 FERRARO Y CIA S.A.</v>
      </c>
    </row>
    <row r="832" spans="1:19" x14ac:dyDescent="0.3">
      <c r="A832" s="2" t="s">
        <v>14</v>
      </c>
      <c r="B832" s="3" t="s">
        <v>14</v>
      </c>
      <c r="C832" s="3" t="s">
        <v>881</v>
      </c>
      <c r="D832" s="3" t="s">
        <v>14</v>
      </c>
      <c r="E832" s="3" t="s">
        <v>466</v>
      </c>
      <c r="F832" s="4">
        <v>46214</v>
      </c>
      <c r="G832" s="3" t="s">
        <v>17</v>
      </c>
      <c r="H832" s="5">
        <v>-8154.74</v>
      </c>
      <c r="I832" s="3" t="s">
        <v>18</v>
      </c>
      <c r="J832" s="3" t="s">
        <v>14</v>
      </c>
      <c r="K832" s="3" t="s">
        <v>14</v>
      </c>
      <c r="L832" s="3" t="s">
        <v>88</v>
      </c>
      <c r="M832" s="4">
        <v>46214</v>
      </c>
      <c r="N832" s="3" t="s">
        <v>89</v>
      </c>
      <c r="O832" s="3" t="s">
        <v>30</v>
      </c>
      <c r="P832" t="str">
        <f t="shared" si="12"/>
        <v>450011990410</v>
      </c>
      <c r="Q832" s="7" cm="1">
        <f t="array" ref="Q832:S832">VLOOKUP(P832,Hoja1!C:F,{2,3,4},FALSE)</f>
        <v>46284</v>
      </c>
      <c r="R832" t="str">
        <v>C21</v>
      </c>
      <c r="S832" t="str">
        <v>1000004906 FERRARO Y CIA S.A.</v>
      </c>
    </row>
    <row r="833" spans="1:19" x14ac:dyDescent="0.3">
      <c r="A833" s="2" t="s">
        <v>14</v>
      </c>
      <c r="B833" s="3" t="s">
        <v>14</v>
      </c>
      <c r="C833" s="3" t="s">
        <v>881</v>
      </c>
      <c r="D833" s="3" t="s">
        <v>14</v>
      </c>
      <c r="E833" s="3" t="s">
        <v>466</v>
      </c>
      <c r="F833" s="4">
        <v>46214</v>
      </c>
      <c r="G833" s="3" t="s">
        <v>17</v>
      </c>
      <c r="H833" s="5">
        <v>-71536.95</v>
      </c>
      <c r="I833" s="3" t="s">
        <v>18</v>
      </c>
      <c r="J833" s="3" t="s">
        <v>14</v>
      </c>
      <c r="K833" s="3" t="s">
        <v>14</v>
      </c>
      <c r="L833" s="3" t="s">
        <v>88</v>
      </c>
      <c r="M833" s="4">
        <v>46214</v>
      </c>
      <c r="N833" s="3" t="s">
        <v>89</v>
      </c>
      <c r="O833" s="3" t="s">
        <v>30</v>
      </c>
      <c r="P833" t="str">
        <f t="shared" si="12"/>
        <v>450011990410</v>
      </c>
      <c r="Q833" s="7" cm="1">
        <f t="array" ref="Q833:S833">VLOOKUP(P833,Hoja1!C:F,{2,3,4},FALSE)</f>
        <v>46284</v>
      </c>
      <c r="R833" t="str">
        <v>C21</v>
      </c>
      <c r="S833" t="str">
        <v>1000004906 FERRARO Y CIA S.A.</v>
      </c>
    </row>
    <row r="834" spans="1:19" x14ac:dyDescent="0.3">
      <c r="A834" s="2" t="s">
        <v>14</v>
      </c>
      <c r="B834" s="3" t="s">
        <v>14</v>
      </c>
      <c r="C834" s="3" t="s">
        <v>882</v>
      </c>
      <c r="D834" s="3" t="s">
        <v>14</v>
      </c>
      <c r="E834" s="3" t="s">
        <v>466</v>
      </c>
      <c r="F834" s="4">
        <v>46214</v>
      </c>
      <c r="G834" s="3" t="s">
        <v>17</v>
      </c>
      <c r="H834" s="5">
        <v>-80767.199999999997</v>
      </c>
      <c r="I834" s="3" t="s">
        <v>18</v>
      </c>
      <c r="J834" s="3" t="s">
        <v>14</v>
      </c>
      <c r="K834" s="3" t="s">
        <v>14</v>
      </c>
      <c r="L834" s="3" t="s">
        <v>88</v>
      </c>
      <c r="M834" s="4">
        <v>46214</v>
      </c>
      <c r="N834" s="3" t="s">
        <v>89</v>
      </c>
      <c r="O834" s="3" t="s">
        <v>30</v>
      </c>
      <c r="P834" t="str">
        <f t="shared" si="12"/>
        <v>450011990410</v>
      </c>
      <c r="Q834" s="7" cm="1">
        <f t="array" ref="Q834:S834">VLOOKUP(P834,Hoja1!C:F,{2,3,4},FALSE)</f>
        <v>46284</v>
      </c>
      <c r="R834" t="str">
        <v>C21</v>
      </c>
      <c r="S834" t="str">
        <v>1000004906 FERRARO Y CIA S.A.</v>
      </c>
    </row>
    <row r="835" spans="1:19" x14ac:dyDescent="0.3">
      <c r="A835" s="2" t="s">
        <v>14</v>
      </c>
      <c r="B835" s="3" t="s">
        <v>14</v>
      </c>
      <c r="C835" s="3" t="s">
        <v>882</v>
      </c>
      <c r="D835" s="3" t="s">
        <v>14</v>
      </c>
      <c r="E835" s="3" t="s">
        <v>466</v>
      </c>
      <c r="F835" s="4">
        <v>46214</v>
      </c>
      <c r="G835" s="3" t="s">
        <v>17</v>
      </c>
      <c r="H835" s="5">
        <v>-1437</v>
      </c>
      <c r="I835" s="3" t="s">
        <v>18</v>
      </c>
      <c r="J835" s="3" t="s">
        <v>14</v>
      </c>
      <c r="K835" s="3" t="s">
        <v>14</v>
      </c>
      <c r="L835" s="3" t="s">
        <v>88</v>
      </c>
      <c r="M835" s="4">
        <v>46214</v>
      </c>
      <c r="N835" s="3" t="s">
        <v>89</v>
      </c>
      <c r="O835" s="3" t="s">
        <v>30</v>
      </c>
      <c r="P835" t="str">
        <f t="shared" ref="P835:P898" si="13">_xlfn.CONCAT(N835:O835)</f>
        <v>450011990410</v>
      </c>
      <c r="Q835" s="7" cm="1">
        <f t="array" ref="Q835:S835">VLOOKUP(P835,Hoja1!C:F,{2,3,4},FALSE)</f>
        <v>46284</v>
      </c>
      <c r="R835" t="str">
        <v>C21</v>
      </c>
      <c r="S835" t="str">
        <v>1000004906 FERRARO Y CIA S.A.</v>
      </c>
    </row>
    <row r="836" spans="1:19" x14ac:dyDescent="0.3">
      <c r="A836" s="2" t="s">
        <v>14</v>
      </c>
      <c r="B836" s="3" t="s">
        <v>14</v>
      </c>
      <c r="C836" s="3" t="s">
        <v>882</v>
      </c>
      <c r="D836" s="3" t="s">
        <v>14</v>
      </c>
      <c r="E836" s="3" t="s">
        <v>466</v>
      </c>
      <c r="F836" s="4">
        <v>46214</v>
      </c>
      <c r="G836" s="3" t="s">
        <v>17</v>
      </c>
      <c r="H836" s="5">
        <v>-12606</v>
      </c>
      <c r="I836" s="3" t="s">
        <v>18</v>
      </c>
      <c r="J836" s="3" t="s">
        <v>14</v>
      </c>
      <c r="K836" s="3" t="s">
        <v>14</v>
      </c>
      <c r="L836" s="3" t="s">
        <v>88</v>
      </c>
      <c r="M836" s="4">
        <v>46214</v>
      </c>
      <c r="N836" s="3" t="s">
        <v>89</v>
      </c>
      <c r="O836" s="3" t="s">
        <v>30</v>
      </c>
      <c r="P836" t="str">
        <f t="shared" si="13"/>
        <v>450011990410</v>
      </c>
      <c r="Q836" s="7" cm="1">
        <f t="array" ref="Q836:S836">VLOOKUP(P836,Hoja1!C:F,{2,3,4},FALSE)</f>
        <v>46284</v>
      </c>
      <c r="R836" t="str">
        <v>C21</v>
      </c>
      <c r="S836" t="str">
        <v>1000004906 FERRARO Y CIA S.A.</v>
      </c>
    </row>
    <row r="837" spans="1:19" x14ac:dyDescent="0.3">
      <c r="A837" s="2" t="s">
        <v>14</v>
      </c>
      <c r="B837" s="3" t="s">
        <v>14</v>
      </c>
      <c r="C837" s="3" t="s">
        <v>883</v>
      </c>
      <c r="D837" s="3" t="s">
        <v>14</v>
      </c>
      <c r="E837" s="3" t="s">
        <v>466</v>
      </c>
      <c r="F837" s="4">
        <v>46214</v>
      </c>
      <c r="G837" s="3" t="s">
        <v>17</v>
      </c>
      <c r="H837" s="5">
        <v>-532121.24</v>
      </c>
      <c r="I837" s="3" t="s">
        <v>18</v>
      </c>
      <c r="J837" s="3" t="s">
        <v>14</v>
      </c>
      <c r="K837" s="3" t="s">
        <v>14</v>
      </c>
      <c r="L837" s="3" t="s">
        <v>88</v>
      </c>
      <c r="M837" s="4">
        <v>46214</v>
      </c>
      <c r="N837" s="3" t="s">
        <v>89</v>
      </c>
      <c r="O837" s="3" t="s">
        <v>30</v>
      </c>
      <c r="P837" t="str">
        <f t="shared" si="13"/>
        <v>450011990410</v>
      </c>
      <c r="Q837" s="7" cm="1">
        <f t="array" ref="Q837:S837">VLOOKUP(P837,Hoja1!C:F,{2,3,4},FALSE)</f>
        <v>46284</v>
      </c>
      <c r="R837" t="str">
        <v>C21</v>
      </c>
      <c r="S837" t="str">
        <v>1000004906 FERRARO Y CIA S.A.</v>
      </c>
    </row>
    <row r="838" spans="1:19" x14ac:dyDescent="0.3">
      <c r="A838" s="2" t="s">
        <v>14</v>
      </c>
      <c r="B838" s="3" t="s">
        <v>14</v>
      </c>
      <c r="C838" s="3" t="s">
        <v>883</v>
      </c>
      <c r="D838" s="3" t="s">
        <v>14</v>
      </c>
      <c r="E838" s="3" t="s">
        <v>466</v>
      </c>
      <c r="F838" s="4">
        <v>46214</v>
      </c>
      <c r="G838" s="3" t="s">
        <v>17</v>
      </c>
      <c r="H838" s="5">
        <v>-9467.44</v>
      </c>
      <c r="I838" s="3" t="s">
        <v>18</v>
      </c>
      <c r="J838" s="3" t="s">
        <v>14</v>
      </c>
      <c r="K838" s="3" t="s">
        <v>14</v>
      </c>
      <c r="L838" s="3" t="s">
        <v>88</v>
      </c>
      <c r="M838" s="4">
        <v>46214</v>
      </c>
      <c r="N838" s="3" t="s">
        <v>89</v>
      </c>
      <c r="O838" s="3" t="s">
        <v>30</v>
      </c>
      <c r="P838" t="str">
        <f t="shared" si="13"/>
        <v>450011990410</v>
      </c>
      <c r="Q838" s="7" cm="1">
        <f t="array" ref="Q838:S838">VLOOKUP(P838,Hoja1!C:F,{2,3,4},FALSE)</f>
        <v>46284</v>
      </c>
      <c r="R838" t="str">
        <v>C21</v>
      </c>
      <c r="S838" t="str">
        <v>1000004906 FERRARO Y CIA S.A.</v>
      </c>
    </row>
    <row r="839" spans="1:19" x14ac:dyDescent="0.3">
      <c r="A839" s="2" t="s">
        <v>14</v>
      </c>
      <c r="B839" s="3" t="s">
        <v>14</v>
      </c>
      <c r="C839" s="3" t="s">
        <v>883</v>
      </c>
      <c r="D839" s="3" t="s">
        <v>14</v>
      </c>
      <c r="E839" s="3" t="s">
        <v>466</v>
      </c>
      <c r="F839" s="4">
        <v>46214</v>
      </c>
      <c r="G839" s="3" t="s">
        <v>17</v>
      </c>
      <c r="H839" s="5">
        <v>-83052.53</v>
      </c>
      <c r="I839" s="3" t="s">
        <v>18</v>
      </c>
      <c r="J839" s="3" t="s">
        <v>14</v>
      </c>
      <c r="K839" s="3" t="s">
        <v>14</v>
      </c>
      <c r="L839" s="3" t="s">
        <v>88</v>
      </c>
      <c r="M839" s="4">
        <v>46214</v>
      </c>
      <c r="N839" s="3" t="s">
        <v>89</v>
      </c>
      <c r="O839" s="3" t="s">
        <v>30</v>
      </c>
      <c r="P839" t="str">
        <f t="shared" si="13"/>
        <v>450011990410</v>
      </c>
      <c r="Q839" s="7" cm="1">
        <f t="array" ref="Q839:S839">VLOOKUP(P839,Hoja1!C:F,{2,3,4},FALSE)</f>
        <v>46284</v>
      </c>
      <c r="R839" t="str">
        <v>C21</v>
      </c>
      <c r="S839" t="str">
        <v>1000004906 FERRARO Y CIA S.A.</v>
      </c>
    </row>
    <row r="840" spans="1:19" x14ac:dyDescent="0.3">
      <c r="A840" s="2" t="s">
        <v>14</v>
      </c>
      <c r="B840" s="3" t="s">
        <v>14</v>
      </c>
      <c r="C840" s="3" t="s">
        <v>884</v>
      </c>
      <c r="D840" s="3" t="s">
        <v>14</v>
      </c>
      <c r="E840" s="3" t="s">
        <v>466</v>
      </c>
      <c r="F840" s="4">
        <v>46214</v>
      </c>
      <c r="G840" s="3" t="s">
        <v>17</v>
      </c>
      <c r="H840" s="5">
        <v>-80767.199999999997</v>
      </c>
      <c r="I840" s="3" t="s">
        <v>18</v>
      </c>
      <c r="J840" s="3" t="s">
        <v>14</v>
      </c>
      <c r="K840" s="3" t="s">
        <v>14</v>
      </c>
      <c r="L840" s="3" t="s">
        <v>88</v>
      </c>
      <c r="M840" s="4">
        <v>46214</v>
      </c>
      <c r="N840" s="3" t="s">
        <v>89</v>
      </c>
      <c r="O840" s="3" t="s">
        <v>30</v>
      </c>
      <c r="P840" t="str">
        <f t="shared" si="13"/>
        <v>450011990410</v>
      </c>
      <c r="Q840" s="7" cm="1">
        <f t="array" ref="Q840:S840">VLOOKUP(P840,Hoja1!C:F,{2,3,4},FALSE)</f>
        <v>46284</v>
      </c>
      <c r="R840" t="str">
        <v>C21</v>
      </c>
      <c r="S840" t="str">
        <v>1000004906 FERRARO Y CIA S.A.</v>
      </c>
    </row>
    <row r="841" spans="1:19" x14ac:dyDescent="0.3">
      <c r="A841" s="2" t="s">
        <v>14</v>
      </c>
      <c r="B841" s="3" t="s">
        <v>14</v>
      </c>
      <c r="C841" s="3" t="s">
        <v>884</v>
      </c>
      <c r="D841" s="3" t="s">
        <v>14</v>
      </c>
      <c r="E841" s="3" t="s">
        <v>466</v>
      </c>
      <c r="F841" s="4">
        <v>46214</v>
      </c>
      <c r="G841" s="3" t="s">
        <v>17</v>
      </c>
      <c r="H841" s="5">
        <v>-1437</v>
      </c>
      <c r="I841" s="3" t="s">
        <v>18</v>
      </c>
      <c r="J841" s="3" t="s">
        <v>14</v>
      </c>
      <c r="K841" s="3" t="s">
        <v>14</v>
      </c>
      <c r="L841" s="3" t="s">
        <v>88</v>
      </c>
      <c r="M841" s="4">
        <v>46214</v>
      </c>
      <c r="N841" s="3" t="s">
        <v>89</v>
      </c>
      <c r="O841" s="3" t="s">
        <v>30</v>
      </c>
      <c r="P841" t="str">
        <f t="shared" si="13"/>
        <v>450011990410</v>
      </c>
      <c r="Q841" s="7" cm="1">
        <f t="array" ref="Q841:S841">VLOOKUP(P841,Hoja1!C:F,{2,3,4},FALSE)</f>
        <v>46284</v>
      </c>
      <c r="R841" t="str">
        <v>C21</v>
      </c>
      <c r="S841" t="str">
        <v>1000004906 FERRARO Y CIA S.A.</v>
      </c>
    </row>
    <row r="842" spans="1:19" x14ac:dyDescent="0.3">
      <c r="A842" s="2" t="s">
        <v>14</v>
      </c>
      <c r="B842" s="3" t="s">
        <v>14</v>
      </c>
      <c r="C842" s="3" t="s">
        <v>884</v>
      </c>
      <c r="D842" s="3" t="s">
        <v>14</v>
      </c>
      <c r="E842" s="3" t="s">
        <v>466</v>
      </c>
      <c r="F842" s="4">
        <v>46214</v>
      </c>
      <c r="G842" s="3" t="s">
        <v>17</v>
      </c>
      <c r="H842" s="5">
        <v>-12606</v>
      </c>
      <c r="I842" s="3" t="s">
        <v>18</v>
      </c>
      <c r="J842" s="3" t="s">
        <v>14</v>
      </c>
      <c r="K842" s="3" t="s">
        <v>14</v>
      </c>
      <c r="L842" s="3" t="s">
        <v>88</v>
      </c>
      <c r="M842" s="4">
        <v>46214</v>
      </c>
      <c r="N842" s="3" t="s">
        <v>89</v>
      </c>
      <c r="O842" s="3" t="s">
        <v>30</v>
      </c>
      <c r="P842" t="str">
        <f t="shared" si="13"/>
        <v>450011990410</v>
      </c>
      <c r="Q842" s="7" cm="1">
        <f t="array" ref="Q842:S842">VLOOKUP(P842,Hoja1!C:F,{2,3,4},FALSE)</f>
        <v>46284</v>
      </c>
      <c r="R842" t="str">
        <v>C21</v>
      </c>
      <c r="S842" t="str">
        <v>1000004906 FERRARO Y CIA S.A.</v>
      </c>
    </row>
    <row r="843" spans="1:19" x14ac:dyDescent="0.3">
      <c r="A843" s="2" t="s">
        <v>14</v>
      </c>
      <c r="B843" s="3" t="s">
        <v>14</v>
      </c>
      <c r="C843" s="3" t="s">
        <v>885</v>
      </c>
      <c r="D843" s="3" t="s">
        <v>14</v>
      </c>
      <c r="E843" s="3" t="s">
        <v>466</v>
      </c>
      <c r="F843" s="4">
        <v>46216</v>
      </c>
      <c r="G843" s="3" t="s">
        <v>17</v>
      </c>
      <c r="H843" s="5">
        <v>-16528.93</v>
      </c>
      <c r="I843" s="3" t="s">
        <v>18</v>
      </c>
      <c r="J843" s="3" t="s">
        <v>14</v>
      </c>
      <c r="K843" s="3" t="s">
        <v>14</v>
      </c>
      <c r="L843" s="3" t="s">
        <v>449</v>
      </c>
      <c r="M843" s="4">
        <v>46216</v>
      </c>
      <c r="N843" s="3" t="s">
        <v>886</v>
      </c>
      <c r="O843" s="3" t="s">
        <v>30</v>
      </c>
      <c r="P843" t="str">
        <f t="shared" si="13"/>
        <v>450013258210</v>
      </c>
      <c r="Q843" s="7" cm="1">
        <f t="array" ref="Q843:S843">VLOOKUP(P843,Hoja1!C:F,{2,3,4},FALSE)</f>
        <v>46203</v>
      </c>
      <c r="R843" t="str">
        <v>EFO</v>
      </c>
      <c r="S843" t="str">
        <v>1000000011 GOMERIA ALICIA S.A.</v>
      </c>
    </row>
    <row r="844" spans="1:19" x14ac:dyDescent="0.3">
      <c r="A844" s="2" t="s">
        <v>14</v>
      </c>
      <c r="B844" s="3" t="s">
        <v>14</v>
      </c>
      <c r="C844" s="3" t="s">
        <v>887</v>
      </c>
      <c r="D844" s="3" t="s">
        <v>14</v>
      </c>
      <c r="E844" s="3" t="s">
        <v>466</v>
      </c>
      <c r="F844" s="4">
        <v>46217</v>
      </c>
      <c r="G844" s="3" t="s">
        <v>17</v>
      </c>
      <c r="H844" s="5">
        <v>-637383.27</v>
      </c>
      <c r="I844" s="3" t="s">
        <v>18</v>
      </c>
      <c r="J844" s="3" t="s">
        <v>14</v>
      </c>
      <c r="K844" s="3" t="s">
        <v>14</v>
      </c>
      <c r="L844" s="3" t="s">
        <v>519</v>
      </c>
      <c r="M844" s="4">
        <v>46217</v>
      </c>
      <c r="N844" s="3" t="s">
        <v>888</v>
      </c>
      <c r="O844" s="3" t="s">
        <v>30</v>
      </c>
      <c r="P844" t="str">
        <f t="shared" si="13"/>
        <v>450010959810</v>
      </c>
      <c r="Q844" s="7" cm="1">
        <f t="array" ref="Q844:S844">VLOOKUP(P844,Hoja1!C:F,{2,3,4},FALSE)</f>
        <v>46386</v>
      </c>
      <c r="R844" t="str">
        <v>C21</v>
      </c>
      <c r="S844" t="str">
        <v>1000011498 1263 S. R. L.</v>
      </c>
    </row>
    <row r="845" spans="1:19" x14ac:dyDescent="0.3">
      <c r="A845" s="2" t="s">
        <v>14</v>
      </c>
      <c r="B845" s="3" t="s">
        <v>14</v>
      </c>
      <c r="C845" s="3" t="s">
        <v>889</v>
      </c>
      <c r="D845" s="3" t="s">
        <v>14</v>
      </c>
      <c r="E845" s="3" t="s">
        <v>466</v>
      </c>
      <c r="F845" s="4">
        <v>46217</v>
      </c>
      <c r="G845" s="3" t="s">
        <v>17</v>
      </c>
      <c r="H845" s="5">
        <v>-1319784.22</v>
      </c>
      <c r="I845" s="3" t="s">
        <v>18</v>
      </c>
      <c r="J845" s="3" t="s">
        <v>14</v>
      </c>
      <c r="K845" s="3" t="s">
        <v>14</v>
      </c>
      <c r="L845" s="3" t="s">
        <v>519</v>
      </c>
      <c r="M845" s="4">
        <v>46217</v>
      </c>
      <c r="N845" s="3" t="s">
        <v>765</v>
      </c>
      <c r="O845" s="3" t="s">
        <v>30</v>
      </c>
      <c r="P845" t="str">
        <f t="shared" si="13"/>
        <v>450012830110</v>
      </c>
      <c r="Q845" s="7" cm="1">
        <f t="array" ref="Q845:S845">VLOOKUP(P845,Hoja1!C:F,{2,3,4},FALSE)</f>
        <v>46368</v>
      </c>
      <c r="R845" t="str">
        <v>C21</v>
      </c>
      <c r="S845" t="str">
        <v>1000011498 1263 S. R. L.</v>
      </c>
    </row>
    <row r="846" spans="1:19" x14ac:dyDescent="0.3">
      <c r="A846" s="2" t="s">
        <v>14</v>
      </c>
      <c r="B846" s="3" t="s">
        <v>14</v>
      </c>
      <c r="C846" s="3" t="s">
        <v>889</v>
      </c>
      <c r="D846" s="3" t="s">
        <v>14</v>
      </c>
      <c r="E846" s="3" t="s">
        <v>466</v>
      </c>
      <c r="F846" s="4">
        <v>46217</v>
      </c>
      <c r="G846" s="3" t="s">
        <v>17</v>
      </c>
      <c r="H846" s="5">
        <v>-16380.72</v>
      </c>
      <c r="I846" s="3" t="s">
        <v>18</v>
      </c>
      <c r="J846" s="3" t="s">
        <v>14</v>
      </c>
      <c r="K846" s="3" t="s">
        <v>14</v>
      </c>
      <c r="L846" s="3" t="s">
        <v>519</v>
      </c>
      <c r="M846" s="4">
        <v>46217</v>
      </c>
      <c r="N846" s="3" t="s">
        <v>765</v>
      </c>
      <c r="O846" s="3" t="s">
        <v>30</v>
      </c>
      <c r="P846" t="str">
        <f t="shared" si="13"/>
        <v>450012830110</v>
      </c>
      <c r="Q846" s="7" cm="1">
        <f t="array" ref="Q846:S846">VLOOKUP(P846,Hoja1!C:F,{2,3,4},FALSE)</f>
        <v>46368</v>
      </c>
      <c r="R846" t="str">
        <v>C21</v>
      </c>
      <c r="S846" t="str">
        <v>1000011498 1263 S. R. L.</v>
      </c>
    </row>
    <row r="847" spans="1:19" x14ac:dyDescent="0.3">
      <c r="A847" s="2" t="s">
        <v>14</v>
      </c>
      <c r="B847" s="3" t="s">
        <v>14</v>
      </c>
      <c r="C847" s="3" t="s">
        <v>889</v>
      </c>
      <c r="D847" s="3" t="s">
        <v>14</v>
      </c>
      <c r="E847" s="3" t="s">
        <v>466</v>
      </c>
      <c r="F847" s="4">
        <v>46217</v>
      </c>
      <c r="G847" s="3" t="s">
        <v>17</v>
      </c>
      <c r="H847" s="5">
        <v>-112949.54</v>
      </c>
      <c r="I847" s="3" t="s">
        <v>18</v>
      </c>
      <c r="J847" s="3" t="s">
        <v>14</v>
      </c>
      <c r="K847" s="3" t="s">
        <v>14</v>
      </c>
      <c r="L847" s="3" t="s">
        <v>519</v>
      </c>
      <c r="M847" s="4">
        <v>46217</v>
      </c>
      <c r="N847" s="3" t="s">
        <v>888</v>
      </c>
      <c r="O847" s="3" t="s">
        <v>30</v>
      </c>
      <c r="P847" t="str">
        <f t="shared" si="13"/>
        <v>450010959810</v>
      </c>
      <c r="Q847" s="7" cm="1">
        <f t="array" ref="Q847:S847">VLOOKUP(P847,Hoja1!C:F,{2,3,4},FALSE)</f>
        <v>46386</v>
      </c>
      <c r="R847" t="str">
        <v>C21</v>
      </c>
      <c r="S847" t="str">
        <v>1000011498 1263 S. R. L.</v>
      </c>
    </row>
    <row r="848" spans="1:19" x14ac:dyDescent="0.3">
      <c r="A848" s="2" t="s">
        <v>14</v>
      </c>
      <c r="B848" s="3" t="s">
        <v>14</v>
      </c>
      <c r="C848" s="3" t="s">
        <v>890</v>
      </c>
      <c r="D848" s="3" t="s">
        <v>32</v>
      </c>
      <c r="E848" s="3" t="s">
        <v>466</v>
      </c>
      <c r="F848" s="4">
        <v>46217</v>
      </c>
      <c r="G848" s="3" t="s">
        <v>17</v>
      </c>
      <c r="H848" s="5">
        <v>-12690.83</v>
      </c>
      <c r="I848" s="3" t="s">
        <v>18</v>
      </c>
      <c r="J848" s="3" t="s">
        <v>14</v>
      </c>
      <c r="K848" s="3" t="s">
        <v>14</v>
      </c>
      <c r="L848" s="3" t="s">
        <v>335</v>
      </c>
      <c r="M848" s="4">
        <v>46217</v>
      </c>
      <c r="N848" s="3" t="s">
        <v>336</v>
      </c>
      <c r="O848" s="3" t="s">
        <v>30</v>
      </c>
      <c r="P848" t="str">
        <f t="shared" si="13"/>
        <v>450013124310</v>
      </c>
      <c r="Q848" s="7" cm="1">
        <f t="array" ref="Q848:S848">VLOOKUP(P848,Hoja1!C:F,{2,3,4},FALSE)</f>
        <v>46433</v>
      </c>
      <c r="R848" t="str">
        <v>C21</v>
      </c>
      <c r="S848" t="str">
        <v>1000013302 PETROTRES SA</v>
      </c>
    </row>
    <row r="849" spans="1:19" x14ac:dyDescent="0.3">
      <c r="A849" s="2" t="s">
        <v>14</v>
      </c>
      <c r="B849" s="3" t="s">
        <v>14</v>
      </c>
      <c r="C849" s="3" t="s">
        <v>890</v>
      </c>
      <c r="D849" s="3" t="s">
        <v>32</v>
      </c>
      <c r="E849" s="3" t="s">
        <v>466</v>
      </c>
      <c r="F849" s="4">
        <v>46217</v>
      </c>
      <c r="G849" s="3" t="s">
        <v>17</v>
      </c>
      <c r="H849" s="5">
        <v>-777.5</v>
      </c>
      <c r="I849" s="3" t="s">
        <v>18</v>
      </c>
      <c r="J849" s="3" t="s">
        <v>14</v>
      </c>
      <c r="K849" s="3" t="s">
        <v>14</v>
      </c>
      <c r="L849" s="3" t="s">
        <v>335</v>
      </c>
      <c r="M849" s="4">
        <v>46217</v>
      </c>
      <c r="N849" s="3" t="s">
        <v>336</v>
      </c>
      <c r="O849" s="3" t="s">
        <v>30</v>
      </c>
      <c r="P849" t="str">
        <f t="shared" si="13"/>
        <v>450013124310</v>
      </c>
      <c r="Q849" s="7" cm="1">
        <f t="array" ref="Q849:S849">VLOOKUP(P849,Hoja1!C:F,{2,3,4},FALSE)</f>
        <v>46433</v>
      </c>
      <c r="R849" t="str">
        <v>C21</v>
      </c>
      <c r="S849" t="str">
        <v>1000013302 PETROTRES SA</v>
      </c>
    </row>
    <row r="850" spans="1:19" x14ac:dyDescent="0.3">
      <c r="A850" s="2" t="s">
        <v>14</v>
      </c>
      <c r="B850" s="3" t="s">
        <v>14</v>
      </c>
      <c r="C850" s="3" t="s">
        <v>891</v>
      </c>
      <c r="D850" s="3" t="s">
        <v>14</v>
      </c>
      <c r="E850" s="3" t="s">
        <v>466</v>
      </c>
      <c r="F850" s="4">
        <v>46218</v>
      </c>
      <c r="G850" s="3" t="s">
        <v>17</v>
      </c>
      <c r="H850" s="5">
        <v>-23695</v>
      </c>
      <c r="I850" s="3" t="s">
        <v>18</v>
      </c>
      <c r="J850" s="3" t="s">
        <v>14</v>
      </c>
      <c r="K850" s="3" t="s">
        <v>14</v>
      </c>
      <c r="L850" s="3" t="s">
        <v>892</v>
      </c>
      <c r="M850" s="4">
        <v>46218</v>
      </c>
      <c r="N850" s="3" t="s">
        <v>893</v>
      </c>
      <c r="O850" s="3" t="s">
        <v>22</v>
      </c>
      <c r="P850" t="str">
        <f t="shared" si="13"/>
        <v>450013123720</v>
      </c>
      <c r="Q850" s="7" cm="1">
        <f t="array" ref="Q850:S850">VLOOKUP(P850,Hoja1!C:F,{2,3,4},FALSE)</f>
        <v>46209</v>
      </c>
      <c r="R850" t="str">
        <v>C27</v>
      </c>
      <c r="S850" t="str">
        <v>1000000894 FORTIN REPUBLICA SA</v>
      </c>
    </row>
    <row r="851" spans="1:19" x14ac:dyDescent="0.3">
      <c r="A851" s="2" t="s">
        <v>14</v>
      </c>
      <c r="B851" s="3" t="s">
        <v>14</v>
      </c>
      <c r="C851" s="3" t="s">
        <v>894</v>
      </c>
      <c r="D851" s="3" t="s">
        <v>14</v>
      </c>
      <c r="E851" s="3" t="s">
        <v>466</v>
      </c>
      <c r="F851" s="4">
        <v>46219</v>
      </c>
      <c r="G851" s="3" t="s">
        <v>17</v>
      </c>
      <c r="H851" s="5">
        <v>-126446.28</v>
      </c>
      <c r="I851" s="3" t="s">
        <v>18</v>
      </c>
      <c r="J851" s="3" t="s">
        <v>14</v>
      </c>
      <c r="K851" s="3" t="s">
        <v>14</v>
      </c>
      <c r="L851" s="3" t="s">
        <v>449</v>
      </c>
      <c r="M851" s="4">
        <v>46219</v>
      </c>
      <c r="N851" s="3" t="s">
        <v>895</v>
      </c>
      <c r="O851" s="3" t="s">
        <v>30</v>
      </c>
      <c r="P851" t="str">
        <f t="shared" si="13"/>
        <v>450013288610</v>
      </c>
      <c r="Q851" s="7" cm="1">
        <f t="array" ref="Q851:S851">VLOOKUP(P851,Hoja1!C:F,{2,3,4},FALSE)</f>
        <v>46198</v>
      </c>
      <c r="R851" t="str">
        <v>EFO</v>
      </c>
      <c r="S851" t="str">
        <v>1000000011 GOMERIA ALICIA S.A.</v>
      </c>
    </row>
    <row r="852" spans="1:19" x14ac:dyDescent="0.3">
      <c r="A852" s="2" t="s">
        <v>14</v>
      </c>
      <c r="B852" s="3" t="s">
        <v>14</v>
      </c>
      <c r="C852" s="3" t="s">
        <v>896</v>
      </c>
      <c r="D852" s="3" t="s">
        <v>14</v>
      </c>
      <c r="E852" s="3" t="s">
        <v>466</v>
      </c>
      <c r="F852" s="4">
        <v>46219</v>
      </c>
      <c r="G852" s="3" t="s">
        <v>17</v>
      </c>
      <c r="H852" s="5">
        <v>-60743.8</v>
      </c>
      <c r="I852" s="3" t="s">
        <v>18</v>
      </c>
      <c r="J852" s="3" t="s">
        <v>14</v>
      </c>
      <c r="K852" s="3" t="s">
        <v>14</v>
      </c>
      <c r="L852" s="3" t="s">
        <v>449</v>
      </c>
      <c r="M852" s="4">
        <v>46219</v>
      </c>
      <c r="N852" s="3" t="s">
        <v>897</v>
      </c>
      <c r="O852" s="3" t="s">
        <v>30</v>
      </c>
      <c r="P852" t="str">
        <f t="shared" si="13"/>
        <v>450013294110</v>
      </c>
      <c r="Q852" s="7" cm="1">
        <f t="array" ref="Q852:S852">VLOOKUP(P852,Hoja1!C:F,{2,3,4},FALSE)</f>
        <v>46198</v>
      </c>
      <c r="R852" t="str">
        <v>EFO</v>
      </c>
      <c r="S852" t="str">
        <v>1000000011 GOMERIA ALICIA S.A.</v>
      </c>
    </row>
    <row r="853" spans="1:19" x14ac:dyDescent="0.3">
      <c r="A853" s="2" t="s">
        <v>14</v>
      </c>
      <c r="B853" s="3" t="s">
        <v>14</v>
      </c>
      <c r="C853" s="3" t="s">
        <v>898</v>
      </c>
      <c r="D853" s="3" t="s">
        <v>32</v>
      </c>
      <c r="E853" s="3" t="s">
        <v>466</v>
      </c>
      <c r="F853" s="4">
        <v>46219</v>
      </c>
      <c r="G853" s="3" t="s">
        <v>17</v>
      </c>
      <c r="H853" s="5">
        <v>-16816115.68</v>
      </c>
      <c r="I853" s="3" t="s">
        <v>18</v>
      </c>
      <c r="J853" s="3" t="s">
        <v>14</v>
      </c>
      <c r="K853" s="3" t="s">
        <v>14</v>
      </c>
      <c r="L853" s="3" t="s">
        <v>62</v>
      </c>
      <c r="M853" s="4">
        <v>46219</v>
      </c>
      <c r="N853" s="3" t="s">
        <v>899</v>
      </c>
      <c r="O853" s="3" t="s">
        <v>30</v>
      </c>
      <c r="P853" t="str">
        <f t="shared" si="13"/>
        <v>450013289510</v>
      </c>
      <c r="Q853" s="7" cm="1">
        <f t="array" ref="Q853:S853">VLOOKUP(P853,Hoja1!C:F,{2,3,4},FALSE)</f>
        <v>46223</v>
      </c>
      <c r="R853" t="str">
        <v>C11</v>
      </c>
      <c r="S853" t="str">
        <v>1000012787 FELRRO SRL</v>
      </c>
    </row>
    <row r="854" spans="1:19" x14ac:dyDescent="0.3">
      <c r="A854" s="2" t="s">
        <v>14</v>
      </c>
      <c r="B854" s="3" t="s">
        <v>14</v>
      </c>
      <c r="C854" s="3" t="s">
        <v>900</v>
      </c>
      <c r="D854" s="3" t="s">
        <v>32</v>
      </c>
      <c r="E854" s="3" t="s">
        <v>466</v>
      </c>
      <c r="F854" s="4">
        <v>46219</v>
      </c>
      <c r="G854" s="3" t="s">
        <v>27</v>
      </c>
      <c r="H854" s="6">
        <v>16816115.68</v>
      </c>
      <c r="I854" s="3" t="s">
        <v>18</v>
      </c>
      <c r="J854" s="3" t="s">
        <v>14</v>
      </c>
      <c r="K854" s="3" t="s">
        <v>14</v>
      </c>
      <c r="L854" s="3" t="s">
        <v>62</v>
      </c>
      <c r="M854" s="4">
        <v>46219</v>
      </c>
      <c r="N854" s="3" t="s">
        <v>899</v>
      </c>
      <c r="O854" s="3" t="s">
        <v>22</v>
      </c>
      <c r="P854" t="str">
        <f t="shared" si="13"/>
        <v>450013289520</v>
      </c>
      <c r="Q854" s="7" cm="1">
        <f t="array" ref="Q854:S854">VLOOKUP(P854,Hoja1!C:F,{2,3,4},FALSE)</f>
        <v>46234</v>
      </c>
      <c r="R854" t="str">
        <v>C11</v>
      </c>
      <c r="S854" t="str">
        <v>1000012787 FELRRO SRL</v>
      </c>
    </row>
    <row r="855" spans="1:19" x14ac:dyDescent="0.3">
      <c r="A855" s="2" t="s">
        <v>14</v>
      </c>
      <c r="B855" s="3" t="s">
        <v>14</v>
      </c>
      <c r="C855" s="3" t="s">
        <v>901</v>
      </c>
      <c r="D855" s="3" t="s">
        <v>14</v>
      </c>
      <c r="E855" s="3" t="s">
        <v>466</v>
      </c>
      <c r="F855" s="4">
        <v>46218</v>
      </c>
      <c r="G855" s="3" t="s">
        <v>17</v>
      </c>
      <c r="H855" s="5">
        <v>-95867.76</v>
      </c>
      <c r="I855" s="3" t="s">
        <v>18</v>
      </c>
      <c r="J855" s="3" t="s">
        <v>14</v>
      </c>
      <c r="K855" s="3" t="s">
        <v>14</v>
      </c>
      <c r="L855" s="3" t="s">
        <v>433</v>
      </c>
      <c r="M855" s="4">
        <v>46220</v>
      </c>
      <c r="N855" s="3" t="s">
        <v>902</v>
      </c>
      <c r="O855" s="3" t="s">
        <v>30</v>
      </c>
      <c r="P855" t="str">
        <f t="shared" si="13"/>
        <v>450013269910</v>
      </c>
      <c r="Q855" s="7" cm="1">
        <f t="array" ref="Q855:S855">VLOOKUP(P855,Hoja1!C:F,{2,3,4},FALSE)</f>
        <v>46223</v>
      </c>
      <c r="R855" t="str">
        <v>C03</v>
      </c>
      <c r="S855" t="str">
        <v>1000000551 SADER AUTOPARTES S.A</v>
      </c>
    </row>
    <row r="856" spans="1:19" x14ac:dyDescent="0.3">
      <c r="A856" s="2" t="s">
        <v>14</v>
      </c>
      <c r="B856" s="3" t="s">
        <v>14</v>
      </c>
      <c r="C856" s="3" t="s">
        <v>901</v>
      </c>
      <c r="D856" s="3" t="s">
        <v>14</v>
      </c>
      <c r="E856" s="3" t="s">
        <v>466</v>
      </c>
      <c r="F856" s="4">
        <v>46218</v>
      </c>
      <c r="G856" s="3" t="s">
        <v>17</v>
      </c>
      <c r="H856" s="5">
        <v>-80165.279999999999</v>
      </c>
      <c r="I856" s="3" t="s">
        <v>18</v>
      </c>
      <c r="J856" s="3" t="s">
        <v>14</v>
      </c>
      <c r="K856" s="3" t="s">
        <v>14</v>
      </c>
      <c r="L856" s="3" t="s">
        <v>433</v>
      </c>
      <c r="M856" s="4">
        <v>46220</v>
      </c>
      <c r="N856" s="3" t="s">
        <v>902</v>
      </c>
      <c r="O856" s="3" t="s">
        <v>22</v>
      </c>
      <c r="P856" t="str">
        <f t="shared" si="13"/>
        <v>450013269920</v>
      </c>
      <c r="Q856" s="7" cm="1">
        <f t="array" ref="Q856:S856">VLOOKUP(P856,Hoja1!C:F,{2,3,4},FALSE)</f>
        <v>46223</v>
      </c>
      <c r="R856" t="str">
        <v>C03</v>
      </c>
      <c r="S856" t="str">
        <v>1000000551 SADER AUTOPARTES S.A</v>
      </c>
    </row>
    <row r="857" spans="1:19" x14ac:dyDescent="0.3">
      <c r="A857" s="2" t="s">
        <v>14</v>
      </c>
      <c r="B857" s="3" t="s">
        <v>14</v>
      </c>
      <c r="C857" s="3" t="s">
        <v>901</v>
      </c>
      <c r="D857" s="3" t="s">
        <v>14</v>
      </c>
      <c r="E857" s="3" t="s">
        <v>466</v>
      </c>
      <c r="F857" s="4">
        <v>46218</v>
      </c>
      <c r="G857" s="3" t="s">
        <v>17</v>
      </c>
      <c r="H857" s="5">
        <v>-12396.69</v>
      </c>
      <c r="I857" s="3" t="s">
        <v>18</v>
      </c>
      <c r="J857" s="3" t="s">
        <v>14</v>
      </c>
      <c r="K857" s="3" t="s">
        <v>14</v>
      </c>
      <c r="L857" s="3" t="s">
        <v>433</v>
      </c>
      <c r="M857" s="4">
        <v>46220</v>
      </c>
      <c r="N857" s="3" t="s">
        <v>902</v>
      </c>
      <c r="O857" s="3" t="s">
        <v>35</v>
      </c>
      <c r="P857" t="str">
        <f t="shared" si="13"/>
        <v>450013269930</v>
      </c>
      <c r="Q857" s="7" cm="1">
        <f t="array" ref="Q857:S857">VLOOKUP(P857,Hoja1!C:F,{2,3,4},FALSE)</f>
        <v>46223</v>
      </c>
      <c r="R857" t="str">
        <v>C03</v>
      </c>
      <c r="S857" t="str">
        <v>1000000551 SADER AUTOPARTES S.A</v>
      </c>
    </row>
    <row r="858" spans="1:19" x14ac:dyDescent="0.3">
      <c r="A858" s="2" t="s">
        <v>14</v>
      </c>
      <c r="B858" s="3" t="s">
        <v>14</v>
      </c>
      <c r="C858" s="3" t="s">
        <v>901</v>
      </c>
      <c r="D858" s="3" t="s">
        <v>14</v>
      </c>
      <c r="E858" s="3" t="s">
        <v>466</v>
      </c>
      <c r="F858" s="4">
        <v>46218</v>
      </c>
      <c r="G858" s="3" t="s">
        <v>17</v>
      </c>
      <c r="H858" s="5">
        <v>-61983.47</v>
      </c>
      <c r="I858" s="3" t="s">
        <v>18</v>
      </c>
      <c r="J858" s="3" t="s">
        <v>14</v>
      </c>
      <c r="K858" s="3" t="s">
        <v>14</v>
      </c>
      <c r="L858" s="3" t="s">
        <v>433</v>
      </c>
      <c r="M858" s="4">
        <v>46220</v>
      </c>
      <c r="N858" s="3" t="s">
        <v>902</v>
      </c>
      <c r="O858" s="3" t="s">
        <v>23</v>
      </c>
      <c r="P858" t="str">
        <f t="shared" si="13"/>
        <v>450013269940</v>
      </c>
      <c r="Q858" s="7" cm="1">
        <f t="array" ref="Q858:S858">VLOOKUP(P858,Hoja1!C:F,{2,3,4},FALSE)</f>
        <v>46223</v>
      </c>
      <c r="R858" t="str">
        <v>C03</v>
      </c>
      <c r="S858" t="str">
        <v>1000000551 SADER AUTOPARTES S.A</v>
      </c>
    </row>
    <row r="859" spans="1:19" x14ac:dyDescent="0.3">
      <c r="A859" s="2" t="s">
        <v>14</v>
      </c>
      <c r="B859" s="3" t="s">
        <v>14</v>
      </c>
      <c r="C859" s="3" t="s">
        <v>901</v>
      </c>
      <c r="D859" s="3" t="s">
        <v>14</v>
      </c>
      <c r="E859" s="3" t="s">
        <v>466</v>
      </c>
      <c r="F859" s="4">
        <v>46218</v>
      </c>
      <c r="G859" s="3" t="s">
        <v>17</v>
      </c>
      <c r="H859" s="5">
        <v>-413223.14</v>
      </c>
      <c r="I859" s="3" t="s">
        <v>18</v>
      </c>
      <c r="J859" s="3" t="s">
        <v>14</v>
      </c>
      <c r="K859" s="3" t="s">
        <v>14</v>
      </c>
      <c r="L859" s="3" t="s">
        <v>433</v>
      </c>
      <c r="M859" s="4">
        <v>46220</v>
      </c>
      <c r="N859" s="3" t="s">
        <v>902</v>
      </c>
      <c r="O859" s="3" t="s">
        <v>144</v>
      </c>
      <c r="P859" t="str">
        <f t="shared" si="13"/>
        <v>450013269950</v>
      </c>
      <c r="Q859" s="7" cm="1">
        <f t="array" ref="Q859:S859">VLOOKUP(P859,Hoja1!C:F,{2,3,4},FALSE)</f>
        <v>46301</v>
      </c>
      <c r="R859" t="str">
        <v>C03</v>
      </c>
      <c r="S859" t="str">
        <v>1000000551 SADER AUTOPARTES S.A</v>
      </c>
    </row>
    <row r="860" spans="1:19" x14ac:dyDescent="0.3">
      <c r="A860" s="2" t="s">
        <v>14</v>
      </c>
      <c r="B860" s="3" t="s">
        <v>14</v>
      </c>
      <c r="C860" s="3" t="s">
        <v>901</v>
      </c>
      <c r="D860" s="3" t="s">
        <v>14</v>
      </c>
      <c r="E860" s="3" t="s">
        <v>466</v>
      </c>
      <c r="F860" s="4">
        <v>46218</v>
      </c>
      <c r="G860" s="3" t="s">
        <v>17</v>
      </c>
      <c r="H860" s="5">
        <v>-12396.69</v>
      </c>
      <c r="I860" s="3" t="s">
        <v>18</v>
      </c>
      <c r="J860" s="3" t="s">
        <v>14</v>
      </c>
      <c r="K860" s="3" t="s">
        <v>14</v>
      </c>
      <c r="L860" s="3" t="s">
        <v>433</v>
      </c>
      <c r="M860" s="4">
        <v>46220</v>
      </c>
      <c r="N860" s="3" t="s">
        <v>902</v>
      </c>
      <c r="O860" s="3" t="s">
        <v>141</v>
      </c>
      <c r="P860" t="str">
        <f t="shared" si="13"/>
        <v>450013269960</v>
      </c>
      <c r="Q860" s="7" cm="1">
        <f t="array" ref="Q860:S860">VLOOKUP(P860,Hoja1!C:F,{2,3,4},FALSE)</f>
        <v>46223</v>
      </c>
      <c r="R860" t="str">
        <v>C03</v>
      </c>
      <c r="S860" t="str">
        <v>1000000551 SADER AUTOPARTES S.A</v>
      </c>
    </row>
    <row r="861" spans="1:19" x14ac:dyDescent="0.3">
      <c r="A861" s="2" t="s">
        <v>14</v>
      </c>
      <c r="B861" s="3" t="s">
        <v>14</v>
      </c>
      <c r="C861" s="3" t="s">
        <v>903</v>
      </c>
      <c r="D861" s="3" t="s">
        <v>14</v>
      </c>
      <c r="E861" s="3" t="s">
        <v>466</v>
      </c>
      <c r="F861" s="4">
        <v>46220</v>
      </c>
      <c r="G861" s="3" t="s">
        <v>17</v>
      </c>
      <c r="H861" s="5">
        <v>-115000</v>
      </c>
      <c r="I861" s="3" t="s">
        <v>18</v>
      </c>
      <c r="J861" s="3" t="s">
        <v>14</v>
      </c>
      <c r="K861" s="3" t="s">
        <v>14</v>
      </c>
      <c r="L861" s="3" t="s">
        <v>904</v>
      </c>
      <c r="M861" s="4">
        <v>46220</v>
      </c>
      <c r="N861" s="3" t="s">
        <v>905</v>
      </c>
      <c r="O861" s="3" t="s">
        <v>30</v>
      </c>
      <c r="P861" t="str">
        <f t="shared" si="13"/>
        <v>450013085910</v>
      </c>
      <c r="Q861" s="7" cm="1">
        <f t="array" ref="Q861:S861">VLOOKUP(P861,Hoja1!C:F,{2,3,4},FALSE)</f>
        <v>46224</v>
      </c>
      <c r="R861" t="str">
        <v>C38</v>
      </c>
      <c r="S861" t="str">
        <v>1000009559 ELECTROMECANICA OMAR S.R.L.</v>
      </c>
    </row>
    <row r="862" spans="1:19" x14ac:dyDescent="0.3">
      <c r="A862" s="2" t="s">
        <v>14</v>
      </c>
      <c r="B862" s="3" t="s">
        <v>14</v>
      </c>
      <c r="C862" s="3" t="s">
        <v>906</v>
      </c>
      <c r="D862" s="3" t="s">
        <v>14</v>
      </c>
      <c r="E862" s="3" t="s">
        <v>466</v>
      </c>
      <c r="F862" s="4">
        <v>46220</v>
      </c>
      <c r="G862" s="3" t="s">
        <v>17</v>
      </c>
      <c r="H862" s="5">
        <v>-400353</v>
      </c>
      <c r="I862" s="3" t="s">
        <v>18</v>
      </c>
      <c r="J862" s="3" t="s">
        <v>14</v>
      </c>
      <c r="K862" s="3" t="s">
        <v>14</v>
      </c>
      <c r="L862" s="3" t="s">
        <v>904</v>
      </c>
      <c r="M862" s="4">
        <v>46220</v>
      </c>
      <c r="N862" s="3" t="s">
        <v>907</v>
      </c>
      <c r="O862" s="3" t="s">
        <v>30</v>
      </c>
      <c r="P862" t="str">
        <f t="shared" si="13"/>
        <v>450013209410</v>
      </c>
      <c r="Q862" s="7" cm="1">
        <f t="array" ref="Q862:S862">VLOOKUP(P862,Hoja1!C:F,{2,3,4},FALSE)</f>
        <v>46581</v>
      </c>
      <c r="R862" t="str">
        <v>C38</v>
      </c>
      <c r="S862" t="str">
        <v>1000009559 ELECTROMECANICA OMAR S.R.L.</v>
      </c>
    </row>
    <row r="863" spans="1:19" x14ac:dyDescent="0.3">
      <c r="A863" s="2" t="s">
        <v>14</v>
      </c>
      <c r="B863" s="3" t="s">
        <v>14</v>
      </c>
      <c r="C863" s="3" t="s">
        <v>908</v>
      </c>
      <c r="D863" s="3" t="s">
        <v>14</v>
      </c>
      <c r="E863" s="3" t="s">
        <v>466</v>
      </c>
      <c r="F863" s="4">
        <v>46220</v>
      </c>
      <c r="G863" s="3" t="s">
        <v>17</v>
      </c>
      <c r="H863" s="5">
        <v>-64218.96</v>
      </c>
      <c r="I863" s="3" t="s">
        <v>18</v>
      </c>
      <c r="J863" s="3" t="s">
        <v>14</v>
      </c>
      <c r="K863" s="3" t="s">
        <v>14</v>
      </c>
      <c r="L863" s="3" t="s">
        <v>909</v>
      </c>
      <c r="M863" s="4">
        <v>46220</v>
      </c>
      <c r="N863" s="3" t="s">
        <v>910</v>
      </c>
      <c r="O863" s="3" t="s">
        <v>30</v>
      </c>
      <c r="P863" t="str">
        <f t="shared" si="13"/>
        <v>450013301410</v>
      </c>
      <c r="Q863" s="7" cm="1">
        <f t="array" ref="Q863:S863">VLOOKUP(P863,Hoja1!C:F,{2,3,4},FALSE)</f>
        <v>46228</v>
      </c>
      <c r="R863" t="str">
        <v>C42</v>
      </c>
      <c r="S863" t="str">
        <v>1000009691 PINTURERIAS DIN COLOR S. A.</v>
      </c>
    </row>
    <row r="864" spans="1:19" x14ac:dyDescent="0.3">
      <c r="A864" s="2" t="s">
        <v>14</v>
      </c>
      <c r="B864" s="3" t="s">
        <v>14</v>
      </c>
      <c r="C864" s="3" t="s">
        <v>911</v>
      </c>
      <c r="D864" s="3" t="s">
        <v>14</v>
      </c>
      <c r="E864" s="3" t="s">
        <v>466</v>
      </c>
      <c r="F864" s="4">
        <v>46220</v>
      </c>
      <c r="G864" s="3" t="s">
        <v>17</v>
      </c>
      <c r="H864" s="5">
        <v>-65500</v>
      </c>
      <c r="I864" s="3" t="s">
        <v>18</v>
      </c>
      <c r="J864" s="3" t="s">
        <v>14</v>
      </c>
      <c r="K864" s="3" t="s">
        <v>14</v>
      </c>
      <c r="L864" s="3" t="s">
        <v>912</v>
      </c>
      <c r="M864" s="4">
        <v>46220</v>
      </c>
      <c r="N864" s="3" t="s">
        <v>913</v>
      </c>
      <c r="O864" s="3" t="s">
        <v>30</v>
      </c>
      <c r="P864" t="str">
        <f t="shared" si="13"/>
        <v>450013299010</v>
      </c>
      <c r="Q864" s="7" cm="1">
        <f t="array" ref="Q864:S864">VLOOKUP(P864,Hoja1!C:F,{2,3,4},FALSE)</f>
        <v>46577</v>
      </c>
      <c r="R864" t="str">
        <v>C38</v>
      </c>
      <c r="S864" t="str">
        <v>1000009217 PITTACOLO WALTER Y PITTACOLO JUAN</v>
      </c>
    </row>
    <row r="865" spans="1:19" x14ac:dyDescent="0.3">
      <c r="A865" s="2" t="s">
        <v>14</v>
      </c>
      <c r="B865" s="3" t="s">
        <v>14</v>
      </c>
      <c r="C865" s="3" t="s">
        <v>914</v>
      </c>
      <c r="D865" s="3" t="s">
        <v>14</v>
      </c>
      <c r="E865" s="3" t="s">
        <v>466</v>
      </c>
      <c r="F865" s="4">
        <v>46221</v>
      </c>
      <c r="G865" s="3" t="s">
        <v>17</v>
      </c>
      <c r="H865" s="5">
        <v>-215000</v>
      </c>
      <c r="I865" s="3" t="s">
        <v>18</v>
      </c>
      <c r="J865" s="3" t="s">
        <v>14</v>
      </c>
      <c r="K865" s="3" t="s">
        <v>14</v>
      </c>
      <c r="L865" s="3" t="s">
        <v>915</v>
      </c>
      <c r="M865" s="4">
        <v>46221</v>
      </c>
      <c r="N865" s="3" t="s">
        <v>916</v>
      </c>
      <c r="O865" s="3" t="s">
        <v>30</v>
      </c>
      <c r="P865" t="str">
        <f t="shared" si="13"/>
        <v>450012963210</v>
      </c>
      <c r="Q865" s="7" cm="1">
        <f t="array" ref="Q865:S865">VLOOKUP(P865,Hoja1!C:F,{2,3,4},FALSE)</f>
        <v>46190</v>
      </c>
      <c r="R865" t="str">
        <v>EFO</v>
      </c>
      <c r="S865" t="str">
        <v>1000013162 MADRYN REPUESTOS Y SERVICIOS SAS</v>
      </c>
    </row>
    <row r="866" spans="1:19" x14ac:dyDescent="0.3">
      <c r="A866" s="2" t="s">
        <v>14</v>
      </c>
      <c r="B866" s="3" t="s">
        <v>14</v>
      </c>
      <c r="C866" s="3" t="s">
        <v>917</v>
      </c>
      <c r="D866" s="3" t="s">
        <v>32</v>
      </c>
      <c r="E866" s="3" t="s">
        <v>466</v>
      </c>
      <c r="F866" s="4">
        <v>45898</v>
      </c>
      <c r="G866" s="3" t="s">
        <v>27</v>
      </c>
      <c r="H866" s="6">
        <v>286205.52</v>
      </c>
      <c r="I866" s="3" t="s">
        <v>18</v>
      </c>
      <c r="J866" s="3" t="s">
        <v>14</v>
      </c>
      <c r="K866" s="3" t="s">
        <v>14</v>
      </c>
      <c r="L866" s="3" t="s">
        <v>918</v>
      </c>
      <c r="M866" s="4">
        <v>45898</v>
      </c>
      <c r="N866" s="3" t="s">
        <v>919</v>
      </c>
      <c r="O866" s="3" t="s">
        <v>30</v>
      </c>
      <c r="P866" t="str">
        <f t="shared" si="13"/>
        <v>450010723410</v>
      </c>
      <c r="Q866" s="7" cm="1">
        <f t="array" ref="Q866:S866">VLOOKUP(P866,Hoja1!C:F,{2,3,4},FALSE)</f>
        <v>45903</v>
      </c>
      <c r="R866" t="str">
        <v>C07</v>
      </c>
      <c r="S866" t="str">
        <v>1000006943 SIDERCHAP S.A.</v>
      </c>
    </row>
    <row r="867" spans="1:19" x14ac:dyDescent="0.3">
      <c r="A867" s="2" t="s">
        <v>14</v>
      </c>
      <c r="B867" s="3" t="s">
        <v>14</v>
      </c>
      <c r="C867" s="3" t="s">
        <v>920</v>
      </c>
      <c r="D867" s="3" t="s">
        <v>14</v>
      </c>
      <c r="E867" s="3" t="s">
        <v>466</v>
      </c>
      <c r="F867" s="4">
        <v>46224</v>
      </c>
      <c r="G867" s="3" t="s">
        <v>17</v>
      </c>
      <c r="H867" s="5">
        <v>-221475</v>
      </c>
      <c r="I867" s="3" t="s">
        <v>18</v>
      </c>
      <c r="J867" s="3" t="s">
        <v>14</v>
      </c>
      <c r="K867" s="3" t="s">
        <v>14</v>
      </c>
      <c r="L867" s="3" t="s">
        <v>269</v>
      </c>
      <c r="M867" s="4">
        <v>46224</v>
      </c>
      <c r="N867" s="3" t="s">
        <v>921</v>
      </c>
      <c r="O867" s="3" t="s">
        <v>22</v>
      </c>
      <c r="P867" t="str">
        <f t="shared" si="13"/>
        <v>450013260420</v>
      </c>
      <c r="Q867" s="7" cm="1">
        <f t="array" ref="Q867:S867">VLOOKUP(P867,Hoja1!C:F,{2,3,4},FALSE)</f>
        <v>46231</v>
      </c>
      <c r="R867" t="str">
        <v>C03</v>
      </c>
      <c r="S867" t="str">
        <v>1000000190 FERNANDEZ INSUA S.A.</v>
      </c>
    </row>
    <row r="868" spans="1:19" x14ac:dyDescent="0.3">
      <c r="A868" s="2" t="s">
        <v>14</v>
      </c>
      <c r="B868" s="3" t="s">
        <v>14</v>
      </c>
      <c r="C868" s="3" t="s">
        <v>920</v>
      </c>
      <c r="D868" s="3" t="s">
        <v>14</v>
      </c>
      <c r="E868" s="3" t="s">
        <v>466</v>
      </c>
      <c r="F868" s="4">
        <v>46224</v>
      </c>
      <c r="G868" s="3" t="s">
        <v>17</v>
      </c>
      <c r="H868" s="5">
        <v>-118120</v>
      </c>
      <c r="I868" s="3" t="s">
        <v>18</v>
      </c>
      <c r="J868" s="3" t="s">
        <v>14</v>
      </c>
      <c r="K868" s="3" t="s">
        <v>14</v>
      </c>
      <c r="L868" s="3" t="s">
        <v>269</v>
      </c>
      <c r="M868" s="4">
        <v>46224</v>
      </c>
      <c r="N868" s="3" t="s">
        <v>921</v>
      </c>
      <c r="O868" s="3" t="s">
        <v>35</v>
      </c>
      <c r="P868" t="str">
        <f t="shared" si="13"/>
        <v>450013260430</v>
      </c>
      <c r="Q868" s="7" cm="1">
        <f t="array" ref="Q868:S868">VLOOKUP(P868,Hoja1!C:F,{2,3,4},FALSE)</f>
        <v>46301</v>
      </c>
      <c r="R868" t="str">
        <v>C03</v>
      </c>
      <c r="S868" t="str">
        <v>1000000190 FERNANDEZ INSUA S.A.</v>
      </c>
    </row>
    <row r="869" spans="1:19" x14ac:dyDescent="0.3">
      <c r="A869" s="2" t="s">
        <v>14</v>
      </c>
      <c r="B869" s="3" t="s">
        <v>14</v>
      </c>
      <c r="C869" s="3" t="s">
        <v>920</v>
      </c>
      <c r="D869" s="3" t="s">
        <v>14</v>
      </c>
      <c r="E869" s="3" t="s">
        <v>466</v>
      </c>
      <c r="F869" s="4">
        <v>46224</v>
      </c>
      <c r="G869" s="3" t="s">
        <v>17</v>
      </c>
      <c r="H869" s="5">
        <v>-590600</v>
      </c>
      <c r="I869" s="3" t="s">
        <v>18</v>
      </c>
      <c r="J869" s="3" t="s">
        <v>14</v>
      </c>
      <c r="K869" s="3" t="s">
        <v>14</v>
      </c>
      <c r="L869" s="3" t="s">
        <v>269</v>
      </c>
      <c r="M869" s="4">
        <v>46224</v>
      </c>
      <c r="N869" s="3" t="s">
        <v>921</v>
      </c>
      <c r="O869" s="3" t="s">
        <v>144</v>
      </c>
      <c r="P869" t="str">
        <f t="shared" si="13"/>
        <v>450013260450</v>
      </c>
      <c r="Q869" s="7" cm="1">
        <f t="array" ref="Q869:S869">VLOOKUP(P869,Hoja1!C:F,{2,3,4},FALSE)</f>
        <v>46231</v>
      </c>
      <c r="R869" t="str">
        <v>C03</v>
      </c>
      <c r="S869" t="str">
        <v>1000000190 FERNANDEZ INSUA S.A.</v>
      </c>
    </row>
    <row r="870" spans="1:19" x14ac:dyDescent="0.3">
      <c r="A870" s="2" t="s">
        <v>14</v>
      </c>
      <c r="B870" s="3" t="s">
        <v>14</v>
      </c>
      <c r="C870" s="3" t="s">
        <v>920</v>
      </c>
      <c r="D870" s="3" t="s">
        <v>14</v>
      </c>
      <c r="E870" s="3" t="s">
        <v>466</v>
      </c>
      <c r="F870" s="4">
        <v>46224</v>
      </c>
      <c r="G870" s="3" t="s">
        <v>17</v>
      </c>
      <c r="H870" s="5">
        <v>-738250</v>
      </c>
      <c r="I870" s="3" t="s">
        <v>18</v>
      </c>
      <c r="J870" s="3" t="s">
        <v>14</v>
      </c>
      <c r="K870" s="3" t="s">
        <v>14</v>
      </c>
      <c r="L870" s="3" t="s">
        <v>269</v>
      </c>
      <c r="M870" s="4">
        <v>46224</v>
      </c>
      <c r="N870" s="3" t="s">
        <v>921</v>
      </c>
      <c r="O870" s="3" t="s">
        <v>134</v>
      </c>
      <c r="P870" t="str">
        <f t="shared" si="13"/>
        <v>450013260470</v>
      </c>
      <c r="Q870" s="7" cm="1">
        <f t="array" ref="Q870:S870">VLOOKUP(P870,Hoja1!C:F,{2,3,4},FALSE)</f>
        <v>46231</v>
      </c>
      <c r="R870" t="str">
        <v>C03</v>
      </c>
      <c r="S870" t="str">
        <v>1000000190 FERNANDEZ INSUA S.A.</v>
      </c>
    </row>
    <row r="871" spans="1:19" x14ac:dyDescent="0.3">
      <c r="A871" s="2" t="s">
        <v>14</v>
      </c>
      <c r="B871" s="3" t="s">
        <v>14</v>
      </c>
      <c r="C871" s="3" t="s">
        <v>920</v>
      </c>
      <c r="D871" s="3" t="s">
        <v>14</v>
      </c>
      <c r="E871" s="3" t="s">
        <v>466</v>
      </c>
      <c r="F871" s="4">
        <v>46224</v>
      </c>
      <c r="G871" s="3" t="s">
        <v>17</v>
      </c>
      <c r="H871" s="5">
        <v>-38389</v>
      </c>
      <c r="I871" s="3" t="s">
        <v>18</v>
      </c>
      <c r="J871" s="3" t="s">
        <v>14</v>
      </c>
      <c r="K871" s="3" t="s">
        <v>14</v>
      </c>
      <c r="L871" s="3" t="s">
        <v>269</v>
      </c>
      <c r="M871" s="4">
        <v>46224</v>
      </c>
      <c r="N871" s="3" t="s">
        <v>921</v>
      </c>
      <c r="O871" s="3" t="s">
        <v>45</v>
      </c>
      <c r="P871" t="str">
        <f t="shared" si="13"/>
        <v>4500132604100</v>
      </c>
      <c r="Q871" s="7" cm="1">
        <f t="array" ref="Q871:S871">VLOOKUP(P871,Hoja1!C:F,{2,3,4},FALSE)</f>
        <v>46231</v>
      </c>
      <c r="R871" t="str">
        <v>C03</v>
      </c>
      <c r="S871" t="str">
        <v>1000000190 FERNANDEZ INSUA S.A.</v>
      </c>
    </row>
    <row r="872" spans="1:19" x14ac:dyDescent="0.3">
      <c r="A872" s="2" t="s">
        <v>14</v>
      </c>
      <c r="B872" s="3" t="s">
        <v>14</v>
      </c>
      <c r="C872" s="3" t="s">
        <v>922</v>
      </c>
      <c r="D872" s="3" t="s">
        <v>14</v>
      </c>
      <c r="E872" s="3" t="s">
        <v>466</v>
      </c>
      <c r="F872" s="4">
        <v>46224</v>
      </c>
      <c r="G872" s="3" t="s">
        <v>17</v>
      </c>
      <c r="H872" s="5">
        <v>-476368.2</v>
      </c>
      <c r="I872" s="3" t="s">
        <v>18</v>
      </c>
      <c r="J872" s="3" t="s">
        <v>14</v>
      </c>
      <c r="K872" s="3" t="s">
        <v>14</v>
      </c>
      <c r="L872" s="3" t="s">
        <v>340</v>
      </c>
      <c r="M872" s="4">
        <v>46225</v>
      </c>
      <c r="N872" s="3" t="s">
        <v>923</v>
      </c>
      <c r="O872" s="3" t="s">
        <v>30</v>
      </c>
      <c r="P872" t="str">
        <f t="shared" si="13"/>
        <v>450013290810</v>
      </c>
      <c r="Q872" s="7" cm="1">
        <f t="array" ref="Q872:S872">VLOOKUP(P872,Hoja1!C:F,{2,3,4},FALSE)</f>
        <v>46230</v>
      </c>
      <c r="R872" t="str">
        <v>F06</v>
      </c>
      <c r="S872" t="str">
        <v>1000000062 FINNING ARGENTINA S.A.</v>
      </c>
    </row>
    <row r="873" spans="1:19" x14ac:dyDescent="0.3">
      <c r="A873" s="2" t="s">
        <v>14</v>
      </c>
      <c r="B873" s="3" t="s">
        <v>14</v>
      </c>
      <c r="C873" s="3" t="s">
        <v>922</v>
      </c>
      <c r="D873" s="3" t="s">
        <v>14</v>
      </c>
      <c r="E873" s="3" t="s">
        <v>466</v>
      </c>
      <c r="F873" s="4">
        <v>46224</v>
      </c>
      <c r="G873" s="3" t="s">
        <v>17</v>
      </c>
      <c r="H873" s="5">
        <v>-187071</v>
      </c>
      <c r="I873" s="3" t="s">
        <v>18</v>
      </c>
      <c r="J873" s="3" t="s">
        <v>14</v>
      </c>
      <c r="K873" s="3" t="s">
        <v>14</v>
      </c>
      <c r="L873" s="3" t="s">
        <v>340</v>
      </c>
      <c r="M873" s="4">
        <v>46225</v>
      </c>
      <c r="N873" s="3" t="s">
        <v>923</v>
      </c>
      <c r="O873" s="3" t="s">
        <v>22</v>
      </c>
      <c r="P873" t="str">
        <f t="shared" si="13"/>
        <v>450013290820</v>
      </c>
      <c r="Q873" s="7" cm="1">
        <f t="array" ref="Q873:S873">VLOOKUP(P873,Hoja1!C:F,{2,3,4},FALSE)</f>
        <v>46230</v>
      </c>
      <c r="R873" t="str">
        <v>F06</v>
      </c>
      <c r="S873" t="str">
        <v>1000000062 FINNING ARGENTINA S.A.</v>
      </c>
    </row>
    <row r="874" spans="1:19" x14ac:dyDescent="0.3">
      <c r="A874" s="2" t="s">
        <v>14</v>
      </c>
      <c r="B874" s="3" t="s">
        <v>14</v>
      </c>
      <c r="C874" s="3" t="s">
        <v>922</v>
      </c>
      <c r="D874" s="3" t="s">
        <v>14</v>
      </c>
      <c r="E874" s="3" t="s">
        <v>466</v>
      </c>
      <c r="F874" s="4">
        <v>46224</v>
      </c>
      <c r="G874" s="3" t="s">
        <v>17</v>
      </c>
      <c r="H874" s="5">
        <v>-478400.94</v>
      </c>
      <c r="I874" s="3" t="s">
        <v>18</v>
      </c>
      <c r="J874" s="3" t="s">
        <v>14</v>
      </c>
      <c r="K874" s="3" t="s">
        <v>14</v>
      </c>
      <c r="L874" s="3" t="s">
        <v>340</v>
      </c>
      <c r="M874" s="4">
        <v>46225</v>
      </c>
      <c r="N874" s="3" t="s">
        <v>923</v>
      </c>
      <c r="O874" s="3" t="s">
        <v>35</v>
      </c>
      <c r="P874" t="str">
        <f t="shared" si="13"/>
        <v>450013290830</v>
      </c>
      <c r="Q874" s="7" cm="1">
        <f t="array" ref="Q874:S874">VLOOKUP(P874,Hoja1!C:F,{2,3,4},FALSE)</f>
        <v>46230</v>
      </c>
      <c r="R874" t="str">
        <v>F06</v>
      </c>
      <c r="S874" t="str">
        <v>1000000062 FINNING ARGENTINA S.A.</v>
      </c>
    </row>
    <row r="875" spans="1:19" x14ac:dyDescent="0.3">
      <c r="A875" s="2" t="s">
        <v>14</v>
      </c>
      <c r="B875" s="3" t="s">
        <v>14</v>
      </c>
      <c r="C875" s="3" t="s">
        <v>922</v>
      </c>
      <c r="D875" s="3" t="s">
        <v>14</v>
      </c>
      <c r="E875" s="3" t="s">
        <v>466</v>
      </c>
      <c r="F875" s="4">
        <v>46224</v>
      </c>
      <c r="G875" s="3" t="s">
        <v>17</v>
      </c>
      <c r="H875" s="5">
        <v>-147373.65</v>
      </c>
      <c r="I875" s="3" t="s">
        <v>18</v>
      </c>
      <c r="J875" s="3" t="s">
        <v>14</v>
      </c>
      <c r="K875" s="3" t="s">
        <v>14</v>
      </c>
      <c r="L875" s="3" t="s">
        <v>340</v>
      </c>
      <c r="M875" s="4">
        <v>46225</v>
      </c>
      <c r="N875" s="3" t="s">
        <v>923</v>
      </c>
      <c r="O875" s="3" t="s">
        <v>23</v>
      </c>
      <c r="P875" t="str">
        <f t="shared" si="13"/>
        <v>450013290840</v>
      </c>
      <c r="Q875" s="7" cm="1">
        <f t="array" ref="Q875:S875">VLOOKUP(P875,Hoja1!C:F,{2,3,4},FALSE)</f>
        <v>46230</v>
      </c>
      <c r="R875" t="str">
        <v>F06</v>
      </c>
      <c r="S875" t="str">
        <v>1000000062 FINNING ARGENTINA S.A.</v>
      </c>
    </row>
    <row r="876" spans="1:19" x14ac:dyDescent="0.3">
      <c r="A876" s="2" t="s">
        <v>14</v>
      </c>
      <c r="B876" s="3" t="s">
        <v>14</v>
      </c>
      <c r="C876" s="3" t="s">
        <v>922</v>
      </c>
      <c r="D876" s="3" t="s">
        <v>14</v>
      </c>
      <c r="E876" s="3" t="s">
        <v>466</v>
      </c>
      <c r="F876" s="4">
        <v>46224</v>
      </c>
      <c r="G876" s="3" t="s">
        <v>17</v>
      </c>
      <c r="H876" s="5">
        <v>-193670.04</v>
      </c>
      <c r="I876" s="3" t="s">
        <v>18</v>
      </c>
      <c r="J876" s="3" t="s">
        <v>14</v>
      </c>
      <c r="K876" s="3" t="s">
        <v>14</v>
      </c>
      <c r="L876" s="3" t="s">
        <v>340</v>
      </c>
      <c r="M876" s="4">
        <v>46225</v>
      </c>
      <c r="N876" s="3" t="s">
        <v>923</v>
      </c>
      <c r="O876" s="3" t="s">
        <v>144</v>
      </c>
      <c r="P876" t="str">
        <f t="shared" si="13"/>
        <v>450013290850</v>
      </c>
      <c r="Q876" s="7" cm="1">
        <f t="array" ref="Q876:S876">VLOOKUP(P876,Hoja1!C:F,{2,3,4},FALSE)</f>
        <v>46230</v>
      </c>
      <c r="R876" t="str">
        <v>F06</v>
      </c>
      <c r="S876" t="str">
        <v>1000000062 FINNING ARGENTINA S.A.</v>
      </c>
    </row>
    <row r="877" spans="1:19" x14ac:dyDescent="0.3">
      <c r="A877" s="2" t="s">
        <v>14</v>
      </c>
      <c r="B877" s="3" t="s">
        <v>14</v>
      </c>
      <c r="C877" s="3" t="s">
        <v>922</v>
      </c>
      <c r="D877" s="3" t="s">
        <v>14</v>
      </c>
      <c r="E877" s="3" t="s">
        <v>466</v>
      </c>
      <c r="F877" s="4">
        <v>46224</v>
      </c>
      <c r="G877" s="3" t="s">
        <v>17</v>
      </c>
      <c r="H877" s="5">
        <v>-233323.2</v>
      </c>
      <c r="I877" s="3" t="s">
        <v>18</v>
      </c>
      <c r="J877" s="3" t="s">
        <v>14</v>
      </c>
      <c r="K877" s="3" t="s">
        <v>14</v>
      </c>
      <c r="L877" s="3" t="s">
        <v>340</v>
      </c>
      <c r="M877" s="4">
        <v>46225</v>
      </c>
      <c r="N877" s="3" t="s">
        <v>923</v>
      </c>
      <c r="O877" s="3" t="s">
        <v>141</v>
      </c>
      <c r="P877" t="str">
        <f t="shared" si="13"/>
        <v>450013290860</v>
      </c>
      <c r="Q877" s="7" cm="1">
        <f t="array" ref="Q877:S877">VLOOKUP(P877,Hoja1!C:F,{2,3,4},FALSE)</f>
        <v>46230</v>
      </c>
      <c r="R877" t="str">
        <v>F06</v>
      </c>
      <c r="S877" t="str">
        <v>1000000062 FINNING ARGENTINA S.A.</v>
      </c>
    </row>
    <row r="878" spans="1:19" x14ac:dyDescent="0.3">
      <c r="A878" s="2" t="s">
        <v>14</v>
      </c>
      <c r="B878" s="3" t="s">
        <v>14</v>
      </c>
      <c r="C878" s="3" t="s">
        <v>922</v>
      </c>
      <c r="D878" s="3" t="s">
        <v>14</v>
      </c>
      <c r="E878" s="3" t="s">
        <v>466</v>
      </c>
      <c r="F878" s="4">
        <v>46224</v>
      </c>
      <c r="G878" s="3" t="s">
        <v>17</v>
      </c>
      <c r="H878" s="5">
        <v>-410849.16</v>
      </c>
      <c r="I878" s="3" t="s">
        <v>18</v>
      </c>
      <c r="J878" s="3" t="s">
        <v>14</v>
      </c>
      <c r="K878" s="3" t="s">
        <v>14</v>
      </c>
      <c r="L878" s="3" t="s">
        <v>340</v>
      </c>
      <c r="M878" s="4">
        <v>46225</v>
      </c>
      <c r="N878" s="3" t="s">
        <v>923</v>
      </c>
      <c r="O878" s="3" t="s">
        <v>52</v>
      </c>
      <c r="P878" t="str">
        <f t="shared" si="13"/>
        <v>450013290880</v>
      </c>
      <c r="Q878" s="7" cm="1">
        <f t="array" ref="Q878:S878">VLOOKUP(P878,Hoja1!C:F,{2,3,4},FALSE)</f>
        <v>46230</v>
      </c>
      <c r="R878" t="str">
        <v>F06</v>
      </c>
      <c r="S878" t="str">
        <v>1000000062 FINNING ARGENTINA S.A.</v>
      </c>
    </row>
    <row r="879" spans="1:19" x14ac:dyDescent="0.3">
      <c r="A879" s="2" t="s">
        <v>14</v>
      </c>
      <c r="B879" s="3" t="s">
        <v>14</v>
      </c>
      <c r="C879" s="3" t="s">
        <v>922</v>
      </c>
      <c r="D879" s="3" t="s">
        <v>14</v>
      </c>
      <c r="E879" s="3" t="s">
        <v>466</v>
      </c>
      <c r="F879" s="4">
        <v>46224</v>
      </c>
      <c r="G879" s="3" t="s">
        <v>17</v>
      </c>
      <c r="H879" s="5">
        <v>-722182.44</v>
      </c>
      <c r="I879" s="3" t="s">
        <v>18</v>
      </c>
      <c r="J879" s="3" t="s">
        <v>14</v>
      </c>
      <c r="K879" s="3" t="s">
        <v>14</v>
      </c>
      <c r="L879" s="3" t="s">
        <v>340</v>
      </c>
      <c r="M879" s="4">
        <v>46225</v>
      </c>
      <c r="N879" s="3" t="s">
        <v>923</v>
      </c>
      <c r="O879" s="3" t="s">
        <v>138</v>
      </c>
      <c r="P879" t="str">
        <f t="shared" si="13"/>
        <v>450013290890</v>
      </c>
      <c r="Q879" s="7" cm="1">
        <f t="array" ref="Q879:S879">VLOOKUP(P879,Hoja1!C:F,{2,3,4},FALSE)</f>
        <v>46230</v>
      </c>
      <c r="R879" t="str">
        <v>F06</v>
      </c>
      <c r="S879" t="str">
        <v>1000000062 FINNING ARGENTINA S.A.</v>
      </c>
    </row>
    <row r="880" spans="1:19" x14ac:dyDescent="0.3">
      <c r="A880" s="2" t="s">
        <v>14</v>
      </c>
      <c r="B880" s="3" t="s">
        <v>14</v>
      </c>
      <c r="C880" s="3" t="s">
        <v>924</v>
      </c>
      <c r="D880" s="3" t="s">
        <v>14</v>
      </c>
      <c r="E880" s="3" t="s">
        <v>466</v>
      </c>
      <c r="F880" s="4">
        <v>46225</v>
      </c>
      <c r="G880" s="3" t="s">
        <v>17</v>
      </c>
      <c r="H880" s="5">
        <v>-1241.94</v>
      </c>
      <c r="I880" s="3" t="s">
        <v>18</v>
      </c>
      <c r="J880" s="3" t="s">
        <v>14</v>
      </c>
      <c r="K880" s="3" t="s">
        <v>14</v>
      </c>
      <c r="L880" s="3" t="s">
        <v>575</v>
      </c>
      <c r="M880" s="4">
        <v>46226</v>
      </c>
      <c r="N880" s="3" t="s">
        <v>925</v>
      </c>
      <c r="O880" s="3" t="s">
        <v>22</v>
      </c>
      <c r="P880" t="str">
        <f t="shared" si="13"/>
        <v>450013260220</v>
      </c>
      <c r="Q880" s="7" cm="1">
        <f t="array" ref="Q880:S880">VLOOKUP(P880,Hoja1!C:F,{2,3,4},FALSE)</f>
        <v>46231</v>
      </c>
      <c r="R880" t="str">
        <v>C28</v>
      </c>
      <c r="S880" t="str">
        <v>1000000001 FERRETERA SAN LUIS</v>
      </c>
    </row>
    <row r="881" spans="1:19" x14ac:dyDescent="0.3">
      <c r="A881" s="2" t="s">
        <v>14</v>
      </c>
      <c r="B881" s="3" t="s">
        <v>14</v>
      </c>
      <c r="C881" s="3" t="s">
        <v>926</v>
      </c>
      <c r="D881" s="3" t="s">
        <v>14</v>
      </c>
      <c r="E881" s="3" t="s">
        <v>466</v>
      </c>
      <c r="F881" s="4">
        <v>46226</v>
      </c>
      <c r="G881" s="3" t="s">
        <v>17</v>
      </c>
      <c r="H881" s="5">
        <v>-73073.31</v>
      </c>
      <c r="I881" s="3" t="s">
        <v>18</v>
      </c>
      <c r="J881" s="3" t="s">
        <v>14</v>
      </c>
      <c r="K881" s="3" t="s">
        <v>14</v>
      </c>
      <c r="L881" s="3" t="s">
        <v>229</v>
      </c>
      <c r="M881" s="4">
        <v>46226</v>
      </c>
      <c r="N881" s="3" t="s">
        <v>927</v>
      </c>
      <c r="O881" s="3" t="s">
        <v>30</v>
      </c>
      <c r="P881" t="str">
        <f t="shared" si="13"/>
        <v>450013355510</v>
      </c>
      <c r="Q881" s="7" cm="1">
        <f t="array" ref="Q881:S881">VLOOKUP(P881,Hoja1!C:F,{2,3,4},FALSE)</f>
        <v>46230</v>
      </c>
      <c r="R881" t="str">
        <v>EFO</v>
      </c>
      <c r="S881" t="str">
        <v>1000001268 BULONERA FENIX S.R.L</v>
      </c>
    </row>
    <row r="882" spans="1:19" x14ac:dyDescent="0.3">
      <c r="A882" s="2" t="s">
        <v>14</v>
      </c>
      <c r="B882" s="3" t="s">
        <v>14</v>
      </c>
      <c r="C882" s="3" t="s">
        <v>928</v>
      </c>
      <c r="D882" s="3" t="s">
        <v>14</v>
      </c>
      <c r="E882" s="3" t="s">
        <v>466</v>
      </c>
      <c r="F882" s="4">
        <v>46227</v>
      </c>
      <c r="G882" s="3" t="s">
        <v>17</v>
      </c>
      <c r="H882" s="5">
        <v>-94228.4</v>
      </c>
      <c r="I882" s="3" t="s">
        <v>18</v>
      </c>
      <c r="J882" s="3" t="s">
        <v>14</v>
      </c>
      <c r="K882" s="3" t="s">
        <v>14</v>
      </c>
      <c r="L882" s="3" t="s">
        <v>88</v>
      </c>
      <c r="M882" s="4">
        <v>46227</v>
      </c>
      <c r="N882" s="3" t="s">
        <v>89</v>
      </c>
      <c r="O882" s="3" t="s">
        <v>30</v>
      </c>
      <c r="P882" t="str">
        <f t="shared" si="13"/>
        <v>450011990410</v>
      </c>
      <c r="Q882" s="7" cm="1">
        <f t="array" ref="Q882:S882">VLOOKUP(P882,Hoja1!C:F,{2,3,4},FALSE)</f>
        <v>46284</v>
      </c>
      <c r="R882" t="str">
        <v>C21</v>
      </c>
      <c r="S882" t="str">
        <v>1000004906 FERRARO Y CIA S.A.</v>
      </c>
    </row>
    <row r="883" spans="1:19" x14ac:dyDescent="0.3">
      <c r="A883" s="2" t="s">
        <v>14</v>
      </c>
      <c r="B883" s="3" t="s">
        <v>14</v>
      </c>
      <c r="C883" s="3" t="s">
        <v>928</v>
      </c>
      <c r="D883" s="3" t="s">
        <v>14</v>
      </c>
      <c r="E883" s="3" t="s">
        <v>466</v>
      </c>
      <c r="F883" s="4">
        <v>46227</v>
      </c>
      <c r="G883" s="3" t="s">
        <v>17</v>
      </c>
      <c r="H883" s="5">
        <v>-1676.5</v>
      </c>
      <c r="I883" s="3" t="s">
        <v>18</v>
      </c>
      <c r="J883" s="3" t="s">
        <v>14</v>
      </c>
      <c r="K883" s="3" t="s">
        <v>14</v>
      </c>
      <c r="L883" s="3" t="s">
        <v>88</v>
      </c>
      <c r="M883" s="4">
        <v>46227</v>
      </c>
      <c r="N883" s="3" t="s">
        <v>89</v>
      </c>
      <c r="O883" s="3" t="s">
        <v>30</v>
      </c>
      <c r="P883" t="str">
        <f t="shared" si="13"/>
        <v>450011990410</v>
      </c>
      <c r="Q883" s="7" cm="1">
        <f t="array" ref="Q883:S883">VLOOKUP(P883,Hoja1!C:F,{2,3,4},FALSE)</f>
        <v>46284</v>
      </c>
      <c r="R883" t="str">
        <v>C21</v>
      </c>
      <c r="S883" t="str">
        <v>1000004906 FERRARO Y CIA S.A.</v>
      </c>
    </row>
    <row r="884" spans="1:19" x14ac:dyDescent="0.3">
      <c r="A884" s="2" t="s">
        <v>14</v>
      </c>
      <c r="B884" s="3" t="s">
        <v>14</v>
      </c>
      <c r="C884" s="3" t="s">
        <v>928</v>
      </c>
      <c r="D884" s="3" t="s">
        <v>14</v>
      </c>
      <c r="E884" s="3" t="s">
        <v>466</v>
      </c>
      <c r="F884" s="4">
        <v>46227</v>
      </c>
      <c r="G884" s="3" t="s">
        <v>17</v>
      </c>
      <c r="H884" s="5">
        <v>-14707</v>
      </c>
      <c r="I884" s="3" t="s">
        <v>18</v>
      </c>
      <c r="J884" s="3" t="s">
        <v>14</v>
      </c>
      <c r="K884" s="3" t="s">
        <v>14</v>
      </c>
      <c r="L884" s="3" t="s">
        <v>88</v>
      </c>
      <c r="M884" s="4">
        <v>46227</v>
      </c>
      <c r="N884" s="3" t="s">
        <v>89</v>
      </c>
      <c r="O884" s="3" t="s">
        <v>30</v>
      </c>
      <c r="P884" t="str">
        <f t="shared" si="13"/>
        <v>450011990410</v>
      </c>
      <c r="Q884" s="7" cm="1">
        <f t="array" ref="Q884:S884">VLOOKUP(P884,Hoja1!C:F,{2,3,4},FALSE)</f>
        <v>46284</v>
      </c>
      <c r="R884" t="str">
        <v>C21</v>
      </c>
      <c r="S884" t="str">
        <v>1000004906 FERRARO Y CIA S.A.</v>
      </c>
    </row>
    <row r="885" spans="1:19" x14ac:dyDescent="0.3">
      <c r="A885" s="2" t="s">
        <v>14</v>
      </c>
      <c r="B885" s="3" t="s">
        <v>14</v>
      </c>
      <c r="C885" s="3" t="s">
        <v>929</v>
      </c>
      <c r="D885" s="3" t="s">
        <v>32</v>
      </c>
      <c r="E885" s="3" t="s">
        <v>466</v>
      </c>
      <c r="F885" s="4">
        <v>46227</v>
      </c>
      <c r="G885" s="3" t="s">
        <v>17</v>
      </c>
      <c r="H885" s="5">
        <v>-150950.5</v>
      </c>
      <c r="I885" s="3" t="s">
        <v>18</v>
      </c>
      <c r="J885" s="3" t="s">
        <v>14</v>
      </c>
      <c r="K885" s="3" t="s">
        <v>14</v>
      </c>
      <c r="L885" s="3" t="s">
        <v>359</v>
      </c>
      <c r="M885" s="4">
        <v>46227</v>
      </c>
      <c r="N885" s="3" t="s">
        <v>930</v>
      </c>
      <c r="O885" s="3" t="s">
        <v>30</v>
      </c>
      <c r="P885" t="str">
        <f t="shared" si="13"/>
        <v>450012865710</v>
      </c>
      <c r="Q885" s="7" cm="1">
        <f t="array" ref="Q885:S885">VLOOKUP(P885,Hoja1!C:F,{2,3,4},FALSE)</f>
        <v>46387</v>
      </c>
      <c r="R885" t="str">
        <v>C15</v>
      </c>
      <c r="S885" t="str">
        <v>1000011965 DIRECTO SUR S. R. L.</v>
      </c>
    </row>
    <row r="886" spans="1:19" x14ac:dyDescent="0.3">
      <c r="A886" s="2" t="s">
        <v>14</v>
      </c>
      <c r="B886" s="3" t="s">
        <v>14</v>
      </c>
      <c r="C886" s="3" t="s">
        <v>931</v>
      </c>
      <c r="D886" s="3" t="s">
        <v>32</v>
      </c>
      <c r="E886" s="3" t="s">
        <v>466</v>
      </c>
      <c r="F886" s="4">
        <v>46227</v>
      </c>
      <c r="G886" s="3" t="s">
        <v>17</v>
      </c>
      <c r="H886" s="5">
        <v>-5114202.82</v>
      </c>
      <c r="I886" s="3" t="s">
        <v>18</v>
      </c>
      <c r="J886" s="3" t="s">
        <v>14</v>
      </c>
      <c r="K886" s="3" t="s">
        <v>14</v>
      </c>
      <c r="L886" s="3" t="s">
        <v>359</v>
      </c>
      <c r="M886" s="4">
        <v>46227</v>
      </c>
      <c r="N886" s="3" t="s">
        <v>360</v>
      </c>
      <c r="O886" s="3" t="s">
        <v>30</v>
      </c>
      <c r="P886" t="str">
        <f t="shared" si="13"/>
        <v>450013334210</v>
      </c>
      <c r="Q886" s="7" cm="1">
        <f t="array" ref="Q886:S886">VLOOKUP(P886,Hoja1!C:F,{2,3,4},FALSE)</f>
        <v>46295</v>
      </c>
      <c r="R886" t="str">
        <v>C15</v>
      </c>
      <c r="S886" t="str">
        <v>1000011965 DIRECTO SUR S. R. L.</v>
      </c>
    </row>
    <row r="887" spans="1:19" x14ac:dyDescent="0.3">
      <c r="A887" s="2" t="s">
        <v>14</v>
      </c>
      <c r="B887" s="3" t="s">
        <v>14</v>
      </c>
      <c r="C887" s="3" t="s">
        <v>932</v>
      </c>
      <c r="D887" s="3" t="s">
        <v>32</v>
      </c>
      <c r="E887" s="3" t="s">
        <v>466</v>
      </c>
      <c r="F887" s="4">
        <v>46227</v>
      </c>
      <c r="G887" s="3" t="s">
        <v>17</v>
      </c>
      <c r="H887" s="5">
        <v>-1560000</v>
      </c>
      <c r="I887" s="3" t="s">
        <v>18</v>
      </c>
      <c r="J887" s="3" t="s">
        <v>14</v>
      </c>
      <c r="K887" s="3" t="s">
        <v>14</v>
      </c>
      <c r="L887" s="3" t="s">
        <v>933</v>
      </c>
      <c r="M887" s="4">
        <v>46227</v>
      </c>
      <c r="N887" s="3" t="s">
        <v>934</v>
      </c>
      <c r="O887" s="3" t="s">
        <v>22</v>
      </c>
      <c r="P887" t="str">
        <f t="shared" si="13"/>
        <v>450012232720</v>
      </c>
      <c r="Q887" s="7" cm="1">
        <f t="array" ref="Q887:S887">VLOOKUP(P887,Hoja1!C:F,{2,3,4},FALSE)</f>
        <v>46231</v>
      </c>
      <c r="R887" t="str">
        <v>C04</v>
      </c>
      <c r="S887" t="str">
        <v>1000000545 BASANI SA</v>
      </c>
    </row>
    <row r="888" spans="1:19" x14ac:dyDescent="0.3">
      <c r="A888" s="2" t="s">
        <v>14</v>
      </c>
      <c r="B888" s="3" t="s">
        <v>14</v>
      </c>
      <c r="C888" s="3" t="s">
        <v>935</v>
      </c>
      <c r="D888" s="3" t="s">
        <v>32</v>
      </c>
      <c r="E888" s="3" t="s">
        <v>466</v>
      </c>
      <c r="F888" s="4">
        <v>46227</v>
      </c>
      <c r="G888" s="3" t="s">
        <v>17</v>
      </c>
      <c r="H888" s="5">
        <v>-18978.29</v>
      </c>
      <c r="I888" s="3" t="s">
        <v>18</v>
      </c>
      <c r="J888" s="3" t="s">
        <v>14</v>
      </c>
      <c r="K888" s="3" t="s">
        <v>14</v>
      </c>
      <c r="L888" s="3" t="s">
        <v>335</v>
      </c>
      <c r="M888" s="4">
        <v>46227</v>
      </c>
      <c r="N888" s="3" t="s">
        <v>336</v>
      </c>
      <c r="O888" s="3" t="s">
        <v>30</v>
      </c>
      <c r="P888" t="str">
        <f t="shared" si="13"/>
        <v>450013124310</v>
      </c>
      <c r="Q888" s="7" cm="1">
        <f t="array" ref="Q888:S888">VLOOKUP(P888,Hoja1!C:F,{2,3,4},FALSE)</f>
        <v>46433</v>
      </c>
      <c r="R888" t="str">
        <v>C21</v>
      </c>
      <c r="S888" t="str">
        <v>1000013302 PETROTRES SA</v>
      </c>
    </row>
    <row r="889" spans="1:19" x14ac:dyDescent="0.3">
      <c r="A889" s="2" t="s">
        <v>14</v>
      </c>
      <c r="B889" s="3" t="s">
        <v>14</v>
      </c>
      <c r="C889" s="3" t="s">
        <v>935</v>
      </c>
      <c r="D889" s="3" t="s">
        <v>32</v>
      </c>
      <c r="E889" s="3" t="s">
        <v>466</v>
      </c>
      <c r="F889" s="4">
        <v>46227</v>
      </c>
      <c r="G889" s="3" t="s">
        <v>17</v>
      </c>
      <c r="H889" s="5">
        <v>-1162.7</v>
      </c>
      <c r="I889" s="3" t="s">
        <v>18</v>
      </c>
      <c r="J889" s="3" t="s">
        <v>14</v>
      </c>
      <c r="K889" s="3" t="s">
        <v>14</v>
      </c>
      <c r="L889" s="3" t="s">
        <v>335</v>
      </c>
      <c r="M889" s="4">
        <v>46227</v>
      </c>
      <c r="N889" s="3" t="s">
        <v>336</v>
      </c>
      <c r="O889" s="3" t="s">
        <v>30</v>
      </c>
      <c r="P889" t="str">
        <f t="shared" si="13"/>
        <v>450013124310</v>
      </c>
      <c r="Q889" s="7" cm="1">
        <f t="array" ref="Q889:S889">VLOOKUP(P889,Hoja1!C:F,{2,3,4},FALSE)</f>
        <v>46433</v>
      </c>
      <c r="R889" t="str">
        <v>C21</v>
      </c>
      <c r="S889" t="str">
        <v>1000013302 PETROTRES SA</v>
      </c>
    </row>
    <row r="890" spans="1:19" x14ac:dyDescent="0.3">
      <c r="A890" s="2" t="s">
        <v>14</v>
      </c>
      <c r="B890" s="3" t="s">
        <v>14</v>
      </c>
      <c r="C890" s="3" t="s">
        <v>936</v>
      </c>
      <c r="D890" s="3" t="s">
        <v>14</v>
      </c>
      <c r="E890" s="3" t="s">
        <v>466</v>
      </c>
      <c r="F890" s="4">
        <v>46230</v>
      </c>
      <c r="G890" s="3" t="s">
        <v>17</v>
      </c>
      <c r="H890" s="5">
        <v>-1074600</v>
      </c>
      <c r="I890" s="3" t="s">
        <v>18</v>
      </c>
      <c r="J890" s="3" t="s">
        <v>14</v>
      </c>
      <c r="K890" s="3" t="s">
        <v>14</v>
      </c>
      <c r="L890" s="3" t="s">
        <v>937</v>
      </c>
      <c r="M890" s="4">
        <v>46230</v>
      </c>
      <c r="N890" s="3" t="s">
        <v>938</v>
      </c>
      <c r="O890" s="3" t="s">
        <v>30</v>
      </c>
      <c r="P890" t="str">
        <f t="shared" si="13"/>
        <v>450012552910</v>
      </c>
      <c r="Q890" s="7" cm="1">
        <f t="array" ref="Q890:S890">VLOOKUP(P890,Hoja1!C:F,{2,3,4},FALSE)</f>
        <v>46119</v>
      </c>
      <c r="R890" t="str">
        <v>EFO</v>
      </c>
      <c r="S890" t="str">
        <v>1000000411 TECNODIESEL S.R.L.</v>
      </c>
    </row>
    <row r="891" spans="1:19" x14ac:dyDescent="0.3">
      <c r="A891" s="2" t="s">
        <v>14</v>
      </c>
      <c r="B891" s="3" t="s">
        <v>14</v>
      </c>
      <c r="C891" s="3" t="s">
        <v>939</v>
      </c>
      <c r="D891" s="3" t="s">
        <v>14</v>
      </c>
      <c r="E891" s="3" t="s">
        <v>466</v>
      </c>
      <c r="F891" s="4">
        <v>46230</v>
      </c>
      <c r="G891" s="3" t="s">
        <v>17</v>
      </c>
      <c r="H891" s="5">
        <v>-118000</v>
      </c>
      <c r="I891" s="3" t="s">
        <v>18</v>
      </c>
      <c r="J891" s="3" t="s">
        <v>14</v>
      </c>
      <c r="K891" s="3" t="s">
        <v>14</v>
      </c>
      <c r="L891" s="3" t="s">
        <v>904</v>
      </c>
      <c r="M891" s="4">
        <v>46230</v>
      </c>
      <c r="N891" s="3" t="s">
        <v>940</v>
      </c>
      <c r="O891" s="3" t="s">
        <v>30</v>
      </c>
      <c r="P891" t="str">
        <f t="shared" si="13"/>
        <v>450013378210</v>
      </c>
      <c r="Q891" s="7" cm="1">
        <f t="array" ref="Q891:S891">VLOOKUP(P891,Hoja1!C:F,{2,3,4},FALSE)</f>
        <v>46227</v>
      </c>
      <c r="R891" t="str">
        <v>C38</v>
      </c>
      <c r="S891" t="str">
        <v>1000009559 ELECTROMECANICA OMAR S.R.L.</v>
      </c>
    </row>
    <row r="892" spans="1:19" x14ac:dyDescent="0.3">
      <c r="A892" s="2" t="s">
        <v>14</v>
      </c>
      <c r="B892" s="3" t="s">
        <v>14</v>
      </c>
      <c r="C892" s="3" t="s">
        <v>941</v>
      </c>
      <c r="D892" s="3" t="s">
        <v>14</v>
      </c>
      <c r="E892" s="3" t="s">
        <v>466</v>
      </c>
      <c r="F892" s="4">
        <v>46230</v>
      </c>
      <c r="G892" s="3" t="s">
        <v>17</v>
      </c>
      <c r="H892" s="5">
        <v>-118000</v>
      </c>
      <c r="I892" s="3" t="s">
        <v>18</v>
      </c>
      <c r="J892" s="3" t="s">
        <v>14</v>
      </c>
      <c r="K892" s="3" t="s">
        <v>14</v>
      </c>
      <c r="L892" s="3" t="s">
        <v>904</v>
      </c>
      <c r="M892" s="4">
        <v>46230</v>
      </c>
      <c r="N892" s="3" t="s">
        <v>942</v>
      </c>
      <c r="O892" s="3" t="s">
        <v>30</v>
      </c>
      <c r="P892" t="str">
        <f t="shared" si="13"/>
        <v>450013378510</v>
      </c>
      <c r="Q892" s="7" cm="1">
        <f t="array" ref="Q892:S892">VLOOKUP(P892,Hoja1!C:F,{2,3,4},FALSE)</f>
        <v>46227</v>
      </c>
      <c r="R892" t="str">
        <v>C38</v>
      </c>
      <c r="S892" t="str">
        <v>1000009559 ELECTROMECANICA OMAR S.R.L.</v>
      </c>
    </row>
    <row r="893" spans="1:19" x14ac:dyDescent="0.3">
      <c r="A893" s="2" t="s">
        <v>14</v>
      </c>
      <c r="B893" s="3" t="s">
        <v>14</v>
      </c>
      <c r="C893" s="3" t="s">
        <v>943</v>
      </c>
      <c r="D893" s="3" t="s">
        <v>32</v>
      </c>
      <c r="E893" s="3" t="s">
        <v>466</v>
      </c>
      <c r="F893" s="4">
        <v>46231</v>
      </c>
      <c r="G893" s="3" t="s">
        <v>17</v>
      </c>
      <c r="H893" s="5">
        <v>-3165.36</v>
      </c>
      <c r="I893" s="3" t="s">
        <v>18</v>
      </c>
      <c r="J893" s="3" t="s">
        <v>14</v>
      </c>
      <c r="K893" s="3" t="s">
        <v>14</v>
      </c>
      <c r="L893" s="3" t="s">
        <v>944</v>
      </c>
      <c r="M893" s="4">
        <v>46231</v>
      </c>
      <c r="N893" s="3" t="s">
        <v>945</v>
      </c>
      <c r="O893" s="3" t="s">
        <v>30</v>
      </c>
      <c r="P893" t="str">
        <f t="shared" si="13"/>
        <v>450012429010</v>
      </c>
      <c r="Q893" s="7" cm="1">
        <f t="array" ref="Q893:S893">VLOOKUP(P893,Hoja1!C:F,{2,3,4},FALSE)</f>
        <v>46132</v>
      </c>
      <c r="R893" t="str">
        <v>EFO</v>
      </c>
      <c r="S893" t="str">
        <v>1000012647 ZANOTTI HERMANOS SRL</v>
      </c>
    </row>
    <row r="894" spans="1:19" x14ac:dyDescent="0.3">
      <c r="A894" s="2" t="s">
        <v>14</v>
      </c>
      <c r="B894" s="3" t="s">
        <v>14</v>
      </c>
      <c r="C894" s="3" t="s">
        <v>943</v>
      </c>
      <c r="D894" s="3" t="s">
        <v>32</v>
      </c>
      <c r="E894" s="3" t="s">
        <v>466</v>
      </c>
      <c r="F894" s="4">
        <v>46231</v>
      </c>
      <c r="G894" s="3" t="s">
        <v>17</v>
      </c>
      <c r="H894" s="5">
        <v>-2959.52</v>
      </c>
      <c r="I894" s="3" t="s">
        <v>18</v>
      </c>
      <c r="J894" s="3" t="s">
        <v>14</v>
      </c>
      <c r="K894" s="3" t="s">
        <v>14</v>
      </c>
      <c r="L894" s="3" t="s">
        <v>944</v>
      </c>
      <c r="M894" s="4">
        <v>46231</v>
      </c>
      <c r="N894" s="3" t="s">
        <v>945</v>
      </c>
      <c r="O894" s="3" t="s">
        <v>22</v>
      </c>
      <c r="P894" t="str">
        <f t="shared" si="13"/>
        <v>450012429020</v>
      </c>
      <c r="Q894" s="7" cm="1">
        <f t="array" ref="Q894:S894">VLOOKUP(P894,Hoja1!C:F,{2,3,4},FALSE)</f>
        <v>46132</v>
      </c>
      <c r="R894" t="str">
        <v>EFO</v>
      </c>
      <c r="S894" t="str">
        <v>1000012647 ZANOTTI HERMANOS SRL</v>
      </c>
    </row>
    <row r="895" spans="1:19" x14ac:dyDescent="0.3">
      <c r="A895" s="2" t="s">
        <v>14</v>
      </c>
      <c r="B895" s="3" t="s">
        <v>14</v>
      </c>
      <c r="C895" s="3" t="s">
        <v>946</v>
      </c>
      <c r="D895" s="3" t="s">
        <v>14</v>
      </c>
      <c r="E895" s="3" t="s">
        <v>466</v>
      </c>
      <c r="F895" s="4">
        <v>46231</v>
      </c>
      <c r="G895" s="3" t="s">
        <v>17</v>
      </c>
      <c r="H895" s="5">
        <v>-768724.3</v>
      </c>
      <c r="I895" s="3" t="s">
        <v>18</v>
      </c>
      <c r="J895" s="3" t="s">
        <v>14</v>
      </c>
      <c r="K895" s="3" t="s">
        <v>14</v>
      </c>
      <c r="L895" s="3" t="s">
        <v>226</v>
      </c>
      <c r="M895" s="4">
        <v>46231</v>
      </c>
      <c r="N895" s="3" t="s">
        <v>947</v>
      </c>
      <c r="O895" s="3" t="s">
        <v>30</v>
      </c>
      <c r="P895" t="str">
        <f t="shared" si="13"/>
        <v>450012429110</v>
      </c>
      <c r="Q895" s="7" cm="1">
        <f t="array" ref="Q895:S895">VLOOKUP(P895,Hoja1!C:F,{2,3,4},FALSE)</f>
        <v>46132</v>
      </c>
      <c r="R895" t="str">
        <v>EFO</v>
      </c>
      <c r="S895" t="str">
        <v>1000009051 GRUPO RP AICHI S.A.S.</v>
      </c>
    </row>
    <row r="896" spans="1:19" x14ac:dyDescent="0.3">
      <c r="A896" s="2" t="s">
        <v>14</v>
      </c>
      <c r="B896" s="3" t="s">
        <v>14</v>
      </c>
      <c r="C896" s="3" t="s">
        <v>948</v>
      </c>
      <c r="D896" s="3" t="s">
        <v>14</v>
      </c>
      <c r="E896" s="3" t="s">
        <v>466</v>
      </c>
      <c r="F896" s="4">
        <v>46231</v>
      </c>
      <c r="G896" s="3" t="s">
        <v>17</v>
      </c>
      <c r="H896" s="5">
        <v>-157025</v>
      </c>
      <c r="I896" s="3" t="s">
        <v>18</v>
      </c>
      <c r="J896" s="3" t="s">
        <v>14</v>
      </c>
      <c r="K896" s="3" t="s">
        <v>14</v>
      </c>
      <c r="L896" s="3" t="s">
        <v>949</v>
      </c>
      <c r="M896" s="4">
        <v>46231</v>
      </c>
      <c r="N896" s="3" t="s">
        <v>950</v>
      </c>
      <c r="O896" s="3" t="s">
        <v>30</v>
      </c>
      <c r="P896" t="str">
        <f t="shared" si="13"/>
        <v>450013035410</v>
      </c>
      <c r="Q896" s="7" cm="1">
        <f t="array" ref="Q896:S896">VLOOKUP(P896,Hoja1!C:F,{2,3,4},FALSE)</f>
        <v>46205</v>
      </c>
      <c r="R896" t="str">
        <v>EFO</v>
      </c>
      <c r="S896" t="str">
        <v>1000003117 SALDAÑA CARLOS ALBERTO</v>
      </c>
    </row>
    <row r="897" spans="1:19" x14ac:dyDescent="0.3">
      <c r="A897" s="2" t="s">
        <v>14</v>
      </c>
      <c r="B897" s="3" t="s">
        <v>14</v>
      </c>
      <c r="C897" s="3" t="s">
        <v>951</v>
      </c>
      <c r="D897" s="3" t="s">
        <v>14</v>
      </c>
      <c r="E897" s="3" t="s">
        <v>466</v>
      </c>
      <c r="F897" s="4">
        <v>46232</v>
      </c>
      <c r="G897" s="3" t="s">
        <v>17</v>
      </c>
      <c r="H897" s="5">
        <v>-918569.34</v>
      </c>
      <c r="I897" s="3" t="s">
        <v>18</v>
      </c>
      <c r="J897" s="3" t="s">
        <v>14</v>
      </c>
      <c r="K897" s="3" t="s">
        <v>14</v>
      </c>
      <c r="L897" s="3" t="s">
        <v>952</v>
      </c>
      <c r="M897" s="4">
        <v>46232</v>
      </c>
      <c r="N897" s="3" t="s">
        <v>953</v>
      </c>
      <c r="O897" s="3" t="s">
        <v>30</v>
      </c>
      <c r="P897" t="str">
        <f t="shared" si="13"/>
        <v>450013405410</v>
      </c>
      <c r="Q897" s="7" cm="1">
        <f t="array" ref="Q897:S897">VLOOKUP(P897,Hoja1!C:F,{2,3,4},FALSE)</f>
        <v>46238</v>
      </c>
      <c r="R897" t="str">
        <v>EFO</v>
      </c>
      <c r="S897" t="str">
        <v>1000002439 CRISTALES PATAGONICOS SRL</v>
      </c>
    </row>
    <row r="898" spans="1:19" x14ac:dyDescent="0.3">
      <c r="A898" s="2" t="s">
        <v>14</v>
      </c>
      <c r="B898" s="3" t="s">
        <v>14</v>
      </c>
      <c r="C898" s="3" t="s">
        <v>954</v>
      </c>
      <c r="D898" s="3" t="s">
        <v>14</v>
      </c>
      <c r="E898" s="3" t="s">
        <v>466</v>
      </c>
      <c r="F898" s="4">
        <v>46232</v>
      </c>
      <c r="G898" s="3" t="s">
        <v>17</v>
      </c>
      <c r="H898" s="5">
        <v>-2584077.6</v>
      </c>
      <c r="I898" s="3" t="s">
        <v>18</v>
      </c>
      <c r="J898" s="3" t="s">
        <v>14</v>
      </c>
      <c r="K898" s="3" t="s">
        <v>14</v>
      </c>
      <c r="L898" s="3" t="s">
        <v>510</v>
      </c>
      <c r="M898" s="4">
        <v>46232</v>
      </c>
      <c r="N898" s="3" t="s">
        <v>955</v>
      </c>
      <c r="O898" s="3" t="s">
        <v>139</v>
      </c>
      <c r="P898" t="str">
        <f t="shared" si="13"/>
        <v>4500127026350</v>
      </c>
      <c r="Q898" s="7" cm="1">
        <f t="array" ref="Q898:S898">VLOOKUP(P898,Hoja1!C:F,{2,3,4},FALSE)</f>
        <v>45702</v>
      </c>
      <c r="R898" t="str">
        <v>C37</v>
      </c>
      <c r="S898" t="str">
        <v>1000001935 ACEROS COCO S.A.</v>
      </c>
    </row>
    <row r="899" spans="1:19" x14ac:dyDescent="0.3">
      <c r="A899" s="2" t="s">
        <v>14</v>
      </c>
      <c r="B899" s="3" t="s">
        <v>14</v>
      </c>
      <c r="C899" s="3" t="s">
        <v>956</v>
      </c>
      <c r="D899" s="3" t="s">
        <v>14</v>
      </c>
      <c r="E899" s="3" t="s">
        <v>466</v>
      </c>
      <c r="F899" s="4">
        <v>46232</v>
      </c>
      <c r="G899" s="3" t="s">
        <v>17</v>
      </c>
      <c r="H899" s="5">
        <v>-33200</v>
      </c>
      <c r="I899" s="3" t="s">
        <v>18</v>
      </c>
      <c r="J899" s="3" t="s">
        <v>14</v>
      </c>
      <c r="K899" s="3" t="s">
        <v>14</v>
      </c>
      <c r="L899" s="3" t="s">
        <v>957</v>
      </c>
      <c r="M899" s="4">
        <v>46232</v>
      </c>
      <c r="N899" s="3" t="s">
        <v>958</v>
      </c>
      <c r="O899" s="3" t="s">
        <v>30</v>
      </c>
      <c r="P899" t="str">
        <f t="shared" ref="P899:P962" si="14">_xlfn.CONCAT(N899:O899)</f>
        <v>450013406210</v>
      </c>
      <c r="Q899" s="7" cm="1">
        <f t="array" ref="Q899:S899">VLOOKUP(P899,Hoja1!C:F,{2,3,4},FALSE)</f>
        <v>46234</v>
      </c>
      <c r="R899" t="str">
        <v>C03</v>
      </c>
      <c r="S899" t="str">
        <v>1000013408 COLLADO SAITA ELASTICOS SRL</v>
      </c>
    </row>
    <row r="900" spans="1:19" x14ac:dyDescent="0.3">
      <c r="A900" s="2" t="s">
        <v>14</v>
      </c>
      <c r="B900" s="3" t="s">
        <v>14</v>
      </c>
      <c r="C900" s="3" t="s">
        <v>959</v>
      </c>
      <c r="D900" s="3" t="s">
        <v>14</v>
      </c>
      <c r="E900" s="3" t="s">
        <v>466</v>
      </c>
      <c r="F900" s="4">
        <v>46233</v>
      </c>
      <c r="G900" s="3" t="s">
        <v>17</v>
      </c>
      <c r="H900" s="5">
        <v>-114979.74</v>
      </c>
      <c r="I900" s="3" t="s">
        <v>18</v>
      </c>
      <c r="J900" s="3" t="s">
        <v>14</v>
      </c>
      <c r="K900" s="3" t="s">
        <v>14</v>
      </c>
      <c r="L900" s="3" t="s">
        <v>340</v>
      </c>
      <c r="M900" s="4">
        <v>46233</v>
      </c>
      <c r="N900" s="3" t="s">
        <v>960</v>
      </c>
      <c r="O900" s="3" t="s">
        <v>131</v>
      </c>
      <c r="P900" t="str">
        <f t="shared" si="14"/>
        <v>4500132469140</v>
      </c>
      <c r="Q900" s="7" cm="1">
        <f t="array" ref="Q900:S900">VLOOKUP(P900,Hoja1!C:F,{2,3,4},FALSE)</f>
        <v>46233</v>
      </c>
      <c r="R900" t="str">
        <v>C03</v>
      </c>
      <c r="S900" t="str">
        <v>1000000062 FINNING ARGENTINA S.A.</v>
      </c>
    </row>
    <row r="901" spans="1:19" x14ac:dyDescent="0.3">
      <c r="A901" s="2" t="s">
        <v>14</v>
      </c>
      <c r="B901" s="3" t="s">
        <v>14</v>
      </c>
      <c r="C901" s="3" t="s">
        <v>961</v>
      </c>
      <c r="D901" s="3" t="s">
        <v>14</v>
      </c>
      <c r="E901" s="3" t="s">
        <v>466</v>
      </c>
      <c r="F901" s="4">
        <v>46232</v>
      </c>
      <c r="G901" s="3" t="s">
        <v>17</v>
      </c>
      <c r="H901" s="5">
        <v>-100735.91</v>
      </c>
      <c r="I901" s="3" t="s">
        <v>18</v>
      </c>
      <c r="J901" s="3" t="s">
        <v>14</v>
      </c>
      <c r="K901" s="3" t="s">
        <v>14</v>
      </c>
      <c r="L901" s="3" t="s">
        <v>340</v>
      </c>
      <c r="M901" s="4">
        <v>46233</v>
      </c>
      <c r="N901" s="3" t="s">
        <v>960</v>
      </c>
      <c r="O901" s="3" t="s">
        <v>132</v>
      </c>
      <c r="P901" t="str">
        <f t="shared" si="14"/>
        <v>4500132469120</v>
      </c>
      <c r="Q901" s="7" cm="1">
        <f t="array" ref="Q901:S901">VLOOKUP(P901,Hoja1!C:F,{2,3,4},FALSE)</f>
        <v>46233</v>
      </c>
      <c r="R901" t="str">
        <v>C03</v>
      </c>
      <c r="S901" t="str">
        <v>1000000062 FINNING ARGENTINA S.A.</v>
      </c>
    </row>
    <row r="902" spans="1:19" x14ac:dyDescent="0.3">
      <c r="A902" s="2" t="s">
        <v>14</v>
      </c>
      <c r="B902" s="3" t="s">
        <v>14</v>
      </c>
      <c r="C902" s="3" t="s">
        <v>962</v>
      </c>
      <c r="D902" s="3" t="s">
        <v>32</v>
      </c>
      <c r="E902" s="3" t="s">
        <v>466</v>
      </c>
      <c r="F902" s="4">
        <v>46233</v>
      </c>
      <c r="G902" s="3" t="s">
        <v>17</v>
      </c>
      <c r="H902" s="5">
        <v>-9750000</v>
      </c>
      <c r="I902" s="3" t="s">
        <v>18</v>
      </c>
      <c r="J902" s="3" t="s">
        <v>14</v>
      </c>
      <c r="K902" s="3" t="s">
        <v>14</v>
      </c>
      <c r="L902" s="3" t="s">
        <v>933</v>
      </c>
      <c r="M902" s="4">
        <v>46233</v>
      </c>
      <c r="N902" s="3" t="s">
        <v>963</v>
      </c>
      <c r="O902" s="3" t="s">
        <v>30</v>
      </c>
      <c r="P902" t="str">
        <f t="shared" si="14"/>
        <v>450013407510</v>
      </c>
      <c r="Q902" s="7" cm="1">
        <f t="array" ref="Q902:S902">VLOOKUP(P902,Hoja1!C:F,{2,3,4},FALSE)</f>
        <v>46248</v>
      </c>
      <c r="R902" t="str">
        <v>EFO</v>
      </c>
      <c r="S902" t="str">
        <v>1000000545 BASANI SA</v>
      </c>
    </row>
    <row r="903" spans="1:19" x14ac:dyDescent="0.3">
      <c r="A903" s="2" t="s">
        <v>14</v>
      </c>
      <c r="B903" s="3" t="s">
        <v>14</v>
      </c>
      <c r="C903" s="3" t="s">
        <v>964</v>
      </c>
      <c r="D903" s="3" t="s">
        <v>14</v>
      </c>
      <c r="E903" s="3" t="s">
        <v>466</v>
      </c>
      <c r="F903" s="4">
        <v>46234</v>
      </c>
      <c r="G903" s="3" t="s">
        <v>17</v>
      </c>
      <c r="H903" s="5">
        <v>-13983488.529999999</v>
      </c>
      <c r="I903" s="3" t="s">
        <v>18</v>
      </c>
      <c r="J903" s="3" t="s">
        <v>14</v>
      </c>
      <c r="K903" s="3" t="s">
        <v>14</v>
      </c>
      <c r="L903" s="3" t="s">
        <v>965</v>
      </c>
      <c r="M903" s="4">
        <v>46234</v>
      </c>
      <c r="N903" s="3" t="s">
        <v>966</v>
      </c>
      <c r="O903" s="3" t="s">
        <v>30</v>
      </c>
      <c r="P903" t="str">
        <f t="shared" si="14"/>
        <v>450012849610</v>
      </c>
      <c r="Q903" s="7" cm="1">
        <f t="array" ref="Q903:S903">VLOOKUP(P903,Hoja1!C:F,{2,3,4},FALSE)</f>
        <v>46238</v>
      </c>
      <c r="R903" t="str">
        <v>C38</v>
      </c>
      <c r="S903" t="str">
        <v>1000001060 PIRLES GUSTAVO JOSE</v>
      </c>
    </row>
    <row r="904" spans="1:19" x14ac:dyDescent="0.3">
      <c r="A904" s="2" t="s">
        <v>14</v>
      </c>
      <c r="B904" s="3" t="s">
        <v>14</v>
      </c>
      <c r="C904" s="3" t="s">
        <v>967</v>
      </c>
      <c r="D904" s="3" t="s">
        <v>32</v>
      </c>
      <c r="E904" s="3" t="s">
        <v>466</v>
      </c>
      <c r="F904" s="4">
        <v>46234</v>
      </c>
      <c r="G904" s="3" t="s">
        <v>17</v>
      </c>
      <c r="H904" s="5">
        <v>-12995.29</v>
      </c>
      <c r="I904" s="3" t="s">
        <v>18</v>
      </c>
      <c r="J904" s="3" t="s">
        <v>14</v>
      </c>
      <c r="K904" s="3" t="s">
        <v>14</v>
      </c>
      <c r="L904" s="3" t="s">
        <v>335</v>
      </c>
      <c r="M904" s="4">
        <v>46234</v>
      </c>
      <c r="N904" s="3" t="s">
        <v>336</v>
      </c>
      <c r="O904" s="3" t="s">
        <v>30</v>
      </c>
      <c r="P904" t="str">
        <f t="shared" si="14"/>
        <v>450013124310</v>
      </c>
      <c r="Q904" s="7" cm="1">
        <f t="array" ref="Q904:S904">VLOOKUP(P904,Hoja1!C:F,{2,3,4},FALSE)</f>
        <v>46433</v>
      </c>
      <c r="R904" t="str">
        <v>C21</v>
      </c>
      <c r="S904" t="str">
        <v>1000013302 PETROTRES SA</v>
      </c>
    </row>
    <row r="905" spans="1:19" x14ac:dyDescent="0.3">
      <c r="A905" s="2" t="s">
        <v>14</v>
      </c>
      <c r="B905" s="3" t="s">
        <v>14</v>
      </c>
      <c r="C905" s="3" t="s">
        <v>967</v>
      </c>
      <c r="D905" s="3" t="s">
        <v>32</v>
      </c>
      <c r="E905" s="3" t="s">
        <v>466</v>
      </c>
      <c r="F905" s="4">
        <v>46234</v>
      </c>
      <c r="G905" s="3" t="s">
        <v>17</v>
      </c>
      <c r="H905" s="5">
        <v>-796.15</v>
      </c>
      <c r="I905" s="3" t="s">
        <v>18</v>
      </c>
      <c r="J905" s="3" t="s">
        <v>14</v>
      </c>
      <c r="K905" s="3" t="s">
        <v>14</v>
      </c>
      <c r="L905" s="3" t="s">
        <v>335</v>
      </c>
      <c r="M905" s="4">
        <v>46234</v>
      </c>
      <c r="N905" s="3" t="s">
        <v>336</v>
      </c>
      <c r="O905" s="3" t="s">
        <v>30</v>
      </c>
      <c r="P905" t="str">
        <f t="shared" si="14"/>
        <v>450013124310</v>
      </c>
      <c r="Q905" s="7" cm="1">
        <f t="array" ref="Q905:S905">VLOOKUP(P905,Hoja1!C:F,{2,3,4},FALSE)</f>
        <v>46433</v>
      </c>
      <c r="R905" t="str">
        <v>C21</v>
      </c>
      <c r="S905" t="str">
        <v>1000013302 PETROTRES SA</v>
      </c>
    </row>
    <row r="906" spans="1:19" x14ac:dyDescent="0.3">
      <c r="A906" s="2" t="s">
        <v>14</v>
      </c>
      <c r="B906" s="3" t="s">
        <v>14</v>
      </c>
      <c r="C906" s="3" t="s">
        <v>968</v>
      </c>
      <c r="D906" s="3" t="s">
        <v>14</v>
      </c>
      <c r="E906" s="3" t="s">
        <v>466</v>
      </c>
      <c r="F906" s="4">
        <v>46235</v>
      </c>
      <c r="G906" s="3" t="s">
        <v>17</v>
      </c>
      <c r="H906" s="5">
        <v>-45850.46</v>
      </c>
      <c r="I906" s="3" t="s">
        <v>18</v>
      </c>
      <c r="J906" s="3" t="s">
        <v>14</v>
      </c>
      <c r="K906" s="3" t="s">
        <v>14</v>
      </c>
      <c r="L906" s="3" t="s">
        <v>226</v>
      </c>
      <c r="M906" s="4">
        <v>46235</v>
      </c>
      <c r="N906" s="3" t="s">
        <v>969</v>
      </c>
      <c r="O906" s="3" t="s">
        <v>22</v>
      </c>
      <c r="P906" t="str">
        <f t="shared" si="14"/>
        <v>450013406520</v>
      </c>
      <c r="Q906" s="7" cm="1">
        <f t="array" ref="Q906:S906">VLOOKUP(P906,Hoja1!C:F,{2,3,4},FALSE)</f>
        <v>46248</v>
      </c>
      <c r="R906" t="str">
        <v>EFO</v>
      </c>
      <c r="S906" t="str">
        <v>1000009051 GRUPO RP AICHI S.A.S.</v>
      </c>
    </row>
    <row r="907" spans="1:19" x14ac:dyDescent="0.3">
      <c r="A907" s="2" t="s">
        <v>14</v>
      </c>
      <c r="B907" s="3" t="s">
        <v>14</v>
      </c>
      <c r="C907" s="3" t="s">
        <v>970</v>
      </c>
      <c r="D907" s="3" t="s">
        <v>32</v>
      </c>
      <c r="E907" s="3" t="s">
        <v>466</v>
      </c>
      <c r="F907" s="4">
        <v>46236</v>
      </c>
      <c r="G907" s="3" t="s">
        <v>17</v>
      </c>
      <c r="H907" s="5">
        <v>-1940000</v>
      </c>
      <c r="I907" s="3" t="s">
        <v>18</v>
      </c>
      <c r="J907" s="3" t="s">
        <v>14</v>
      </c>
      <c r="K907" s="3" t="s">
        <v>14</v>
      </c>
      <c r="L907" s="3" t="s">
        <v>759</v>
      </c>
      <c r="M907" s="4">
        <v>46236</v>
      </c>
      <c r="N907" s="3" t="s">
        <v>971</v>
      </c>
      <c r="O907" s="3" t="s">
        <v>35</v>
      </c>
      <c r="P907" t="str">
        <f t="shared" si="14"/>
        <v>450012000030</v>
      </c>
      <c r="Q907" s="7" cm="1">
        <f t="array" ref="Q907:S907">VLOOKUP(P907,Hoja1!C:F,{2,3,4},FALSE)</f>
        <v>46326</v>
      </c>
      <c r="R907" t="str">
        <v>C25</v>
      </c>
      <c r="S907" t="str">
        <v>1000011497 MAINETE JAVIER ALBERTO</v>
      </c>
    </row>
    <row r="908" spans="1:19" x14ac:dyDescent="0.3">
      <c r="A908" s="2" t="s">
        <v>14</v>
      </c>
      <c r="B908" s="3" t="s">
        <v>14</v>
      </c>
      <c r="C908" s="3" t="s">
        <v>972</v>
      </c>
      <c r="D908" s="3" t="s">
        <v>14</v>
      </c>
      <c r="E908" s="3" t="s">
        <v>466</v>
      </c>
      <c r="F908" s="4">
        <v>46237</v>
      </c>
      <c r="G908" s="3" t="s">
        <v>17</v>
      </c>
      <c r="H908" s="5">
        <v>-72862.5</v>
      </c>
      <c r="I908" s="3" t="s">
        <v>18</v>
      </c>
      <c r="J908" s="3" t="s">
        <v>14</v>
      </c>
      <c r="K908" s="3" t="s">
        <v>14</v>
      </c>
      <c r="L908" s="3" t="s">
        <v>973</v>
      </c>
      <c r="M908" s="4">
        <v>46237</v>
      </c>
      <c r="N908" s="3" t="s">
        <v>974</v>
      </c>
      <c r="O908" s="3" t="s">
        <v>30</v>
      </c>
      <c r="P908" t="str">
        <f t="shared" si="14"/>
        <v>450013372610</v>
      </c>
      <c r="Q908" s="7" cm="1">
        <f t="array" ref="Q908:S908">VLOOKUP(P908,Hoja1!C:F,{2,3,4},FALSE)</f>
        <v>46230</v>
      </c>
      <c r="R908" t="str">
        <v>C27</v>
      </c>
      <c r="S908" t="str">
        <v>1000000078 S.A. INGENIERO CARLOS KUSSMAUL</v>
      </c>
    </row>
    <row r="909" spans="1:19" x14ac:dyDescent="0.3">
      <c r="A909" s="2" t="s">
        <v>14</v>
      </c>
      <c r="B909" s="3" t="s">
        <v>14</v>
      </c>
      <c r="C909" s="3" t="s">
        <v>975</v>
      </c>
      <c r="D909" s="3" t="s">
        <v>32</v>
      </c>
      <c r="E909" s="3" t="s">
        <v>466</v>
      </c>
      <c r="F909" s="4">
        <v>46237</v>
      </c>
      <c r="G909" s="3" t="s">
        <v>17</v>
      </c>
      <c r="H909" s="5">
        <v>-1593758.25</v>
      </c>
      <c r="I909" s="3" t="s">
        <v>18</v>
      </c>
      <c r="J909" s="3" t="s">
        <v>14</v>
      </c>
      <c r="K909" s="3" t="s">
        <v>14</v>
      </c>
      <c r="L909" s="3" t="s">
        <v>976</v>
      </c>
      <c r="M909" s="4">
        <v>46237</v>
      </c>
      <c r="N909" s="3" t="s">
        <v>977</v>
      </c>
      <c r="O909" s="3" t="s">
        <v>22</v>
      </c>
      <c r="P909" t="str">
        <f t="shared" si="14"/>
        <v>450012394420</v>
      </c>
      <c r="Q909" s="7" cm="1">
        <f t="array" ref="Q909:S909">VLOOKUP(P909,Hoja1!C:F,{2,3,4},FALSE)</f>
        <v>46264</v>
      </c>
      <c r="R909" t="str">
        <v>C25</v>
      </c>
      <c r="S909" t="str">
        <v>1000007795 JAWIT S.A.</v>
      </c>
    </row>
    <row r="910" spans="1:19" x14ac:dyDescent="0.3">
      <c r="A910" s="2" t="s">
        <v>14</v>
      </c>
      <c r="B910" s="3" t="s">
        <v>14</v>
      </c>
      <c r="C910" s="3" t="s">
        <v>978</v>
      </c>
      <c r="D910" s="3" t="s">
        <v>14</v>
      </c>
      <c r="E910" s="3" t="s">
        <v>466</v>
      </c>
      <c r="F910" s="4">
        <v>46237</v>
      </c>
      <c r="G910" s="3" t="s">
        <v>17</v>
      </c>
      <c r="H910" s="5">
        <v>-62181</v>
      </c>
      <c r="I910" s="3" t="s">
        <v>18</v>
      </c>
      <c r="J910" s="3" t="s">
        <v>14</v>
      </c>
      <c r="K910" s="3" t="s">
        <v>14</v>
      </c>
      <c r="L910" s="3" t="s">
        <v>340</v>
      </c>
      <c r="M910" s="4">
        <v>46237</v>
      </c>
      <c r="N910" s="3" t="s">
        <v>960</v>
      </c>
      <c r="O910" s="3" t="s">
        <v>128</v>
      </c>
      <c r="P910" t="str">
        <f t="shared" si="14"/>
        <v>4500132469250</v>
      </c>
      <c r="Q910" s="7" cm="1">
        <f t="array" ref="Q910:S910">VLOOKUP(P910,Hoja1!C:F,{2,3,4},FALSE)</f>
        <v>46233</v>
      </c>
      <c r="R910" t="str">
        <v>C03</v>
      </c>
      <c r="S910" t="str">
        <v>1000000062 FINNING ARGENTINA S.A.</v>
      </c>
    </row>
    <row r="911" spans="1:19" x14ac:dyDescent="0.3">
      <c r="A911" s="2" t="s">
        <v>14</v>
      </c>
      <c r="B911" s="3" t="s">
        <v>14</v>
      </c>
      <c r="C911" s="3" t="s">
        <v>979</v>
      </c>
      <c r="D911" s="3" t="s">
        <v>14</v>
      </c>
      <c r="E911" s="3" t="s">
        <v>466</v>
      </c>
      <c r="F911" s="4">
        <v>46237</v>
      </c>
      <c r="G911" s="3" t="s">
        <v>17</v>
      </c>
      <c r="H911" s="5">
        <v>-363255.48</v>
      </c>
      <c r="I911" s="3" t="s">
        <v>18</v>
      </c>
      <c r="J911" s="3" t="s">
        <v>14</v>
      </c>
      <c r="K911" s="3" t="s">
        <v>14</v>
      </c>
      <c r="L911" s="3" t="s">
        <v>340</v>
      </c>
      <c r="M911" s="4">
        <v>46237</v>
      </c>
      <c r="N911" s="3" t="s">
        <v>960</v>
      </c>
      <c r="O911" s="3" t="s">
        <v>30</v>
      </c>
      <c r="P911" t="str">
        <f t="shared" si="14"/>
        <v>450013246910</v>
      </c>
      <c r="Q911" s="7" cm="1">
        <f t="array" ref="Q911:S911">VLOOKUP(P911,Hoja1!C:F,{2,3,4},FALSE)</f>
        <v>46233</v>
      </c>
      <c r="R911" t="str">
        <v>C03</v>
      </c>
      <c r="S911" t="str">
        <v>1000000062 FINNING ARGENTINA S.A.</v>
      </c>
    </row>
    <row r="912" spans="1:19" x14ac:dyDescent="0.3">
      <c r="A912" s="2" t="s">
        <v>14</v>
      </c>
      <c r="B912" s="3" t="s">
        <v>14</v>
      </c>
      <c r="C912" s="3" t="s">
        <v>979</v>
      </c>
      <c r="D912" s="3" t="s">
        <v>14</v>
      </c>
      <c r="E912" s="3" t="s">
        <v>466</v>
      </c>
      <c r="F912" s="4">
        <v>46237</v>
      </c>
      <c r="G912" s="3" t="s">
        <v>17</v>
      </c>
      <c r="H912" s="5">
        <v>-22503.599999999999</v>
      </c>
      <c r="I912" s="3" t="s">
        <v>18</v>
      </c>
      <c r="J912" s="3" t="s">
        <v>14</v>
      </c>
      <c r="K912" s="3" t="s">
        <v>14</v>
      </c>
      <c r="L912" s="3" t="s">
        <v>340</v>
      </c>
      <c r="M912" s="4">
        <v>46237</v>
      </c>
      <c r="N912" s="3" t="s">
        <v>960</v>
      </c>
      <c r="O912" s="3" t="s">
        <v>23</v>
      </c>
      <c r="P912" t="str">
        <f t="shared" si="14"/>
        <v>450013246940</v>
      </c>
      <c r="Q912" s="7" cm="1">
        <f t="array" ref="Q912:S912">VLOOKUP(P912,Hoja1!C:F,{2,3,4},FALSE)</f>
        <v>46233</v>
      </c>
      <c r="R912" t="str">
        <v>C03</v>
      </c>
      <c r="S912" t="str">
        <v>1000000062 FINNING ARGENTINA S.A.</v>
      </c>
    </row>
    <row r="913" spans="1:19" x14ac:dyDescent="0.3">
      <c r="A913" s="2" t="s">
        <v>14</v>
      </c>
      <c r="B913" s="3" t="s">
        <v>14</v>
      </c>
      <c r="C913" s="3" t="s">
        <v>979</v>
      </c>
      <c r="D913" s="3" t="s">
        <v>14</v>
      </c>
      <c r="E913" s="3" t="s">
        <v>466</v>
      </c>
      <c r="F913" s="4">
        <v>46237</v>
      </c>
      <c r="G913" s="3" t="s">
        <v>17</v>
      </c>
      <c r="H913" s="5">
        <v>-169546.86</v>
      </c>
      <c r="I913" s="3" t="s">
        <v>18</v>
      </c>
      <c r="J913" s="3" t="s">
        <v>14</v>
      </c>
      <c r="K913" s="3" t="s">
        <v>14</v>
      </c>
      <c r="L913" s="3" t="s">
        <v>340</v>
      </c>
      <c r="M913" s="4">
        <v>46237</v>
      </c>
      <c r="N913" s="3" t="s">
        <v>960</v>
      </c>
      <c r="O913" s="3" t="s">
        <v>134</v>
      </c>
      <c r="P913" t="str">
        <f t="shared" si="14"/>
        <v>450013246970</v>
      </c>
      <c r="Q913" s="7" cm="1">
        <f t="array" ref="Q913:S913">VLOOKUP(P913,Hoja1!C:F,{2,3,4},FALSE)</f>
        <v>46233</v>
      </c>
      <c r="R913" t="str">
        <v>C03</v>
      </c>
      <c r="S913" t="str">
        <v>1000000062 FINNING ARGENTINA S.A.</v>
      </c>
    </row>
    <row r="914" spans="1:19" x14ac:dyDescent="0.3">
      <c r="A914" s="2" t="s">
        <v>14</v>
      </c>
      <c r="B914" s="3" t="s">
        <v>14</v>
      </c>
      <c r="C914" s="3" t="s">
        <v>979</v>
      </c>
      <c r="D914" s="3" t="s">
        <v>14</v>
      </c>
      <c r="E914" s="3" t="s">
        <v>466</v>
      </c>
      <c r="F914" s="4">
        <v>46237</v>
      </c>
      <c r="G914" s="3" t="s">
        <v>17</v>
      </c>
      <c r="H914" s="5">
        <v>-335422.08000000002</v>
      </c>
      <c r="I914" s="3" t="s">
        <v>18</v>
      </c>
      <c r="J914" s="3" t="s">
        <v>14</v>
      </c>
      <c r="K914" s="3" t="s">
        <v>14</v>
      </c>
      <c r="L914" s="3" t="s">
        <v>340</v>
      </c>
      <c r="M914" s="4">
        <v>46237</v>
      </c>
      <c r="N914" s="3" t="s">
        <v>960</v>
      </c>
      <c r="O914" s="3" t="s">
        <v>52</v>
      </c>
      <c r="P914" t="str">
        <f t="shared" si="14"/>
        <v>450013246980</v>
      </c>
      <c r="Q914" s="7" cm="1">
        <f t="array" ref="Q914:S914">VLOOKUP(P914,Hoja1!C:F,{2,3,4},FALSE)</f>
        <v>46233</v>
      </c>
      <c r="R914" t="str">
        <v>C03</v>
      </c>
      <c r="S914" t="str">
        <v>1000000062 FINNING ARGENTINA S.A.</v>
      </c>
    </row>
    <row r="915" spans="1:19" x14ac:dyDescent="0.3">
      <c r="A915" s="2" t="s">
        <v>14</v>
      </c>
      <c r="B915" s="3" t="s">
        <v>14</v>
      </c>
      <c r="C915" s="3" t="s">
        <v>979</v>
      </c>
      <c r="D915" s="3" t="s">
        <v>14</v>
      </c>
      <c r="E915" s="3" t="s">
        <v>466</v>
      </c>
      <c r="F915" s="4">
        <v>46237</v>
      </c>
      <c r="G915" s="3" t="s">
        <v>17</v>
      </c>
      <c r="H915" s="5">
        <v>-87482.75</v>
      </c>
      <c r="I915" s="3" t="s">
        <v>18</v>
      </c>
      <c r="J915" s="3" t="s">
        <v>14</v>
      </c>
      <c r="K915" s="3" t="s">
        <v>14</v>
      </c>
      <c r="L915" s="3" t="s">
        <v>340</v>
      </c>
      <c r="M915" s="4">
        <v>46237</v>
      </c>
      <c r="N915" s="3" t="s">
        <v>960</v>
      </c>
      <c r="O915" s="3" t="s">
        <v>138</v>
      </c>
      <c r="P915" t="str">
        <f t="shared" si="14"/>
        <v>450013246990</v>
      </c>
      <c r="Q915" s="7" cm="1">
        <f t="array" ref="Q915:S915">VLOOKUP(P915,Hoja1!C:F,{2,3,4},FALSE)</f>
        <v>46233</v>
      </c>
      <c r="R915" t="str">
        <v>C03</v>
      </c>
      <c r="S915" t="str">
        <v>1000000062 FINNING ARGENTINA S.A.</v>
      </c>
    </row>
    <row r="916" spans="1:19" x14ac:dyDescent="0.3">
      <c r="A916" s="2" t="s">
        <v>14</v>
      </c>
      <c r="B916" s="3" t="s">
        <v>14</v>
      </c>
      <c r="C916" s="3" t="s">
        <v>979</v>
      </c>
      <c r="D916" s="3" t="s">
        <v>14</v>
      </c>
      <c r="E916" s="3" t="s">
        <v>466</v>
      </c>
      <c r="F916" s="4">
        <v>46237</v>
      </c>
      <c r="G916" s="3" t="s">
        <v>17</v>
      </c>
      <c r="H916" s="5">
        <v>-77637.42</v>
      </c>
      <c r="I916" s="3" t="s">
        <v>18</v>
      </c>
      <c r="J916" s="3" t="s">
        <v>14</v>
      </c>
      <c r="K916" s="3" t="s">
        <v>14</v>
      </c>
      <c r="L916" s="3" t="s">
        <v>340</v>
      </c>
      <c r="M916" s="4">
        <v>46237</v>
      </c>
      <c r="N916" s="3" t="s">
        <v>960</v>
      </c>
      <c r="O916" s="3" t="s">
        <v>45</v>
      </c>
      <c r="P916" t="str">
        <f t="shared" si="14"/>
        <v>4500132469100</v>
      </c>
      <c r="Q916" s="7" cm="1">
        <f t="array" ref="Q916:S916">VLOOKUP(P916,Hoja1!C:F,{2,3,4},FALSE)</f>
        <v>46233</v>
      </c>
      <c r="R916" t="str">
        <v>C03</v>
      </c>
      <c r="S916" t="str">
        <v>1000000062 FINNING ARGENTINA S.A.</v>
      </c>
    </row>
    <row r="917" spans="1:19" x14ac:dyDescent="0.3">
      <c r="A917" s="2" t="s">
        <v>14</v>
      </c>
      <c r="B917" s="3" t="s">
        <v>14</v>
      </c>
      <c r="C917" s="3" t="s">
        <v>979</v>
      </c>
      <c r="D917" s="3" t="s">
        <v>14</v>
      </c>
      <c r="E917" s="3" t="s">
        <v>466</v>
      </c>
      <c r="F917" s="4">
        <v>46237</v>
      </c>
      <c r="G917" s="3" t="s">
        <v>17</v>
      </c>
      <c r="H917" s="5">
        <v>-67229.509999999995</v>
      </c>
      <c r="I917" s="3" t="s">
        <v>18</v>
      </c>
      <c r="J917" s="3" t="s">
        <v>14</v>
      </c>
      <c r="K917" s="3" t="s">
        <v>14</v>
      </c>
      <c r="L917" s="3" t="s">
        <v>340</v>
      </c>
      <c r="M917" s="4">
        <v>46237</v>
      </c>
      <c r="N917" s="3" t="s">
        <v>960</v>
      </c>
      <c r="O917" s="3" t="s">
        <v>156</v>
      </c>
      <c r="P917" t="str">
        <f t="shared" si="14"/>
        <v>4500132469110</v>
      </c>
      <c r="Q917" s="7" cm="1">
        <f t="array" ref="Q917:S917">VLOOKUP(P917,Hoja1!C:F,{2,3,4},FALSE)</f>
        <v>46233</v>
      </c>
      <c r="R917" t="str">
        <v>C03</v>
      </c>
      <c r="S917" t="str">
        <v>1000000062 FINNING ARGENTINA S.A.</v>
      </c>
    </row>
    <row r="918" spans="1:19" x14ac:dyDescent="0.3">
      <c r="A918" s="2" t="s">
        <v>14</v>
      </c>
      <c r="B918" s="3" t="s">
        <v>14</v>
      </c>
      <c r="C918" s="3" t="s">
        <v>979</v>
      </c>
      <c r="D918" s="3" t="s">
        <v>14</v>
      </c>
      <c r="E918" s="3" t="s">
        <v>466</v>
      </c>
      <c r="F918" s="4">
        <v>46237</v>
      </c>
      <c r="G918" s="3" t="s">
        <v>17</v>
      </c>
      <c r="H918" s="5">
        <v>-105115.5</v>
      </c>
      <c r="I918" s="3" t="s">
        <v>18</v>
      </c>
      <c r="J918" s="3" t="s">
        <v>14</v>
      </c>
      <c r="K918" s="3" t="s">
        <v>14</v>
      </c>
      <c r="L918" s="3" t="s">
        <v>340</v>
      </c>
      <c r="M918" s="4">
        <v>46237</v>
      </c>
      <c r="N918" s="3" t="s">
        <v>960</v>
      </c>
      <c r="O918" s="3" t="s">
        <v>129</v>
      </c>
      <c r="P918" t="str">
        <f t="shared" si="14"/>
        <v>4500132469160</v>
      </c>
      <c r="Q918" s="7" cm="1">
        <f t="array" ref="Q918:S918">VLOOKUP(P918,Hoja1!C:F,{2,3,4},FALSE)</f>
        <v>46233</v>
      </c>
      <c r="R918" t="str">
        <v>C03</v>
      </c>
      <c r="S918" t="str">
        <v>1000000062 FINNING ARGENTINA S.A.</v>
      </c>
    </row>
    <row r="919" spans="1:19" x14ac:dyDescent="0.3">
      <c r="A919" s="2" t="s">
        <v>14</v>
      </c>
      <c r="B919" s="3" t="s">
        <v>14</v>
      </c>
      <c r="C919" s="3" t="s">
        <v>979</v>
      </c>
      <c r="D919" s="3" t="s">
        <v>14</v>
      </c>
      <c r="E919" s="3" t="s">
        <v>466</v>
      </c>
      <c r="F919" s="4">
        <v>46237</v>
      </c>
      <c r="G919" s="3" t="s">
        <v>17</v>
      </c>
      <c r="H919" s="5">
        <v>-77726.25</v>
      </c>
      <c r="I919" s="3" t="s">
        <v>18</v>
      </c>
      <c r="J919" s="3" t="s">
        <v>14</v>
      </c>
      <c r="K919" s="3" t="s">
        <v>14</v>
      </c>
      <c r="L919" s="3" t="s">
        <v>340</v>
      </c>
      <c r="M919" s="4">
        <v>46237</v>
      </c>
      <c r="N919" s="3" t="s">
        <v>960</v>
      </c>
      <c r="O919" s="3" t="s">
        <v>53</v>
      </c>
      <c r="P919" t="str">
        <f t="shared" si="14"/>
        <v>4500132469170</v>
      </c>
      <c r="Q919" s="7" cm="1">
        <f t="array" ref="Q919:S919">VLOOKUP(P919,Hoja1!C:F,{2,3,4},FALSE)</f>
        <v>46233</v>
      </c>
      <c r="R919" t="str">
        <v>C03</v>
      </c>
      <c r="S919" t="str">
        <v>1000000062 FINNING ARGENTINA S.A.</v>
      </c>
    </row>
    <row r="920" spans="1:19" x14ac:dyDescent="0.3">
      <c r="A920" s="2" t="s">
        <v>14</v>
      </c>
      <c r="B920" s="3" t="s">
        <v>14</v>
      </c>
      <c r="C920" s="3" t="s">
        <v>979</v>
      </c>
      <c r="D920" s="3" t="s">
        <v>14</v>
      </c>
      <c r="E920" s="3" t="s">
        <v>466</v>
      </c>
      <c r="F920" s="4">
        <v>46237</v>
      </c>
      <c r="G920" s="3" t="s">
        <v>17</v>
      </c>
      <c r="H920" s="5">
        <v>-38537.42</v>
      </c>
      <c r="I920" s="3" t="s">
        <v>18</v>
      </c>
      <c r="J920" s="3" t="s">
        <v>14</v>
      </c>
      <c r="K920" s="3" t="s">
        <v>14</v>
      </c>
      <c r="L920" s="3" t="s">
        <v>340</v>
      </c>
      <c r="M920" s="4">
        <v>46237</v>
      </c>
      <c r="N920" s="3" t="s">
        <v>960</v>
      </c>
      <c r="O920" s="3" t="s">
        <v>161</v>
      </c>
      <c r="P920" t="str">
        <f t="shared" si="14"/>
        <v>4500132469200</v>
      </c>
      <c r="Q920" s="7" cm="1">
        <f t="array" ref="Q920:S920">VLOOKUP(P920,Hoja1!C:F,{2,3,4},FALSE)</f>
        <v>46233</v>
      </c>
      <c r="R920" t="str">
        <v>C03</v>
      </c>
      <c r="S920" t="str">
        <v>1000000062 FINNING ARGENTINA S.A.</v>
      </c>
    </row>
    <row r="921" spans="1:19" x14ac:dyDescent="0.3">
      <c r="A921" s="2" t="s">
        <v>14</v>
      </c>
      <c r="B921" s="3" t="s">
        <v>14</v>
      </c>
      <c r="C921" s="3" t="s">
        <v>979</v>
      </c>
      <c r="D921" s="3" t="s">
        <v>14</v>
      </c>
      <c r="E921" s="3" t="s">
        <v>466</v>
      </c>
      <c r="F921" s="4">
        <v>46237</v>
      </c>
      <c r="G921" s="3" t="s">
        <v>17</v>
      </c>
      <c r="H921" s="5">
        <v>-12998.79</v>
      </c>
      <c r="I921" s="3" t="s">
        <v>18</v>
      </c>
      <c r="J921" s="3" t="s">
        <v>14</v>
      </c>
      <c r="K921" s="3" t="s">
        <v>14</v>
      </c>
      <c r="L921" s="3" t="s">
        <v>340</v>
      </c>
      <c r="M921" s="4">
        <v>46237</v>
      </c>
      <c r="N921" s="3" t="s">
        <v>960</v>
      </c>
      <c r="O921" s="3" t="s">
        <v>136</v>
      </c>
      <c r="P921" t="str">
        <f t="shared" si="14"/>
        <v>4500132469210</v>
      </c>
      <c r="Q921" s="7" cm="1">
        <f t="array" ref="Q921:S921">VLOOKUP(P921,Hoja1!C:F,{2,3,4},FALSE)</f>
        <v>46233</v>
      </c>
      <c r="R921" t="str">
        <v>C03</v>
      </c>
      <c r="S921" t="str">
        <v>1000000062 FINNING ARGENTINA S.A.</v>
      </c>
    </row>
    <row r="922" spans="1:19" x14ac:dyDescent="0.3">
      <c r="A922" s="2" t="s">
        <v>14</v>
      </c>
      <c r="B922" s="3" t="s">
        <v>14</v>
      </c>
      <c r="C922" s="3" t="s">
        <v>979</v>
      </c>
      <c r="D922" s="3" t="s">
        <v>14</v>
      </c>
      <c r="E922" s="3" t="s">
        <v>466</v>
      </c>
      <c r="F922" s="4">
        <v>46237</v>
      </c>
      <c r="G922" s="3" t="s">
        <v>17</v>
      </c>
      <c r="H922" s="5">
        <v>-592051.94999999995</v>
      </c>
      <c r="I922" s="3" t="s">
        <v>18</v>
      </c>
      <c r="J922" s="3" t="s">
        <v>14</v>
      </c>
      <c r="K922" s="3" t="s">
        <v>14</v>
      </c>
      <c r="L922" s="3" t="s">
        <v>340</v>
      </c>
      <c r="M922" s="4">
        <v>46237</v>
      </c>
      <c r="N922" s="3" t="s">
        <v>960</v>
      </c>
      <c r="O922" s="3" t="s">
        <v>140</v>
      </c>
      <c r="P922" t="str">
        <f t="shared" si="14"/>
        <v>4500132469220</v>
      </c>
      <c r="Q922" s="7" cm="1">
        <f t="array" ref="Q922:S922">VLOOKUP(P922,Hoja1!C:F,{2,3,4},FALSE)</f>
        <v>46233</v>
      </c>
      <c r="R922" t="str">
        <v>C03</v>
      </c>
      <c r="S922" t="str">
        <v>1000000062 FINNING ARGENTINA S.A.</v>
      </c>
    </row>
    <row r="923" spans="1:19" x14ac:dyDescent="0.3">
      <c r="A923" s="2" t="s">
        <v>14</v>
      </c>
      <c r="B923" s="3" t="s">
        <v>14</v>
      </c>
      <c r="C923" s="3" t="s">
        <v>980</v>
      </c>
      <c r="D923" s="3" t="s">
        <v>32</v>
      </c>
      <c r="E923" s="3" t="s">
        <v>466</v>
      </c>
      <c r="F923" s="4">
        <v>46237</v>
      </c>
      <c r="G923" s="3" t="s">
        <v>17</v>
      </c>
      <c r="H923" s="5">
        <v>-6736275</v>
      </c>
      <c r="I923" s="3" t="s">
        <v>18</v>
      </c>
      <c r="J923" s="3" t="s">
        <v>14</v>
      </c>
      <c r="K923" s="3" t="s">
        <v>14</v>
      </c>
      <c r="L923" s="3" t="s">
        <v>981</v>
      </c>
      <c r="M923" s="4">
        <v>46237</v>
      </c>
      <c r="N923" s="3" t="s">
        <v>982</v>
      </c>
      <c r="O923" s="3" t="s">
        <v>22</v>
      </c>
      <c r="P923" t="str">
        <f t="shared" si="14"/>
        <v>450013093020</v>
      </c>
      <c r="Q923" s="7" cm="1">
        <f t="array" ref="Q923:S923">VLOOKUP(P923,Hoja1!C:F,{2,3,4},FALSE)</f>
        <v>46262</v>
      </c>
      <c r="R923" t="str">
        <v>C03</v>
      </c>
      <c r="S923" t="str">
        <v>2000000291 GPS SERVICE SPA</v>
      </c>
    </row>
    <row r="924" spans="1:19" x14ac:dyDescent="0.3">
      <c r="A924" s="2" t="s">
        <v>14</v>
      </c>
      <c r="B924" s="3" t="s">
        <v>14</v>
      </c>
      <c r="C924" s="3" t="s">
        <v>983</v>
      </c>
      <c r="D924" s="3" t="s">
        <v>14</v>
      </c>
      <c r="E924" s="3" t="s">
        <v>466</v>
      </c>
      <c r="F924" s="4">
        <v>46237</v>
      </c>
      <c r="G924" s="3" t="s">
        <v>17</v>
      </c>
      <c r="H924" s="5">
        <v>-144000</v>
      </c>
      <c r="I924" s="3" t="s">
        <v>18</v>
      </c>
      <c r="J924" s="3" t="s">
        <v>14</v>
      </c>
      <c r="K924" s="3" t="s">
        <v>14</v>
      </c>
      <c r="L924" s="3" t="s">
        <v>984</v>
      </c>
      <c r="M924" s="4">
        <v>46237</v>
      </c>
      <c r="N924" s="3" t="s">
        <v>985</v>
      </c>
      <c r="O924" s="3" t="s">
        <v>30</v>
      </c>
      <c r="P924" t="str">
        <f t="shared" si="14"/>
        <v>450013414510</v>
      </c>
      <c r="Q924" s="7" cm="1">
        <f t="array" ref="Q924:S924">VLOOKUP(P924,Hoja1!C:F,{2,3,4},FALSE)</f>
        <v>46236</v>
      </c>
      <c r="R924" t="str">
        <v>C03</v>
      </c>
      <c r="S924" t="str">
        <v>1000009554 SCARONE FEDERICO AGUSTIN</v>
      </c>
    </row>
    <row r="925" spans="1:19" x14ac:dyDescent="0.3">
      <c r="A925" s="2" t="s">
        <v>14</v>
      </c>
      <c r="B925" s="3" t="s">
        <v>14</v>
      </c>
      <c r="C925" s="3" t="s">
        <v>986</v>
      </c>
      <c r="D925" s="3" t="s">
        <v>32</v>
      </c>
      <c r="E925" s="3" t="s">
        <v>466</v>
      </c>
      <c r="F925" s="4">
        <v>46237</v>
      </c>
      <c r="G925" s="3" t="s">
        <v>17</v>
      </c>
      <c r="H925" s="5">
        <v>-450000</v>
      </c>
      <c r="I925" s="3" t="s">
        <v>18</v>
      </c>
      <c r="J925" s="3" t="s">
        <v>14</v>
      </c>
      <c r="K925" s="3" t="s">
        <v>14</v>
      </c>
      <c r="L925" s="3" t="s">
        <v>987</v>
      </c>
      <c r="M925" s="4">
        <v>46237</v>
      </c>
      <c r="N925" s="3" t="s">
        <v>988</v>
      </c>
      <c r="O925" s="3" t="s">
        <v>35</v>
      </c>
      <c r="P925" t="str">
        <f t="shared" si="14"/>
        <v>450013162630</v>
      </c>
      <c r="Q925" s="7" cm="1">
        <f t="array" ref="Q925:S925">VLOOKUP(P925,Hoja1!C:F,{2,3,4},FALSE)</f>
        <v>46402</v>
      </c>
      <c r="R925" t="str">
        <v>C03</v>
      </c>
      <c r="S925" t="str">
        <v>1000001657 ECOPORTATILES SA</v>
      </c>
    </row>
    <row r="926" spans="1:19" x14ac:dyDescent="0.3">
      <c r="A926" s="2" t="s">
        <v>14</v>
      </c>
      <c r="B926" s="3" t="s">
        <v>14</v>
      </c>
      <c r="C926" s="3" t="s">
        <v>986</v>
      </c>
      <c r="D926" s="3" t="s">
        <v>32</v>
      </c>
      <c r="E926" s="3" t="s">
        <v>466</v>
      </c>
      <c r="F926" s="4">
        <v>46237</v>
      </c>
      <c r="G926" s="3" t="s">
        <v>17</v>
      </c>
      <c r="H926" s="5">
        <v>-450000</v>
      </c>
      <c r="I926" s="3" t="s">
        <v>18</v>
      </c>
      <c r="J926" s="3" t="s">
        <v>14</v>
      </c>
      <c r="K926" s="3" t="s">
        <v>14</v>
      </c>
      <c r="L926" s="3" t="s">
        <v>987</v>
      </c>
      <c r="M926" s="4">
        <v>46237</v>
      </c>
      <c r="N926" s="3" t="s">
        <v>988</v>
      </c>
      <c r="O926" s="3" t="s">
        <v>23</v>
      </c>
      <c r="P926" t="str">
        <f t="shared" si="14"/>
        <v>450013162640</v>
      </c>
      <c r="Q926" s="7" cm="1">
        <f t="array" ref="Q926:S926">VLOOKUP(P926,Hoja1!C:F,{2,3,4},FALSE)</f>
        <v>46402</v>
      </c>
      <c r="R926" t="str">
        <v>C03</v>
      </c>
      <c r="S926" t="str">
        <v>1000001657 ECOPORTATILES SA</v>
      </c>
    </row>
    <row r="927" spans="1:19" x14ac:dyDescent="0.3">
      <c r="A927" s="2" t="s">
        <v>14</v>
      </c>
      <c r="B927" s="3" t="s">
        <v>14</v>
      </c>
      <c r="C927" s="3" t="s">
        <v>989</v>
      </c>
      <c r="D927" s="3" t="s">
        <v>32</v>
      </c>
      <c r="E927" s="3" t="s">
        <v>466</v>
      </c>
      <c r="F927" s="4">
        <v>46237</v>
      </c>
      <c r="G927" s="3" t="s">
        <v>17</v>
      </c>
      <c r="H927" s="5">
        <v>-220000</v>
      </c>
      <c r="I927" s="3" t="s">
        <v>18</v>
      </c>
      <c r="J927" s="3" t="s">
        <v>14</v>
      </c>
      <c r="K927" s="3" t="s">
        <v>14</v>
      </c>
      <c r="L927" s="3" t="s">
        <v>987</v>
      </c>
      <c r="M927" s="4">
        <v>46237</v>
      </c>
      <c r="N927" s="3" t="s">
        <v>988</v>
      </c>
      <c r="O927" s="3" t="s">
        <v>22</v>
      </c>
      <c r="P927" t="str">
        <f t="shared" si="14"/>
        <v>450013162620</v>
      </c>
      <c r="Q927" s="7" cm="1">
        <f t="array" ref="Q927:S927">VLOOKUP(P927,Hoja1!C:F,{2,3,4},FALSE)</f>
        <v>46402</v>
      </c>
      <c r="R927" t="str">
        <v>C03</v>
      </c>
      <c r="S927" t="str">
        <v>1000001657 ECOPORTATILES SA</v>
      </c>
    </row>
    <row r="928" spans="1:19" x14ac:dyDescent="0.3">
      <c r="A928" s="2" t="s">
        <v>14</v>
      </c>
      <c r="B928" s="3" t="s">
        <v>14</v>
      </c>
      <c r="C928" s="3" t="s">
        <v>989</v>
      </c>
      <c r="D928" s="3" t="s">
        <v>32</v>
      </c>
      <c r="E928" s="3" t="s">
        <v>466</v>
      </c>
      <c r="F928" s="4">
        <v>46237</v>
      </c>
      <c r="G928" s="3" t="s">
        <v>17</v>
      </c>
      <c r="H928" s="5">
        <v>-450000</v>
      </c>
      <c r="I928" s="3" t="s">
        <v>18</v>
      </c>
      <c r="J928" s="3" t="s">
        <v>14</v>
      </c>
      <c r="K928" s="3" t="s">
        <v>14</v>
      </c>
      <c r="L928" s="3" t="s">
        <v>987</v>
      </c>
      <c r="M928" s="4">
        <v>46237</v>
      </c>
      <c r="N928" s="3" t="s">
        <v>988</v>
      </c>
      <c r="O928" s="3" t="s">
        <v>35</v>
      </c>
      <c r="P928" t="str">
        <f t="shared" si="14"/>
        <v>450013162630</v>
      </c>
      <c r="Q928" s="7" cm="1">
        <f t="array" ref="Q928:S928">VLOOKUP(P928,Hoja1!C:F,{2,3,4},FALSE)</f>
        <v>46402</v>
      </c>
      <c r="R928" t="str">
        <v>C03</v>
      </c>
      <c r="S928" t="str">
        <v>1000001657 ECOPORTATILES SA</v>
      </c>
    </row>
    <row r="929" spans="1:19" x14ac:dyDescent="0.3">
      <c r="A929" s="2" t="s">
        <v>14</v>
      </c>
      <c r="B929" s="3" t="s">
        <v>14</v>
      </c>
      <c r="C929" s="3" t="s">
        <v>989</v>
      </c>
      <c r="D929" s="3" t="s">
        <v>32</v>
      </c>
      <c r="E929" s="3" t="s">
        <v>466</v>
      </c>
      <c r="F929" s="4">
        <v>46237</v>
      </c>
      <c r="G929" s="3" t="s">
        <v>17</v>
      </c>
      <c r="H929" s="5">
        <v>-450000</v>
      </c>
      <c r="I929" s="3" t="s">
        <v>18</v>
      </c>
      <c r="J929" s="3" t="s">
        <v>14</v>
      </c>
      <c r="K929" s="3" t="s">
        <v>14</v>
      </c>
      <c r="L929" s="3" t="s">
        <v>987</v>
      </c>
      <c r="M929" s="4">
        <v>46237</v>
      </c>
      <c r="N929" s="3" t="s">
        <v>988</v>
      </c>
      <c r="O929" s="3" t="s">
        <v>23</v>
      </c>
      <c r="P929" t="str">
        <f t="shared" si="14"/>
        <v>450013162640</v>
      </c>
      <c r="Q929" s="7" cm="1">
        <f t="array" ref="Q929:S929">VLOOKUP(P929,Hoja1!C:F,{2,3,4},FALSE)</f>
        <v>46402</v>
      </c>
      <c r="R929" t="str">
        <v>C03</v>
      </c>
      <c r="S929" t="str">
        <v>1000001657 ECOPORTATILES SA</v>
      </c>
    </row>
    <row r="930" spans="1:19" x14ac:dyDescent="0.3">
      <c r="A930" s="2" t="s">
        <v>14</v>
      </c>
      <c r="B930" s="3" t="s">
        <v>14</v>
      </c>
      <c r="C930" s="3" t="s">
        <v>989</v>
      </c>
      <c r="D930" s="3" t="s">
        <v>32</v>
      </c>
      <c r="E930" s="3" t="s">
        <v>466</v>
      </c>
      <c r="F930" s="4">
        <v>46237</v>
      </c>
      <c r="G930" s="3" t="s">
        <v>17</v>
      </c>
      <c r="H930" s="5">
        <v>-450000</v>
      </c>
      <c r="I930" s="3" t="s">
        <v>18</v>
      </c>
      <c r="J930" s="3" t="s">
        <v>14</v>
      </c>
      <c r="K930" s="3" t="s">
        <v>14</v>
      </c>
      <c r="L930" s="3" t="s">
        <v>987</v>
      </c>
      <c r="M930" s="4">
        <v>46237</v>
      </c>
      <c r="N930" s="3" t="s">
        <v>988</v>
      </c>
      <c r="O930" s="3" t="s">
        <v>144</v>
      </c>
      <c r="P930" t="str">
        <f t="shared" si="14"/>
        <v>450013162650</v>
      </c>
      <c r="Q930" s="7" cm="1">
        <f t="array" ref="Q930:S930">VLOOKUP(P930,Hoja1!C:F,{2,3,4},FALSE)</f>
        <v>46402</v>
      </c>
      <c r="R930" t="str">
        <v>C03</v>
      </c>
      <c r="S930" t="str">
        <v>1000001657 ECOPORTATILES SA</v>
      </c>
    </row>
    <row r="931" spans="1:19" x14ac:dyDescent="0.3">
      <c r="A931" s="2" t="s">
        <v>14</v>
      </c>
      <c r="B931" s="3" t="s">
        <v>14</v>
      </c>
      <c r="C931" s="3" t="s">
        <v>990</v>
      </c>
      <c r="D931" s="3" t="s">
        <v>14</v>
      </c>
      <c r="E931" s="3" t="s">
        <v>466</v>
      </c>
      <c r="F931" s="4">
        <v>46238</v>
      </c>
      <c r="G931" s="3" t="s">
        <v>17</v>
      </c>
      <c r="H931" s="5">
        <v>-75840</v>
      </c>
      <c r="I931" s="3" t="s">
        <v>18</v>
      </c>
      <c r="J931" s="3" t="s">
        <v>14</v>
      </c>
      <c r="K931" s="3" t="s">
        <v>14</v>
      </c>
      <c r="L931" s="3" t="s">
        <v>991</v>
      </c>
      <c r="M931" s="4">
        <v>46238</v>
      </c>
      <c r="N931" s="3" t="s">
        <v>992</v>
      </c>
      <c r="O931" s="3" t="s">
        <v>30</v>
      </c>
      <c r="P931" t="str">
        <f t="shared" si="14"/>
        <v>450013398310</v>
      </c>
      <c r="Q931" s="7" cm="1">
        <f t="array" ref="Q931:S931">VLOOKUP(P931,Hoja1!C:F,{2,3,4},FALSE)</f>
        <v>46234</v>
      </c>
      <c r="R931" t="str">
        <v>C03</v>
      </c>
      <c r="S931" t="str">
        <v>1000008805 SAKURA MOTORS S. A.</v>
      </c>
    </row>
    <row r="932" spans="1:19" x14ac:dyDescent="0.3">
      <c r="A932" s="2" t="s">
        <v>14</v>
      </c>
      <c r="B932" s="3" t="s">
        <v>14</v>
      </c>
      <c r="C932" s="3" t="s">
        <v>990</v>
      </c>
      <c r="D932" s="3" t="s">
        <v>14</v>
      </c>
      <c r="E932" s="3" t="s">
        <v>466</v>
      </c>
      <c r="F932" s="4">
        <v>46238</v>
      </c>
      <c r="G932" s="3" t="s">
        <v>17</v>
      </c>
      <c r="H932" s="5">
        <v>-69268</v>
      </c>
      <c r="I932" s="3" t="s">
        <v>18</v>
      </c>
      <c r="J932" s="3" t="s">
        <v>14</v>
      </c>
      <c r="K932" s="3" t="s">
        <v>14</v>
      </c>
      <c r="L932" s="3" t="s">
        <v>991</v>
      </c>
      <c r="M932" s="4">
        <v>46238</v>
      </c>
      <c r="N932" s="3" t="s">
        <v>992</v>
      </c>
      <c r="O932" s="3" t="s">
        <v>22</v>
      </c>
      <c r="P932" t="str">
        <f t="shared" si="14"/>
        <v>450013398320</v>
      </c>
      <c r="Q932" s="7" cm="1">
        <f t="array" ref="Q932:S932">VLOOKUP(P932,Hoja1!C:F,{2,3,4},FALSE)</f>
        <v>46234</v>
      </c>
      <c r="R932" t="str">
        <v>C03</v>
      </c>
      <c r="S932" t="str">
        <v>1000008805 SAKURA MOTORS S. A.</v>
      </c>
    </row>
    <row r="933" spans="1:19" x14ac:dyDescent="0.3">
      <c r="A933" s="2" t="s">
        <v>14</v>
      </c>
      <c r="B933" s="3" t="s">
        <v>14</v>
      </c>
      <c r="C933" s="3" t="s">
        <v>990</v>
      </c>
      <c r="D933" s="3" t="s">
        <v>14</v>
      </c>
      <c r="E933" s="3" t="s">
        <v>466</v>
      </c>
      <c r="F933" s="4">
        <v>46238</v>
      </c>
      <c r="G933" s="3" t="s">
        <v>17</v>
      </c>
      <c r="H933" s="5">
        <v>-68142</v>
      </c>
      <c r="I933" s="3" t="s">
        <v>18</v>
      </c>
      <c r="J933" s="3" t="s">
        <v>14</v>
      </c>
      <c r="K933" s="3" t="s">
        <v>14</v>
      </c>
      <c r="L933" s="3" t="s">
        <v>991</v>
      </c>
      <c r="M933" s="4">
        <v>46238</v>
      </c>
      <c r="N933" s="3" t="s">
        <v>992</v>
      </c>
      <c r="O933" s="3" t="s">
        <v>35</v>
      </c>
      <c r="P933" t="str">
        <f t="shared" si="14"/>
        <v>450013398330</v>
      </c>
      <c r="Q933" s="7" cm="1">
        <f t="array" ref="Q933:S933">VLOOKUP(P933,Hoja1!C:F,{2,3,4},FALSE)</f>
        <v>46234</v>
      </c>
      <c r="R933" t="str">
        <v>C03</v>
      </c>
      <c r="S933" t="str">
        <v>1000008805 SAKURA MOTORS S. A.</v>
      </c>
    </row>
    <row r="934" spans="1:19" x14ac:dyDescent="0.3">
      <c r="A934" s="2" t="s">
        <v>14</v>
      </c>
      <c r="B934" s="3" t="s">
        <v>14</v>
      </c>
      <c r="C934" s="3" t="s">
        <v>990</v>
      </c>
      <c r="D934" s="3" t="s">
        <v>14</v>
      </c>
      <c r="E934" s="3" t="s">
        <v>466</v>
      </c>
      <c r="F934" s="4">
        <v>46238</v>
      </c>
      <c r="G934" s="3" t="s">
        <v>17</v>
      </c>
      <c r="H934" s="5">
        <v>-147486</v>
      </c>
      <c r="I934" s="3" t="s">
        <v>18</v>
      </c>
      <c r="J934" s="3" t="s">
        <v>14</v>
      </c>
      <c r="K934" s="3" t="s">
        <v>14</v>
      </c>
      <c r="L934" s="3" t="s">
        <v>991</v>
      </c>
      <c r="M934" s="4">
        <v>46238</v>
      </c>
      <c r="N934" s="3" t="s">
        <v>992</v>
      </c>
      <c r="O934" s="3" t="s">
        <v>23</v>
      </c>
      <c r="P934" t="str">
        <f t="shared" si="14"/>
        <v>450013398340</v>
      </c>
      <c r="Q934" s="7" cm="1">
        <f t="array" ref="Q934:S934">VLOOKUP(P934,Hoja1!C:F,{2,3,4},FALSE)</f>
        <v>46234</v>
      </c>
      <c r="R934" t="str">
        <v>C03</v>
      </c>
      <c r="S934" t="str">
        <v>1000008805 SAKURA MOTORS S. A.</v>
      </c>
    </row>
    <row r="935" spans="1:19" x14ac:dyDescent="0.3">
      <c r="A935" s="2" t="s">
        <v>14</v>
      </c>
      <c r="B935" s="3" t="s">
        <v>14</v>
      </c>
      <c r="C935" s="3" t="s">
        <v>990</v>
      </c>
      <c r="D935" s="3" t="s">
        <v>14</v>
      </c>
      <c r="E935" s="3" t="s">
        <v>466</v>
      </c>
      <c r="F935" s="4">
        <v>46238</v>
      </c>
      <c r="G935" s="3" t="s">
        <v>17</v>
      </c>
      <c r="H935" s="5">
        <v>-77598</v>
      </c>
      <c r="I935" s="3" t="s">
        <v>18</v>
      </c>
      <c r="J935" s="3" t="s">
        <v>14</v>
      </c>
      <c r="K935" s="3" t="s">
        <v>14</v>
      </c>
      <c r="L935" s="3" t="s">
        <v>991</v>
      </c>
      <c r="M935" s="4">
        <v>46238</v>
      </c>
      <c r="N935" s="3" t="s">
        <v>992</v>
      </c>
      <c r="O935" s="3" t="s">
        <v>144</v>
      </c>
      <c r="P935" t="str">
        <f t="shared" si="14"/>
        <v>450013398350</v>
      </c>
      <c r="Q935" s="7" cm="1">
        <f t="array" ref="Q935:S935">VLOOKUP(P935,Hoja1!C:F,{2,3,4},FALSE)</f>
        <v>46234</v>
      </c>
      <c r="R935" t="str">
        <v>C03</v>
      </c>
      <c r="S935" t="str">
        <v>1000008805 SAKURA MOTORS S. A.</v>
      </c>
    </row>
    <row r="936" spans="1:19" x14ac:dyDescent="0.3">
      <c r="A936" s="2" t="s">
        <v>14</v>
      </c>
      <c r="B936" s="3" t="s">
        <v>14</v>
      </c>
      <c r="C936" s="3" t="s">
        <v>993</v>
      </c>
      <c r="D936" s="3" t="s">
        <v>14</v>
      </c>
      <c r="E936" s="3" t="s">
        <v>466</v>
      </c>
      <c r="F936" s="4">
        <v>46238</v>
      </c>
      <c r="G936" s="3" t="s">
        <v>17</v>
      </c>
      <c r="H936" s="5">
        <v>-347107.44</v>
      </c>
      <c r="I936" s="3" t="s">
        <v>18</v>
      </c>
      <c r="J936" s="3" t="s">
        <v>14</v>
      </c>
      <c r="K936" s="3" t="s">
        <v>14</v>
      </c>
      <c r="L936" s="3" t="s">
        <v>994</v>
      </c>
      <c r="M936" s="4">
        <v>46238</v>
      </c>
      <c r="N936" s="3" t="s">
        <v>995</v>
      </c>
      <c r="O936" s="3" t="s">
        <v>30</v>
      </c>
      <c r="P936" t="str">
        <f t="shared" si="14"/>
        <v>450013449410</v>
      </c>
      <c r="Q936" s="7" cm="1">
        <f t="array" ref="Q936:S936">VLOOKUP(P936,Hoja1!C:F,{2,3,4},FALSE)</f>
        <v>46240</v>
      </c>
      <c r="R936" t="str">
        <v>C38</v>
      </c>
      <c r="S936" t="str">
        <v>1000012776 TURBOLAR S.A.</v>
      </c>
    </row>
    <row r="937" spans="1:19" x14ac:dyDescent="0.3">
      <c r="A937" s="2" t="s">
        <v>14</v>
      </c>
      <c r="B937" s="3" t="s">
        <v>14</v>
      </c>
      <c r="C937" s="3" t="s">
        <v>996</v>
      </c>
      <c r="D937" s="3" t="s">
        <v>14</v>
      </c>
      <c r="E937" s="3" t="s">
        <v>466</v>
      </c>
      <c r="F937" s="4">
        <v>46237</v>
      </c>
      <c r="G937" s="3" t="s">
        <v>17</v>
      </c>
      <c r="H937" s="5">
        <v>-89338.33</v>
      </c>
      <c r="I937" s="3" t="s">
        <v>18</v>
      </c>
      <c r="J937" s="3" t="s">
        <v>14</v>
      </c>
      <c r="K937" s="3" t="s">
        <v>14</v>
      </c>
      <c r="L937" s="3" t="s">
        <v>997</v>
      </c>
      <c r="M937" s="4">
        <v>46239</v>
      </c>
      <c r="N937" s="3" t="s">
        <v>998</v>
      </c>
      <c r="O937" s="3" t="s">
        <v>132</v>
      </c>
      <c r="P937" t="str">
        <f t="shared" si="14"/>
        <v>4500130492120</v>
      </c>
      <c r="Q937" s="7" cm="1">
        <f t="array" ref="Q937:S937">VLOOKUP(P937,Hoja1!C:F,{2,3,4},FALSE)</f>
        <v>46237</v>
      </c>
      <c r="R937" t="str">
        <v>C27</v>
      </c>
      <c r="S937" t="str">
        <v>1000000003 ARROYITO MAQUINARIAS S.R.L.</v>
      </c>
    </row>
    <row r="938" spans="1:19" x14ac:dyDescent="0.3">
      <c r="A938" s="2" t="s">
        <v>14</v>
      </c>
      <c r="B938" s="3" t="s">
        <v>14</v>
      </c>
      <c r="C938" s="3" t="s">
        <v>999</v>
      </c>
      <c r="D938" s="3" t="s">
        <v>14</v>
      </c>
      <c r="E938" s="3" t="s">
        <v>466</v>
      </c>
      <c r="F938" s="4">
        <v>45924</v>
      </c>
      <c r="G938" s="3" t="s">
        <v>17</v>
      </c>
      <c r="H938" s="5">
        <v>-1004380</v>
      </c>
      <c r="I938" s="3" t="s">
        <v>18</v>
      </c>
      <c r="J938" s="3" t="s">
        <v>14</v>
      </c>
      <c r="K938" s="3" t="s">
        <v>14</v>
      </c>
      <c r="L938" s="3" t="s">
        <v>1000</v>
      </c>
      <c r="M938" s="4">
        <v>45925</v>
      </c>
      <c r="N938" s="3" t="s">
        <v>1001</v>
      </c>
      <c r="O938" s="3" t="s">
        <v>30</v>
      </c>
      <c r="P938" t="str">
        <f t="shared" si="14"/>
        <v>450010926410</v>
      </c>
      <c r="Q938" s="7" cm="1">
        <f t="array" ref="Q938:S938">VLOOKUP(P938,Hoja1!C:F,{2,3,4},FALSE)</f>
        <v>45933</v>
      </c>
      <c r="R938" t="str">
        <v>C22</v>
      </c>
      <c r="S938" t="str">
        <v>1000002348 L-A PINTURAS INDUSTRIALES SRL</v>
      </c>
    </row>
    <row r="939" spans="1:19" x14ac:dyDescent="0.3">
      <c r="A939" s="2" t="s">
        <v>14</v>
      </c>
      <c r="B939" s="3" t="s">
        <v>14</v>
      </c>
      <c r="C939" s="3" t="s">
        <v>1002</v>
      </c>
      <c r="D939" s="3" t="s">
        <v>14</v>
      </c>
      <c r="E939" s="3" t="s">
        <v>466</v>
      </c>
      <c r="F939" s="4">
        <v>46238</v>
      </c>
      <c r="G939" s="3" t="s">
        <v>17</v>
      </c>
      <c r="H939" s="5">
        <v>-553257.01</v>
      </c>
      <c r="I939" s="3" t="s">
        <v>18</v>
      </c>
      <c r="J939" s="3" t="s">
        <v>14</v>
      </c>
      <c r="K939" s="3" t="s">
        <v>14</v>
      </c>
      <c r="L939" s="3" t="s">
        <v>399</v>
      </c>
      <c r="M939" s="4">
        <v>46239</v>
      </c>
      <c r="N939" s="3" t="s">
        <v>1003</v>
      </c>
      <c r="O939" s="3" t="s">
        <v>30</v>
      </c>
      <c r="P939" t="str">
        <f t="shared" si="14"/>
        <v>450012758910</v>
      </c>
      <c r="Q939" s="7" cm="1">
        <f t="array" ref="Q939:S939">VLOOKUP(P939,Hoja1!C:F,{2,3,4},FALSE)</f>
        <v>46241</v>
      </c>
      <c r="R939" t="str">
        <v>C29</v>
      </c>
      <c r="S939" t="str">
        <v>1000000561 ESCANDINAVIA DEL PLATA SA</v>
      </c>
    </row>
    <row r="940" spans="1:19" x14ac:dyDescent="0.3">
      <c r="A940" s="2" t="s">
        <v>14</v>
      </c>
      <c r="B940" s="3" t="s">
        <v>14</v>
      </c>
      <c r="C940" s="3" t="s">
        <v>1004</v>
      </c>
      <c r="D940" s="3" t="s">
        <v>32</v>
      </c>
      <c r="E940" s="3" t="s">
        <v>466</v>
      </c>
      <c r="F940" s="4">
        <v>46239</v>
      </c>
      <c r="G940" s="3" t="s">
        <v>17</v>
      </c>
      <c r="H940" s="5">
        <v>-13692.85</v>
      </c>
      <c r="I940" s="3" t="s">
        <v>18</v>
      </c>
      <c r="J940" s="3" t="s">
        <v>14</v>
      </c>
      <c r="K940" s="3" t="s">
        <v>14</v>
      </c>
      <c r="L940" s="3" t="s">
        <v>335</v>
      </c>
      <c r="M940" s="4">
        <v>46239</v>
      </c>
      <c r="N940" s="3" t="s">
        <v>336</v>
      </c>
      <c r="O940" s="3" t="s">
        <v>30</v>
      </c>
      <c r="P940" t="str">
        <f t="shared" si="14"/>
        <v>450013124310</v>
      </c>
      <c r="Q940" s="7" cm="1">
        <f t="array" ref="Q940:S940">VLOOKUP(P940,Hoja1!C:F,{2,3,4},FALSE)</f>
        <v>46433</v>
      </c>
      <c r="R940" t="str">
        <v>C21</v>
      </c>
      <c r="S940" t="str">
        <v>1000013302 PETROTRES SA</v>
      </c>
    </row>
    <row r="941" spans="1:19" x14ac:dyDescent="0.3">
      <c r="A941" s="2" t="s">
        <v>14</v>
      </c>
      <c r="B941" s="3" t="s">
        <v>14</v>
      </c>
      <c r="C941" s="3" t="s">
        <v>1004</v>
      </c>
      <c r="D941" s="3" t="s">
        <v>32</v>
      </c>
      <c r="E941" s="3" t="s">
        <v>466</v>
      </c>
      <c r="F941" s="4">
        <v>46239</v>
      </c>
      <c r="G941" s="3" t="s">
        <v>17</v>
      </c>
      <c r="H941" s="5">
        <v>-838.89</v>
      </c>
      <c r="I941" s="3" t="s">
        <v>18</v>
      </c>
      <c r="J941" s="3" t="s">
        <v>14</v>
      </c>
      <c r="K941" s="3" t="s">
        <v>14</v>
      </c>
      <c r="L941" s="3" t="s">
        <v>335</v>
      </c>
      <c r="M941" s="4">
        <v>46239</v>
      </c>
      <c r="N941" s="3" t="s">
        <v>336</v>
      </c>
      <c r="O941" s="3" t="s">
        <v>30</v>
      </c>
      <c r="P941" t="str">
        <f t="shared" si="14"/>
        <v>450013124310</v>
      </c>
      <c r="Q941" s="7" cm="1">
        <f t="array" ref="Q941:S941">VLOOKUP(P941,Hoja1!C:F,{2,3,4},FALSE)</f>
        <v>46433</v>
      </c>
      <c r="R941" t="str">
        <v>C21</v>
      </c>
      <c r="S941" t="str">
        <v>1000013302 PETROTRES SA</v>
      </c>
    </row>
    <row r="942" spans="1:19" x14ac:dyDescent="0.3">
      <c r="A942" s="2" t="s">
        <v>14</v>
      </c>
      <c r="B942" s="3" t="s">
        <v>14</v>
      </c>
      <c r="C942" s="3" t="s">
        <v>1005</v>
      </c>
      <c r="D942" s="3" t="s">
        <v>14</v>
      </c>
      <c r="E942" s="3" t="s">
        <v>466</v>
      </c>
      <c r="F942" s="4">
        <v>46239</v>
      </c>
      <c r="G942" s="3" t="s">
        <v>17</v>
      </c>
      <c r="H942" s="5">
        <v>-2090756.81</v>
      </c>
      <c r="I942" s="3" t="s">
        <v>18</v>
      </c>
      <c r="J942" s="3" t="s">
        <v>14</v>
      </c>
      <c r="K942" s="3" t="s">
        <v>14</v>
      </c>
      <c r="L942" s="3" t="s">
        <v>965</v>
      </c>
      <c r="M942" s="4">
        <v>46239</v>
      </c>
      <c r="N942" s="3" t="s">
        <v>1006</v>
      </c>
      <c r="O942" s="3" t="s">
        <v>30</v>
      </c>
      <c r="P942" t="str">
        <f t="shared" si="14"/>
        <v>450013444310</v>
      </c>
      <c r="Q942" s="7" cm="1">
        <f t="array" ref="Q942:S942">VLOOKUP(P942,Hoja1!C:F,{2,3,4},FALSE)</f>
        <v>46240</v>
      </c>
      <c r="R942" t="str">
        <v>C38</v>
      </c>
      <c r="S942" t="str">
        <v>1000001060 PIRLES GUSTAVO JOSE</v>
      </c>
    </row>
    <row r="943" spans="1:19" x14ac:dyDescent="0.3">
      <c r="A943" s="2" t="s">
        <v>14</v>
      </c>
      <c r="B943" s="3" t="s">
        <v>14</v>
      </c>
      <c r="C943" s="3" t="s">
        <v>1007</v>
      </c>
      <c r="D943" s="3" t="s">
        <v>14</v>
      </c>
      <c r="E943" s="3" t="s">
        <v>466</v>
      </c>
      <c r="F943" s="4">
        <v>46238</v>
      </c>
      <c r="G943" s="3" t="s">
        <v>17</v>
      </c>
      <c r="H943" s="5">
        <v>-386114.68</v>
      </c>
      <c r="I943" s="3" t="s">
        <v>18</v>
      </c>
      <c r="J943" s="3" t="s">
        <v>14</v>
      </c>
      <c r="K943" s="3" t="s">
        <v>14</v>
      </c>
      <c r="L943" s="3" t="s">
        <v>1008</v>
      </c>
      <c r="M943" s="4">
        <v>46240</v>
      </c>
      <c r="N943" s="3" t="s">
        <v>1009</v>
      </c>
      <c r="O943" s="3" t="s">
        <v>30</v>
      </c>
      <c r="P943" t="str">
        <f t="shared" si="14"/>
        <v>450012653710</v>
      </c>
      <c r="Q943" s="7" cm="1">
        <f t="array" ref="Q943:S943">VLOOKUP(P943,Hoja1!C:F,{2,3,4},FALSE)</f>
        <v>46245</v>
      </c>
      <c r="R943" t="str">
        <v>C03</v>
      </c>
      <c r="S943" t="str">
        <v>1000012463 RECTIFICADORA COLON SRL</v>
      </c>
    </row>
    <row r="944" spans="1:19" x14ac:dyDescent="0.3">
      <c r="A944" s="2" t="s">
        <v>14</v>
      </c>
      <c r="B944" s="3" t="s">
        <v>14</v>
      </c>
      <c r="C944" s="3" t="s">
        <v>1010</v>
      </c>
      <c r="D944" s="3" t="s">
        <v>14</v>
      </c>
      <c r="E944" s="3" t="s">
        <v>466</v>
      </c>
      <c r="F944" s="4">
        <v>46241</v>
      </c>
      <c r="G944" s="3" t="s">
        <v>17</v>
      </c>
      <c r="H944" s="5">
        <v>-5126954.58</v>
      </c>
      <c r="I944" s="3" t="s">
        <v>18</v>
      </c>
      <c r="J944" s="3" t="s">
        <v>14</v>
      </c>
      <c r="K944" s="3" t="s">
        <v>14</v>
      </c>
      <c r="L944" s="3" t="s">
        <v>73</v>
      </c>
      <c r="M944" s="4">
        <v>46241</v>
      </c>
      <c r="N944" s="3" t="s">
        <v>81</v>
      </c>
      <c r="O944" s="3" t="s">
        <v>30</v>
      </c>
      <c r="P944" t="str">
        <f t="shared" si="14"/>
        <v>450012991410</v>
      </c>
      <c r="Q944" s="7" cm="1">
        <f t="array" ref="Q944:S944">VLOOKUP(P944,Hoja1!C:F,{2,3,4},FALSE)</f>
        <v>46295</v>
      </c>
      <c r="R944" t="str">
        <v>C21</v>
      </c>
      <c r="S944" t="str">
        <v>1000000808 GLOBAL OIL S.R.L.</v>
      </c>
    </row>
    <row r="945" spans="1:19" x14ac:dyDescent="0.3">
      <c r="A945" s="2" t="s">
        <v>14</v>
      </c>
      <c r="B945" s="3" t="s">
        <v>14</v>
      </c>
      <c r="C945" s="3" t="s">
        <v>1010</v>
      </c>
      <c r="D945" s="3" t="s">
        <v>14</v>
      </c>
      <c r="E945" s="3" t="s">
        <v>466</v>
      </c>
      <c r="F945" s="4">
        <v>46241</v>
      </c>
      <c r="G945" s="3" t="s">
        <v>17</v>
      </c>
      <c r="H945" s="5">
        <v>-450279.27</v>
      </c>
      <c r="I945" s="3" t="s">
        <v>18</v>
      </c>
      <c r="J945" s="3" t="s">
        <v>14</v>
      </c>
      <c r="K945" s="3" t="s">
        <v>14</v>
      </c>
      <c r="L945" s="3" t="s">
        <v>73</v>
      </c>
      <c r="M945" s="4">
        <v>46241</v>
      </c>
      <c r="N945" s="3" t="s">
        <v>81</v>
      </c>
      <c r="O945" s="3" t="s">
        <v>30</v>
      </c>
      <c r="P945" t="str">
        <f t="shared" si="14"/>
        <v>450012991410</v>
      </c>
      <c r="Q945" s="7" cm="1">
        <f t="array" ref="Q945:S945">VLOOKUP(P945,Hoja1!C:F,{2,3,4},FALSE)</f>
        <v>46295</v>
      </c>
      <c r="R945" t="str">
        <v>C21</v>
      </c>
      <c r="S945" t="str">
        <v>1000000808 GLOBAL OIL S.R.L.</v>
      </c>
    </row>
    <row r="946" spans="1:19" x14ac:dyDescent="0.3">
      <c r="A946" s="2" t="s">
        <v>14</v>
      </c>
      <c r="B946" s="3" t="s">
        <v>14</v>
      </c>
      <c r="C946" s="3" t="s">
        <v>1010</v>
      </c>
      <c r="D946" s="3" t="s">
        <v>14</v>
      </c>
      <c r="E946" s="3" t="s">
        <v>466</v>
      </c>
      <c r="F946" s="4">
        <v>46241</v>
      </c>
      <c r="G946" s="3" t="s">
        <v>17</v>
      </c>
      <c r="H946" s="5">
        <v>-94782.46</v>
      </c>
      <c r="I946" s="3" t="s">
        <v>18</v>
      </c>
      <c r="J946" s="3" t="s">
        <v>14</v>
      </c>
      <c r="K946" s="3" t="s">
        <v>14</v>
      </c>
      <c r="L946" s="3" t="s">
        <v>73</v>
      </c>
      <c r="M946" s="4">
        <v>46241</v>
      </c>
      <c r="N946" s="3" t="s">
        <v>81</v>
      </c>
      <c r="O946" s="3" t="s">
        <v>30</v>
      </c>
      <c r="P946" t="str">
        <f t="shared" si="14"/>
        <v>450012991410</v>
      </c>
      <c r="Q946" s="7" cm="1">
        <f t="array" ref="Q946:S946">VLOOKUP(P946,Hoja1!C:F,{2,3,4},FALSE)</f>
        <v>46295</v>
      </c>
      <c r="R946" t="str">
        <v>C21</v>
      </c>
      <c r="S946" t="str">
        <v>1000000808 GLOBAL OIL S.R.L.</v>
      </c>
    </row>
    <row r="947" spans="1:19" x14ac:dyDescent="0.3">
      <c r="A947" s="2" t="s">
        <v>14</v>
      </c>
      <c r="B947" s="3" t="s">
        <v>14</v>
      </c>
      <c r="C947" s="3" t="s">
        <v>1011</v>
      </c>
      <c r="D947" s="3" t="s">
        <v>32</v>
      </c>
      <c r="E947" s="3" t="s">
        <v>466</v>
      </c>
      <c r="F947" s="4">
        <v>46241</v>
      </c>
      <c r="G947" s="3" t="s">
        <v>17</v>
      </c>
      <c r="H947" s="5">
        <v>-2157368</v>
      </c>
      <c r="I947" s="3" t="s">
        <v>18</v>
      </c>
      <c r="J947" s="3" t="s">
        <v>14</v>
      </c>
      <c r="K947" s="3" t="s">
        <v>14</v>
      </c>
      <c r="L947" s="3" t="s">
        <v>1012</v>
      </c>
      <c r="M947" s="4">
        <v>46241</v>
      </c>
      <c r="N947" s="3" t="s">
        <v>1013</v>
      </c>
      <c r="O947" s="3" t="s">
        <v>30</v>
      </c>
      <c r="P947" t="str">
        <f t="shared" si="14"/>
        <v>450013266210</v>
      </c>
      <c r="Q947" s="7" cm="1">
        <f t="array" ref="Q947:S947">VLOOKUP(P947,Hoja1!C:F,{2,3,4},FALSE)</f>
        <v>46326</v>
      </c>
      <c r="R947" t="str">
        <v>C25</v>
      </c>
      <c r="S947" t="str">
        <v>1000012680 ABIUSI ANALIA VERONICA</v>
      </c>
    </row>
    <row r="948" spans="1:19" x14ac:dyDescent="0.3">
      <c r="A948" s="2" t="s">
        <v>14</v>
      </c>
      <c r="B948" s="3" t="s">
        <v>14</v>
      </c>
      <c r="C948" s="3" t="s">
        <v>1014</v>
      </c>
      <c r="D948" s="3" t="s">
        <v>32</v>
      </c>
      <c r="E948" s="3" t="s">
        <v>466</v>
      </c>
      <c r="F948" s="4">
        <v>46241</v>
      </c>
      <c r="G948" s="3" t="s">
        <v>17</v>
      </c>
      <c r="H948" s="5">
        <v>-220000</v>
      </c>
      <c r="I948" s="3" t="s">
        <v>18</v>
      </c>
      <c r="J948" s="3" t="s">
        <v>14</v>
      </c>
      <c r="K948" s="3" t="s">
        <v>14</v>
      </c>
      <c r="L948" s="3" t="s">
        <v>987</v>
      </c>
      <c r="M948" s="4">
        <v>46241</v>
      </c>
      <c r="N948" s="3" t="s">
        <v>988</v>
      </c>
      <c r="O948" s="3" t="s">
        <v>22</v>
      </c>
      <c r="P948" t="str">
        <f t="shared" si="14"/>
        <v>450013162620</v>
      </c>
      <c r="Q948" s="7" cm="1">
        <f t="array" ref="Q948:S948">VLOOKUP(P948,Hoja1!C:F,{2,3,4},FALSE)</f>
        <v>46402</v>
      </c>
      <c r="R948" t="str">
        <v>C03</v>
      </c>
      <c r="S948" t="str">
        <v>1000001657 ECOPORTATILES SA</v>
      </c>
    </row>
    <row r="949" spans="1:19" x14ac:dyDescent="0.3">
      <c r="A949" s="2" t="s">
        <v>14</v>
      </c>
      <c r="B949" s="3" t="s">
        <v>14</v>
      </c>
      <c r="C949" s="3" t="s">
        <v>1014</v>
      </c>
      <c r="D949" s="3" t="s">
        <v>32</v>
      </c>
      <c r="E949" s="3" t="s">
        <v>466</v>
      </c>
      <c r="F949" s="4">
        <v>46241</v>
      </c>
      <c r="G949" s="3" t="s">
        <v>17</v>
      </c>
      <c r="H949" s="5">
        <v>-450000</v>
      </c>
      <c r="I949" s="3" t="s">
        <v>18</v>
      </c>
      <c r="J949" s="3" t="s">
        <v>14</v>
      </c>
      <c r="K949" s="3" t="s">
        <v>14</v>
      </c>
      <c r="L949" s="3" t="s">
        <v>987</v>
      </c>
      <c r="M949" s="4">
        <v>46241</v>
      </c>
      <c r="N949" s="3" t="s">
        <v>988</v>
      </c>
      <c r="O949" s="3" t="s">
        <v>35</v>
      </c>
      <c r="P949" t="str">
        <f t="shared" si="14"/>
        <v>450013162630</v>
      </c>
      <c r="Q949" s="7" cm="1">
        <f t="array" ref="Q949:S949">VLOOKUP(P949,Hoja1!C:F,{2,3,4},FALSE)</f>
        <v>46402</v>
      </c>
      <c r="R949" t="str">
        <v>C03</v>
      </c>
      <c r="S949" t="str">
        <v>1000001657 ECOPORTATILES SA</v>
      </c>
    </row>
    <row r="950" spans="1:19" x14ac:dyDescent="0.3">
      <c r="A950" s="2" t="s">
        <v>14</v>
      </c>
      <c r="B950" s="3" t="s">
        <v>14</v>
      </c>
      <c r="C950" s="3" t="s">
        <v>1014</v>
      </c>
      <c r="D950" s="3" t="s">
        <v>32</v>
      </c>
      <c r="E950" s="3" t="s">
        <v>466</v>
      </c>
      <c r="F950" s="4">
        <v>46241</v>
      </c>
      <c r="G950" s="3" t="s">
        <v>17</v>
      </c>
      <c r="H950" s="5">
        <v>-450000</v>
      </c>
      <c r="I950" s="3" t="s">
        <v>18</v>
      </c>
      <c r="J950" s="3" t="s">
        <v>14</v>
      </c>
      <c r="K950" s="3" t="s">
        <v>14</v>
      </c>
      <c r="L950" s="3" t="s">
        <v>987</v>
      </c>
      <c r="M950" s="4">
        <v>46241</v>
      </c>
      <c r="N950" s="3" t="s">
        <v>988</v>
      </c>
      <c r="O950" s="3" t="s">
        <v>23</v>
      </c>
      <c r="P950" t="str">
        <f t="shared" si="14"/>
        <v>450013162640</v>
      </c>
      <c r="Q950" s="7" cm="1">
        <f t="array" ref="Q950:S950">VLOOKUP(P950,Hoja1!C:F,{2,3,4},FALSE)</f>
        <v>46402</v>
      </c>
      <c r="R950" t="str">
        <v>C03</v>
      </c>
      <c r="S950" t="str">
        <v>1000001657 ECOPORTATILES SA</v>
      </c>
    </row>
    <row r="951" spans="1:19" x14ac:dyDescent="0.3">
      <c r="A951" s="2" t="s">
        <v>14</v>
      </c>
      <c r="B951" s="3" t="s">
        <v>14</v>
      </c>
      <c r="C951" s="3" t="s">
        <v>1014</v>
      </c>
      <c r="D951" s="3" t="s">
        <v>32</v>
      </c>
      <c r="E951" s="3" t="s">
        <v>466</v>
      </c>
      <c r="F951" s="4">
        <v>46241</v>
      </c>
      <c r="G951" s="3" t="s">
        <v>17</v>
      </c>
      <c r="H951" s="5">
        <v>-450000</v>
      </c>
      <c r="I951" s="3" t="s">
        <v>18</v>
      </c>
      <c r="J951" s="3" t="s">
        <v>14</v>
      </c>
      <c r="K951" s="3" t="s">
        <v>14</v>
      </c>
      <c r="L951" s="3" t="s">
        <v>987</v>
      </c>
      <c r="M951" s="4">
        <v>46241</v>
      </c>
      <c r="N951" s="3" t="s">
        <v>988</v>
      </c>
      <c r="O951" s="3" t="s">
        <v>144</v>
      </c>
      <c r="P951" t="str">
        <f t="shared" si="14"/>
        <v>450013162650</v>
      </c>
      <c r="Q951" s="7" cm="1">
        <f t="array" ref="Q951:S951">VLOOKUP(P951,Hoja1!C:F,{2,3,4},FALSE)</f>
        <v>46402</v>
      </c>
      <c r="R951" t="str">
        <v>C03</v>
      </c>
      <c r="S951" t="str">
        <v>1000001657 ECOPORTATILES SA</v>
      </c>
    </row>
    <row r="952" spans="1:19" x14ac:dyDescent="0.3">
      <c r="A952" s="2" t="s">
        <v>14</v>
      </c>
      <c r="B952" s="3" t="s">
        <v>14</v>
      </c>
      <c r="C952" s="3" t="s">
        <v>1015</v>
      </c>
      <c r="D952" s="3" t="s">
        <v>14</v>
      </c>
      <c r="E952" s="3" t="s">
        <v>466</v>
      </c>
      <c r="F952" s="4">
        <v>46241</v>
      </c>
      <c r="G952" s="3" t="s">
        <v>17</v>
      </c>
      <c r="H952" s="5">
        <v>-472100</v>
      </c>
      <c r="I952" s="3" t="s">
        <v>18</v>
      </c>
      <c r="J952" s="3" t="s">
        <v>14</v>
      </c>
      <c r="K952" s="3" t="s">
        <v>14</v>
      </c>
      <c r="L952" s="3" t="s">
        <v>904</v>
      </c>
      <c r="M952" s="4">
        <v>46241</v>
      </c>
      <c r="N952" s="3" t="s">
        <v>1016</v>
      </c>
      <c r="O952" s="3" t="s">
        <v>30</v>
      </c>
      <c r="P952" t="str">
        <f t="shared" si="14"/>
        <v>450013481710</v>
      </c>
      <c r="Q952" s="7" cm="1">
        <f t="array" ref="Q952:S952">VLOOKUP(P952,Hoja1!C:F,{2,3,4},FALSE)</f>
        <v>46240</v>
      </c>
      <c r="R952" t="str">
        <v>C38</v>
      </c>
      <c r="S952" t="str">
        <v>1000009559 ELECTROMECANICA OMAR S.R.L.</v>
      </c>
    </row>
    <row r="953" spans="1:19" x14ac:dyDescent="0.3">
      <c r="A953" s="2" t="s">
        <v>14</v>
      </c>
      <c r="B953" s="3" t="s">
        <v>14</v>
      </c>
      <c r="C953" s="3" t="s">
        <v>1017</v>
      </c>
      <c r="D953" s="3" t="s">
        <v>32</v>
      </c>
      <c r="E953" s="3" t="s">
        <v>466</v>
      </c>
      <c r="F953" s="4">
        <v>46245</v>
      </c>
      <c r="G953" s="3" t="s">
        <v>17</v>
      </c>
      <c r="H953" s="5">
        <v>-19879.77</v>
      </c>
      <c r="I953" s="3" t="s">
        <v>18</v>
      </c>
      <c r="J953" s="3" t="s">
        <v>14</v>
      </c>
      <c r="K953" s="3" t="s">
        <v>14</v>
      </c>
      <c r="L953" s="3" t="s">
        <v>335</v>
      </c>
      <c r="M953" s="4">
        <v>46245</v>
      </c>
      <c r="N953" s="3" t="s">
        <v>336</v>
      </c>
      <c r="O953" s="3" t="s">
        <v>30</v>
      </c>
      <c r="P953" t="str">
        <f t="shared" si="14"/>
        <v>450013124310</v>
      </c>
      <c r="Q953" s="7" cm="1">
        <f t="array" ref="Q953:S953">VLOOKUP(P953,Hoja1!C:F,{2,3,4},FALSE)</f>
        <v>46433</v>
      </c>
      <c r="R953" t="str">
        <v>C21</v>
      </c>
      <c r="S953" t="str">
        <v>1000013302 PETROTRES SA</v>
      </c>
    </row>
    <row r="954" spans="1:19" x14ac:dyDescent="0.3">
      <c r="A954" s="2" t="s">
        <v>14</v>
      </c>
      <c r="B954" s="3" t="s">
        <v>14</v>
      </c>
      <c r="C954" s="3" t="s">
        <v>1017</v>
      </c>
      <c r="D954" s="3" t="s">
        <v>32</v>
      </c>
      <c r="E954" s="3" t="s">
        <v>466</v>
      </c>
      <c r="F954" s="4">
        <v>46245</v>
      </c>
      <c r="G954" s="3" t="s">
        <v>17</v>
      </c>
      <c r="H954" s="5">
        <v>-1217.93</v>
      </c>
      <c r="I954" s="3" t="s">
        <v>18</v>
      </c>
      <c r="J954" s="3" t="s">
        <v>14</v>
      </c>
      <c r="K954" s="3" t="s">
        <v>14</v>
      </c>
      <c r="L954" s="3" t="s">
        <v>335</v>
      </c>
      <c r="M954" s="4">
        <v>46245</v>
      </c>
      <c r="N954" s="3" t="s">
        <v>336</v>
      </c>
      <c r="O954" s="3" t="s">
        <v>30</v>
      </c>
      <c r="P954" t="str">
        <f t="shared" si="14"/>
        <v>450013124310</v>
      </c>
      <c r="Q954" s="7" cm="1">
        <f t="array" ref="Q954:S954">VLOOKUP(P954,Hoja1!C:F,{2,3,4},FALSE)</f>
        <v>46433</v>
      </c>
      <c r="R954" t="str">
        <v>C21</v>
      </c>
      <c r="S954" t="str">
        <v>1000013302 PETROTRES SA</v>
      </c>
    </row>
    <row r="955" spans="1:19" x14ac:dyDescent="0.3">
      <c r="A955" s="2" t="s">
        <v>14</v>
      </c>
      <c r="B955" s="3" t="s">
        <v>14</v>
      </c>
      <c r="C955" s="3" t="s">
        <v>1018</v>
      </c>
      <c r="D955" s="3" t="s">
        <v>14</v>
      </c>
      <c r="E955" s="3" t="s">
        <v>466</v>
      </c>
      <c r="F955" s="4">
        <v>46245</v>
      </c>
      <c r="G955" s="3" t="s">
        <v>17</v>
      </c>
      <c r="H955" s="5">
        <v>-910555.95</v>
      </c>
      <c r="I955" s="3" t="s">
        <v>18</v>
      </c>
      <c r="J955" s="3" t="s">
        <v>14</v>
      </c>
      <c r="K955" s="3" t="s">
        <v>14</v>
      </c>
      <c r="L955" s="3" t="s">
        <v>88</v>
      </c>
      <c r="M955" s="4">
        <v>46245</v>
      </c>
      <c r="N955" s="3" t="s">
        <v>89</v>
      </c>
      <c r="O955" s="3" t="s">
        <v>30</v>
      </c>
      <c r="P955" t="str">
        <f t="shared" si="14"/>
        <v>450011990410</v>
      </c>
      <c r="Q955" s="7" cm="1">
        <f t="array" ref="Q955:S955">VLOOKUP(P955,Hoja1!C:F,{2,3,4},FALSE)</f>
        <v>46284</v>
      </c>
      <c r="R955" t="str">
        <v>C21</v>
      </c>
      <c r="S955" t="str">
        <v>1000004906 FERRARO Y CIA S.A.</v>
      </c>
    </row>
    <row r="956" spans="1:19" x14ac:dyDescent="0.3">
      <c r="A956" s="2" t="s">
        <v>14</v>
      </c>
      <c r="B956" s="3" t="s">
        <v>14</v>
      </c>
      <c r="C956" s="3" t="s">
        <v>1018</v>
      </c>
      <c r="D956" s="3" t="s">
        <v>14</v>
      </c>
      <c r="E956" s="3" t="s">
        <v>466</v>
      </c>
      <c r="F956" s="4">
        <v>46245</v>
      </c>
      <c r="G956" s="3" t="s">
        <v>17</v>
      </c>
      <c r="H956" s="5">
        <v>-16200.5</v>
      </c>
      <c r="I956" s="3" t="s">
        <v>18</v>
      </c>
      <c r="J956" s="3" t="s">
        <v>14</v>
      </c>
      <c r="K956" s="3" t="s">
        <v>14</v>
      </c>
      <c r="L956" s="3" t="s">
        <v>88</v>
      </c>
      <c r="M956" s="4">
        <v>46245</v>
      </c>
      <c r="N956" s="3" t="s">
        <v>89</v>
      </c>
      <c r="O956" s="3" t="s">
        <v>30</v>
      </c>
      <c r="P956" t="str">
        <f t="shared" si="14"/>
        <v>450011990410</v>
      </c>
      <c r="Q956" s="7" cm="1">
        <f t="array" ref="Q956:S956">VLOOKUP(P956,Hoja1!C:F,{2,3,4},FALSE)</f>
        <v>46284</v>
      </c>
      <c r="R956" t="str">
        <v>C21</v>
      </c>
      <c r="S956" t="str">
        <v>1000004906 FERRARO Y CIA S.A.</v>
      </c>
    </row>
    <row r="957" spans="1:19" x14ac:dyDescent="0.3">
      <c r="A957" s="2" t="s">
        <v>14</v>
      </c>
      <c r="B957" s="3" t="s">
        <v>14</v>
      </c>
      <c r="C957" s="3" t="s">
        <v>1018</v>
      </c>
      <c r="D957" s="3" t="s">
        <v>14</v>
      </c>
      <c r="E957" s="3" t="s">
        <v>466</v>
      </c>
      <c r="F957" s="4">
        <v>46245</v>
      </c>
      <c r="G957" s="3" t="s">
        <v>17</v>
      </c>
      <c r="H957" s="5">
        <v>-142117.94</v>
      </c>
      <c r="I957" s="3" t="s">
        <v>18</v>
      </c>
      <c r="J957" s="3" t="s">
        <v>14</v>
      </c>
      <c r="K957" s="3" t="s">
        <v>14</v>
      </c>
      <c r="L957" s="3" t="s">
        <v>88</v>
      </c>
      <c r="M957" s="4">
        <v>46245</v>
      </c>
      <c r="N957" s="3" t="s">
        <v>89</v>
      </c>
      <c r="O957" s="3" t="s">
        <v>30</v>
      </c>
      <c r="P957" t="str">
        <f t="shared" si="14"/>
        <v>450011990410</v>
      </c>
      <c r="Q957" s="7" cm="1">
        <f t="array" ref="Q957:S957">VLOOKUP(P957,Hoja1!C:F,{2,3,4},FALSE)</f>
        <v>46284</v>
      </c>
      <c r="R957" t="str">
        <v>C21</v>
      </c>
      <c r="S957" t="str">
        <v>1000004906 FERRARO Y CIA S.A.</v>
      </c>
    </row>
    <row r="958" spans="1:19" x14ac:dyDescent="0.3">
      <c r="A958" s="2" t="s">
        <v>14</v>
      </c>
      <c r="B958" s="3" t="s">
        <v>14</v>
      </c>
      <c r="C958" s="3" t="s">
        <v>1019</v>
      </c>
      <c r="D958" s="3" t="s">
        <v>14</v>
      </c>
      <c r="E958" s="3" t="s">
        <v>466</v>
      </c>
      <c r="F958" s="4">
        <v>46245</v>
      </c>
      <c r="G958" s="3" t="s">
        <v>17</v>
      </c>
      <c r="H958" s="5">
        <v>-30783</v>
      </c>
      <c r="I958" s="3" t="s">
        <v>18</v>
      </c>
      <c r="J958" s="3" t="s">
        <v>14</v>
      </c>
      <c r="K958" s="3" t="s">
        <v>14</v>
      </c>
      <c r="L958" s="3" t="s">
        <v>991</v>
      </c>
      <c r="M958" s="4">
        <v>46245</v>
      </c>
      <c r="N958" s="3" t="s">
        <v>1020</v>
      </c>
      <c r="O958" s="3" t="s">
        <v>22</v>
      </c>
      <c r="P958" t="str">
        <f t="shared" si="14"/>
        <v>450013504220</v>
      </c>
      <c r="Q958" s="7" cm="1">
        <f t="array" ref="Q958:S958">VLOOKUP(P958,Hoja1!C:F,{2,3,4},FALSE)</f>
        <v>46245</v>
      </c>
      <c r="R958" t="str">
        <v>C03</v>
      </c>
      <c r="S958" t="str">
        <v>1000008805 SAKURA MOTORS S. A.</v>
      </c>
    </row>
    <row r="959" spans="1:19" x14ac:dyDescent="0.3">
      <c r="A959" s="2" t="s">
        <v>14</v>
      </c>
      <c r="B959" s="3" t="s">
        <v>14</v>
      </c>
      <c r="C959" s="3" t="s">
        <v>1019</v>
      </c>
      <c r="D959" s="3" t="s">
        <v>14</v>
      </c>
      <c r="E959" s="3" t="s">
        <v>466</v>
      </c>
      <c r="F959" s="4">
        <v>46245</v>
      </c>
      <c r="G959" s="3" t="s">
        <v>17</v>
      </c>
      <c r="H959" s="5">
        <v>-46114</v>
      </c>
      <c r="I959" s="3" t="s">
        <v>18</v>
      </c>
      <c r="J959" s="3" t="s">
        <v>14</v>
      </c>
      <c r="K959" s="3" t="s">
        <v>14</v>
      </c>
      <c r="L959" s="3" t="s">
        <v>991</v>
      </c>
      <c r="M959" s="4">
        <v>46245</v>
      </c>
      <c r="N959" s="3" t="s">
        <v>1020</v>
      </c>
      <c r="O959" s="3" t="s">
        <v>35</v>
      </c>
      <c r="P959" t="str">
        <f t="shared" si="14"/>
        <v>450013504230</v>
      </c>
      <c r="Q959" s="7" cm="1">
        <f t="array" ref="Q959:S959">VLOOKUP(P959,Hoja1!C:F,{2,3,4},FALSE)</f>
        <v>46245</v>
      </c>
      <c r="R959" t="str">
        <v>C03</v>
      </c>
      <c r="S959" t="str">
        <v>1000008805 SAKURA MOTORS S. A.</v>
      </c>
    </row>
    <row r="960" spans="1:19" x14ac:dyDescent="0.3">
      <c r="A960" s="2" t="s">
        <v>14</v>
      </c>
      <c r="B960" s="3" t="s">
        <v>14</v>
      </c>
      <c r="C960" s="3" t="s">
        <v>1021</v>
      </c>
      <c r="D960" s="3" t="s">
        <v>14</v>
      </c>
      <c r="E960" s="3" t="s">
        <v>466</v>
      </c>
      <c r="F960" s="4">
        <v>46245</v>
      </c>
      <c r="G960" s="3" t="s">
        <v>17</v>
      </c>
      <c r="H960" s="5">
        <v>-30783</v>
      </c>
      <c r="I960" s="3" t="s">
        <v>18</v>
      </c>
      <c r="J960" s="3" t="s">
        <v>14</v>
      </c>
      <c r="K960" s="3" t="s">
        <v>14</v>
      </c>
      <c r="L960" s="3" t="s">
        <v>991</v>
      </c>
      <c r="M960" s="4">
        <v>46245</v>
      </c>
      <c r="N960" s="3" t="s">
        <v>1020</v>
      </c>
      <c r="O960" s="3" t="s">
        <v>22</v>
      </c>
      <c r="P960" t="str">
        <f t="shared" si="14"/>
        <v>450013504220</v>
      </c>
      <c r="Q960" s="7" cm="1">
        <f t="array" ref="Q960:S960">VLOOKUP(P960,Hoja1!C:F,{2,3,4},FALSE)</f>
        <v>46245</v>
      </c>
      <c r="R960" t="str">
        <v>C03</v>
      </c>
      <c r="S960" t="str">
        <v>1000008805 SAKURA MOTORS S. A.</v>
      </c>
    </row>
    <row r="961" spans="1:19" x14ac:dyDescent="0.3">
      <c r="A961" s="2" t="s">
        <v>14</v>
      </c>
      <c r="B961" s="3" t="s">
        <v>14</v>
      </c>
      <c r="C961" s="3" t="s">
        <v>1021</v>
      </c>
      <c r="D961" s="3" t="s">
        <v>14</v>
      </c>
      <c r="E961" s="3" t="s">
        <v>466</v>
      </c>
      <c r="F961" s="4">
        <v>46245</v>
      </c>
      <c r="G961" s="3" t="s">
        <v>17</v>
      </c>
      <c r="H961" s="5">
        <v>-46114</v>
      </c>
      <c r="I961" s="3" t="s">
        <v>18</v>
      </c>
      <c r="J961" s="3" t="s">
        <v>14</v>
      </c>
      <c r="K961" s="3" t="s">
        <v>14</v>
      </c>
      <c r="L961" s="3" t="s">
        <v>991</v>
      </c>
      <c r="M961" s="4">
        <v>46245</v>
      </c>
      <c r="N961" s="3" t="s">
        <v>1020</v>
      </c>
      <c r="O961" s="3" t="s">
        <v>35</v>
      </c>
      <c r="P961" t="str">
        <f t="shared" si="14"/>
        <v>450013504230</v>
      </c>
      <c r="Q961" s="7" cm="1">
        <f t="array" ref="Q961:S961">VLOOKUP(P961,Hoja1!C:F,{2,3,4},FALSE)</f>
        <v>46245</v>
      </c>
      <c r="R961" t="str">
        <v>C03</v>
      </c>
      <c r="S961" t="str">
        <v>1000008805 SAKURA MOTORS S. A.</v>
      </c>
    </row>
    <row r="962" spans="1:19" x14ac:dyDescent="0.3">
      <c r="A962" s="2" t="s">
        <v>14</v>
      </c>
      <c r="B962" s="3" t="s">
        <v>14</v>
      </c>
      <c r="C962" s="3" t="s">
        <v>1022</v>
      </c>
      <c r="D962" s="3" t="s">
        <v>14</v>
      </c>
      <c r="E962" s="3" t="s">
        <v>466</v>
      </c>
      <c r="F962" s="4">
        <v>46245</v>
      </c>
      <c r="G962" s="3" t="s">
        <v>17</v>
      </c>
      <c r="H962" s="5">
        <v>-18000</v>
      </c>
      <c r="I962" s="3" t="s">
        <v>18</v>
      </c>
      <c r="J962" s="3" t="s">
        <v>14</v>
      </c>
      <c r="K962" s="3" t="s">
        <v>14</v>
      </c>
      <c r="L962" s="3" t="s">
        <v>1023</v>
      </c>
      <c r="M962" s="4">
        <v>46245</v>
      </c>
      <c r="N962" s="3" t="s">
        <v>1024</v>
      </c>
      <c r="O962" s="3" t="s">
        <v>30</v>
      </c>
      <c r="P962" t="str">
        <f t="shared" si="14"/>
        <v>450012632710</v>
      </c>
      <c r="Q962" s="7" cm="1">
        <f t="array" ref="Q962:S962">VLOOKUP(P962,Hoja1!C:F,{2,3,4},FALSE)</f>
        <v>46142</v>
      </c>
      <c r="R962" t="str">
        <v>EFO</v>
      </c>
      <c r="S962" t="str">
        <v>1000011333 RODRIGUEZ HUGO HORACIO</v>
      </c>
    </row>
    <row r="963" spans="1:19" x14ac:dyDescent="0.3">
      <c r="A963" s="2" t="s">
        <v>14</v>
      </c>
      <c r="B963" s="3" t="s">
        <v>14</v>
      </c>
      <c r="C963" s="3" t="s">
        <v>1025</v>
      </c>
      <c r="D963" s="3" t="s">
        <v>14</v>
      </c>
      <c r="E963" s="3" t="s">
        <v>466</v>
      </c>
      <c r="F963" s="4">
        <v>46246</v>
      </c>
      <c r="G963" s="3" t="s">
        <v>17</v>
      </c>
      <c r="H963" s="5">
        <v>-61983.47</v>
      </c>
      <c r="I963" s="3" t="s">
        <v>18</v>
      </c>
      <c r="J963" s="3" t="s">
        <v>14</v>
      </c>
      <c r="K963" s="3" t="s">
        <v>14</v>
      </c>
      <c r="L963" s="3" t="s">
        <v>915</v>
      </c>
      <c r="M963" s="4">
        <v>46246</v>
      </c>
      <c r="N963" s="3" t="s">
        <v>1026</v>
      </c>
      <c r="O963" s="3" t="s">
        <v>30</v>
      </c>
      <c r="P963" t="str">
        <f t="shared" ref="P963:P1026" si="15">_xlfn.CONCAT(N963:O963)</f>
        <v>450013532510</v>
      </c>
      <c r="Q963" s="7" cm="1">
        <f t="array" ref="Q963:S963">VLOOKUP(P963,Hoja1!C:F,{2,3,4},FALSE)</f>
        <v>46265</v>
      </c>
      <c r="R963" t="str">
        <v>EFO</v>
      </c>
      <c r="S963" t="str">
        <v>1000013162 MADRYN REPUESTOS Y SERVICIOS SAS</v>
      </c>
    </row>
    <row r="964" spans="1:19" x14ac:dyDescent="0.3">
      <c r="A964" s="2" t="s">
        <v>14</v>
      </c>
      <c r="B964" s="3" t="s">
        <v>14</v>
      </c>
      <c r="C964" s="3" t="s">
        <v>1025</v>
      </c>
      <c r="D964" s="3" t="s">
        <v>14</v>
      </c>
      <c r="E964" s="3" t="s">
        <v>466</v>
      </c>
      <c r="F964" s="4">
        <v>46246</v>
      </c>
      <c r="G964" s="3" t="s">
        <v>17</v>
      </c>
      <c r="H964" s="5">
        <v>-247933.88</v>
      </c>
      <c r="I964" s="3" t="s">
        <v>18</v>
      </c>
      <c r="J964" s="3" t="s">
        <v>14</v>
      </c>
      <c r="K964" s="3" t="s">
        <v>14</v>
      </c>
      <c r="L964" s="3" t="s">
        <v>915</v>
      </c>
      <c r="M964" s="4">
        <v>46246</v>
      </c>
      <c r="N964" s="3" t="s">
        <v>1026</v>
      </c>
      <c r="O964" s="3" t="s">
        <v>22</v>
      </c>
      <c r="P964" t="str">
        <f t="shared" si="15"/>
        <v>450013532520</v>
      </c>
      <c r="Q964" s="7" cm="1">
        <f t="array" ref="Q964:S964">VLOOKUP(P964,Hoja1!C:F,{2,3,4},FALSE)</f>
        <v>46265</v>
      </c>
      <c r="R964" t="str">
        <v>EFO</v>
      </c>
      <c r="S964" t="str">
        <v>1000013162 MADRYN REPUESTOS Y SERVICIOS SAS</v>
      </c>
    </row>
    <row r="965" spans="1:19" x14ac:dyDescent="0.3">
      <c r="A965" s="2" t="s">
        <v>14</v>
      </c>
      <c r="B965" s="3" t="s">
        <v>14</v>
      </c>
      <c r="C965" s="3" t="s">
        <v>1027</v>
      </c>
      <c r="D965" s="3" t="s">
        <v>14</v>
      </c>
      <c r="E965" s="3" t="s">
        <v>466</v>
      </c>
      <c r="F965" s="4">
        <v>46246</v>
      </c>
      <c r="G965" s="3" t="s">
        <v>17</v>
      </c>
      <c r="H965" s="5">
        <v>-386375</v>
      </c>
      <c r="I965" s="3" t="s">
        <v>18</v>
      </c>
      <c r="J965" s="3" t="s">
        <v>14</v>
      </c>
      <c r="K965" s="3" t="s">
        <v>14</v>
      </c>
      <c r="L965" s="3" t="s">
        <v>1028</v>
      </c>
      <c r="M965" s="4">
        <v>46246</v>
      </c>
      <c r="N965" s="3" t="s">
        <v>1029</v>
      </c>
      <c r="O965" s="3" t="s">
        <v>30</v>
      </c>
      <c r="P965" t="str">
        <f t="shared" si="15"/>
        <v>450012325010</v>
      </c>
      <c r="Q965" s="7" cm="1">
        <f t="array" ref="Q965:S965">VLOOKUP(P965,Hoja1!C:F,{2,3,4},FALSE)</f>
        <v>46252</v>
      </c>
      <c r="R965" t="str">
        <v>C38</v>
      </c>
      <c r="S965" t="str">
        <v>1000012593 PASARON FABIO ALEXIS</v>
      </c>
    </row>
    <row r="966" spans="1:19" x14ac:dyDescent="0.3">
      <c r="A966" s="2" t="s">
        <v>14</v>
      </c>
      <c r="B966" s="3" t="s">
        <v>14</v>
      </c>
      <c r="C966" s="3" t="s">
        <v>1030</v>
      </c>
      <c r="D966" s="3" t="s">
        <v>14</v>
      </c>
      <c r="E966" s="3" t="s">
        <v>466</v>
      </c>
      <c r="F966" s="4">
        <v>46246</v>
      </c>
      <c r="G966" s="3" t="s">
        <v>17</v>
      </c>
      <c r="H966" s="5">
        <v>-404953</v>
      </c>
      <c r="I966" s="3" t="s">
        <v>18</v>
      </c>
      <c r="J966" s="3" t="s">
        <v>14</v>
      </c>
      <c r="K966" s="3" t="s">
        <v>14</v>
      </c>
      <c r="L966" s="3" t="s">
        <v>952</v>
      </c>
      <c r="M966" s="4">
        <v>46246</v>
      </c>
      <c r="N966" s="3" t="s">
        <v>1031</v>
      </c>
      <c r="O966" s="3" t="s">
        <v>30</v>
      </c>
      <c r="P966" t="str">
        <f t="shared" si="15"/>
        <v>450012398810</v>
      </c>
      <c r="Q966" s="7" cm="1">
        <f t="array" ref="Q966:S966">VLOOKUP(P966,Hoja1!C:F,{2,3,4},FALSE)</f>
        <v>46119</v>
      </c>
      <c r="R966" t="str">
        <v>EFO</v>
      </c>
      <c r="S966" t="str">
        <v>1000002439 CRISTALES PATAGONICOS SRL</v>
      </c>
    </row>
    <row r="967" spans="1:19" x14ac:dyDescent="0.3">
      <c r="A967" s="2" t="s">
        <v>14</v>
      </c>
      <c r="B967" s="3" t="s">
        <v>14</v>
      </c>
      <c r="C967" s="3" t="s">
        <v>1032</v>
      </c>
      <c r="D967" s="3" t="s">
        <v>14</v>
      </c>
      <c r="E967" s="3" t="s">
        <v>466</v>
      </c>
      <c r="F967" s="4">
        <v>46246</v>
      </c>
      <c r="G967" s="3" t="s">
        <v>17</v>
      </c>
      <c r="H967" s="5">
        <v>-4422493.79</v>
      </c>
      <c r="I967" s="3" t="s">
        <v>18</v>
      </c>
      <c r="J967" s="3" t="s">
        <v>14</v>
      </c>
      <c r="K967" s="3" t="s">
        <v>14</v>
      </c>
      <c r="L967" s="3" t="s">
        <v>73</v>
      </c>
      <c r="M967" s="4">
        <v>46246</v>
      </c>
      <c r="N967" s="3" t="s">
        <v>81</v>
      </c>
      <c r="O967" s="3" t="s">
        <v>30</v>
      </c>
      <c r="P967" t="str">
        <f t="shared" si="15"/>
        <v>450012991410</v>
      </c>
      <c r="Q967" s="7" cm="1">
        <f t="array" ref="Q967:S967">VLOOKUP(P967,Hoja1!C:F,{2,3,4},FALSE)</f>
        <v>46295</v>
      </c>
      <c r="R967" t="str">
        <v>C21</v>
      </c>
      <c r="S967" t="str">
        <v>1000000808 GLOBAL OIL S.R.L.</v>
      </c>
    </row>
    <row r="968" spans="1:19" x14ac:dyDescent="0.3">
      <c r="A968" s="2" t="s">
        <v>14</v>
      </c>
      <c r="B968" s="3" t="s">
        <v>14</v>
      </c>
      <c r="C968" s="3" t="s">
        <v>1032</v>
      </c>
      <c r="D968" s="3" t="s">
        <v>14</v>
      </c>
      <c r="E968" s="3" t="s">
        <v>466</v>
      </c>
      <c r="F968" s="4">
        <v>46246</v>
      </c>
      <c r="G968" s="3" t="s">
        <v>17</v>
      </c>
      <c r="H968" s="5">
        <v>-388409.39</v>
      </c>
      <c r="I968" s="3" t="s">
        <v>18</v>
      </c>
      <c r="J968" s="3" t="s">
        <v>14</v>
      </c>
      <c r="K968" s="3" t="s">
        <v>14</v>
      </c>
      <c r="L968" s="3" t="s">
        <v>73</v>
      </c>
      <c r="M968" s="4">
        <v>46246</v>
      </c>
      <c r="N968" s="3" t="s">
        <v>81</v>
      </c>
      <c r="O968" s="3" t="s">
        <v>30</v>
      </c>
      <c r="P968" t="str">
        <f t="shared" si="15"/>
        <v>450012991410</v>
      </c>
      <c r="Q968" s="7" cm="1">
        <f t="array" ref="Q968:S968">VLOOKUP(P968,Hoja1!C:F,{2,3,4},FALSE)</f>
        <v>46295</v>
      </c>
      <c r="R968" t="str">
        <v>C21</v>
      </c>
      <c r="S968" t="str">
        <v>1000000808 GLOBAL OIL S.R.L.</v>
      </c>
    </row>
    <row r="969" spans="1:19" x14ac:dyDescent="0.3">
      <c r="A969" s="2" t="s">
        <v>14</v>
      </c>
      <c r="B969" s="3" t="s">
        <v>14</v>
      </c>
      <c r="C969" s="3" t="s">
        <v>1032</v>
      </c>
      <c r="D969" s="3" t="s">
        <v>14</v>
      </c>
      <c r="E969" s="3" t="s">
        <v>466</v>
      </c>
      <c r="F969" s="4">
        <v>46246</v>
      </c>
      <c r="G969" s="3" t="s">
        <v>17</v>
      </c>
      <c r="H969" s="5">
        <v>-81759.03</v>
      </c>
      <c r="I969" s="3" t="s">
        <v>18</v>
      </c>
      <c r="J969" s="3" t="s">
        <v>14</v>
      </c>
      <c r="K969" s="3" t="s">
        <v>14</v>
      </c>
      <c r="L969" s="3" t="s">
        <v>73</v>
      </c>
      <c r="M969" s="4">
        <v>46246</v>
      </c>
      <c r="N969" s="3" t="s">
        <v>81</v>
      </c>
      <c r="O969" s="3" t="s">
        <v>30</v>
      </c>
      <c r="P969" t="str">
        <f t="shared" si="15"/>
        <v>450012991410</v>
      </c>
      <c r="Q969" s="7" cm="1">
        <f t="array" ref="Q969:S969">VLOOKUP(P969,Hoja1!C:F,{2,3,4},FALSE)</f>
        <v>46295</v>
      </c>
      <c r="R969" t="str">
        <v>C21</v>
      </c>
      <c r="S969" t="str">
        <v>1000000808 GLOBAL OIL S.R.L.</v>
      </c>
    </row>
    <row r="970" spans="1:19" x14ac:dyDescent="0.3">
      <c r="A970" s="2" t="s">
        <v>14</v>
      </c>
      <c r="B970" s="3" t="s">
        <v>14</v>
      </c>
      <c r="C970" s="3" t="s">
        <v>1033</v>
      </c>
      <c r="D970" s="3" t="s">
        <v>14</v>
      </c>
      <c r="E970" s="3" t="s">
        <v>466</v>
      </c>
      <c r="F970" s="4">
        <v>46246</v>
      </c>
      <c r="G970" s="3" t="s">
        <v>17</v>
      </c>
      <c r="H970" s="5">
        <v>-130165.35</v>
      </c>
      <c r="I970" s="3" t="s">
        <v>18</v>
      </c>
      <c r="J970" s="3" t="s">
        <v>14</v>
      </c>
      <c r="K970" s="3" t="s">
        <v>14</v>
      </c>
      <c r="L970" s="3" t="s">
        <v>1034</v>
      </c>
      <c r="M970" s="4">
        <v>46247</v>
      </c>
      <c r="N970" s="3" t="s">
        <v>1035</v>
      </c>
      <c r="O970" s="3" t="s">
        <v>30</v>
      </c>
      <c r="P970" t="str">
        <f t="shared" si="15"/>
        <v>450013519810</v>
      </c>
      <c r="Q970" s="7" cm="1">
        <f t="array" ref="Q970:S970">VLOOKUP(P970,Hoja1!C:F,{2,3,4},FALSE)</f>
        <v>46253</v>
      </c>
      <c r="R970" t="str">
        <v>C27</v>
      </c>
      <c r="S970" t="str">
        <v>1000006826 ALASUR S.A.</v>
      </c>
    </row>
    <row r="971" spans="1:19" x14ac:dyDescent="0.3">
      <c r="A971" s="2" t="s">
        <v>14</v>
      </c>
      <c r="B971" s="3" t="s">
        <v>14</v>
      </c>
      <c r="C971" s="3" t="s">
        <v>1033</v>
      </c>
      <c r="D971" s="3" t="s">
        <v>14</v>
      </c>
      <c r="E971" s="3" t="s">
        <v>466</v>
      </c>
      <c r="F971" s="4">
        <v>46246</v>
      </c>
      <c r="G971" s="3" t="s">
        <v>17</v>
      </c>
      <c r="H971" s="5">
        <v>-18181.8</v>
      </c>
      <c r="I971" s="3" t="s">
        <v>18</v>
      </c>
      <c r="J971" s="3" t="s">
        <v>14</v>
      </c>
      <c r="K971" s="3" t="s">
        <v>14</v>
      </c>
      <c r="L971" s="3" t="s">
        <v>1034</v>
      </c>
      <c r="M971" s="4">
        <v>46247</v>
      </c>
      <c r="N971" s="3" t="s">
        <v>1035</v>
      </c>
      <c r="O971" s="3" t="s">
        <v>22</v>
      </c>
      <c r="P971" t="str">
        <f t="shared" si="15"/>
        <v>450013519820</v>
      </c>
      <c r="Q971" s="7" cm="1">
        <f t="array" ref="Q971:S971">VLOOKUP(P971,Hoja1!C:F,{2,3,4},FALSE)</f>
        <v>46253</v>
      </c>
      <c r="R971" t="str">
        <v>C27</v>
      </c>
      <c r="S971" t="str">
        <v>1000006826 ALASUR S.A.</v>
      </c>
    </row>
    <row r="972" spans="1:19" x14ac:dyDescent="0.3">
      <c r="A972" s="2" t="s">
        <v>14</v>
      </c>
      <c r="B972" s="3" t="s">
        <v>14</v>
      </c>
      <c r="C972" s="3" t="s">
        <v>1036</v>
      </c>
      <c r="D972" s="3" t="s">
        <v>32</v>
      </c>
      <c r="E972" s="3" t="s">
        <v>466</v>
      </c>
      <c r="F972" s="4">
        <v>45937</v>
      </c>
      <c r="G972" s="3" t="s">
        <v>17</v>
      </c>
      <c r="H972" s="5">
        <v>-386241.6</v>
      </c>
      <c r="I972" s="3" t="s">
        <v>18</v>
      </c>
      <c r="J972" s="3" t="s">
        <v>14</v>
      </c>
      <c r="K972" s="3" t="s">
        <v>14</v>
      </c>
      <c r="L972" s="3" t="s">
        <v>359</v>
      </c>
      <c r="M972" s="4">
        <v>45937</v>
      </c>
      <c r="N972" s="3" t="s">
        <v>1037</v>
      </c>
      <c r="O972" s="3" t="s">
        <v>30</v>
      </c>
      <c r="P972" t="str">
        <f t="shared" si="15"/>
        <v>450010609610</v>
      </c>
      <c r="Q972" s="7" cm="1">
        <f t="array" ref="Q972:S972">VLOOKUP(P972,Hoja1!C:F,{2,3,4},FALSE)</f>
        <v>46022</v>
      </c>
      <c r="R972" t="str">
        <v>C15</v>
      </c>
      <c r="S972" t="str">
        <v>1000011965 DIRECTO SUR S. R. L.</v>
      </c>
    </row>
    <row r="973" spans="1:19" x14ac:dyDescent="0.3">
      <c r="A973" s="2" t="s">
        <v>14</v>
      </c>
      <c r="B973" s="3" t="s">
        <v>14</v>
      </c>
      <c r="C973" s="3" t="s">
        <v>1038</v>
      </c>
      <c r="D973" s="3" t="s">
        <v>14</v>
      </c>
      <c r="E973" s="3" t="s">
        <v>466</v>
      </c>
      <c r="F973" s="4">
        <v>46247</v>
      </c>
      <c r="G973" s="3" t="s">
        <v>17</v>
      </c>
      <c r="H973" s="5">
        <v>-876033.05</v>
      </c>
      <c r="I973" s="3" t="s">
        <v>18</v>
      </c>
      <c r="J973" s="3" t="s">
        <v>14</v>
      </c>
      <c r="K973" s="3" t="s">
        <v>14</v>
      </c>
      <c r="L973" s="3" t="s">
        <v>1039</v>
      </c>
      <c r="M973" s="4">
        <v>46247</v>
      </c>
      <c r="N973" s="3" t="s">
        <v>1040</v>
      </c>
      <c r="O973" s="3" t="s">
        <v>30</v>
      </c>
      <c r="P973" t="str">
        <f t="shared" si="15"/>
        <v>450013481510</v>
      </c>
      <c r="Q973" s="7" cm="1">
        <f t="array" ref="Q973:S973">VLOOKUP(P973,Hoja1!C:F,{2,3,4},FALSE)</f>
        <v>46246</v>
      </c>
      <c r="R973" t="str">
        <v>C38</v>
      </c>
      <c r="S973" t="str">
        <v>1000002753 FEDERICO ENGEL TALLER FEDERICO</v>
      </c>
    </row>
    <row r="974" spans="1:19" x14ac:dyDescent="0.3">
      <c r="A974" s="2" t="s">
        <v>14</v>
      </c>
      <c r="B974" s="3" t="s">
        <v>14</v>
      </c>
      <c r="C974" s="3" t="s">
        <v>1041</v>
      </c>
      <c r="D974" s="3" t="s">
        <v>14</v>
      </c>
      <c r="E974" s="3" t="s">
        <v>466</v>
      </c>
      <c r="F974" s="4">
        <v>46247</v>
      </c>
      <c r="G974" s="3" t="s">
        <v>17</v>
      </c>
      <c r="H974" s="5">
        <v>-139000</v>
      </c>
      <c r="I974" s="3" t="s">
        <v>18</v>
      </c>
      <c r="J974" s="3" t="s">
        <v>14</v>
      </c>
      <c r="K974" s="3" t="s">
        <v>14</v>
      </c>
      <c r="L974" s="3" t="s">
        <v>949</v>
      </c>
      <c r="M974" s="4">
        <v>46247</v>
      </c>
      <c r="N974" s="3" t="s">
        <v>1042</v>
      </c>
      <c r="O974" s="3" t="s">
        <v>30</v>
      </c>
      <c r="P974" t="str">
        <f t="shared" si="15"/>
        <v>450013084010</v>
      </c>
      <c r="Q974" s="7" cm="1">
        <f t="array" ref="Q974:S974">VLOOKUP(P974,Hoja1!C:F,{2,3,4},FALSE)</f>
        <v>46213</v>
      </c>
      <c r="R974" t="str">
        <v>EFO</v>
      </c>
      <c r="S974" t="str">
        <v>1000003117 SALDAÑA CARLOS ALBERTO</v>
      </c>
    </row>
    <row r="975" spans="1:19" x14ac:dyDescent="0.3">
      <c r="A975" s="2" t="s">
        <v>14</v>
      </c>
      <c r="B975" s="3" t="s">
        <v>14</v>
      </c>
      <c r="C975" s="3" t="s">
        <v>1043</v>
      </c>
      <c r="D975" s="3" t="s">
        <v>14</v>
      </c>
      <c r="E975" s="3" t="s">
        <v>466</v>
      </c>
      <c r="F975" s="4">
        <v>46248</v>
      </c>
      <c r="G975" s="3" t="s">
        <v>17</v>
      </c>
      <c r="H975" s="5">
        <v>-219730.43</v>
      </c>
      <c r="I975" s="3" t="s">
        <v>18</v>
      </c>
      <c r="J975" s="3" t="s">
        <v>14</v>
      </c>
      <c r="K975" s="3" t="s">
        <v>14</v>
      </c>
      <c r="L975" s="3" t="s">
        <v>73</v>
      </c>
      <c r="M975" s="4">
        <v>46248</v>
      </c>
      <c r="N975" s="3" t="s">
        <v>338</v>
      </c>
      <c r="O975" s="3" t="s">
        <v>22</v>
      </c>
      <c r="P975" t="str">
        <f t="shared" si="15"/>
        <v>450013315420</v>
      </c>
      <c r="Q975" s="7" cm="1">
        <f t="array" ref="Q975:S975">VLOOKUP(P975,Hoja1!C:F,{2,3,4},FALSE)</f>
        <v>46326</v>
      </c>
      <c r="R975" t="str">
        <v>C21</v>
      </c>
      <c r="S975" t="str">
        <v>1000000808 GLOBAL OIL S.R.L.</v>
      </c>
    </row>
    <row r="976" spans="1:19" x14ac:dyDescent="0.3">
      <c r="A976" s="2" t="s">
        <v>14</v>
      </c>
      <c r="B976" s="3" t="s">
        <v>14</v>
      </c>
      <c r="C976" s="3" t="s">
        <v>1043</v>
      </c>
      <c r="D976" s="3" t="s">
        <v>14</v>
      </c>
      <c r="E976" s="3" t="s">
        <v>466</v>
      </c>
      <c r="F976" s="4">
        <v>46248</v>
      </c>
      <c r="G976" s="3" t="s">
        <v>17</v>
      </c>
      <c r="H976" s="5">
        <v>-3004.31</v>
      </c>
      <c r="I976" s="3" t="s">
        <v>18</v>
      </c>
      <c r="J976" s="3" t="s">
        <v>14</v>
      </c>
      <c r="K976" s="3" t="s">
        <v>14</v>
      </c>
      <c r="L976" s="3" t="s">
        <v>73</v>
      </c>
      <c r="M976" s="4">
        <v>46248</v>
      </c>
      <c r="N976" s="3" t="s">
        <v>338</v>
      </c>
      <c r="O976" s="3" t="s">
        <v>22</v>
      </c>
      <c r="P976" t="str">
        <f t="shared" si="15"/>
        <v>450013315420</v>
      </c>
      <c r="Q976" s="7" cm="1">
        <f t="array" ref="Q976:S976">VLOOKUP(P976,Hoja1!C:F,{2,3,4},FALSE)</f>
        <v>46326</v>
      </c>
      <c r="R976" t="str">
        <v>C21</v>
      </c>
      <c r="S976" t="str">
        <v>1000000808 GLOBAL OIL S.R.L.</v>
      </c>
    </row>
    <row r="977" spans="1:19" x14ac:dyDescent="0.3">
      <c r="A977" s="2" t="s">
        <v>14</v>
      </c>
      <c r="B977" s="3" t="s">
        <v>14</v>
      </c>
      <c r="C977" s="3" t="s">
        <v>1044</v>
      </c>
      <c r="D977" s="3" t="s">
        <v>14</v>
      </c>
      <c r="E977" s="3" t="s">
        <v>466</v>
      </c>
      <c r="F977" s="4">
        <v>46248</v>
      </c>
      <c r="G977" s="3" t="s">
        <v>17</v>
      </c>
      <c r="H977" s="5">
        <v>-5405397.5800000001</v>
      </c>
      <c r="I977" s="3" t="s">
        <v>18</v>
      </c>
      <c r="J977" s="3" t="s">
        <v>14</v>
      </c>
      <c r="K977" s="3" t="s">
        <v>14</v>
      </c>
      <c r="L977" s="3" t="s">
        <v>73</v>
      </c>
      <c r="M977" s="4">
        <v>46248</v>
      </c>
      <c r="N977" s="3" t="s">
        <v>81</v>
      </c>
      <c r="O977" s="3" t="s">
        <v>30</v>
      </c>
      <c r="P977" t="str">
        <f t="shared" si="15"/>
        <v>450012991410</v>
      </c>
      <c r="Q977" s="7" cm="1">
        <f t="array" ref="Q977:S977">VLOOKUP(P977,Hoja1!C:F,{2,3,4},FALSE)</f>
        <v>46295</v>
      </c>
      <c r="R977" t="str">
        <v>C21</v>
      </c>
      <c r="S977" t="str">
        <v>1000000808 GLOBAL OIL S.R.L.</v>
      </c>
    </row>
    <row r="978" spans="1:19" x14ac:dyDescent="0.3">
      <c r="A978" s="2" t="s">
        <v>14</v>
      </c>
      <c r="B978" s="3" t="s">
        <v>14</v>
      </c>
      <c r="C978" s="3" t="s">
        <v>1044</v>
      </c>
      <c r="D978" s="3" t="s">
        <v>14</v>
      </c>
      <c r="E978" s="3" t="s">
        <v>466</v>
      </c>
      <c r="F978" s="4">
        <v>46248</v>
      </c>
      <c r="G978" s="3" t="s">
        <v>17</v>
      </c>
      <c r="H978" s="5">
        <v>-474733.77</v>
      </c>
      <c r="I978" s="3" t="s">
        <v>18</v>
      </c>
      <c r="J978" s="3" t="s">
        <v>14</v>
      </c>
      <c r="K978" s="3" t="s">
        <v>14</v>
      </c>
      <c r="L978" s="3" t="s">
        <v>73</v>
      </c>
      <c r="M978" s="4">
        <v>46248</v>
      </c>
      <c r="N978" s="3" t="s">
        <v>81</v>
      </c>
      <c r="O978" s="3" t="s">
        <v>30</v>
      </c>
      <c r="P978" t="str">
        <f t="shared" si="15"/>
        <v>450012991410</v>
      </c>
      <c r="Q978" s="7" cm="1">
        <f t="array" ref="Q978:S978">VLOOKUP(P978,Hoja1!C:F,{2,3,4},FALSE)</f>
        <v>46295</v>
      </c>
      <c r="R978" t="str">
        <v>C21</v>
      </c>
      <c r="S978" t="str">
        <v>1000000808 GLOBAL OIL S.R.L.</v>
      </c>
    </row>
    <row r="979" spans="1:19" x14ac:dyDescent="0.3">
      <c r="A979" s="2" t="s">
        <v>14</v>
      </c>
      <c r="B979" s="3" t="s">
        <v>14</v>
      </c>
      <c r="C979" s="3" t="s">
        <v>1044</v>
      </c>
      <c r="D979" s="3" t="s">
        <v>14</v>
      </c>
      <c r="E979" s="3" t="s">
        <v>466</v>
      </c>
      <c r="F979" s="4">
        <v>46248</v>
      </c>
      <c r="G979" s="3" t="s">
        <v>17</v>
      </c>
      <c r="H979" s="5">
        <v>-99930.06</v>
      </c>
      <c r="I979" s="3" t="s">
        <v>18</v>
      </c>
      <c r="J979" s="3" t="s">
        <v>14</v>
      </c>
      <c r="K979" s="3" t="s">
        <v>14</v>
      </c>
      <c r="L979" s="3" t="s">
        <v>73</v>
      </c>
      <c r="M979" s="4">
        <v>46248</v>
      </c>
      <c r="N979" s="3" t="s">
        <v>81</v>
      </c>
      <c r="O979" s="3" t="s">
        <v>30</v>
      </c>
      <c r="P979" t="str">
        <f t="shared" si="15"/>
        <v>450012991410</v>
      </c>
      <c r="Q979" s="7" cm="1">
        <f t="array" ref="Q979:S979">VLOOKUP(P979,Hoja1!C:F,{2,3,4},FALSE)</f>
        <v>46295</v>
      </c>
      <c r="R979" t="str">
        <v>C21</v>
      </c>
      <c r="S979" t="str">
        <v>1000000808 GLOBAL OIL S.R.L.</v>
      </c>
    </row>
    <row r="980" spans="1:19" x14ac:dyDescent="0.3">
      <c r="A980" s="2" t="s">
        <v>14</v>
      </c>
      <c r="B980" s="3" t="s">
        <v>14</v>
      </c>
      <c r="C980" s="3" t="s">
        <v>1045</v>
      </c>
      <c r="D980" s="3" t="s">
        <v>14</v>
      </c>
      <c r="E980" s="3" t="s">
        <v>466</v>
      </c>
      <c r="F980" s="4">
        <v>46249</v>
      </c>
      <c r="G980" s="3" t="s">
        <v>17</v>
      </c>
      <c r="H980" s="5">
        <v>-5732322.4199999999</v>
      </c>
      <c r="I980" s="3" t="s">
        <v>18</v>
      </c>
      <c r="J980" s="3" t="s">
        <v>14</v>
      </c>
      <c r="K980" s="3" t="s">
        <v>14</v>
      </c>
      <c r="L980" s="3" t="s">
        <v>73</v>
      </c>
      <c r="M980" s="4">
        <v>46249</v>
      </c>
      <c r="N980" s="3" t="s">
        <v>81</v>
      </c>
      <c r="O980" s="3" t="s">
        <v>30</v>
      </c>
      <c r="P980" t="str">
        <f t="shared" si="15"/>
        <v>450012991410</v>
      </c>
      <c r="Q980" s="7" cm="1">
        <f t="array" ref="Q980:S980">VLOOKUP(P980,Hoja1!C:F,{2,3,4},FALSE)</f>
        <v>46295</v>
      </c>
      <c r="R980" t="str">
        <v>C21</v>
      </c>
      <c r="S980" t="str">
        <v>1000000808 GLOBAL OIL S.R.L.</v>
      </c>
    </row>
    <row r="981" spans="1:19" x14ac:dyDescent="0.3">
      <c r="A981" s="2" t="s">
        <v>14</v>
      </c>
      <c r="B981" s="3" t="s">
        <v>14</v>
      </c>
      <c r="C981" s="3" t="s">
        <v>1045</v>
      </c>
      <c r="D981" s="3" t="s">
        <v>14</v>
      </c>
      <c r="E981" s="3" t="s">
        <v>466</v>
      </c>
      <c r="F981" s="4">
        <v>46249</v>
      </c>
      <c r="G981" s="3" t="s">
        <v>17</v>
      </c>
      <c r="H981" s="5">
        <v>-503446.23</v>
      </c>
      <c r="I981" s="3" t="s">
        <v>18</v>
      </c>
      <c r="J981" s="3" t="s">
        <v>14</v>
      </c>
      <c r="K981" s="3" t="s">
        <v>14</v>
      </c>
      <c r="L981" s="3" t="s">
        <v>73</v>
      </c>
      <c r="M981" s="4">
        <v>46249</v>
      </c>
      <c r="N981" s="3" t="s">
        <v>81</v>
      </c>
      <c r="O981" s="3" t="s">
        <v>30</v>
      </c>
      <c r="P981" t="str">
        <f t="shared" si="15"/>
        <v>450012991410</v>
      </c>
      <c r="Q981" s="7" cm="1">
        <f t="array" ref="Q981:S981">VLOOKUP(P981,Hoja1!C:F,{2,3,4},FALSE)</f>
        <v>46295</v>
      </c>
      <c r="R981" t="str">
        <v>C21</v>
      </c>
      <c r="S981" t="str">
        <v>1000000808 GLOBAL OIL S.R.L.</v>
      </c>
    </row>
    <row r="982" spans="1:19" x14ac:dyDescent="0.3">
      <c r="A982" s="2" t="s">
        <v>14</v>
      </c>
      <c r="B982" s="3" t="s">
        <v>14</v>
      </c>
      <c r="C982" s="3" t="s">
        <v>1045</v>
      </c>
      <c r="D982" s="3" t="s">
        <v>14</v>
      </c>
      <c r="E982" s="3" t="s">
        <v>466</v>
      </c>
      <c r="F982" s="4">
        <v>46249</v>
      </c>
      <c r="G982" s="3" t="s">
        <v>17</v>
      </c>
      <c r="H982" s="5">
        <v>-105973.94</v>
      </c>
      <c r="I982" s="3" t="s">
        <v>18</v>
      </c>
      <c r="J982" s="3" t="s">
        <v>14</v>
      </c>
      <c r="K982" s="3" t="s">
        <v>14</v>
      </c>
      <c r="L982" s="3" t="s">
        <v>73</v>
      </c>
      <c r="M982" s="4">
        <v>46249</v>
      </c>
      <c r="N982" s="3" t="s">
        <v>81</v>
      </c>
      <c r="O982" s="3" t="s">
        <v>30</v>
      </c>
      <c r="P982" t="str">
        <f t="shared" si="15"/>
        <v>450012991410</v>
      </c>
      <c r="Q982" s="7" cm="1">
        <f t="array" ref="Q982:S982">VLOOKUP(P982,Hoja1!C:F,{2,3,4},FALSE)</f>
        <v>46295</v>
      </c>
      <c r="R982" t="str">
        <v>C21</v>
      </c>
      <c r="S982" t="str">
        <v>1000000808 GLOBAL OIL S.R.L.</v>
      </c>
    </row>
    <row r="983" spans="1:19" x14ac:dyDescent="0.3">
      <c r="A983" s="2" t="s">
        <v>14</v>
      </c>
      <c r="B983" s="3" t="s">
        <v>14</v>
      </c>
      <c r="C983" s="3" t="s">
        <v>1046</v>
      </c>
      <c r="D983" s="3" t="s">
        <v>14</v>
      </c>
      <c r="E983" s="3" t="s">
        <v>466</v>
      </c>
      <c r="F983" s="4">
        <v>46251</v>
      </c>
      <c r="G983" s="3" t="s">
        <v>17</v>
      </c>
      <c r="H983" s="5">
        <v>-5650099.8399999999</v>
      </c>
      <c r="I983" s="3" t="s">
        <v>18</v>
      </c>
      <c r="J983" s="3" t="s">
        <v>14</v>
      </c>
      <c r="K983" s="3" t="s">
        <v>14</v>
      </c>
      <c r="L983" s="3" t="s">
        <v>73</v>
      </c>
      <c r="M983" s="4">
        <v>46251</v>
      </c>
      <c r="N983" s="3" t="s">
        <v>81</v>
      </c>
      <c r="O983" s="3" t="s">
        <v>30</v>
      </c>
      <c r="P983" t="str">
        <f t="shared" si="15"/>
        <v>450012991410</v>
      </c>
      <c r="Q983" s="7" cm="1">
        <f t="array" ref="Q983:S983">VLOOKUP(P983,Hoja1!C:F,{2,3,4},FALSE)</f>
        <v>46295</v>
      </c>
      <c r="R983" t="str">
        <v>C21</v>
      </c>
      <c r="S983" t="str">
        <v>1000000808 GLOBAL OIL S.R.L.</v>
      </c>
    </row>
    <row r="984" spans="1:19" x14ac:dyDescent="0.3">
      <c r="A984" s="2" t="s">
        <v>14</v>
      </c>
      <c r="B984" s="3" t="s">
        <v>14</v>
      </c>
      <c r="C984" s="3" t="s">
        <v>1046</v>
      </c>
      <c r="D984" s="3" t="s">
        <v>14</v>
      </c>
      <c r="E984" s="3" t="s">
        <v>466</v>
      </c>
      <c r="F984" s="4">
        <v>46251</v>
      </c>
      <c r="G984" s="3" t="s">
        <v>17</v>
      </c>
      <c r="H984" s="5">
        <v>-496224.96</v>
      </c>
      <c r="I984" s="3" t="s">
        <v>18</v>
      </c>
      <c r="J984" s="3" t="s">
        <v>14</v>
      </c>
      <c r="K984" s="3" t="s">
        <v>14</v>
      </c>
      <c r="L984" s="3" t="s">
        <v>73</v>
      </c>
      <c r="M984" s="4">
        <v>46251</v>
      </c>
      <c r="N984" s="3" t="s">
        <v>81</v>
      </c>
      <c r="O984" s="3" t="s">
        <v>30</v>
      </c>
      <c r="P984" t="str">
        <f t="shared" si="15"/>
        <v>450012991410</v>
      </c>
      <c r="Q984" s="7" cm="1">
        <f t="array" ref="Q984:S984">VLOOKUP(P984,Hoja1!C:F,{2,3,4},FALSE)</f>
        <v>46295</v>
      </c>
      <c r="R984" t="str">
        <v>C21</v>
      </c>
      <c r="S984" t="str">
        <v>1000000808 GLOBAL OIL S.R.L.</v>
      </c>
    </row>
    <row r="985" spans="1:19" x14ac:dyDescent="0.3">
      <c r="A985" s="2" t="s">
        <v>14</v>
      </c>
      <c r="B985" s="3" t="s">
        <v>14</v>
      </c>
      <c r="C985" s="3" t="s">
        <v>1046</v>
      </c>
      <c r="D985" s="3" t="s">
        <v>14</v>
      </c>
      <c r="E985" s="3" t="s">
        <v>466</v>
      </c>
      <c r="F985" s="4">
        <v>46251</v>
      </c>
      <c r="G985" s="3" t="s">
        <v>17</v>
      </c>
      <c r="H985" s="5">
        <v>-104453.89</v>
      </c>
      <c r="I985" s="3" t="s">
        <v>18</v>
      </c>
      <c r="J985" s="3" t="s">
        <v>14</v>
      </c>
      <c r="K985" s="3" t="s">
        <v>14</v>
      </c>
      <c r="L985" s="3" t="s">
        <v>73</v>
      </c>
      <c r="M985" s="4">
        <v>46251</v>
      </c>
      <c r="N985" s="3" t="s">
        <v>81</v>
      </c>
      <c r="O985" s="3" t="s">
        <v>30</v>
      </c>
      <c r="P985" t="str">
        <f t="shared" si="15"/>
        <v>450012991410</v>
      </c>
      <c r="Q985" s="7" cm="1">
        <f t="array" ref="Q985:S985">VLOOKUP(P985,Hoja1!C:F,{2,3,4},FALSE)</f>
        <v>46295</v>
      </c>
      <c r="R985" t="str">
        <v>C21</v>
      </c>
      <c r="S985" t="str">
        <v>1000000808 GLOBAL OIL S.R.L.</v>
      </c>
    </row>
    <row r="986" spans="1:19" x14ac:dyDescent="0.3">
      <c r="A986" s="2" t="s">
        <v>14</v>
      </c>
      <c r="B986" s="3" t="s">
        <v>14</v>
      </c>
      <c r="C986" s="3" t="s">
        <v>1047</v>
      </c>
      <c r="D986" s="3" t="s">
        <v>14</v>
      </c>
      <c r="E986" s="3" t="s">
        <v>466</v>
      </c>
      <c r="F986" s="4">
        <v>46252</v>
      </c>
      <c r="G986" s="3" t="s">
        <v>17</v>
      </c>
      <c r="H986" s="5">
        <v>-932727.1</v>
      </c>
      <c r="I986" s="3" t="s">
        <v>18</v>
      </c>
      <c r="J986" s="3" t="s">
        <v>14</v>
      </c>
      <c r="K986" s="3" t="s">
        <v>14</v>
      </c>
      <c r="L986" s="3" t="s">
        <v>1048</v>
      </c>
      <c r="M986" s="4">
        <v>46252</v>
      </c>
      <c r="N986" s="3" t="s">
        <v>1049</v>
      </c>
      <c r="O986" s="3" t="s">
        <v>30</v>
      </c>
      <c r="P986" t="str">
        <f t="shared" si="15"/>
        <v>450013141510</v>
      </c>
      <c r="Q986" s="7" cm="1">
        <f t="array" ref="Q986:S986">VLOOKUP(P986,Hoja1!C:F,{2,3,4},FALSE)</f>
        <v>46301</v>
      </c>
      <c r="R986" t="str">
        <v>C52</v>
      </c>
      <c r="S986" t="str">
        <v>1000000016 OSVALDO L.SANTILLI E HIJOS S.A</v>
      </c>
    </row>
    <row r="987" spans="1:19" x14ac:dyDescent="0.3">
      <c r="A987" s="2" t="s">
        <v>14</v>
      </c>
      <c r="B987" s="3" t="s">
        <v>14</v>
      </c>
      <c r="C987" s="3" t="s">
        <v>1050</v>
      </c>
      <c r="D987" s="3" t="s">
        <v>14</v>
      </c>
      <c r="E987" s="3" t="s">
        <v>466</v>
      </c>
      <c r="F987" s="4">
        <v>46252</v>
      </c>
      <c r="G987" s="3" t="s">
        <v>17</v>
      </c>
      <c r="H987" s="5">
        <v>-112513.44</v>
      </c>
      <c r="I987" s="3" t="s">
        <v>18</v>
      </c>
      <c r="J987" s="3" t="s">
        <v>14</v>
      </c>
      <c r="K987" s="3" t="s">
        <v>14</v>
      </c>
      <c r="L987" s="3" t="s">
        <v>1051</v>
      </c>
      <c r="M987" s="4">
        <v>46252</v>
      </c>
      <c r="N987" s="3" t="s">
        <v>1052</v>
      </c>
      <c r="O987" s="3" t="s">
        <v>30</v>
      </c>
      <c r="P987" t="str">
        <f t="shared" si="15"/>
        <v>450013437510</v>
      </c>
      <c r="Q987" s="7" cm="1">
        <f t="array" ref="Q987:S987">VLOOKUP(P987,Hoja1!C:F,{2,3,4},FALSE)</f>
        <v>46240</v>
      </c>
      <c r="R987" t="str">
        <v>C11</v>
      </c>
      <c r="S987" t="str">
        <v>1000001432 ELECTRINET SRL</v>
      </c>
    </row>
    <row r="988" spans="1:19" x14ac:dyDescent="0.3">
      <c r="A988" s="2" t="s">
        <v>14</v>
      </c>
      <c r="B988" s="3" t="s">
        <v>14</v>
      </c>
      <c r="C988" s="3" t="s">
        <v>1053</v>
      </c>
      <c r="D988" s="3" t="s">
        <v>14</v>
      </c>
      <c r="E988" s="3" t="s">
        <v>466</v>
      </c>
      <c r="F988" s="4">
        <v>46252</v>
      </c>
      <c r="G988" s="3" t="s">
        <v>17</v>
      </c>
      <c r="H988" s="5">
        <v>-448520</v>
      </c>
      <c r="I988" s="3" t="s">
        <v>18</v>
      </c>
      <c r="J988" s="3" t="s">
        <v>14</v>
      </c>
      <c r="K988" s="3" t="s">
        <v>14</v>
      </c>
      <c r="L988" s="3" t="s">
        <v>991</v>
      </c>
      <c r="M988" s="4">
        <v>46252</v>
      </c>
      <c r="N988" s="3" t="s">
        <v>1054</v>
      </c>
      <c r="O988" s="3" t="s">
        <v>30</v>
      </c>
      <c r="P988" t="str">
        <f t="shared" si="15"/>
        <v>450013559010</v>
      </c>
      <c r="Q988" s="7" cm="1">
        <f t="array" ref="Q988:S988">VLOOKUP(P988,Hoja1!C:F,{2,3,4},FALSE)</f>
        <v>46259</v>
      </c>
      <c r="R988" t="str">
        <v>C03</v>
      </c>
      <c r="S988" t="str">
        <v>1000008805 SAKURA MOTORS S. A.</v>
      </c>
    </row>
    <row r="989" spans="1:19" x14ac:dyDescent="0.3">
      <c r="A989" s="2" t="s">
        <v>14</v>
      </c>
      <c r="B989" s="3" t="s">
        <v>14</v>
      </c>
      <c r="C989" s="3" t="s">
        <v>1055</v>
      </c>
      <c r="D989" s="3" t="s">
        <v>14</v>
      </c>
      <c r="E989" s="3" t="s">
        <v>466</v>
      </c>
      <c r="F989" s="4">
        <v>46248</v>
      </c>
      <c r="G989" s="3" t="s">
        <v>17</v>
      </c>
      <c r="H989" s="5">
        <v>-1665312</v>
      </c>
      <c r="I989" s="3" t="s">
        <v>18</v>
      </c>
      <c r="J989" s="3" t="s">
        <v>14</v>
      </c>
      <c r="K989" s="3" t="s">
        <v>14</v>
      </c>
      <c r="L989" s="3" t="s">
        <v>1056</v>
      </c>
      <c r="M989" s="4">
        <v>46252</v>
      </c>
      <c r="N989" s="3" t="s">
        <v>1057</v>
      </c>
      <c r="O989" s="3" t="s">
        <v>30</v>
      </c>
      <c r="P989" t="str">
        <f t="shared" si="15"/>
        <v>450013468610</v>
      </c>
      <c r="Q989" s="7" cm="1">
        <f t="array" ref="Q989:S989">VLOOKUP(P989,Hoja1!C:F,{2,3,4},FALSE)</f>
        <v>46300</v>
      </c>
      <c r="R989" t="str">
        <v>C27</v>
      </c>
      <c r="S989" t="str">
        <v>1000007373 ANGIULLI SERGIO RAUL</v>
      </c>
    </row>
    <row r="990" spans="1:19" x14ac:dyDescent="0.3">
      <c r="A990" s="2" t="s">
        <v>14</v>
      </c>
      <c r="B990" s="3" t="s">
        <v>14</v>
      </c>
      <c r="C990" s="3" t="s">
        <v>1058</v>
      </c>
      <c r="D990" s="3" t="s">
        <v>14</v>
      </c>
      <c r="E990" s="3" t="s">
        <v>466</v>
      </c>
      <c r="F990" s="4">
        <v>46253</v>
      </c>
      <c r="G990" s="3" t="s">
        <v>17</v>
      </c>
      <c r="H990" s="5">
        <v>-21753</v>
      </c>
      <c r="I990" s="3" t="s">
        <v>18</v>
      </c>
      <c r="J990" s="3" t="s">
        <v>14</v>
      </c>
      <c r="K990" s="3" t="s">
        <v>14</v>
      </c>
      <c r="L990" s="3" t="s">
        <v>441</v>
      </c>
      <c r="M990" s="4">
        <v>46253</v>
      </c>
      <c r="N990" s="3" t="s">
        <v>1059</v>
      </c>
      <c r="O990" s="3" t="s">
        <v>30</v>
      </c>
      <c r="P990" t="str">
        <f t="shared" si="15"/>
        <v>450013542910</v>
      </c>
      <c r="Q990" s="7" cm="1">
        <f t="array" ref="Q990:S990">VLOOKUP(P990,Hoja1!C:F,{2,3,4},FALSE)</f>
        <v>46259</v>
      </c>
      <c r="R990" t="str">
        <v>C03</v>
      </c>
      <c r="S990" t="str">
        <v>1000000374 DISTRIBUIDORA TRIGOMA DE BERTO</v>
      </c>
    </row>
    <row r="991" spans="1:19" x14ac:dyDescent="0.3">
      <c r="A991" s="2" t="s">
        <v>14</v>
      </c>
      <c r="B991" s="3" t="s">
        <v>14</v>
      </c>
      <c r="C991" s="3" t="s">
        <v>1060</v>
      </c>
      <c r="D991" s="3" t="s">
        <v>14</v>
      </c>
      <c r="E991" s="3" t="s">
        <v>466</v>
      </c>
      <c r="F991" s="4">
        <v>46253</v>
      </c>
      <c r="G991" s="3" t="s">
        <v>17</v>
      </c>
      <c r="H991" s="5">
        <v>-479300.09</v>
      </c>
      <c r="I991" s="3" t="s">
        <v>18</v>
      </c>
      <c r="J991" s="3" t="s">
        <v>14</v>
      </c>
      <c r="K991" s="3" t="s">
        <v>14</v>
      </c>
      <c r="L991" s="3" t="s">
        <v>614</v>
      </c>
      <c r="M991" s="4">
        <v>46253</v>
      </c>
      <c r="N991" s="3" t="s">
        <v>1061</v>
      </c>
      <c r="O991" s="3" t="s">
        <v>30</v>
      </c>
      <c r="P991" t="str">
        <f t="shared" si="15"/>
        <v>450012162110</v>
      </c>
      <c r="Q991" s="7" cm="1">
        <f t="array" ref="Q991:S991">VLOOKUP(P991,Hoja1!C:F,{2,3,4},FALSE)</f>
        <v>46293</v>
      </c>
      <c r="R991" t="str">
        <v>C03</v>
      </c>
      <c r="S991" t="str">
        <v>2000000164 SANY INTERNACIONAL</v>
      </c>
    </row>
    <row r="992" spans="1:19" x14ac:dyDescent="0.3">
      <c r="A992" s="2" t="s">
        <v>14</v>
      </c>
      <c r="B992" s="3" t="s">
        <v>14</v>
      </c>
      <c r="C992" s="3" t="s">
        <v>1060</v>
      </c>
      <c r="D992" s="3" t="s">
        <v>14</v>
      </c>
      <c r="E992" s="3" t="s">
        <v>466</v>
      </c>
      <c r="F992" s="4">
        <v>46253</v>
      </c>
      <c r="G992" s="3" t="s">
        <v>17</v>
      </c>
      <c r="H992" s="5">
        <v>-25696.22</v>
      </c>
      <c r="I992" s="3" t="s">
        <v>18</v>
      </c>
      <c r="J992" s="3" t="s">
        <v>14</v>
      </c>
      <c r="K992" s="3" t="s">
        <v>14</v>
      </c>
      <c r="L992" s="3" t="s">
        <v>614</v>
      </c>
      <c r="M992" s="4">
        <v>46253</v>
      </c>
      <c r="N992" s="3" t="s">
        <v>1061</v>
      </c>
      <c r="O992" s="3" t="s">
        <v>22</v>
      </c>
      <c r="P992" t="str">
        <f t="shared" si="15"/>
        <v>450012162120</v>
      </c>
      <c r="Q992" s="7" cm="1">
        <f t="array" ref="Q992:S992">VLOOKUP(P992,Hoja1!C:F,{2,3,4},FALSE)</f>
        <v>46293</v>
      </c>
      <c r="R992" t="str">
        <v>C03</v>
      </c>
      <c r="S992" t="str">
        <v>2000000164 SANY INTERNACIONAL</v>
      </c>
    </row>
    <row r="993" spans="1:19" x14ac:dyDescent="0.3">
      <c r="A993" s="2" t="s">
        <v>14</v>
      </c>
      <c r="B993" s="3" t="s">
        <v>14</v>
      </c>
      <c r="C993" s="3" t="s">
        <v>1060</v>
      </c>
      <c r="D993" s="3" t="s">
        <v>14</v>
      </c>
      <c r="E993" s="3" t="s">
        <v>466</v>
      </c>
      <c r="F993" s="4">
        <v>46253</v>
      </c>
      <c r="G993" s="3" t="s">
        <v>17</v>
      </c>
      <c r="H993" s="5">
        <v>-22730.13</v>
      </c>
      <c r="I993" s="3" t="s">
        <v>18</v>
      </c>
      <c r="J993" s="3" t="s">
        <v>14</v>
      </c>
      <c r="K993" s="3" t="s">
        <v>14</v>
      </c>
      <c r="L993" s="3" t="s">
        <v>614</v>
      </c>
      <c r="M993" s="4">
        <v>46253</v>
      </c>
      <c r="N993" s="3" t="s">
        <v>1061</v>
      </c>
      <c r="O993" s="3" t="s">
        <v>35</v>
      </c>
      <c r="P993" t="str">
        <f t="shared" si="15"/>
        <v>450012162130</v>
      </c>
      <c r="Q993" s="7" cm="1">
        <f t="array" ref="Q993:S993">VLOOKUP(P993,Hoja1!C:F,{2,3,4},FALSE)</f>
        <v>46293</v>
      </c>
      <c r="R993" t="str">
        <v>C03</v>
      </c>
      <c r="S993" t="str">
        <v>2000000164 SANY INTERNACIONAL</v>
      </c>
    </row>
    <row r="994" spans="1:19" x14ac:dyDescent="0.3">
      <c r="A994" s="2" t="s">
        <v>14</v>
      </c>
      <c r="B994" s="3" t="s">
        <v>14</v>
      </c>
      <c r="C994" s="3" t="s">
        <v>1060</v>
      </c>
      <c r="D994" s="3" t="s">
        <v>14</v>
      </c>
      <c r="E994" s="3" t="s">
        <v>466</v>
      </c>
      <c r="F994" s="4">
        <v>46253</v>
      </c>
      <c r="G994" s="3" t="s">
        <v>17</v>
      </c>
      <c r="H994" s="5">
        <v>-745.25</v>
      </c>
      <c r="I994" s="3" t="s">
        <v>18</v>
      </c>
      <c r="J994" s="3" t="s">
        <v>14</v>
      </c>
      <c r="K994" s="3" t="s">
        <v>14</v>
      </c>
      <c r="L994" s="3" t="s">
        <v>614</v>
      </c>
      <c r="M994" s="4">
        <v>46253</v>
      </c>
      <c r="N994" s="3" t="s">
        <v>1061</v>
      </c>
      <c r="O994" s="3" t="s">
        <v>23</v>
      </c>
      <c r="P994" t="str">
        <f t="shared" si="15"/>
        <v>450012162140</v>
      </c>
      <c r="Q994" s="7" cm="1">
        <f t="array" ref="Q994:S994">VLOOKUP(P994,Hoja1!C:F,{2,3,4},FALSE)</f>
        <v>46293</v>
      </c>
      <c r="R994" t="str">
        <v>C03</v>
      </c>
      <c r="S994" t="str">
        <v>2000000164 SANY INTERNACIONAL</v>
      </c>
    </row>
    <row r="995" spans="1:19" x14ac:dyDescent="0.3">
      <c r="A995" s="2" t="s">
        <v>14</v>
      </c>
      <c r="B995" s="3" t="s">
        <v>14</v>
      </c>
      <c r="C995" s="3" t="s">
        <v>1060</v>
      </c>
      <c r="D995" s="3" t="s">
        <v>14</v>
      </c>
      <c r="E995" s="3" t="s">
        <v>466</v>
      </c>
      <c r="F995" s="4">
        <v>46253</v>
      </c>
      <c r="G995" s="3" t="s">
        <v>17</v>
      </c>
      <c r="H995" s="5">
        <v>-10612.36</v>
      </c>
      <c r="I995" s="3" t="s">
        <v>18</v>
      </c>
      <c r="J995" s="3" t="s">
        <v>14</v>
      </c>
      <c r="K995" s="3" t="s">
        <v>14</v>
      </c>
      <c r="L995" s="3" t="s">
        <v>614</v>
      </c>
      <c r="M995" s="4">
        <v>46253</v>
      </c>
      <c r="N995" s="3" t="s">
        <v>1061</v>
      </c>
      <c r="O995" s="3" t="s">
        <v>144</v>
      </c>
      <c r="P995" t="str">
        <f t="shared" si="15"/>
        <v>450012162150</v>
      </c>
      <c r="Q995" s="7" cm="1">
        <f t="array" ref="Q995:S995">VLOOKUP(P995,Hoja1!C:F,{2,3,4},FALSE)</f>
        <v>46293</v>
      </c>
      <c r="R995" t="str">
        <v>C03</v>
      </c>
      <c r="S995" t="str">
        <v>2000000164 SANY INTERNACIONAL</v>
      </c>
    </row>
    <row r="996" spans="1:19" x14ac:dyDescent="0.3">
      <c r="A996" s="2" t="s">
        <v>14</v>
      </c>
      <c r="B996" s="3" t="s">
        <v>14</v>
      </c>
      <c r="C996" s="3" t="s">
        <v>1060</v>
      </c>
      <c r="D996" s="3" t="s">
        <v>14</v>
      </c>
      <c r="E996" s="3" t="s">
        <v>466</v>
      </c>
      <c r="F996" s="4">
        <v>46253</v>
      </c>
      <c r="G996" s="3" t="s">
        <v>17</v>
      </c>
      <c r="H996" s="5">
        <v>-225184.74</v>
      </c>
      <c r="I996" s="3" t="s">
        <v>18</v>
      </c>
      <c r="J996" s="3" t="s">
        <v>14</v>
      </c>
      <c r="K996" s="3" t="s">
        <v>14</v>
      </c>
      <c r="L996" s="3" t="s">
        <v>614</v>
      </c>
      <c r="M996" s="4">
        <v>46253</v>
      </c>
      <c r="N996" s="3" t="s">
        <v>1061</v>
      </c>
      <c r="O996" s="3" t="s">
        <v>141</v>
      </c>
      <c r="P996" t="str">
        <f t="shared" si="15"/>
        <v>450012162160</v>
      </c>
      <c r="Q996" s="7" cm="1">
        <f t="array" ref="Q996:S996">VLOOKUP(P996,Hoja1!C:F,{2,3,4},FALSE)</f>
        <v>46293</v>
      </c>
      <c r="R996" t="str">
        <v>C03</v>
      </c>
      <c r="S996" t="str">
        <v>2000000164 SANY INTERNACIONAL</v>
      </c>
    </row>
    <row r="997" spans="1:19" x14ac:dyDescent="0.3">
      <c r="A997" s="2" t="s">
        <v>14</v>
      </c>
      <c r="B997" s="3" t="s">
        <v>14</v>
      </c>
      <c r="C997" s="3" t="s">
        <v>1060</v>
      </c>
      <c r="D997" s="3" t="s">
        <v>14</v>
      </c>
      <c r="E997" s="3" t="s">
        <v>466</v>
      </c>
      <c r="F997" s="4">
        <v>46253</v>
      </c>
      <c r="G997" s="3" t="s">
        <v>17</v>
      </c>
      <c r="H997" s="5">
        <v>-2588909.0699999998</v>
      </c>
      <c r="I997" s="3" t="s">
        <v>18</v>
      </c>
      <c r="J997" s="3" t="s">
        <v>14</v>
      </c>
      <c r="K997" s="3" t="s">
        <v>14</v>
      </c>
      <c r="L997" s="3" t="s">
        <v>614</v>
      </c>
      <c r="M997" s="4">
        <v>46253</v>
      </c>
      <c r="N997" s="3" t="s">
        <v>1061</v>
      </c>
      <c r="O997" s="3" t="s">
        <v>134</v>
      </c>
      <c r="P997" t="str">
        <f t="shared" si="15"/>
        <v>450012162170</v>
      </c>
      <c r="Q997" s="7" cm="1">
        <f t="array" ref="Q997:S997">VLOOKUP(P997,Hoja1!C:F,{2,3,4},FALSE)</f>
        <v>46293</v>
      </c>
      <c r="R997" t="str">
        <v>C03</v>
      </c>
      <c r="S997" t="str">
        <v>2000000164 SANY INTERNACIONAL</v>
      </c>
    </row>
    <row r="998" spans="1:19" x14ac:dyDescent="0.3">
      <c r="A998" s="2" t="s">
        <v>14</v>
      </c>
      <c r="B998" s="3" t="s">
        <v>14</v>
      </c>
      <c r="C998" s="3" t="s">
        <v>1060</v>
      </c>
      <c r="D998" s="3" t="s">
        <v>14</v>
      </c>
      <c r="E998" s="3" t="s">
        <v>466</v>
      </c>
      <c r="F998" s="4">
        <v>46253</v>
      </c>
      <c r="G998" s="3" t="s">
        <v>17</v>
      </c>
      <c r="H998" s="5">
        <v>-5306.18</v>
      </c>
      <c r="I998" s="3" t="s">
        <v>18</v>
      </c>
      <c r="J998" s="3" t="s">
        <v>14</v>
      </c>
      <c r="K998" s="3" t="s">
        <v>14</v>
      </c>
      <c r="L998" s="3" t="s">
        <v>614</v>
      </c>
      <c r="M998" s="4">
        <v>46253</v>
      </c>
      <c r="N998" s="3" t="s">
        <v>1061</v>
      </c>
      <c r="O998" s="3" t="s">
        <v>52</v>
      </c>
      <c r="P998" t="str">
        <f t="shared" si="15"/>
        <v>450012162180</v>
      </c>
      <c r="Q998" s="7" cm="1">
        <f t="array" ref="Q998:S998">VLOOKUP(P998,Hoja1!C:F,{2,3,4},FALSE)</f>
        <v>46293</v>
      </c>
      <c r="R998" t="str">
        <v>C03</v>
      </c>
      <c r="S998" t="str">
        <v>2000000164 SANY INTERNACIONAL</v>
      </c>
    </row>
    <row r="999" spans="1:19" x14ac:dyDescent="0.3">
      <c r="A999" s="2" t="s">
        <v>14</v>
      </c>
      <c r="B999" s="3" t="s">
        <v>14</v>
      </c>
      <c r="C999" s="3" t="s">
        <v>1060</v>
      </c>
      <c r="D999" s="3" t="s">
        <v>14</v>
      </c>
      <c r="E999" s="3" t="s">
        <v>466</v>
      </c>
      <c r="F999" s="4">
        <v>46253</v>
      </c>
      <c r="G999" s="3" t="s">
        <v>17</v>
      </c>
      <c r="H999" s="5">
        <v>-93126.44</v>
      </c>
      <c r="I999" s="3" t="s">
        <v>18</v>
      </c>
      <c r="J999" s="3" t="s">
        <v>14</v>
      </c>
      <c r="K999" s="3" t="s">
        <v>14</v>
      </c>
      <c r="L999" s="3" t="s">
        <v>614</v>
      </c>
      <c r="M999" s="4">
        <v>46253</v>
      </c>
      <c r="N999" s="3" t="s">
        <v>1061</v>
      </c>
      <c r="O999" s="3" t="s">
        <v>138</v>
      </c>
      <c r="P999" t="str">
        <f t="shared" si="15"/>
        <v>450012162190</v>
      </c>
      <c r="Q999" s="7" cm="1">
        <f t="array" ref="Q999:S999">VLOOKUP(P999,Hoja1!C:F,{2,3,4},FALSE)</f>
        <v>46293</v>
      </c>
      <c r="R999" t="str">
        <v>C03</v>
      </c>
      <c r="S999" t="str">
        <v>2000000164 SANY INTERNACIONAL</v>
      </c>
    </row>
    <row r="1000" spans="1:19" x14ac:dyDescent="0.3">
      <c r="A1000" s="2" t="s">
        <v>14</v>
      </c>
      <c r="B1000" s="3" t="s">
        <v>14</v>
      </c>
      <c r="C1000" s="3" t="s">
        <v>1060</v>
      </c>
      <c r="D1000" s="3" t="s">
        <v>14</v>
      </c>
      <c r="E1000" s="3" t="s">
        <v>466</v>
      </c>
      <c r="F1000" s="4">
        <v>46253</v>
      </c>
      <c r="G1000" s="3" t="s">
        <v>17</v>
      </c>
      <c r="H1000" s="5">
        <v>-177339.69</v>
      </c>
      <c r="I1000" s="3" t="s">
        <v>18</v>
      </c>
      <c r="J1000" s="3" t="s">
        <v>14</v>
      </c>
      <c r="K1000" s="3" t="s">
        <v>14</v>
      </c>
      <c r="L1000" s="3" t="s">
        <v>614</v>
      </c>
      <c r="M1000" s="4">
        <v>46253</v>
      </c>
      <c r="N1000" s="3" t="s">
        <v>1061</v>
      </c>
      <c r="O1000" s="3" t="s">
        <v>45</v>
      </c>
      <c r="P1000" t="str">
        <f t="shared" si="15"/>
        <v>4500121621100</v>
      </c>
      <c r="Q1000" s="7" cm="1">
        <f t="array" ref="Q1000:S1000">VLOOKUP(P1000,Hoja1!C:F,{2,3,4},FALSE)</f>
        <v>46293</v>
      </c>
      <c r="R1000" t="str">
        <v>C03</v>
      </c>
      <c r="S1000" t="str">
        <v>2000000164 SANY INTERNACIONAL</v>
      </c>
    </row>
    <row r="1001" spans="1:19" x14ac:dyDescent="0.3">
      <c r="A1001" s="2" t="s">
        <v>14</v>
      </c>
      <c r="B1001" s="3" t="s">
        <v>14</v>
      </c>
      <c r="C1001" s="3" t="s">
        <v>1060</v>
      </c>
      <c r="D1001" s="3" t="s">
        <v>14</v>
      </c>
      <c r="E1001" s="3" t="s">
        <v>466</v>
      </c>
      <c r="F1001" s="4">
        <v>46253</v>
      </c>
      <c r="G1001" s="3" t="s">
        <v>17</v>
      </c>
      <c r="H1001" s="5">
        <v>-2623.28</v>
      </c>
      <c r="I1001" s="3" t="s">
        <v>18</v>
      </c>
      <c r="J1001" s="3" t="s">
        <v>14</v>
      </c>
      <c r="K1001" s="3" t="s">
        <v>14</v>
      </c>
      <c r="L1001" s="3" t="s">
        <v>614</v>
      </c>
      <c r="M1001" s="4">
        <v>46253</v>
      </c>
      <c r="N1001" s="3" t="s">
        <v>1061</v>
      </c>
      <c r="O1001" s="3" t="s">
        <v>156</v>
      </c>
      <c r="P1001" t="str">
        <f t="shared" si="15"/>
        <v>4500121621110</v>
      </c>
      <c r="Q1001" s="7" cm="1">
        <f t="array" ref="Q1001:S1001">VLOOKUP(P1001,Hoja1!C:F,{2,3,4},FALSE)</f>
        <v>46293</v>
      </c>
      <c r="R1001" t="str">
        <v>C03</v>
      </c>
      <c r="S1001" t="str">
        <v>2000000164 SANY INTERNACIONAL</v>
      </c>
    </row>
    <row r="1002" spans="1:19" x14ac:dyDescent="0.3">
      <c r="A1002" s="2" t="s">
        <v>14</v>
      </c>
      <c r="B1002" s="3" t="s">
        <v>14</v>
      </c>
      <c r="C1002" s="3" t="s">
        <v>1060</v>
      </c>
      <c r="D1002" s="3" t="s">
        <v>14</v>
      </c>
      <c r="E1002" s="3" t="s">
        <v>466</v>
      </c>
      <c r="F1002" s="4">
        <v>46253</v>
      </c>
      <c r="G1002" s="3" t="s">
        <v>17</v>
      </c>
      <c r="H1002" s="5">
        <v>-804.87</v>
      </c>
      <c r="I1002" s="3" t="s">
        <v>18</v>
      </c>
      <c r="J1002" s="3" t="s">
        <v>14</v>
      </c>
      <c r="K1002" s="3" t="s">
        <v>14</v>
      </c>
      <c r="L1002" s="3" t="s">
        <v>614</v>
      </c>
      <c r="M1002" s="4">
        <v>46253</v>
      </c>
      <c r="N1002" s="3" t="s">
        <v>1061</v>
      </c>
      <c r="O1002" s="3" t="s">
        <v>132</v>
      </c>
      <c r="P1002" t="str">
        <f t="shared" si="15"/>
        <v>4500121621120</v>
      </c>
      <c r="Q1002" s="7" cm="1">
        <f t="array" ref="Q1002:S1002">VLOOKUP(P1002,Hoja1!C:F,{2,3,4},FALSE)</f>
        <v>46293</v>
      </c>
      <c r="R1002" t="str">
        <v>C03</v>
      </c>
      <c r="S1002" t="str">
        <v>2000000164 SANY INTERNACIONAL</v>
      </c>
    </row>
    <row r="1003" spans="1:19" x14ac:dyDescent="0.3">
      <c r="A1003" s="2" t="s">
        <v>14</v>
      </c>
      <c r="B1003" s="3" t="s">
        <v>14</v>
      </c>
      <c r="C1003" s="3" t="s">
        <v>1060</v>
      </c>
      <c r="D1003" s="3" t="s">
        <v>14</v>
      </c>
      <c r="E1003" s="3" t="s">
        <v>466</v>
      </c>
      <c r="F1003" s="4">
        <v>46253</v>
      </c>
      <c r="G1003" s="3" t="s">
        <v>17</v>
      </c>
      <c r="H1003" s="5">
        <v>-953.92</v>
      </c>
      <c r="I1003" s="3" t="s">
        <v>18</v>
      </c>
      <c r="J1003" s="3" t="s">
        <v>14</v>
      </c>
      <c r="K1003" s="3" t="s">
        <v>14</v>
      </c>
      <c r="L1003" s="3" t="s">
        <v>614</v>
      </c>
      <c r="M1003" s="4">
        <v>46253</v>
      </c>
      <c r="N1003" s="3" t="s">
        <v>1061</v>
      </c>
      <c r="O1003" s="3" t="s">
        <v>142</v>
      </c>
      <c r="P1003" t="str">
        <f t="shared" si="15"/>
        <v>4500121621130</v>
      </c>
      <c r="Q1003" s="7" cm="1">
        <f t="array" ref="Q1003:S1003">VLOOKUP(P1003,Hoja1!C:F,{2,3,4},FALSE)</f>
        <v>46293</v>
      </c>
      <c r="R1003" t="str">
        <v>C03</v>
      </c>
      <c r="S1003" t="str">
        <v>2000000164 SANY INTERNACIONAL</v>
      </c>
    </row>
    <row r="1004" spans="1:19" x14ac:dyDescent="0.3">
      <c r="A1004" s="2" t="s">
        <v>14</v>
      </c>
      <c r="B1004" s="3" t="s">
        <v>14</v>
      </c>
      <c r="C1004" s="3" t="s">
        <v>1060</v>
      </c>
      <c r="D1004" s="3" t="s">
        <v>14</v>
      </c>
      <c r="E1004" s="3" t="s">
        <v>466</v>
      </c>
      <c r="F1004" s="4">
        <v>46253</v>
      </c>
      <c r="G1004" s="3" t="s">
        <v>17</v>
      </c>
      <c r="H1004" s="5">
        <v>-2131.42</v>
      </c>
      <c r="I1004" s="3" t="s">
        <v>18</v>
      </c>
      <c r="J1004" s="3" t="s">
        <v>14</v>
      </c>
      <c r="K1004" s="3" t="s">
        <v>14</v>
      </c>
      <c r="L1004" s="3" t="s">
        <v>614</v>
      </c>
      <c r="M1004" s="4">
        <v>46253</v>
      </c>
      <c r="N1004" s="3" t="s">
        <v>1061</v>
      </c>
      <c r="O1004" s="3" t="s">
        <v>131</v>
      </c>
      <c r="P1004" t="str">
        <f t="shared" si="15"/>
        <v>4500121621140</v>
      </c>
      <c r="Q1004" s="7" cm="1">
        <f t="array" ref="Q1004:S1004">VLOOKUP(P1004,Hoja1!C:F,{2,3,4},FALSE)</f>
        <v>46293</v>
      </c>
      <c r="R1004" t="str">
        <v>C03</v>
      </c>
      <c r="S1004" t="str">
        <v>2000000164 SANY INTERNACIONAL</v>
      </c>
    </row>
    <row r="1005" spans="1:19" x14ac:dyDescent="0.3">
      <c r="A1005" s="2" t="s">
        <v>14</v>
      </c>
      <c r="B1005" s="3" t="s">
        <v>14</v>
      </c>
      <c r="C1005" s="3" t="s">
        <v>1060</v>
      </c>
      <c r="D1005" s="3" t="s">
        <v>14</v>
      </c>
      <c r="E1005" s="3" t="s">
        <v>466</v>
      </c>
      <c r="F1005" s="4">
        <v>46253</v>
      </c>
      <c r="G1005" s="3" t="s">
        <v>17</v>
      </c>
      <c r="H1005" s="5">
        <v>-975621.68</v>
      </c>
      <c r="I1005" s="3" t="s">
        <v>18</v>
      </c>
      <c r="J1005" s="3" t="s">
        <v>14</v>
      </c>
      <c r="K1005" s="3" t="s">
        <v>14</v>
      </c>
      <c r="L1005" s="3" t="s">
        <v>614</v>
      </c>
      <c r="M1005" s="4">
        <v>46253</v>
      </c>
      <c r="N1005" s="3" t="s">
        <v>1061</v>
      </c>
      <c r="O1005" s="3" t="s">
        <v>68</v>
      </c>
      <c r="P1005" t="str">
        <f t="shared" si="15"/>
        <v>4500121621150</v>
      </c>
      <c r="Q1005" s="7" cm="1">
        <f t="array" ref="Q1005:S1005">VLOOKUP(P1005,Hoja1!C:F,{2,3,4},FALSE)</f>
        <v>46293</v>
      </c>
      <c r="R1005" t="str">
        <v>C03</v>
      </c>
      <c r="S1005" t="str">
        <v>2000000164 SANY INTERNACIONAL</v>
      </c>
    </row>
    <row r="1006" spans="1:19" x14ac:dyDescent="0.3">
      <c r="A1006" s="2" t="s">
        <v>14</v>
      </c>
      <c r="B1006" s="3" t="s">
        <v>14</v>
      </c>
      <c r="C1006" s="3" t="s">
        <v>1060</v>
      </c>
      <c r="D1006" s="3" t="s">
        <v>14</v>
      </c>
      <c r="E1006" s="3" t="s">
        <v>466</v>
      </c>
      <c r="F1006" s="4">
        <v>46253</v>
      </c>
      <c r="G1006" s="3" t="s">
        <v>17</v>
      </c>
      <c r="H1006" s="5">
        <v>-963518.82</v>
      </c>
      <c r="I1006" s="3" t="s">
        <v>18</v>
      </c>
      <c r="J1006" s="3" t="s">
        <v>14</v>
      </c>
      <c r="K1006" s="3" t="s">
        <v>14</v>
      </c>
      <c r="L1006" s="3" t="s">
        <v>614</v>
      </c>
      <c r="M1006" s="4">
        <v>46253</v>
      </c>
      <c r="N1006" s="3" t="s">
        <v>1061</v>
      </c>
      <c r="O1006" s="3" t="s">
        <v>129</v>
      </c>
      <c r="P1006" t="str">
        <f t="shared" si="15"/>
        <v>4500121621160</v>
      </c>
      <c r="Q1006" s="7" cm="1">
        <f t="array" ref="Q1006:S1006">VLOOKUP(P1006,Hoja1!C:F,{2,3,4},FALSE)</f>
        <v>46293</v>
      </c>
      <c r="R1006" t="str">
        <v>C03</v>
      </c>
      <c r="S1006" t="str">
        <v>2000000164 SANY INTERNACIONAL</v>
      </c>
    </row>
    <row r="1007" spans="1:19" x14ac:dyDescent="0.3">
      <c r="A1007" s="2" t="s">
        <v>14</v>
      </c>
      <c r="B1007" s="3" t="s">
        <v>14</v>
      </c>
      <c r="C1007" s="3" t="s">
        <v>1060</v>
      </c>
      <c r="D1007" s="3" t="s">
        <v>14</v>
      </c>
      <c r="E1007" s="3" t="s">
        <v>466</v>
      </c>
      <c r="F1007" s="4">
        <v>46253</v>
      </c>
      <c r="G1007" s="3" t="s">
        <v>17</v>
      </c>
      <c r="H1007" s="5">
        <v>-5858738.1600000001</v>
      </c>
      <c r="I1007" s="3" t="s">
        <v>18</v>
      </c>
      <c r="J1007" s="3" t="s">
        <v>14</v>
      </c>
      <c r="K1007" s="3" t="s">
        <v>14</v>
      </c>
      <c r="L1007" s="3" t="s">
        <v>614</v>
      </c>
      <c r="M1007" s="4">
        <v>46253</v>
      </c>
      <c r="N1007" s="3" t="s">
        <v>1061</v>
      </c>
      <c r="O1007" s="3" t="s">
        <v>53</v>
      </c>
      <c r="P1007" t="str">
        <f t="shared" si="15"/>
        <v>4500121621170</v>
      </c>
      <c r="Q1007" s="7" cm="1">
        <f t="array" ref="Q1007:S1007">VLOOKUP(P1007,Hoja1!C:F,{2,3,4},FALSE)</f>
        <v>46293</v>
      </c>
      <c r="R1007" t="str">
        <v>C03</v>
      </c>
      <c r="S1007" t="str">
        <v>2000000164 SANY INTERNACIONAL</v>
      </c>
    </row>
    <row r="1008" spans="1:19" x14ac:dyDescent="0.3">
      <c r="A1008" s="2" t="s">
        <v>14</v>
      </c>
      <c r="B1008" s="3" t="s">
        <v>14</v>
      </c>
      <c r="C1008" s="3" t="s">
        <v>1060</v>
      </c>
      <c r="D1008" s="3" t="s">
        <v>14</v>
      </c>
      <c r="E1008" s="3" t="s">
        <v>466</v>
      </c>
      <c r="F1008" s="4">
        <v>46253</v>
      </c>
      <c r="G1008" s="3" t="s">
        <v>17</v>
      </c>
      <c r="H1008" s="5">
        <v>-809937.7</v>
      </c>
      <c r="I1008" s="3" t="s">
        <v>18</v>
      </c>
      <c r="J1008" s="3" t="s">
        <v>14</v>
      </c>
      <c r="K1008" s="3" t="s">
        <v>14</v>
      </c>
      <c r="L1008" s="3" t="s">
        <v>614</v>
      </c>
      <c r="M1008" s="4">
        <v>46253</v>
      </c>
      <c r="N1008" s="3" t="s">
        <v>1061</v>
      </c>
      <c r="O1008" s="3" t="s">
        <v>130</v>
      </c>
      <c r="P1008" t="str">
        <f t="shared" si="15"/>
        <v>4500121621180</v>
      </c>
      <c r="Q1008" s="7" cm="1">
        <f t="array" ref="Q1008:S1008">VLOOKUP(P1008,Hoja1!C:F,{2,3,4},FALSE)</f>
        <v>46293</v>
      </c>
      <c r="R1008" t="str">
        <v>C03</v>
      </c>
      <c r="S1008" t="str">
        <v>2000000164 SANY INTERNACIONAL</v>
      </c>
    </row>
    <row r="1009" spans="1:19" x14ac:dyDescent="0.3">
      <c r="A1009" s="2" t="s">
        <v>14</v>
      </c>
      <c r="B1009" s="3" t="s">
        <v>14</v>
      </c>
      <c r="C1009" s="3" t="s">
        <v>1060</v>
      </c>
      <c r="D1009" s="3" t="s">
        <v>14</v>
      </c>
      <c r="E1009" s="3" t="s">
        <v>466</v>
      </c>
      <c r="F1009" s="4">
        <v>46253</v>
      </c>
      <c r="G1009" s="3" t="s">
        <v>17</v>
      </c>
      <c r="H1009" s="5">
        <v>-17483.57</v>
      </c>
      <c r="I1009" s="3" t="s">
        <v>18</v>
      </c>
      <c r="J1009" s="3" t="s">
        <v>14</v>
      </c>
      <c r="K1009" s="3" t="s">
        <v>14</v>
      </c>
      <c r="L1009" s="3" t="s">
        <v>614</v>
      </c>
      <c r="M1009" s="4">
        <v>46253</v>
      </c>
      <c r="N1009" s="3" t="s">
        <v>1061</v>
      </c>
      <c r="O1009" s="3" t="s">
        <v>127</v>
      </c>
      <c r="P1009" t="str">
        <f t="shared" si="15"/>
        <v>4500121621190</v>
      </c>
      <c r="Q1009" s="7" cm="1">
        <f t="array" ref="Q1009:S1009">VLOOKUP(P1009,Hoja1!C:F,{2,3,4},FALSE)</f>
        <v>46293</v>
      </c>
      <c r="R1009" t="str">
        <v>C03</v>
      </c>
      <c r="S1009" t="str">
        <v>2000000164 SANY INTERNACIONAL</v>
      </c>
    </row>
    <row r="1010" spans="1:19" x14ac:dyDescent="0.3">
      <c r="A1010" s="2" t="s">
        <v>14</v>
      </c>
      <c r="B1010" s="3" t="s">
        <v>14</v>
      </c>
      <c r="C1010" s="3" t="s">
        <v>1060</v>
      </c>
      <c r="D1010" s="3" t="s">
        <v>14</v>
      </c>
      <c r="E1010" s="3" t="s">
        <v>466</v>
      </c>
      <c r="F1010" s="4">
        <v>46253</v>
      </c>
      <c r="G1010" s="3" t="s">
        <v>17</v>
      </c>
      <c r="H1010" s="5">
        <v>-35891.24</v>
      </c>
      <c r="I1010" s="3" t="s">
        <v>18</v>
      </c>
      <c r="J1010" s="3" t="s">
        <v>14</v>
      </c>
      <c r="K1010" s="3" t="s">
        <v>14</v>
      </c>
      <c r="L1010" s="3" t="s">
        <v>614</v>
      </c>
      <c r="M1010" s="4">
        <v>46253</v>
      </c>
      <c r="N1010" s="3" t="s">
        <v>1061</v>
      </c>
      <c r="O1010" s="3" t="s">
        <v>161</v>
      </c>
      <c r="P1010" t="str">
        <f t="shared" si="15"/>
        <v>4500121621200</v>
      </c>
      <c r="Q1010" s="7" cm="1">
        <f t="array" ref="Q1010:S1010">VLOOKUP(P1010,Hoja1!C:F,{2,3,4},FALSE)</f>
        <v>46293</v>
      </c>
      <c r="R1010" t="str">
        <v>C03</v>
      </c>
      <c r="S1010" t="str">
        <v>2000000164 SANY INTERNACIONAL</v>
      </c>
    </row>
    <row r="1011" spans="1:19" x14ac:dyDescent="0.3">
      <c r="A1011" s="2" t="s">
        <v>14</v>
      </c>
      <c r="B1011" s="3" t="s">
        <v>14</v>
      </c>
      <c r="C1011" s="3" t="s">
        <v>1060</v>
      </c>
      <c r="D1011" s="3" t="s">
        <v>14</v>
      </c>
      <c r="E1011" s="3" t="s">
        <v>466</v>
      </c>
      <c r="F1011" s="4">
        <v>46253</v>
      </c>
      <c r="G1011" s="3" t="s">
        <v>17</v>
      </c>
      <c r="H1011" s="5">
        <v>-39110.720000000001</v>
      </c>
      <c r="I1011" s="3" t="s">
        <v>18</v>
      </c>
      <c r="J1011" s="3" t="s">
        <v>14</v>
      </c>
      <c r="K1011" s="3" t="s">
        <v>14</v>
      </c>
      <c r="L1011" s="3" t="s">
        <v>614</v>
      </c>
      <c r="M1011" s="4">
        <v>46253</v>
      </c>
      <c r="N1011" s="3" t="s">
        <v>1061</v>
      </c>
      <c r="O1011" s="3" t="s">
        <v>136</v>
      </c>
      <c r="P1011" t="str">
        <f t="shared" si="15"/>
        <v>4500121621210</v>
      </c>
      <c r="Q1011" s="7" cm="1">
        <f t="array" ref="Q1011:S1011">VLOOKUP(P1011,Hoja1!C:F,{2,3,4},FALSE)</f>
        <v>46293</v>
      </c>
      <c r="R1011" t="str">
        <v>C03</v>
      </c>
      <c r="S1011" t="str">
        <v>2000000164 SANY INTERNACIONAL</v>
      </c>
    </row>
    <row r="1012" spans="1:19" x14ac:dyDescent="0.3">
      <c r="A1012" s="2" t="s">
        <v>14</v>
      </c>
      <c r="B1012" s="3" t="s">
        <v>14</v>
      </c>
      <c r="C1012" s="3" t="s">
        <v>1060</v>
      </c>
      <c r="D1012" s="3" t="s">
        <v>14</v>
      </c>
      <c r="E1012" s="3" t="s">
        <v>466</v>
      </c>
      <c r="F1012" s="4">
        <v>46253</v>
      </c>
      <c r="G1012" s="3" t="s">
        <v>17</v>
      </c>
      <c r="H1012" s="5">
        <v>-23758.57</v>
      </c>
      <c r="I1012" s="3" t="s">
        <v>18</v>
      </c>
      <c r="J1012" s="3" t="s">
        <v>14</v>
      </c>
      <c r="K1012" s="3" t="s">
        <v>14</v>
      </c>
      <c r="L1012" s="3" t="s">
        <v>614</v>
      </c>
      <c r="M1012" s="4">
        <v>46253</v>
      </c>
      <c r="N1012" s="3" t="s">
        <v>1061</v>
      </c>
      <c r="O1012" s="3" t="s">
        <v>140</v>
      </c>
      <c r="P1012" t="str">
        <f t="shared" si="15"/>
        <v>4500121621220</v>
      </c>
      <c r="Q1012" s="7" cm="1">
        <f t="array" ref="Q1012:S1012">VLOOKUP(P1012,Hoja1!C:F,{2,3,4},FALSE)</f>
        <v>46293</v>
      </c>
      <c r="R1012" t="str">
        <v>C03</v>
      </c>
      <c r="S1012" t="str">
        <v>2000000164 SANY INTERNACIONAL</v>
      </c>
    </row>
    <row r="1013" spans="1:19" x14ac:dyDescent="0.3">
      <c r="A1013" s="2" t="s">
        <v>14</v>
      </c>
      <c r="B1013" s="3" t="s">
        <v>14</v>
      </c>
      <c r="C1013" s="3" t="s">
        <v>1060</v>
      </c>
      <c r="D1013" s="3" t="s">
        <v>14</v>
      </c>
      <c r="E1013" s="3" t="s">
        <v>466</v>
      </c>
      <c r="F1013" s="4">
        <v>46253</v>
      </c>
      <c r="G1013" s="3" t="s">
        <v>17</v>
      </c>
      <c r="H1013" s="5">
        <v>-130985.14</v>
      </c>
      <c r="I1013" s="3" t="s">
        <v>18</v>
      </c>
      <c r="J1013" s="3" t="s">
        <v>14</v>
      </c>
      <c r="K1013" s="3" t="s">
        <v>14</v>
      </c>
      <c r="L1013" s="3" t="s">
        <v>614</v>
      </c>
      <c r="M1013" s="4">
        <v>46253</v>
      </c>
      <c r="N1013" s="3" t="s">
        <v>1061</v>
      </c>
      <c r="O1013" s="3" t="s">
        <v>137</v>
      </c>
      <c r="P1013" t="str">
        <f t="shared" si="15"/>
        <v>4500121621230</v>
      </c>
      <c r="Q1013" s="7" cm="1">
        <f t="array" ref="Q1013:S1013">VLOOKUP(P1013,Hoja1!C:F,{2,3,4},FALSE)</f>
        <v>46293</v>
      </c>
      <c r="R1013" t="str">
        <v>C03</v>
      </c>
      <c r="S1013" t="str">
        <v>2000000164 SANY INTERNACIONAL</v>
      </c>
    </row>
    <row r="1014" spans="1:19" x14ac:dyDescent="0.3">
      <c r="A1014" s="2" t="s">
        <v>14</v>
      </c>
      <c r="B1014" s="3" t="s">
        <v>14</v>
      </c>
      <c r="C1014" s="3" t="s">
        <v>1060</v>
      </c>
      <c r="D1014" s="3" t="s">
        <v>14</v>
      </c>
      <c r="E1014" s="3" t="s">
        <v>466</v>
      </c>
      <c r="F1014" s="4">
        <v>46253</v>
      </c>
      <c r="G1014" s="3" t="s">
        <v>17</v>
      </c>
      <c r="H1014" s="5">
        <v>-44953.48</v>
      </c>
      <c r="I1014" s="3" t="s">
        <v>18</v>
      </c>
      <c r="J1014" s="3" t="s">
        <v>14</v>
      </c>
      <c r="K1014" s="3" t="s">
        <v>14</v>
      </c>
      <c r="L1014" s="3" t="s">
        <v>614</v>
      </c>
      <c r="M1014" s="4">
        <v>46253</v>
      </c>
      <c r="N1014" s="3" t="s">
        <v>1061</v>
      </c>
      <c r="O1014" s="3" t="s">
        <v>143</v>
      </c>
      <c r="P1014" t="str">
        <f t="shared" si="15"/>
        <v>4500121621240</v>
      </c>
      <c r="Q1014" s="7" cm="1">
        <f t="array" ref="Q1014:S1014">VLOOKUP(P1014,Hoja1!C:F,{2,3,4},FALSE)</f>
        <v>46293</v>
      </c>
      <c r="R1014" t="str">
        <v>C03</v>
      </c>
      <c r="S1014" t="str">
        <v>2000000164 SANY INTERNACIONAL</v>
      </c>
    </row>
    <row r="1015" spans="1:19" x14ac:dyDescent="0.3">
      <c r="A1015" s="2" t="s">
        <v>14</v>
      </c>
      <c r="B1015" s="3" t="s">
        <v>14</v>
      </c>
      <c r="C1015" s="3" t="s">
        <v>1060</v>
      </c>
      <c r="D1015" s="3" t="s">
        <v>14</v>
      </c>
      <c r="E1015" s="3" t="s">
        <v>466</v>
      </c>
      <c r="F1015" s="4">
        <v>46253</v>
      </c>
      <c r="G1015" s="3" t="s">
        <v>17</v>
      </c>
      <c r="H1015" s="5">
        <v>-37143.26</v>
      </c>
      <c r="I1015" s="3" t="s">
        <v>18</v>
      </c>
      <c r="J1015" s="3" t="s">
        <v>14</v>
      </c>
      <c r="K1015" s="3" t="s">
        <v>14</v>
      </c>
      <c r="L1015" s="3" t="s">
        <v>614</v>
      </c>
      <c r="M1015" s="4">
        <v>46253</v>
      </c>
      <c r="N1015" s="3" t="s">
        <v>1061</v>
      </c>
      <c r="O1015" s="3" t="s">
        <v>128</v>
      </c>
      <c r="P1015" t="str">
        <f t="shared" si="15"/>
        <v>4500121621250</v>
      </c>
      <c r="Q1015" s="7" cm="1">
        <f t="array" ref="Q1015:S1015">VLOOKUP(P1015,Hoja1!C:F,{2,3,4},FALSE)</f>
        <v>46293</v>
      </c>
      <c r="R1015" t="str">
        <v>C03</v>
      </c>
      <c r="S1015" t="str">
        <v>2000000164 SANY INTERNACIONAL</v>
      </c>
    </row>
    <row r="1016" spans="1:19" x14ac:dyDescent="0.3">
      <c r="A1016" s="2" t="s">
        <v>14</v>
      </c>
      <c r="B1016" s="3" t="s">
        <v>14</v>
      </c>
      <c r="C1016" s="3" t="s">
        <v>1060</v>
      </c>
      <c r="D1016" s="3" t="s">
        <v>14</v>
      </c>
      <c r="E1016" s="3" t="s">
        <v>466</v>
      </c>
      <c r="F1016" s="4">
        <v>46253</v>
      </c>
      <c r="G1016" s="3" t="s">
        <v>17</v>
      </c>
      <c r="H1016" s="5">
        <v>-1649044.49</v>
      </c>
      <c r="I1016" s="3" t="s">
        <v>18</v>
      </c>
      <c r="J1016" s="3" t="s">
        <v>14</v>
      </c>
      <c r="K1016" s="3" t="s">
        <v>14</v>
      </c>
      <c r="L1016" s="3" t="s">
        <v>614</v>
      </c>
      <c r="M1016" s="4">
        <v>46253</v>
      </c>
      <c r="N1016" s="3" t="s">
        <v>1061</v>
      </c>
      <c r="O1016" s="3" t="s">
        <v>126</v>
      </c>
      <c r="P1016" t="str">
        <f t="shared" si="15"/>
        <v>4500121621260</v>
      </c>
      <c r="Q1016" s="7" cm="1">
        <f t="array" ref="Q1016:S1016">VLOOKUP(P1016,Hoja1!C:F,{2,3,4},FALSE)</f>
        <v>46293</v>
      </c>
      <c r="R1016" t="str">
        <v>C03</v>
      </c>
      <c r="S1016" t="str">
        <v>2000000164 SANY INTERNACIONAL</v>
      </c>
    </row>
    <row r="1017" spans="1:19" x14ac:dyDescent="0.3">
      <c r="A1017" s="2" t="s">
        <v>14</v>
      </c>
      <c r="B1017" s="3" t="s">
        <v>14</v>
      </c>
      <c r="C1017" s="3" t="s">
        <v>1060</v>
      </c>
      <c r="D1017" s="3" t="s">
        <v>14</v>
      </c>
      <c r="E1017" s="3" t="s">
        <v>466</v>
      </c>
      <c r="F1017" s="4">
        <v>46253</v>
      </c>
      <c r="G1017" s="3" t="s">
        <v>17</v>
      </c>
      <c r="H1017" s="5">
        <v>-257647.83</v>
      </c>
      <c r="I1017" s="3" t="s">
        <v>18</v>
      </c>
      <c r="J1017" s="3" t="s">
        <v>14</v>
      </c>
      <c r="K1017" s="3" t="s">
        <v>14</v>
      </c>
      <c r="L1017" s="3" t="s">
        <v>614</v>
      </c>
      <c r="M1017" s="4">
        <v>46253</v>
      </c>
      <c r="N1017" s="3" t="s">
        <v>1061</v>
      </c>
      <c r="O1017" s="3" t="s">
        <v>173</v>
      </c>
      <c r="P1017" t="str">
        <f t="shared" si="15"/>
        <v>4500121621290</v>
      </c>
      <c r="Q1017" s="7" cm="1">
        <f t="array" ref="Q1017:S1017">VLOOKUP(P1017,Hoja1!C:F,{2,3,4},FALSE)</f>
        <v>46293</v>
      </c>
      <c r="R1017" t="str">
        <v>C03</v>
      </c>
      <c r="S1017" t="str">
        <v>2000000164 SANY INTERNACIONAL</v>
      </c>
    </row>
    <row r="1018" spans="1:19" x14ac:dyDescent="0.3">
      <c r="A1018" s="2" t="s">
        <v>14</v>
      </c>
      <c r="B1018" s="3" t="s">
        <v>14</v>
      </c>
      <c r="C1018" s="3" t="s">
        <v>1060</v>
      </c>
      <c r="D1018" s="3" t="s">
        <v>14</v>
      </c>
      <c r="E1018" s="3" t="s">
        <v>466</v>
      </c>
      <c r="F1018" s="4">
        <v>46253</v>
      </c>
      <c r="G1018" s="3" t="s">
        <v>17</v>
      </c>
      <c r="H1018" s="5">
        <v>-421573.02</v>
      </c>
      <c r="I1018" s="3" t="s">
        <v>18</v>
      </c>
      <c r="J1018" s="3" t="s">
        <v>14</v>
      </c>
      <c r="K1018" s="3" t="s">
        <v>14</v>
      </c>
      <c r="L1018" s="3" t="s">
        <v>614</v>
      </c>
      <c r="M1018" s="4">
        <v>46253</v>
      </c>
      <c r="N1018" s="3" t="s">
        <v>1061</v>
      </c>
      <c r="O1018" s="3" t="s">
        <v>145</v>
      </c>
      <c r="P1018" t="str">
        <f t="shared" si="15"/>
        <v>4500121621300</v>
      </c>
      <c r="Q1018" s="7" cm="1">
        <f t="array" ref="Q1018:S1018">VLOOKUP(P1018,Hoja1!C:F,{2,3,4},FALSE)</f>
        <v>46293</v>
      </c>
      <c r="R1018" t="str">
        <v>C03</v>
      </c>
      <c r="S1018" t="str">
        <v>2000000164 SANY INTERNACIONAL</v>
      </c>
    </row>
    <row r="1019" spans="1:19" x14ac:dyDescent="0.3">
      <c r="A1019" s="2" t="s">
        <v>14</v>
      </c>
      <c r="B1019" s="3" t="s">
        <v>14</v>
      </c>
      <c r="C1019" s="3" t="s">
        <v>1060</v>
      </c>
      <c r="D1019" s="3" t="s">
        <v>14</v>
      </c>
      <c r="E1019" s="3" t="s">
        <v>466</v>
      </c>
      <c r="F1019" s="4">
        <v>46253</v>
      </c>
      <c r="G1019" s="3" t="s">
        <v>17</v>
      </c>
      <c r="H1019" s="5">
        <v>-2896458.84</v>
      </c>
      <c r="I1019" s="3" t="s">
        <v>18</v>
      </c>
      <c r="J1019" s="3" t="s">
        <v>14</v>
      </c>
      <c r="K1019" s="3" t="s">
        <v>14</v>
      </c>
      <c r="L1019" s="3" t="s">
        <v>614</v>
      </c>
      <c r="M1019" s="4">
        <v>46253</v>
      </c>
      <c r="N1019" s="3" t="s">
        <v>1061</v>
      </c>
      <c r="O1019" s="3" t="s">
        <v>150</v>
      </c>
      <c r="P1019" t="str">
        <f t="shared" si="15"/>
        <v>4500121621320</v>
      </c>
      <c r="Q1019" s="7" cm="1">
        <f t="array" ref="Q1019:S1019">VLOOKUP(P1019,Hoja1!C:F,{2,3,4},FALSE)</f>
        <v>46293</v>
      </c>
      <c r="R1019" t="str">
        <v>C03</v>
      </c>
      <c r="S1019" t="str">
        <v>2000000164 SANY INTERNACIONAL</v>
      </c>
    </row>
    <row r="1020" spans="1:19" x14ac:dyDescent="0.3">
      <c r="A1020" s="2" t="s">
        <v>14</v>
      </c>
      <c r="B1020" s="3" t="s">
        <v>14</v>
      </c>
      <c r="C1020" s="3" t="s">
        <v>1062</v>
      </c>
      <c r="D1020" s="3" t="s">
        <v>14</v>
      </c>
      <c r="E1020" s="3" t="s">
        <v>466</v>
      </c>
      <c r="F1020" s="4">
        <v>46253</v>
      </c>
      <c r="G1020" s="3" t="s">
        <v>17</v>
      </c>
      <c r="H1020" s="5">
        <v>-493653.6</v>
      </c>
      <c r="I1020" s="3" t="s">
        <v>18</v>
      </c>
      <c r="J1020" s="3" t="s">
        <v>14</v>
      </c>
      <c r="K1020" s="3" t="s">
        <v>14</v>
      </c>
      <c r="L1020" s="3" t="s">
        <v>690</v>
      </c>
      <c r="M1020" s="4">
        <v>46253</v>
      </c>
      <c r="N1020" s="3" t="s">
        <v>1063</v>
      </c>
      <c r="O1020" s="3" t="s">
        <v>22</v>
      </c>
      <c r="P1020" t="str">
        <f t="shared" si="15"/>
        <v>450013443620</v>
      </c>
      <c r="Q1020" s="7" cm="1">
        <f t="array" ref="Q1020:S1020">VLOOKUP(P1020,Hoja1!C:F,{2,3,4},FALSE)</f>
        <v>46248</v>
      </c>
      <c r="R1020" t="str">
        <v>C28</v>
      </c>
      <c r="S1020" t="str">
        <v>1000000669 PROSEIND SA</v>
      </c>
    </row>
    <row r="1021" spans="1:19" x14ac:dyDescent="0.3">
      <c r="A1021" s="2" t="s">
        <v>14</v>
      </c>
      <c r="B1021" s="3" t="s">
        <v>14</v>
      </c>
      <c r="C1021" s="3" t="s">
        <v>1064</v>
      </c>
      <c r="D1021" s="3" t="s">
        <v>14</v>
      </c>
      <c r="E1021" s="3" t="s">
        <v>466</v>
      </c>
      <c r="F1021" s="4">
        <v>46252</v>
      </c>
      <c r="G1021" s="3" t="s">
        <v>17</v>
      </c>
      <c r="H1021" s="5">
        <v>-4679807.88</v>
      </c>
      <c r="I1021" s="3" t="s">
        <v>18</v>
      </c>
      <c r="J1021" s="3" t="s">
        <v>14</v>
      </c>
      <c r="K1021" s="3" t="s">
        <v>14</v>
      </c>
      <c r="L1021" s="3" t="s">
        <v>73</v>
      </c>
      <c r="M1021" s="4">
        <v>46252</v>
      </c>
      <c r="N1021" s="3" t="s">
        <v>81</v>
      </c>
      <c r="O1021" s="3" t="s">
        <v>30</v>
      </c>
      <c r="P1021" t="str">
        <f t="shared" si="15"/>
        <v>450012991410</v>
      </c>
      <c r="Q1021" s="7" cm="1">
        <f t="array" ref="Q1021:S1021">VLOOKUP(P1021,Hoja1!C:F,{2,3,4},FALSE)</f>
        <v>46295</v>
      </c>
      <c r="R1021" t="str">
        <v>C21</v>
      </c>
      <c r="S1021" t="str">
        <v>1000000808 GLOBAL OIL S.R.L.</v>
      </c>
    </row>
    <row r="1022" spans="1:19" x14ac:dyDescent="0.3">
      <c r="A1022" s="2" t="s">
        <v>14</v>
      </c>
      <c r="B1022" s="3" t="s">
        <v>14</v>
      </c>
      <c r="C1022" s="3" t="s">
        <v>1064</v>
      </c>
      <c r="D1022" s="3" t="s">
        <v>14</v>
      </c>
      <c r="E1022" s="3" t="s">
        <v>466</v>
      </c>
      <c r="F1022" s="4">
        <v>46252</v>
      </c>
      <c r="G1022" s="3" t="s">
        <v>17</v>
      </c>
      <c r="H1022" s="5">
        <v>-411008.22</v>
      </c>
      <c r="I1022" s="3" t="s">
        <v>18</v>
      </c>
      <c r="J1022" s="3" t="s">
        <v>14</v>
      </c>
      <c r="K1022" s="3" t="s">
        <v>14</v>
      </c>
      <c r="L1022" s="3" t="s">
        <v>73</v>
      </c>
      <c r="M1022" s="4">
        <v>46252</v>
      </c>
      <c r="N1022" s="3" t="s">
        <v>81</v>
      </c>
      <c r="O1022" s="3" t="s">
        <v>30</v>
      </c>
      <c r="P1022" t="str">
        <f t="shared" si="15"/>
        <v>450012991410</v>
      </c>
      <c r="Q1022" s="7" cm="1">
        <f t="array" ref="Q1022:S1022">VLOOKUP(P1022,Hoja1!C:F,{2,3,4},FALSE)</f>
        <v>46295</v>
      </c>
      <c r="R1022" t="str">
        <v>C21</v>
      </c>
      <c r="S1022" t="str">
        <v>1000000808 GLOBAL OIL S.R.L.</v>
      </c>
    </row>
    <row r="1023" spans="1:19" x14ac:dyDescent="0.3">
      <c r="A1023" s="2" t="s">
        <v>14</v>
      </c>
      <c r="B1023" s="3" t="s">
        <v>14</v>
      </c>
      <c r="C1023" s="3" t="s">
        <v>1064</v>
      </c>
      <c r="D1023" s="3" t="s">
        <v>14</v>
      </c>
      <c r="E1023" s="3" t="s">
        <v>466</v>
      </c>
      <c r="F1023" s="4">
        <v>46252</v>
      </c>
      <c r="G1023" s="3" t="s">
        <v>17</v>
      </c>
      <c r="H1023" s="5">
        <v>-86516.02</v>
      </c>
      <c r="I1023" s="3" t="s">
        <v>18</v>
      </c>
      <c r="J1023" s="3" t="s">
        <v>14</v>
      </c>
      <c r="K1023" s="3" t="s">
        <v>14</v>
      </c>
      <c r="L1023" s="3" t="s">
        <v>73</v>
      </c>
      <c r="M1023" s="4">
        <v>46252</v>
      </c>
      <c r="N1023" s="3" t="s">
        <v>81</v>
      </c>
      <c r="O1023" s="3" t="s">
        <v>30</v>
      </c>
      <c r="P1023" t="str">
        <f t="shared" si="15"/>
        <v>450012991410</v>
      </c>
      <c r="Q1023" s="7" cm="1">
        <f t="array" ref="Q1023:S1023">VLOOKUP(P1023,Hoja1!C:F,{2,3,4},FALSE)</f>
        <v>46295</v>
      </c>
      <c r="R1023" t="str">
        <v>C21</v>
      </c>
      <c r="S1023" t="str">
        <v>1000000808 GLOBAL OIL S.R.L.</v>
      </c>
    </row>
    <row r="1024" spans="1:19" x14ac:dyDescent="0.3">
      <c r="A1024" s="2" t="s">
        <v>14</v>
      </c>
      <c r="B1024" s="3" t="s">
        <v>14</v>
      </c>
      <c r="C1024" s="3" t="s">
        <v>1065</v>
      </c>
      <c r="D1024" s="3" t="s">
        <v>14</v>
      </c>
      <c r="E1024" s="3" t="s">
        <v>466</v>
      </c>
      <c r="F1024" s="4">
        <v>46253</v>
      </c>
      <c r="G1024" s="3" t="s">
        <v>17</v>
      </c>
      <c r="H1024" s="5">
        <v>-3814850</v>
      </c>
      <c r="I1024" s="3" t="s">
        <v>18</v>
      </c>
      <c r="J1024" s="3" t="s">
        <v>14</v>
      </c>
      <c r="K1024" s="3" t="s">
        <v>14</v>
      </c>
      <c r="L1024" s="3" t="s">
        <v>299</v>
      </c>
      <c r="M1024" s="4">
        <v>46253</v>
      </c>
      <c r="N1024" s="3" t="s">
        <v>1066</v>
      </c>
      <c r="O1024" s="3" t="s">
        <v>131</v>
      </c>
      <c r="P1024" t="str">
        <f t="shared" si="15"/>
        <v>4500123608140</v>
      </c>
      <c r="Q1024" s="7" cm="1">
        <f t="array" ref="Q1024:S1024">VLOOKUP(P1024,Hoja1!C:F,{2,3,4},FALSE)</f>
        <v>46299</v>
      </c>
      <c r="R1024" t="str">
        <v>C03</v>
      </c>
      <c r="S1024" t="str">
        <v>1000000571 TOYOTA ARGENTINA S.A.</v>
      </c>
    </row>
    <row r="1025" spans="1:19" x14ac:dyDescent="0.3">
      <c r="A1025" s="2" t="s">
        <v>14</v>
      </c>
      <c r="B1025" s="3" t="s">
        <v>14</v>
      </c>
      <c r="C1025" s="3" t="s">
        <v>1067</v>
      </c>
      <c r="D1025" s="3" t="s">
        <v>32</v>
      </c>
      <c r="E1025" s="3" t="s">
        <v>466</v>
      </c>
      <c r="F1025" s="4">
        <v>46253</v>
      </c>
      <c r="G1025" s="3" t="s">
        <v>17</v>
      </c>
      <c r="H1025" s="5">
        <v>-37620.49</v>
      </c>
      <c r="I1025" s="3" t="s">
        <v>18</v>
      </c>
      <c r="J1025" s="3" t="s">
        <v>14</v>
      </c>
      <c r="K1025" s="3" t="s">
        <v>14</v>
      </c>
      <c r="L1025" s="3" t="s">
        <v>335</v>
      </c>
      <c r="M1025" s="4">
        <v>46253</v>
      </c>
      <c r="N1025" s="3" t="s">
        <v>336</v>
      </c>
      <c r="O1025" s="3" t="s">
        <v>30</v>
      </c>
      <c r="P1025" t="str">
        <f t="shared" si="15"/>
        <v>450013124310</v>
      </c>
      <c r="Q1025" s="7" cm="1">
        <f t="array" ref="Q1025:S1025">VLOOKUP(P1025,Hoja1!C:F,{2,3,4},FALSE)</f>
        <v>46433</v>
      </c>
      <c r="R1025" t="str">
        <v>C21</v>
      </c>
      <c r="S1025" t="str">
        <v>1000013302 PETROTRES SA</v>
      </c>
    </row>
    <row r="1026" spans="1:19" x14ac:dyDescent="0.3">
      <c r="A1026" s="2" t="s">
        <v>14</v>
      </c>
      <c r="B1026" s="3" t="s">
        <v>14</v>
      </c>
      <c r="C1026" s="3" t="s">
        <v>1067</v>
      </c>
      <c r="D1026" s="3" t="s">
        <v>32</v>
      </c>
      <c r="E1026" s="3" t="s">
        <v>466</v>
      </c>
      <c r="F1026" s="4">
        <v>46253</v>
      </c>
      <c r="G1026" s="3" t="s">
        <v>17</v>
      </c>
      <c r="H1026" s="5">
        <v>-2304.81</v>
      </c>
      <c r="I1026" s="3" t="s">
        <v>18</v>
      </c>
      <c r="J1026" s="3" t="s">
        <v>14</v>
      </c>
      <c r="K1026" s="3" t="s">
        <v>14</v>
      </c>
      <c r="L1026" s="3" t="s">
        <v>335</v>
      </c>
      <c r="M1026" s="4">
        <v>46253</v>
      </c>
      <c r="N1026" s="3" t="s">
        <v>336</v>
      </c>
      <c r="O1026" s="3" t="s">
        <v>30</v>
      </c>
      <c r="P1026" t="str">
        <f t="shared" si="15"/>
        <v>450013124310</v>
      </c>
      <c r="Q1026" s="7" cm="1">
        <f t="array" ref="Q1026:S1026">VLOOKUP(P1026,Hoja1!C:F,{2,3,4},FALSE)</f>
        <v>46433</v>
      </c>
      <c r="R1026" t="str">
        <v>C21</v>
      </c>
      <c r="S1026" t="str">
        <v>1000013302 PETROTRES SA</v>
      </c>
    </row>
    <row r="1027" spans="1:19" x14ac:dyDescent="0.3">
      <c r="A1027" s="2" t="s">
        <v>14</v>
      </c>
      <c r="B1027" s="3" t="s">
        <v>14</v>
      </c>
      <c r="C1027" s="3" t="s">
        <v>1068</v>
      </c>
      <c r="D1027" s="3" t="s">
        <v>32</v>
      </c>
      <c r="E1027" s="3" t="s">
        <v>466</v>
      </c>
      <c r="F1027" s="4">
        <v>46254</v>
      </c>
      <c r="G1027" s="3" t="s">
        <v>17</v>
      </c>
      <c r="H1027" s="5">
        <v>-238800</v>
      </c>
      <c r="I1027" s="3" t="s">
        <v>18</v>
      </c>
      <c r="J1027" s="3" t="s">
        <v>14</v>
      </c>
      <c r="K1027" s="3" t="s">
        <v>14</v>
      </c>
      <c r="L1027" s="3" t="s">
        <v>457</v>
      </c>
      <c r="M1027" s="4">
        <v>46254</v>
      </c>
      <c r="N1027" s="3" t="s">
        <v>1069</v>
      </c>
      <c r="O1027" s="3" t="s">
        <v>22</v>
      </c>
      <c r="P1027" t="str">
        <f t="shared" ref="P1027:P1090" si="16">_xlfn.CONCAT(N1027:O1027)</f>
        <v>450013612220</v>
      </c>
      <c r="Q1027" s="7" cm="1">
        <f t="array" ref="Q1027:S1027">VLOOKUP(P1027,Hoja1!C:F,{2,3,4},FALSE)</f>
        <v>46266</v>
      </c>
      <c r="R1027" t="str">
        <v>C25</v>
      </c>
      <c r="S1027" t="str">
        <v>1000001691 LENOR SRL</v>
      </c>
    </row>
    <row r="1028" spans="1:19" x14ac:dyDescent="0.3">
      <c r="A1028" s="2" t="s">
        <v>14</v>
      </c>
      <c r="B1028" s="3" t="s">
        <v>14</v>
      </c>
      <c r="C1028" s="3" t="s">
        <v>1070</v>
      </c>
      <c r="D1028" s="3" t="s">
        <v>32</v>
      </c>
      <c r="E1028" s="3" t="s">
        <v>466</v>
      </c>
      <c r="F1028" s="4">
        <v>46254</v>
      </c>
      <c r="G1028" s="3" t="s">
        <v>17</v>
      </c>
      <c r="H1028" s="5">
        <v>-10096.969999999999</v>
      </c>
      <c r="I1028" s="3" t="s">
        <v>18</v>
      </c>
      <c r="J1028" s="3" t="s">
        <v>14</v>
      </c>
      <c r="K1028" s="3" t="s">
        <v>14</v>
      </c>
      <c r="L1028" s="3" t="s">
        <v>335</v>
      </c>
      <c r="M1028" s="4">
        <v>46254</v>
      </c>
      <c r="N1028" s="3" t="s">
        <v>336</v>
      </c>
      <c r="O1028" s="3" t="s">
        <v>30</v>
      </c>
      <c r="P1028" t="str">
        <f t="shared" si="16"/>
        <v>450013124310</v>
      </c>
      <c r="Q1028" s="7" cm="1">
        <f t="array" ref="Q1028:S1028">VLOOKUP(P1028,Hoja1!C:F,{2,3,4},FALSE)</f>
        <v>46433</v>
      </c>
      <c r="R1028" t="str">
        <v>C21</v>
      </c>
      <c r="S1028" t="str">
        <v>1000013302 PETROTRES SA</v>
      </c>
    </row>
    <row r="1029" spans="1:19" x14ac:dyDescent="0.3">
      <c r="A1029" s="2" t="s">
        <v>14</v>
      </c>
      <c r="B1029" s="3" t="s">
        <v>14</v>
      </c>
      <c r="C1029" s="3" t="s">
        <v>1070</v>
      </c>
      <c r="D1029" s="3" t="s">
        <v>32</v>
      </c>
      <c r="E1029" s="3" t="s">
        <v>466</v>
      </c>
      <c r="F1029" s="4">
        <v>46254</v>
      </c>
      <c r="G1029" s="3" t="s">
        <v>17</v>
      </c>
      <c r="H1029" s="5">
        <v>-618.59</v>
      </c>
      <c r="I1029" s="3" t="s">
        <v>18</v>
      </c>
      <c r="J1029" s="3" t="s">
        <v>14</v>
      </c>
      <c r="K1029" s="3" t="s">
        <v>14</v>
      </c>
      <c r="L1029" s="3" t="s">
        <v>335</v>
      </c>
      <c r="M1029" s="4">
        <v>46254</v>
      </c>
      <c r="N1029" s="3" t="s">
        <v>336</v>
      </c>
      <c r="O1029" s="3" t="s">
        <v>30</v>
      </c>
      <c r="P1029" t="str">
        <f t="shared" si="16"/>
        <v>450013124310</v>
      </c>
      <c r="Q1029" s="7" cm="1">
        <f t="array" ref="Q1029:S1029">VLOOKUP(P1029,Hoja1!C:F,{2,3,4},FALSE)</f>
        <v>46433</v>
      </c>
      <c r="R1029" t="str">
        <v>C21</v>
      </c>
      <c r="S1029" t="str">
        <v>1000013302 PETROTRES SA</v>
      </c>
    </row>
    <row r="1030" spans="1:19" x14ac:dyDescent="0.3">
      <c r="A1030" s="2" t="s">
        <v>14</v>
      </c>
      <c r="B1030" s="3" t="s">
        <v>14</v>
      </c>
      <c r="C1030" s="3" t="s">
        <v>1071</v>
      </c>
      <c r="D1030" s="3" t="s">
        <v>32</v>
      </c>
      <c r="E1030" s="3" t="s">
        <v>466</v>
      </c>
      <c r="F1030" s="4">
        <v>46254</v>
      </c>
      <c r="G1030" s="3" t="s">
        <v>17</v>
      </c>
      <c r="H1030" s="5">
        <v>-9348.98</v>
      </c>
      <c r="I1030" s="3" t="s">
        <v>18</v>
      </c>
      <c r="J1030" s="3" t="s">
        <v>14</v>
      </c>
      <c r="K1030" s="3" t="s">
        <v>14</v>
      </c>
      <c r="L1030" s="3" t="s">
        <v>335</v>
      </c>
      <c r="M1030" s="4">
        <v>46254</v>
      </c>
      <c r="N1030" s="3" t="s">
        <v>336</v>
      </c>
      <c r="O1030" s="3" t="s">
        <v>30</v>
      </c>
      <c r="P1030" t="str">
        <f t="shared" si="16"/>
        <v>450013124310</v>
      </c>
      <c r="Q1030" s="7" cm="1">
        <f t="array" ref="Q1030:S1030">VLOOKUP(P1030,Hoja1!C:F,{2,3,4},FALSE)</f>
        <v>46433</v>
      </c>
      <c r="R1030" t="str">
        <v>C21</v>
      </c>
      <c r="S1030" t="str">
        <v>1000013302 PETROTRES SA</v>
      </c>
    </row>
    <row r="1031" spans="1:19" x14ac:dyDescent="0.3">
      <c r="A1031" s="2" t="s">
        <v>14</v>
      </c>
      <c r="B1031" s="3" t="s">
        <v>14</v>
      </c>
      <c r="C1031" s="3" t="s">
        <v>1071</v>
      </c>
      <c r="D1031" s="3" t="s">
        <v>32</v>
      </c>
      <c r="E1031" s="3" t="s">
        <v>466</v>
      </c>
      <c r="F1031" s="4">
        <v>46254</v>
      </c>
      <c r="G1031" s="3" t="s">
        <v>17</v>
      </c>
      <c r="H1031" s="5">
        <v>-572.76</v>
      </c>
      <c r="I1031" s="3" t="s">
        <v>18</v>
      </c>
      <c r="J1031" s="3" t="s">
        <v>14</v>
      </c>
      <c r="K1031" s="3" t="s">
        <v>14</v>
      </c>
      <c r="L1031" s="3" t="s">
        <v>335</v>
      </c>
      <c r="M1031" s="4">
        <v>46254</v>
      </c>
      <c r="N1031" s="3" t="s">
        <v>336</v>
      </c>
      <c r="O1031" s="3" t="s">
        <v>30</v>
      </c>
      <c r="P1031" t="str">
        <f t="shared" si="16"/>
        <v>450013124310</v>
      </c>
      <c r="Q1031" s="7" cm="1">
        <f t="array" ref="Q1031:S1031">VLOOKUP(P1031,Hoja1!C:F,{2,3,4},FALSE)</f>
        <v>46433</v>
      </c>
      <c r="R1031" t="str">
        <v>C21</v>
      </c>
      <c r="S1031" t="str">
        <v>1000013302 PETROTRES SA</v>
      </c>
    </row>
    <row r="1032" spans="1:19" x14ac:dyDescent="0.3">
      <c r="A1032" s="2" t="s">
        <v>14</v>
      </c>
      <c r="B1032" s="3" t="s">
        <v>14</v>
      </c>
      <c r="C1032" s="3" t="s">
        <v>1072</v>
      </c>
      <c r="D1032" s="3" t="s">
        <v>14</v>
      </c>
      <c r="E1032" s="3" t="s">
        <v>466</v>
      </c>
      <c r="F1032" s="4">
        <v>46254</v>
      </c>
      <c r="G1032" s="3" t="s">
        <v>17</v>
      </c>
      <c r="H1032" s="5">
        <v>-125943</v>
      </c>
      <c r="I1032" s="3" t="s">
        <v>18</v>
      </c>
      <c r="J1032" s="3" t="s">
        <v>14</v>
      </c>
      <c r="K1032" s="3" t="s">
        <v>14</v>
      </c>
      <c r="L1032" s="3" t="s">
        <v>991</v>
      </c>
      <c r="M1032" s="4">
        <v>46254</v>
      </c>
      <c r="N1032" s="3" t="s">
        <v>1073</v>
      </c>
      <c r="O1032" s="3" t="s">
        <v>30</v>
      </c>
      <c r="P1032" t="str">
        <f t="shared" si="16"/>
        <v>450013622810</v>
      </c>
      <c r="Q1032" s="7" cm="1">
        <f t="array" ref="Q1032:S1032">VLOOKUP(P1032,Hoja1!C:F,{2,3,4},FALSE)</f>
        <v>46259</v>
      </c>
      <c r="R1032" t="str">
        <v>C03</v>
      </c>
      <c r="S1032" t="str">
        <v>1000008805 SAKURA MOTORS S. A.</v>
      </c>
    </row>
    <row r="1033" spans="1:19" x14ac:dyDescent="0.3">
      <c r="A1033" s="2" t="s">
        <v>14</v>
      </c>
      <c r="B1033" s="3" t="s">
        <v>14</v>
      </c>
      <c r="C1033" s="3" t="s">
        <v>1074</v>
      </c>
      <c r="D1033" s="3" t="s">
        <v>14</v>
      </c>
      <c r="E1033" s="3" t="s">
        <v>466</v>
      </c>
      <c r="F1033" s="4">
        <v>46255</v>
      </c>
      <c r="G1033" s="3" t="s">
        <v>17</v>
      </c>
      <c r="H1033" s="5">
        <v>-806550</v>
      </c>
      <c r="I1033" s="3" t="s">
        <v>18</v>
      </c>
      <c r="J1033" s="3" t="s">
        <v>14</v>
      </c>
      <c r="K1033" s="3" t="s">
        <v>14</v>
      </c>
      <c r="L1033" s="3" t="s">
        <v>1075</v>
      </c>
      <c r="M1033" s="4">
        <v>46255</v>
      </c>
      <c r="N1033" s="3" t="s">
        <v>1076</v>
      </c>
      <c r="O1033" s="3" t="s">
        <v>30</v>
      </c>
      <c r="P1033" t="str">
        <f t="shared" si="16"/>
        <v>450013589510</v>
      </c>
      <c r="Q1033" s="7" cm="1">
        <f t="array" ref="Q1033:S1033">VLOOKUP(P1033,Hoja1!C:F,{2,3,4},FALSE)</f>
        <v>46275</v>
      </c>
      <c r="R1033" t="str">
        <v>L02</v>
      </c>
      <c r="S1033" t="str">
        <v>1000000023 IND. QUIMICAS KAISER S.R.L.</v>
      </c>
    </row>
    <row r="1034" spans="1:19" x14ac:dyDescent="0.3">
      <c r="A1034" s="2" t="s">
        <v>14</v>
      </c>
      <c r="B1034" s="3" t="s">
        <v>14</v>
      </c>
      <c r="C1034" s="3" t="s">
        <v>1077</v>
      </c>
      <c r="D1034" s="3" t="s">
        <v>14</v>
      </c>
      <c r="E1034" s="3" t="s">
        <v>466</v>
      </c>
      <c r="F1034" s="4">
        <v>46255</v>
      </c>
      <c r="G1034" s="3" t="s">
        <v>17</v>
      </c>
      <c r="H1034" s="5">
        <v>-24000</v>
      </c>
      <c r="I1034" s="3" t="s">
        <v>18</v>
      </c>
      <c r="J1034" s="3" t="s">
        <v>14</v>
      </c>
      <c r="K1034" s="3" t="s">
        <v>14</v>
      </c>
      <c r="L1034" s="3" t="s">
        <v>1078</v>
      </c>
      <c r="M1034" s="4">
        <v>46255</v>
      </c>
      <c r="N1034" s="3" t="s">
        <v>1079</v>
      </c>
      <c r="O1034" s="3" t="s">
        <v>22</v>
      </c>
      <c r="P1034" t="str">
        <f t="shared" si="16"/>
        <v>450012387820</v>
      </c>
      <c r="Q1034" s="7" cm="1">
        <f t="array" ref="Q1034:S1034">VLOOKUP(P1034,Hoja1!C:F,{2,3,4},FALSE)</f>
        <v>46262</v>
      </c>
      <c r="R1034" t="str">
        <v>C38</v>
      </c>
      <c r="S1034" t="str">
        <v>1000000931 GONZALEZ ROLANDO CLAUDIO</v>
      </c>
    </row>
    <row r="1035" spans="1:19" x14ac:dyDescent="0.3">
      <c r="A1035" s="2" t="s">
        <v>14</v>
      </c>
      <c r="B1035" s="3" t="s">
        <v>14</v>
      </c>
      <c r="C1035" s="3" t="s">
        <v>1077</v>
      </c>
      <c r="D1035" s="3" t="s">
        <v>14</v>
      </c>
      <c r="E1035" s="3" t="s">
        <v>466</v>
      </c>
      <c r="F1035" s="4">
        <v>46255</v>
      </c>
      <c r="G1035" s="3" t="s">
        <v>17</v>
      </c>
      <c r="H1035" s="5">
        <v>-60000</v>
      </c>
      <c r="I1035" s="3" t="s">
        <v>18</v>
      </c>
      <c r="J1035" s="3" t="s">
        <v>14</v>
      </c>
      <c r="K1035" s="3" t="s">
        <v>14</v>
      </c>
      <c r="L1035" s="3" t="s">
        <v>1078</v>
      </c>
      <c r="M1035" s="4">
        <v>46255</v>
      </c>
      <c r="N1035" s="3" t="s">
        <v>1079</v>
      </c>
      <c r="O1035" s="3" t="s">
        <v>35</v>
      </c>
      <c r="P1035" t="str">
        <f t="shared" si="16"/>
        <v>450012387830</v>
      </c>
      <c r="Q1035" s="7" cm="1">
        <f t="array" ref="Q1035:S1035">VLOOKUP(P1035,Hoja1!C:F,{2,3,4},FALSE)</f>
        <v>46262</v>
      </c>
      <c r="R1035" t="str">
        <v>C38</v>
      </c>
      <c r="S1035" t="str">
        <v>1000000931 GONZALEZ ROLANDO CLAUDIO</v>
      </c>
    </row>
    <row r="1036" spans="1:19" x14ac:dyDescent="0.3">
      <c r="A1036" s="2" t="s">
        <v>14</v>
      </c>
      <c r="B1036" s="3" t="s">
        <v>14</v>
      </c>
      <c r="C1036" s="3" t="s">
        <v>1080</v>
      </c>
      <c r="D1036" s="3" t="s">
        <v>14</v>
      </c>
      <c r="E1036" s="3" t="s">
        <v>466</v>
      </c>
      <c r="F1036" s="4">
        <v>46254</v>
      </c>
      <c r="G1036" s="3" t="s">
        <v>17</v>
      </c>
      <c r="H1036" s="5">
        <v>-1642398</v>
      </c>
      <c r="I1036" s="3" t="s">
        <v>18</v>
      </c>
      <c r="J1036" s="3" t="s">
        <v>14</v>
      </c>
      <c r="K1036" s="3" t="s">
        <v>14</v>
      </c>
      <c r="L1036" s="3" t="s">
        <v>991</v>
      </c>
      <c r="M1036" s="4">
        <v>46255</v>
      </c>
      <c r="N1036" s="3" t="s">
        <v>1081</v>
      </c>
      <c r="O1036" s="3" t="s">
        <v>30</v>
      </c>
      <c r="P1036" t="str">
        <f t="shared" si="16"/>
        <v>450013607710</v>
      </c>
      <c r="Q1036" s="7" cm="1">
        <f t="array" ref="Q1036:S1036">VLOOKUP(P1036,Hoja1!C:F,{2,3,4},FALSE)</f>
        <v>46265</v>
      </c>
      <c r="R1036" t="str">
        <v>C29</v>
      </c>
      <c r="S1036" t="str">
        <v>1000008805 SAKURA MOTORS S. A.</v>
      </c>
    </row>
    <row r="1037" spans="1:19" x14ac:dyDescent="0.3">
      <c r="A1037" s="2" t="s">
        <v>14</v>
      </c>
      <c r="B1037" s="3" t="s">
        <v>14</v>
      </c>
      <c r="C1037" s="3" t="s">
        <v>1080</v>
      </c>
      <c r="D1037" s="3" t="s">
        <v>14</v>
      </c>
      <c r="E1037" s="3" t="s">
        <v>466</v>
      </c>
      <c r="F1037" s="4">
        <v>46254</v>
      </c>
      <c r="G1037" s="3" t="s">
        <v>17</v>
      </c>
      <c r="H1037" s="5">
        <v>-225784</v>
      </c>
      <c r="I1037" s="3" t="s">
        <v>18</v>
      </c>
      <c r="J1037" s="3" t="s">
        <v>14</v>
      </c>
      <c r="K1037" s="3" t="s">
        <v>14</v>
      </c>
      <c r="L1037" s="3" t="s">
        <v>991</v>
      </c>
      <c r="M1037" s="4">
        <v>46255</v>
      </c>
      <c r="N1037" s="3" t="s">
        <v>1081</v>
      </c>
      <c r="O1037" s="3" t="s">
        <v>22</v>
      </c>
      <c r="P1037" t="str">
        <f t="shared" si="16"/>
        <v>450013607720</v>
      </c>
      <c r="Q1037" s="7" cm="1">
        <f t="array" ref="Q1037:S1037">VLOOKUP(P1037,Hoja1!C:F,{2,3,4},FALSE)</f>
        <v>46272</v>
      </c>
      <c r="R1037" t="str">
        <v>C29</v>
      </c>
      <c r="S1037" t="str">
        <v>1000008805 SAKURA MOTORS S. A.</v>
      </c>
    </row>
    <row r="1038" spans="1:19" x14ac:dyDescent="0.3">
      <c r="A1038" s="2" t="s">
        <v>14</v>
      </c>
      <c r="B1038" s="3" t="s">
        <v>14</v>
      </c>
      <c r="C1038" s="3" t="s">
        <v>1082</v>
      </c>
      <c r="D1038" s="3" t="s">
        <v>14</v>
      </c>
      <c r="E1038" s="3" t="s">
        <v>466</v>
      </c>
      <c r="F1038" s="4">
        <v>46254</v>
      </c>
      <c r="G1038" s="3" t="s">
        <v>17</v>
      </c>
      <c r="H1038" s="5">
        <v>-2502.54</v>
      </c>
      <c r="I1038" s="3" t="s">
        <v>18</v>
      </c>
      <c r="J1038" s="3" t="s">
        <v>14</v>
      </c>
      <c r="K1038" s="3" t="s">
        <v>14</v>
      </c>
      <c r="L1038" s="3" t="s">
        <v>1083</v>
      </c>
      <c r="M1038" s="4">
        <v>46255</v>
      </c>
      <c r="N1038" s="3" t="s">
        <v>1084</v>
      </c>
      <c r="O1038" s="3" t="s">
        <v>30</v>
      </c>
      <c r="P1038" t="str">
        <f t="shared" si="16"/>
        <v>450013614810</v>
      </c>
      <c r="Q1038" s="7" cm="1">
        <f t="array" ref="Q1038:S1038">VLOOKUP(P1038,Hoja1!C:F,{2,3,4},FALSE)</f>
        <v>46262</v>
      </c>
      <c r="R1038" t="str">
        <v>C19</v>
      </c>
      <c r="S1038" t="str">
        <v>1000000073 ROBERTO CALZAVARA S.R.L.</v>
      </c>
    </row>
    <row r="1039" spans="1:19" x14ac:dyDescent="0.3">
      <c r="A1039" s="2" t="s">
        <v>14</v>
      </c>
      <c r="B1039" s="3" t="s">
        <v>14</v>
      </c>
      <c r="C1039" s="3" t="s">
        <v>1085</v>
      </c>
      <c r="D1039" s="3" t="s">
        <v>32</v>
      </c>
      <c r="E1039" s="3" t="s">
        <v>466</v>
      </c>
      <c r="F1039" s="4">
        <v>46255</v>
      </c>
      <c r="G1039" s="3" t="s">
        <v>17</v>
      </c>
      <c r="H1039" s="5">
        <v>-13283.77</v>
      </c>
      <c r="I1039" s="3" t="s">
        <v>18</v>
      </c>
      <c r="J1039" s="3" t="s">
        <v>14</v>
      </c>
      <c r="K1039" s="3" t="s">
        <v>14</v>
      </c>
      <c r="L1039" s="3" t="s">
        <v>335</v>
      </c>
      <c r="M1039" s="4">
        <v>46255</v>
      </c>
      <c r="N1039" s="3" t="s">
        <v>336</v>
      </c>
      <c r="O1039" s="3" t="s">
        <v>30</v>
      </c>
      <c r="P1039" t="str">
        <f t="shared" si="16"/>
        <v>450013124310</v>
      </c>
      <c r="Q1039" s="7" cm="1">
        <f t="array" ref="Q1039:S1039">VLOOKUP(P1039,Hoja1!C:F,{2,3,4},FALSE)</f>
        <v>46433</v>
      </c>
      <c r="R1039" t="str">
        <v>C21</v>
      </c>
      <c r="S1039" t="str">
        <v>1000013302 PETROTRES SA</v>
      </c>
    </row>
    <row r="1040" spans="1:19" x14ac:dyDescent="0.3">
      <c r="A1040" s="2" t="s">
        <v>14</v>
      </c>
      <c r="B1040" s="3" t="s">
        <v>14</v>
      </c>
      <c r="C1040" s="3" t="s">
        <v>1085</v>
      </c>
      <c r="D1040" s="3" t="s">
        <v>32</v>
      </c>
      <c r="E1040" s="3" t="s">
        <v>466</v>
      </c>
      <c r="F1040" s="4">
        <v>46255</v>
      </c>
      <c r="G1040" s="3" t="s">
        <v>17</v>
      </c>
      <c r="H1040" s="5">
        <v>-813.83</v>
      </c>
      <c r="I1040" s="3" t="s">
        <v>18</v>
      </c>
      <c r="J1040" s="3" t="s">
        <v>14</v>
      </c>
      <c r="K1040" s="3" t="s">
        <v>14</v>
      </c>
      <c r="L1040" s="3" t="s">
        <v>335</v>
      </c>
      <c r="M1040" s="4">
        <v>46255</v>
      </c>
      <c r="N1040" s="3" t="s">
        <v>336</v>
      </c>
      <c r="O1040" s="3" t="s">
        <v>30</v>
      </c>
      <c r="P1040" t="str">
        <f t="shared" si="16"/>
        <v>450013124310</v>
      </c>
      <c r="Q1040" s="7" cm="1">
        <f t="array" ref="Q1040:S1040">VLOOKUP(P1040,Hoja1!C:F,{2,3,4},FALSE)</f>
        <v>46433</v>
      </c>
      <c r="R1040" t="str">
        <v>C21</v>
      </c>
      <c r="S1040" t="str">
        <v>1000013302 PETROTRES SA</v>
      </c>
    </row>
    <row r="1041" spans="1:19" x14ac:dyDescent="0.3">
      <c r="A1041" s="2" t="s">
        <v>14</v>
      </c>
      <c r="B1041" s="3" t="s">
        <v>14</v>
      </c>
      <c r="C1041" s="3" t="s">
        <v>1086</v>
      </c>
      <c r="D1041" s="3" t="s">
        <v>14</v>
      </c>
      <c r="E1041" s="3" t="s">
        <v>466</v>
      </c>
      <c r="F1041" s="4">
        <v>46255</v>
      </c>
      <c r="G1041" s="3" t="s">
        <v>17</v>
      </c>
      <c r="H1041" s="5">
        <v>-1217200</v>
      </c>
      <c r="I1041" s="3" t="s">
        <v>18</v>
      </c>
      <c r="J1041" s="3" t="s">
        <v>14</v>
      </c>
      <c r="K1041" s="3" t="s">
        <v>14</v>
      </c>
      <c r="L1041" s="3" t="s">
        <v>1087</v>
      </c>
      <c r="M1041" s="4">
        <v>46255</v>
      </c>
      <c r="N1041" s="3" t="s">
        <v>1088</v>
      </c>
      <c r="O1041" s="3" t="s">
        <v>30</v>
      </c>
      <c r="P1041" t="str">
        <f t="shared" si="16"/>
        <v>450013516810</v>
      </c>
      <c r="Q1041" s="7" cm="1">
        <f t="array" ref="Q1041:S1041">VLOOKUP(P1041,Hoja1!C:F,{2,3,4},FALSE)</f>
        <v>46259</v>
      </c>
      <c r="R1041" t="str">
        <v>C38</v>
      </c>
      <c r="S1041" t="str">
        <v>1000000326 CABRERA ADRIAN ALFREDO RAMON</v>
      </c>
    </row>
    <row r="1042" spans="1:19" x14ac:dyDescent="0.3">
      <c r="A1042" s="2" t="s">
        <v>14</v>
      </c>
      <c r="B1042" s="3" t="s">
        <v>14</v>
      </c>
      <c r="C1042" s="3" t="s">
        <v>1089</v>
      </c>
      <c r="D1042" s="3" t="s">
        <v>14</v>
      </c>
      <c r="E1042" s="3" t="s">
        <v>466</v>
      </c>
      <c r="F1042" s="4">
        <v>45946</v>
      </c>
      <c r="G1042" s="3" t="s">
        <v>17</v>
      </c>
      <c r="H1042" s="5">
        <v>-44628.06</v>
      </c>
      <c r="I1042" s="3" t="s">
        <v>18</v>
      </c>
      <c r="J1042" s="3" t="s">
        <v>14</v>
      </c>
      <c r="K1042" s="3" t="s">
        <v>14</v>
      </c>
      <c r="L1042" s="3" t="s">
        <v>501</v>
      </c>
      <c r="M1042" s="4">
        <v>45946</v>
      </c>
      <c r="N1042" s="3" t="s">
        <v>1090</v>
      </c>
      <c r="O1042" s="3" t="s">
        <v>22</v>
      </c>
      <c r="P1042" t="str">
        <f t="shared" si="16"/>
        <v>450011080320</v>
      </c>
      <c r="Q1042" s="7" cm="1">
        <f t="array" ref="Q1042:S1042">VLOOKUP(P1042,Hoja1!C:F,{2,3,4},FALSE)</f>
        <v>45950</v>
      </c>
      <c r="R1042" t="str">
        <v>C07</v>
      </c>
      <c r="S1042" t="str">
        <v>1000003270 MALTESE ROBERTO VICENTE</v>
      </c>
    </row>
    <row r="1043" spans="1:19" x14ac:dyDescent="0.3">
      <c r="A1043" s="2" t="s">
        <v>14</v>
      </c>
      <c r="B1043" s="3" t="s">
        <v>14</v>
      </c>
      <c r="C1043" s="3" t="s">
        <v>1091</v>
      </c>
      <c r="D1043" s="3" t="s">
        <v>14</v>
      </c>
      <c r="E1043" s="3" t="s">
        <v>466</v>
      </c>
      <c r="F1043" s="4">
        <v>46235</v>
      </c>
      <c r="G1043" s="3" t="s">
        <v>17</v>
      </c>
      <c r="H1043" s="5">
        <v>-2460036.64</v>
      </c>
      <c r="I1043" s="3" t="s">
        <v>18</v>
      </c>
      <c r="J1043" s="3" t="s">
        <v>14</v>
      </c>
      <c r="K1043" s="3" t="s">
        <v>14</v>
      </c>
      <c r="L1043" s="3" t="s">
        <v>73</v>
      </c>
      <c r="M1043" s="4">
        <v>46235</v>
      </c>
      <c r="N1043" s="3" t="s">
        <v>100</v>
      </c>
      <c r="O1043" s="3" t="s">
        <v>30</v>
      </c>
      <c r="P1043" t="str">
        <f t="shared" si="16"/>
        <v>450013599510</v>
      </c>
      <c r="Q1043" s="7" cm="1">
        <f t="array" ref="Q1043:S1043">VLOOKUP(P1043,Hoja1!C:F,{2,3,4},FALSE)</f>
        <v>46295</v>
      </c>
      <c r="R1043" t="str">
        <v>C21</v>
      </c>
      <c r="S1043" t="str">
        <v>1000000808 GLOBAL OIL S.R.L.</v>
      </c>
    </row>
    <row r="1044" spans="1:19" x14ac:dyDescent="0.3">
      <c r="A1044" s="2" t="s">
        <v>14</v>
      </c>
      <c r="B1044" s="3" t="s">
        <v>14</v>
      </c>
      <c r="C1044" s="3" t="s">
        <v>1091</v>
      </c>
      <c r="D1044" s="3" t="s">
        <v>14</v>
      </c>
      <c r="E1044" s="3" t="s">
        <v>466</v>
      </c>
      <c r="F1044" s="4">
        <v>46235</v>
      </c>
      <c r="G1044" s="3" t="s">
        <v>17</v>
      </c>
      <c r="H1044" s="5">
        <v>-517739.86</v>
      </c>
      <c r="I1044" s="3" t="s">
        <v>18</v>
      </c>
      <c r="J1044" s="3" t="s">
        <v>14</v>
      </c>
      <c r="K1044" s="3" t="s">
        <v>14</v>
      </c>
      <c r="L1044" s="3" t="s">
        <v>73</v>
      </c>
      <c r="M1044" s="4">
        <v>46235</v>
      </c>
      <c r="N1044" s="3" t="s">
        <v>100</v>
      </c>
      <c r="O1044" s="3" t="s">
        <v>30</v>
      </c>
      <c r="P1044" t="str">
        <f t="shared" si="16"/>
        <v>450013599510</v>
      </c>
      <c r="Q1044" s="7" cm="1">
        <f t="array" ref="Q1044:S1044">VLOOKUP(P1044,Hoja1!C:F,{2,3,4},FALSE)</f>
        <v>46295</v>
      </c>
      <c r="R1044" t="str">
        <v>C21</v>
      </c>
      <c r="S1044" t="str">
        <v>1000000808 GLOBAL OIL S.R.L.</v>
      </c>
    </row>
    <row r="1045" spans="1:19" x14ac:dyDescent="0.3">
      <c r="A1045" s="2" t="s">
        <v>14</v>
      </c>
      <c r="B1045" s="3" t="s">
        <v>14</v>
      </c>
      <c r="C1045" s="3" t="s">
        <v>1092</v>
      </c>
      <c r="D1045" s="3" t="s">
        <v>14</v>
      </c>
      <c r="E1045" s="3" t="s">
        <v>466</v>
      </c>
      <c r="F1045" s="4">
        <v>46258</v>
      </c>
      <c r="G1045" s="3" t="s">
        <v>17</v>
      </c>
      <c r="H1045" s="5">
        <v>-420000</v>
      </c>
      <c r="I1045" s="3" t="s">
        <v>18</v>
      </c>
      <c r="J1045" s="3" t="s">
        <v>14</v>
      </c>
      <c r="K1045" s="3" t="s">
        <v>14</v>
      </c>
      <c r="L1045" s="3" t="s">
        <v>753</v>
      </c>
      <c r="M1045" s="4">
        <v>46258</v>
      </c>
      <c r="N1045" s="3" t="s">
        <v>1093</v>
      </c>
      <c r="O1045" s="3" t="s">
        <v>30</v>
      </c>
      <c r="P1045" t="str">
        <f t="shared" si="16"/>
        <v>450013644810</v>
      </c>
      <c r="Q1045" s="7" cm="1">
        <f t="array" ref="Q1045:S1045">VLOOKUP(P1045,Hoja1!C:F,{2,3,4},FALSE)</f>
        <v>46265</v>
      </c>
      <c r="R1045" t="str">
        <v>C38</v>
      </c>
      <c r="S1045" t="str">
        <v>1000000772 SASSIA DANIEL EDUARDO</v>
      </c>
    </row>
    <row r="1046" spans="1:19" x14ac:dyDescent="0.3">
      <c r="A1046" s="2" t="s">
        <v>14</v>
      </c>
      <c r="B1046" s="3" t="s">
        <v>14</v>
      </c>
      <c r="C1046" s="3" t="s">
        <v>1094</v>
      </c>
      <c r="D1046" s="3" t="s">
        <v>32</v>
      </c>
      <c r="E1046" s="3" t="s">
        <v>466</v>
      </c>
      <c r="F1046" s="4">
        <v>46258</v>
      </c>
      <c r="G1046" s="3" t="s">
        <v>17</v>
      </c>
      <c r="H1046" s="5">
        <v>-140000</v>
      </c>
      <c r="I1046" s="3" t="s">
        <v>18</v>
      </c>
      <c r="J1046" s="3" t="s">
        <v>14</v>
      </c>
      <c r="K1046" s="3" t="s">
        <v>14</v>
      </c>
      <c r="L1046" s="3" t="s">
        <v>822</v>
      </c>
      <c r="M1046" s="4">
        <v>46258</v>
      </c>
      <c r="N1046" s="3" t="s">
        <v>1095</v>
      </c>
      <c r="O1046" s="3" t="s">
        <v>30</v>
      </c>
      <c r="P1046" t="str">
        <f t="shared" si="16"/>
        <v>450013442610</v>
      </c>
      <c r="Q1046" s="7" cm="1">
        <f t="array" ref="Q1046:S1046">VLOOKUP(P1046,Hoja1!C:F,{2,3,4},FALSE)</f>
        <v>46252</v>
      </c>
      <c r="R1046" t="str">
        <v>C25</v>
      </c>
      <c r="S1046" t="str">
        <v>1000009543 AC SAT S.R.L.</v>
      </c>
    </row>
    <row r="1047" spans="1:19" x14ac:dyDescent="0.3">
      <c r="A1047" s="2" t="s">
        <v>14</v>
      </c>
      <c r="B1047" s="3" t="s">
        <v>14</v>
      </c>
      <c r="C1047" s="3" t="s">
        <v>1096</v>
      </c>
      <c r="D1047" s="3" t="s">
        <v>14</v>
      </c>
      <c r="E1047" s="3" t="s">
        <v>466</v>
      </c>
      <c r="F1047" s="4">
        <v>46259</v>
      </c>
      <c r="G1047" s="3" t="s">
        <v>17</v>
      </c>
      <c r="H1047" s="5">
        <v>-425303.75</v>
      </c>
      <c r="I1047" s="3" t="s">
        <v>18</v>
      </c>
      <c r="J1047" s="3" t="s">
        <v>14</v>
      </c>
      <c r="K1047" s="3" t="s">
        <v>14</v>
      </c>
      <c r="L1047" s="3" t="s">
        <v>614</v>
      </c>
      <c r="M1047" s="4">
        <v>46259</v>
      </c>
      <c r="N1047" s="3" t="s">
        <v>1061</v>
      </c>
      <c r="O1047" s="3" t="s">
        <v>147</v>
      </c>
      <c r="P1047" t="str">
        <f t="shared" si="16"/>
        <v>4500121621310</v>
      </c>
      <c r="Q1047" s="7" cm="1">
        <f t="array" ref="Q1047:S1047">VLOOKUP(P1047,Hoja1!C:F,{2,3,4},FALSE)</f>
        <v>46293</v>
      </c>
      <c r="R1047" t="str">
        <v>C03</v>
      </c>
      <c r="S1047" t="str">
        <v>2000000164 SANY INTERNACIONAL</v>
      </c>
    </row>
    <row r="1048" spans="1:19" x14ac:dyDescent="0.3">
      <c r="A1048" s="2" t="s">
        <v>14</v>
      </c>
      <c r="B1048" s="3" t="s">
        <v>14</v>
      </c>
      <c r="C1048" s="3" t="s">
        <v>1097</v>
      </c>
      <c r="D1048" s="3" t="s">
        <v>32</v>
      </c>
      <c r="E1048" s="3" t="s">
        <v>466</v>
      </c>
      <c r="F1048" s="4">
        <v>46259</v>
      </c>
      <c r="G1048" s="3" t="s">
        <v>17</v>
      </c>
      <c r="H1048" s="5">
        <v>-377462.97</v>
      </c>
      <c r="I1048" s="3" t="s">
        <v>18</v>
      </c>
      <c r="J1048" s="3" t="s">
        <v>14</v>
      </c>
      <c r="K1048" s="3" t="s">
        <v>14</v>
      </c>
      <c r="L1048" s="3" t="s">
        <v>359</v>
      </c>
      <c r="M1048" s="4">
        <v>46259</v>
      </c>
      <c r="N1048" s="3" t="s">
        <v>360</v>
      </c>
      <c r="O1048" s="3" t="s">
        <v>30</v>
      </c>
      <c r="P1048" t="str">
        <f t="shared" si="16"/>
        <v>450013334210</v>
      </c>
      <c r="Q1048" s="7" cm="1">
        <f t="array" ref="Q1048:S1048">VLOOKUP(P1048,Hoja1!C:F,{2,3,4},FALSE)</f>
        <v>46295</v>
      </c>
      <c r="R1048" t="str">
        <v>C15</v>
      </c>
      <c r="S1048" t="str">
        <v>1000011965 DIRECTO SUR S. R. L.</v>
      </c>
    </row>
    <row r="1049" spans="1:19" x14ac:dyDescent="0.3">
      <c r="A1049" s="2" t="s">
        <v>14</v>
      </c>
      <c r="B1049" s="3" t="s">
        <v>14</v>
      </c>
      <c r="C1049" s="3" t="s">
        <v>1098</v>
      </c>
      <c r="D1049" s="3" t="s">
        <v>14</v>
      </c>
      <c r="E1049" s="3" t="s">
        <v>466</v>
      </c>
      <c r="F1049" s="4">
        <v>46259</v>
      </c>
      <c r="G1049" s="3" t="s">
        <v>17</v>
      </c>
      <c r="H1049" s="5">
        <v>-153567</v>
      </c>
      <c r="I1049" s="3" t="s">
        <v>18</v>
      </c>
      <c r="J1049" s="3" t="s">
        <v>14</v>
      </c>
      <c r="K1049" s="3" t="s">
        <v>14</v>
      </c>
      <c r="L1049" s="3" t="s">
        <v>991</v>
      </c>
      <c r="M1049" s="4">
        <v>46259</v>
      </c>
      <c r="N1049" s="3" t="s">
        <v>1073</v>
      </c>
      <c r="O1049" s="3" t="s">
        <v>22</v>
      </c>
      <c r="P1049" t="str">
        <f t="shared" si="16"/>
        <v>450013622820</v>
      </c>
      <c r="Q1049" s="7" cm="1">
        <f t="array" ref="Q1049:S1049">VLOOKUP(P1049,Hoja1!C:F,{2,3,4},FALSE)</f>
        <v>46259</v>
      </c>
      <c r="R1049" t="str">
        <v>C03</v>
      </c>
      <c r="S1049" t="str">
        <v>1000008805 SAKURA MOTORS S. A.</v>
      </c>
    </row>
    <row r="1050" spans="1:19" x14ac:dyDescent="0.3">
      <c r="A1050" s="2" t="s">
        <v>14</v>
      </c>
      <c r="B1050" s="3" t="s">
        <v>14</v>
      </c>
      <c r="C1050" s="3" t="s">
        <v>1099</v>
      </c>
      <c r="D1050" s="3" t="s">
        <v>32</v>
      </c>
      <c r="E1050" s="3" t="s">
        <v>466</v>
      </c>
      <c r="F1050" s="4">
        <v>46259</v>
      </c>
      <c r="G1050" s="3" t="s">
        <v>17</v>
      </c>
      <c r="H1050" s="5">
        <v>-87190.080000000002</v>
      </c>
      <c r="I1050" s="3" t="s">
        <v>18</v>
      </c>
      <c r="J1050" s="3" t="s">
        <v>14</v>
      </c>
      <c r="K1050" s="3" t="s">
        <v>14</v>
      </c>
      <c r="L1050" s="3" t="s">
        <v>1100</v>
      </c>
      <c r="M1050" s="4">
        <v>46259</v>
      </c>
      <c r="N1050" s="3" t="s">
        <v>1101</v>
      </c>
      <c r="O1050" s="3" t="s">
        <v>30</v>
      </c>
      <c r="P1050" t="str">
        <f t="shared" si="16"/>
        <v>450012505810</v>
      </c>
      <c r="Q1050" s="7" cm="1">
        <f t="array" ref="Q1050:S1050">VLOOKUP(P1050,Hoja1!C:F,{2,3,4},FALSE)</f>
        <v>46146</v>
      </c>
      <c r="R1050" t="str">
        <v>EFO</v>
      </c>
      <c r="S1050" t="str">
        <v>1000000212 MAXIGOMA S.R.L.</v>
      </c>
    </row>
    <row r="1051" spans="1:19" x14ac:dyDescent="0.3">
      <c r="A1051" s="2" t="s">
        <v>14</v>
      </c>
      <c r="B1051" s="3" t="s">
        <v>14</v>
      </c>
      <c r="C1051" s="3" t="s">
        <v>1102</v>
      </c>
      <c r="D1051" s="3" t="s">
        <v>14</v>
      </c>
      <c r="E1051" s="3" t="s">
        <v>466</v>
      </c>
      <c r="F1051" s="4">
        <v>46259</v>
      </c>
      <c r="G1051" s="3" t="s">
        <v>17</v>
      </c>
      <c r="H1051" s="5">
        <v>-56012</v>
      </c>
      <c r="I1051" s="3" t="s">
        <v>18</v>
      </c>
      <c r="J1051" s="3" t="s">
        <v>14</v>
      </c>
      <c r="K1051" s="3" t="s">
        <v>14</v>
      </c>
      <c r="L1051" s="3" t="s">
        <v>1103</v>
      </c>
      <c r="M1051" s="4">
        <v>46259</v>
      </c>
      <c r="N1051" s="3" t="s">
        <v>1104</v>
      </c>
      <c r="O1051" s="3" t="s">
        <v>30</v>
      </c>
      <c r="P1051" t="str">
        <f t="shared" si="16"/>
        <v>450013583210</v>
      </c>
      <c r="Q1051" s="7" cm="1">
        <f t="array" ref="Q1051:S1051">VLOOKUP(P1051,Hoja1!C:F,{2,3,4},FALSE)</f>
        <v>46255</v>
      </c>
      <c r="R1051" t="str">
        <v>C11</v>
      </c>
      <c r="S1051" t="str">
        <v>1000013182 MONFORT JUAN CARLOS</v>
      </c>
    </row>
    <row r="1052" spans="1:19" x14ac:dyDescent="0.3">
      <c r="A1052" s="2" t="s">
        <v>14</v>
      </c>
      <c r="B1052" s="3" t="s">
        <v>14</v>
      </c>
      <c r="C1052" s="3" t="s">
        <v>1102</v>
      </c>
      <c r="D1052" s="3" t="s">
        <v>14</v>
      </c>
      <c r="E1052" s="3" t="s">
        <v>466</v>
      </c>
      <c r="F1052" s="4">
        <v>46259</v>
      </c>
      <c r="G1052" s="3" t="s">
        <v>17</v>
      </c>
      <c r="H1052" s="5">
        <v>-142282</v>
      </c>
      <c r="I1052" s="3" t="s">
        <v>18</v>
      </c>
      <c r="J1052" s="3" t="s">
        <v>14</v>
      </c>
      <c r="K1052" s="3" t="s">
        <v>14</v>
      </c>
      <c r="L1052" s="3" t="s">
        <v>1103</v>
      </c>
      <c r="M1052" s="4">
        <v>46259</v>
      </c>
      <c r="N1052" s="3" t="s">
        <v>1104</v>
      </c>
      <c r="O1052" s="3" t="s">
        <v>22</v>
      </c>
      <c r="P1052" t="str">
        <f t="shared" si="16"/>
        <v>450013583220</v>
      </c>
      <c r="Q1052" s="7" cm="1">
        <f t="array" ref="Q1052:S1052">VLOOKUP(P1052,Hoja1!C:F,{2,3,4},FALSE)</f>
        <v>46255</v>
      </c>
      <c r="R1052" t="str">
        <v>C11</v>
      </c>
      <c r="S1052" t="str">
        <v>1000013182 MONFORT JUAN CARLOS</v>
      </c>
    </row>
    <row r="1053" spans="1:19" x14ac:dyDescent="0.3">
      <c r="A1053" s="2" t="s">
        <v>14</v>
      </c>
      <c r="B1053" s="3" t="s">
        <v>14</v>
      </c>
      <c r="C1053" s="3" t="s">
        <v>1102</v>
      </c>
      <c r="D1053" s="3" t="s">
        <v>14</v>
      </c>
      <c r="E1053" s="3" t="s">
        <v>466</v>
      </c>
      <c r="F1053" s="4">
        <v>46259</v>
      </c>
      <c r="G1053" s="3" t="s">
        <v>17</v>
      </c>
      <c r="H1053" s="5">
        <v>-60978</v>
      </c>
      <c r="I1053" s="3" t="s">
        <v>18</v>
      </c>
      <c r="J1053" s="3" t="s">
        <v>14</v>
      </c>
      <c r="K1053" s="3" t="s">
        <v>14</v>
      </c>
      <c r="L1053" s="3" t="s">
        <v>1103</v>
      </c>
      <c r="M1053" s="4">
        <v>46259</v>
      </c>
      <c r="N1053" s="3" t="s">
        <v>1104</v>
      </c>
      <c r="O1053" s="3" t="s">
        <v>35</v>
      </c>
      <c r="P1053" t="str">
        <f t="shared" si="16"/>
        <v>450013583230</v>
      </c>
      <c r="Q1053" s="7" cm="1">
        <f t="array" ref="Q1053:S1053">VLOOKUP(P1053,Hoja1!C:F,{2,3,4},FALSE)</f>
        <v>46255</v>
      </c>
      <c r="R1053" t="str">
        <v>C11</v>
      </c>
      <c r="S1053" t="str">
        <v>1000013182 MONFORT JUAN CARLOS</v>
      </c>
    </row>
    <row r="1054" spans="1:19" x14ac:dyDescent="0.3">
      <c r="A1054" s="2" t="s">
        <v>14</v>
      </c>
      <c r="B1054" s="3" t="s">
        <v>14</v>
      </c>
      <c r="C1054" s="3" t="s">
        <v>1105</v>
      </c>
      <c r="D1054" s="3" t="s">
        <v>14</v>
      </c>
      <c r="E1054" s="3" t="s">
        <v>466</v>
      </c>
      <c r="F1054" s="4">
        <v>46260</v>
      </c>
      <c r="G1054" s="3" t="s">
        <v>17</v>
      </c>
      <c r="H1054" s="5">
        <v>-331000</v>
      </c>
      <c r="I1054" s="3" t="s">
        <v>18</v>
      </c>
      <c r="J1054" s="3" t="s">
        <v>14</v>
      </c>
      <c r="K1054" s="3" t="s">
        <v>14</v>
      </c>
      <c r="L1054" s="3" t="s">
        <v>1106</v>
      </c>
      <c r="M1054" s="4">
        <v>46260</v>
      </c>
      <c r="N1054" s="3" t="s">
        <v>1107</v>
      </c>
      <c r="O1054" s="3" t="s">
        <v>30</v>
      </c>
      <c r="P1054" t="str">
        <f t="shared" si="16"/>
        <v>450013649910</v>
      </c>
      <c r="Q1054" s="7" cm="1">
        <f t="array" ref="Q1054:S1054">VLOOKUP(P1054,Hoja1!C:F,{2,3,4},FALSE)</f>
        <v>46262</v>
      </c>
      <c r="R1054" t="str">
        <v>C03</v>
      </c>
      <c r="S1054" t="str">
        <v>1000001726 ELECTROMECANICA BOMEQ SA</v>
      </c>
    </row>
    <row r="1055" spans="1:19" x14ac:dyDescent="0.3">
      <c r="A1055" s="2" t="s">
        <v>14</v>
      </c>
      <c r="B1055" s="3" t="s">
        <v>14</v>
      </c>
      <c r="C1055" s="3" t="s">
        <v>1108</v>
      </c>
      <c r="D1055" s="3" t="s">
        <v>14</v>
      </c>
      <c r="E1055" s="3" t="s">
        <v>466</v>
      </c>
      <c r="F1055" s="4">
        <v>46261</v>
      </c>
      <c r="G1055" s="3" t="s">
        <v>17</v>
      </c>
      <c r="H1055" s="5">
        <v>-164523</v>
      </c>
      <c r="I1055" s="3" t="s">
        <v>18</v>
      </c>
      <c r="J1055" s="3" t="s">
        <v>14</v>
      </c>
      <c r="K1055" s="3" t="s">
        <v>14</v>
      </c>
      <c r="L1055" s="3" t="s">
        <v>904</v>
      </c>
      <c r="M1055" s="4">
        <v>46261</v>
      </c>
      <c r="N1055" s="3" t="s">
        <v>1109</v>
      </c>
      <c r="O1055" s="3" t="s">
        <v>30</v>
      </c>
      <c r="P1055" t="str">
        <f t="shared" si="16"/>
        <v>450013673110</v>
      </c>
      <c r="Q1055" s="7" cm="1">
        <f t="array" ref="Q1055:S1055">VLOOKUP(P1055,Hoja1!C:F,{2,3,4},FALSE)</f>
        <v>46272</v>
      </c>
      <c r="R1055" t="str">
        <v>C38</v>
      </c>
      <c r="S1055" t="str">
        <v>1000009559 ELECTROMECANICA OMAR S.R.L.</v>
      </c>
    </row>
    <row r="1056" spans="1:19" x14ac:dyDescent="0.3">
      <c r="A1056" s="2" t="s">
        <v>14</v>
      </c>
      <c r="B1056" s="3" t="s">
        <v>14</v>
      </c>
      <c r="C1056" s="3" t="s">
        <v>1110</v>
      </c>
      <c r="D1056" s="3" t="s">
        <v>14</v>
      </c>
      <c r="E1056" s="3" t="s">
        <v>466</v>
      </c>
      <c r="F1056" s="4">
        <v>46261</v>
      </c>
      <c r="G1056" s="3" t="s">
        <v>17</v>
      </c>
      <c r="H1056" s="5">
        <v>-126600</v>
      </c>
      <c r="I1056" s="3" t="s">
        <v>18</v>
      </c>
      <c r="J1056" s="3" t="s">
        <v>14</v>
      </c>
      <c r="K1056" s="3" t="s">
        <v>14</v>
      </c>
      <c r="L1056" s="3" t="s">
        <v>904</v>
      </c>
      <c r="M1056" s="4">
        <v>46261</v>
      </c>
      <c r="N1056" s="3" t="s">
        <v>1109</v>
      </c>
      <c r="O1056" s="3" t="s">
        <v>22</v>
      </c>
      <c r="P1056" t="str">
        <f t="shared" si="16"/>
        <v>450013673120</v>
      </c>
      <c r="Q1056" s="7" cm="1">
        <f t="array" ref="Q1056:S1056">VLOOKUP(P1056,Hoja1!C:F,{2,3,4},FALSE)</f>
        <v>46272</v>
      </c>
      <c r="R1056" t="str">
        <v>C38</v>
      </c>
      <c r="S1056" t="str">
        <v>1000009559 ELECTROMECANICA OMAR S.R.L.</v>
      </c>
    </row>
    <row r="1057" spans="1:19" x14ac:dyDescent="0.3">
      <c r="A1057" s="2" t="s">
        <v>14</v>
      </c>
      <c r="B1057" s="3" t="s">
        <v>14</v>
      </c>
      <c r="C1057" s="3" t="s">
        <v>1111</v>
      </c>
      <c r="D1057" s="3" t="s">
        <v>14</v>
      </c>
      <c r="E1057" s="3" t="s">
        <v>466</v>
      </c>
      <c r="F1057" s="4">
        <v>46261</v>
      </c>
      <c r="G1057" s="3" t="s">
        <v>17</v>
      </c>
      <c r="H1057" s="5">
        <v>-90207.72</v>
      </c>
      <c r="I1057" s="3" t="s">
        <v>18</v>
      </c>
      <c r="J1057" s="3" t="s">
        <v>14</v>
      </c>
      <c r="K1057" s="3" t="s">
        <v>14</v>
      </c>
      <c r="L1057" s="3" t="s">
        <v>1112</v>
      </c>
      <c r="M1057" s="4">
        <v>46261</v>
      </c>
      <c r="N1057" s="3" t="s">
        <v>1113</v>
      </c>
      <c r="O1057" s="3" t="s">
        <v>30</v>
      </c>
      <c r="P1057" t="str">
        <f t="shared" si="16"/>
        <v>450013686410</v>
      </c>
      <c r="Q1057" s="7" cm="1">
        <f t="array" ref="Q1057:S1057">VLOOKUP(P1057,Hoja1!C:F,{2,3,4},FALSE)</f>
        <v>46275</v>
      </c>
      <c r="R1057" t="str">
        <v>L02</v>
      </c>
      <c r="S1057" t="str">
        <v>1000000261 PARANA MAQUINARIAS SRL</v>
      </c>
    </row>
    <row r="1058" spans="1:19" x14ac:dyDescent="0.3">
      <c r="A1058" s="2" t="s">
        <v>14</v>
      </c>
      <c r="B1058" s="3" t="s">
        <v>14</v>
      </c>
      <c r="C1058" s="3" t="s">
        <v>1114</v>
      </c>
      <c r="D1058" s="3" t="s">
        <v>14</v>
      </c>
      <c r="E1058" s="3" t="s">
        <v>466</v>
      </c>
      <c r="F1058" s="4">
        <v>46261</v>
      </c>
      <c r="G1058" s="3" t="s">
        <v>17</v>
      </c>
      <c r="H1058" s="5">
        <v>-42298.61</v>
      </c>
      <c r="I1058" s="3" t="s">
        <v>18</v>
      </c>
      <c r="J1058" s="3" t="s">
        <v>14</v>
      </c>
      <c r="K1058" s="3" t="s">
        <v>14</v>
      </c>
      <c r="L1058" s="3" t="s">
        <v>226</v>
      </c>
      <c r="M1058" s="4">
        <v>46261</v>
      </c>
      <c r="N1058" s="3" t="s">
        <v>969</v>
      </c>
      <c r="O1058" s="3" t="s">
        <v>23</v>
      </c>
      <c r="P1058" t="str">
        <f t="shared" si="16"/>
        <v>450013406540</v>
      </c>
      <c r="Q1058" s="7" cm="1">
        <f t="array" ref="Q1058:S1058">VLOOKUP(P1058,Hoja1!C:F,{2,3,4},FALSE)</f>
        <v>46248</v>
      </c>
      <c r="R1058" t="str">
        <v>EFO</v>
      </c>
      <c r="S1058" t="str">
        <v>1000009051 GRUPO RP AICHI S.A.S.</v>
      </c>
    </row>
    <row r="1059" spans="1:19" x14ac:dyDescent="0.3">
      <c r="A1059" s="2" t="s">
        <v>14</v>
      </c>
      <c r="B1059" s="3" t="s">
        <v>14</v>
      </c>
      <c r="C1059" s="3" t="s">
        <v>1114</v>
      </c>
      <c r="D1059" s="3" t="s">
        <v>14</v>
      </c>
      <c r="E1059" s="3" t="s">
        <v>466</v>
      </c>
      <c r="F1059" s="4">
        <v>46261</v>
      </c>
      <c r="G1059" s="3" t="s">
        <v>17</v>
      </c>
      <c r="H1059" s="5">
        <v>-16157.02</v>
      </c>
      <c r="I1059" s="3" t="s">
        <v>18</v>
      </c>
      <c r="J1059" s="3" t="s">
        <v>14</v>
      </c>
      <c r="K1059" s="3" t="s">
        <v>14</v>
      </c>
      <c r="L1059" s="3" t="s">
        <v>226</v>
      </c>
      <c r="M1059" s="4">
        <v>46261</v>
      </c>
      <c r="N1059" s="3" t="s">
        <v>969</v>
      </c>
      <c r="O1059" s="3" t="s">
        <v>141</v>
      </c>
      <c r="P1059" t="str">
        <f t="shared" si="16"/>
        <v>450013406560</v>
      </c>
      <c r="Q1059" s="7" cm="1">
        <f t="array" ref="Q1059:S1059">VLOOKUP(P1059,Hoja1!C:F,{2,3,4},FALSE)</f>
        <v>46248</v>
      </c>
      <c r="R1059" t="str">
        <v>EFO</v>
      </c>
      <c r="S1059" t="str">
        <v>1000009051 GRUPO RP AICHI S.A.S.</v>
      </c>
    </row>
    <row r="1060" spans="1:19" x14ac:dyDescent="0.3">
      <c r="A1060" s="2" t="s">
        <v>14</v>
      </c>
      <c r="B1060" s="3" t="s">
        <v>14</v>
      </c>
      <c r="C1060" s="3" t="s">
        <v>1115</v>
      </c>
      <c r="D1060" s="3" t="s">
        <v>14</v>
      </c>
      <c r="E1060" s="3" t="s">
        <v>466</v>
      </c>
      <c r="F1060" s="4">
        <v>46258</v>
      </c>
      <c r="G1060" s="3" t="s">
        <v>17</v>
      </c>
      <c r="H1060" s="5">
        <v>-33329.760000000002</v>
      </c>
      <c r="I1060" s="3" t="s">
        <v>18</v>
      </c>
      <c r="J1060" s="3" t="s">
        <v>14</v>
      </c>
      <c r="K1060" s="3" t="s">
        <v>14</v>
      </c>
      <c r="L1060" s="3" t="s">
        <v>997</v>
      </c>
      <c r="M1060" s="4">
        <v>46261</v>
      </c>
      <c r="N1060" s="3" t="s">
        <v>1116</v>
      </c>
      <c r="O1060" s="3" t="s">
        <v>22</v>
      </c>
      <c r="P1060" t="str">
        <f t="shared" si="16"/>
        <v>450013617320</v>
      </c>
      <c r="Q1060" s="7" cm="1">
        <f t="array" ref="Q1060:S1060">VLOOKUP(P1060,Hoja1!C:F,{2,3,4},FALSE)</f>
        <v>46262</v>
      </c>
      <c r="R1060" t="str">
        <v>C27</v>
      </c>
      <c r="S1060" t="str">
        <v>1000000003 ARROYITO MAQUINARIAS S.R.L.</v>
      </c>
    </row>
    <row r="1061" spans="1:19" x14ac:dyDescent="0.3">
      <c r="A1061" s="2" t="s">
        <v>14</v>
      </c>
      <c r="B1061" s="3" t="s">
        <v>14</v>
      </c>
      <c r="C1061" s="3" t="s">
        <v>1117</v>
      </c>
      <c r="D1061" s="3" t="s">
        <v>14</v>
      </c>
      <c r="E1061" s="3" t="s">
        <v>466</v>
      </c>
      <c r="F1061" s="4">
        <v>46262</v>
      </c>
      <c r="G1061" s="3" t="s">
        <v>17</v>
      </c>
      <c r="H1061" s="5">
        <v>-6030</v>
      </c>
      <c r="I1061" s="3" t="s">
        <v>18</v>
      </c>
      <c r="J1061" s="3" t="s">
        <v>14</v>
      </c>
      <c r="K1061" s="3" t="s">
        <v>14</v>
      </c>
      <c r="L1061" s="3" t="s">
        <v>269</v>
      </c>
      <c r="M1061" s="4">
        <v>46262</v>
      </c>
      <c r="N1061" s="3" t="s">
        <v>1118</v>
      </c>
      <c r="O1061" s="3" t="s">
        <v>22</v>
      </c>
      <c r="P1061" t="str">
        <f t="shared" si="16"/>
        <v>450013672520</v>
      </c>
      <c r="Q1061" s="7" cm="1">
        <f t="array" ref="Q1061:S1061">VLOOKUP(P1061,Hoja1!C:F,{2,3,4},FALSE)</f>
        <v>46280</v>
      </c>
      <c r="R1061" t="str">
        <v>C03</v>
      </c>
      <c r="S1061" t="str">
        <v>1000000190 FERNANDEZ INSUA S.A.</v>
      </c>
    </row>
    <row r="1062" spans="1:19" x14ac:dyDescent="0.3">
      <c r="A1062" s="2" t="s">
        <v>14</v>
      </c>
      <c r="B1062" s="3" t="s">
        <v>14</v>
      </c>
      <c r="C1062" s="3" t="s">
        <v>1117</v>
      </c>
      <c r="D1062" s="3" t="s">
        <v>14</v>
      </c>
      <c r="E1062" s="3" t="s">
        <v>466</v>
      </c>
      <c r="F1062" s="4">
        <v>46262</v>
      </c>
      <c r="G1062" s="3" t="s">
        <v>17</v>
      </c>
      <c r="H1062" s="5">
        <v>-173362.5</v>
      </c>
      <c r="I1062" s="3" t="s">
        <v>18</v>
      </c>
      <c r="J1062" s="3" t="s">
        <v>14</v>
      </c>
      <c r="K1062" s="3" t="s">
        <v>14</v>
      </c>
      <c r="L1062" s="3" t="s">
        <v>269</v>
      </c>
      <c r="M1062" s="4">
        <v>46262</v>
      </c>
      <c r="N1062" s="3" t="s">
        <v>1118</v>
      </c>
      <c r="O1062" s="3" t="s">
        <v>35</v>
      </c>
      <c r="P1062" t="str">
        <f t="shared" si="16"/>
        <v>450013672530</v>
      </c>
      <c r="Q1062" s="7" cm="1">
        <f t="array" ref="Q1062:S1062">VLOOKUP(P1062,Hoja1!C:F,{2,3,4},FALSE)</f>
        <v>46280</v>
      </c>
      <c r="R1062" t="str">
        <v>C03</v>
      </c>
      <c r="S1062" t="str">
        <v>1000000190 FERNANDEZ INSUA S.A.</v>
      </c>
    </row>
    <row r="1063" spans="1:19" x14ac:dyDescent="0.3">
      <c r="A1063" s="2" t="s">
        <v>14</v>
      </c>
      <c r="B1063" s="3" t="s">
        <v>14</v>
      </c>
      <c r="C1063" s="3" t="s">
        <v>1117</v>
      </c>
      <c r="D1063" s="3" t="s">
        <v>14</v>
      </c>
      <c r="E1063" s="3" t="s">
        <v>466</v>
      </c>
      <c r="F1063" s="4">
        <v>46262</v>
      </c>
      <c r="G1063" s="3" t="s">
        <v>17</v>
      </c>
      <c r="H1063" s="5">
        <v>-173362.5</v>
      </c>
      <c r="I1063" s="3" t="s">
        <v>18</v>
      </c>
      <c r="J1063" s="3" t="s">
        <v>14</v>
      </c>
      <c r="K1063" s="3" t="s">
        <v>14</v>
      </c>
      <c r="L1063" s="3" t="s">
        <v>269</v>
      </c>
      <c r="M1063" s="4">
        <v>46262</v>
      </c>
      <c r="N1063" s="3" t="s">
        <v>1118</v>
      </c>
      <c r="O1063" s="3" t="s">
        <v>23</v>
      </c>
      <c r="P1063" t="str">
        <f t="shared" si="16"/>
        <v>450013672540</v>
      </c>
      <c r="Q1063" s="7" cm="1">
        <f t="array" ref="Q1063:S1063">VLOOKUP(P1063,Hoja1!C:F,{2,3,4},FALSE)</f>
        <v>46280</v>
      </c>
      <c r="R1063" t="str">
        <v>C03</v>
      </c>
      <c r="S1063" t="str">
        <v>1000000190 FERNANDEZ INSUA S.A.</v>
      </c>
    </row>
    <row r="1064" spans="1:19" x14ac:dyDescent="0.3">
      <c r="A1064" s="2" t="s">
        <v>14</v>
      </c>
      <c r="B1064" s="3" t="s">
        <v>14</v>
      </c>
      <c r="C1064" s="3" t="s">
        <v>1119</v>
      </c>
      <c r="D1064" s="3" t="s">
        <v>14</v>
      </c>
      <c r="E1064" s="3" t="s">
        <v>466</v>
      </c>
      <c r="F1064" s="4">
        <v>46262</v>
      </c>
      <c r="G1064" s="3" t="s">
        <v>17</v>
      </c>
      <c r="H1064" s="5">
        <v>-90450000</v>
      </c>
      <c r="I1064" s="3" t="s">
        <v>18</v>
      </c>
      <c r="J1064" s="3" t="s">
        <v>14</v>
      </c>
      <c r="K1064" s="3" t="s">
        <v>14</v>
      </c>
      <c r="L1064" s="3" t="s">
        <v>1120</v>
      </c>
      <c r="M1064" s="4">
        <v>46262</v>
      </c>
      <c r="N1064" s="3" t="s">
        <v>1121</v>
      </c>
      <c r="O1064" s="3" t="s">
        <v>142</v>
      </c>
      <c r="P1064" t="str">
        <f t="shared" si="16"/>
        <v>4500129925130</v>
      </c>
      <c r="Q1064" s="7" cm="1">
        <f t="array" ref="Q1064:S1064">VLOOKUP(P1064,Hoja1!C:F,{2,3,4},FALSE)</f>
        <v>46305</v>
      </c>
      <c r="R1064" t="str">
        <v>C03</v>
      </c>
      <c r="S1064" t="str">
        <v>2000000261 ZHEJIANG DINGLI MACHINERY CO., LTD.</v>
      </c>
    </row>
    <row r="1065" spans="1:19" x14ac:dyDescent="0.3">
      <c r="A1065" s="2" t="s">
        <v>14</v>
      </c>
      <c r="B1065" s="3" t="s">
        <v>14</v>
      </c>
      <c r="C1065" s="3" t="s">
        <v>1122</v>
      </c>
      <c r="D1065" s="3" t="s">
        <v>14</v>
      </c>
      <c r="E1065" s="3" t="s">
        <v>466</v>
      </c>
      <c r="F1065" s="4">
        <v>46260</v>
      </c>
      <c r="G1065" s="3" t="s">
        <v>17</v>
      </c>
      <c r="H1065" s="5">
        <v>-850521</v>
      </c>
      <c r="I1065" s="3" t="s">
        <v>18</v>
      </c>
      <c r="J1065" s="3" t="s">
        <v>14</v>
      </c>
      <c r="K1065" s="3" t="s">
        <v>14</v>
      </c>
      <c r="L1065" s="3" t="s">
        <v>991</v>
      </c>
      <c r="M1065" s="4">
        <v>46262</v>
      </c>
      <c r="N1065" s="3" t="s">
        <v>1123</v>
      </c>
      <c r="O1065" s="3" t="s">
        <v>30</v>
      </c>
      <c r="P1065" t="str">
        <f t="shared" si="16"/>
        <v>450013629710</v>
      </c>
      <c r="Q1065" s="7" cm="1">
        <f t="array" ref="Q1065:S1065">VLOOKUP(P1065,Hoja1!C:F,{2,3,4},FALSE)</f>
        <v>46266</v>
      </c>
      <c r="R1065" t="str">
        <v>C29</v>
      </c>
      <c r="S1065" t="str">
        <v>1000008805 SAKURA MOTORS S. A.</v>
      </c>
    </row>
    <row r="1066" spans="1:19" x14ac:dyDescent="0.3">
      <c r="A1066" s="2" t="s">
        <v>14</v>
      </c>
      <c r="B1066" s="3" t="s">
        <v>14</v>
      </c>
      <c r="C1066" s="3" t="s">
        <v>1122</v>
      </c>
      <c r="D1066" s="3" t="s">
        <v>14</v>
      </c>
      <c r="E1066" s="3" t="s">
        <v>466</v>
      </c>
      <c r="F1066" s="4">
        <v>46260</v>
      </c>
      <c r="G1066" s="3" t="s">
        <v>17</v>
      </c>
      <c r="H1066" s="5">
        <v>-362988</v>
      </c>
      <c r="I1066" s="3" t="s">
        <v>18</v>
      </c>
      <c r="J1066" s="3" t="s">
        <v>14</v>
      </c>
      <c r="K1066" s="3" t="s">
        <v>14</v>
      </c>
      <c r="L1066" s="3" t="s">
        <v>991</v>
      </c>
      <c r="M1066" s="4">
        <v>46262</v>
      </c>
      <c r="N1066" s="3" t="s">
        <v>1123</v>
      </c>
      <c r="O1066" s="3" t="s">
        <v>22</v>
      </c>
      <c r="P1066" t="str">
        <f t="shared" si="16"/>
        <v>450013629720</v>
      </c>
      <c r="Q1066" s="7" cm="1">
        <f t="array" ref="Q1066:S1066">VLOOKUP(P1066,Hoja1!C:F,{2,3,4},FALSE)</f>
        <v>46266</v>
      </c>
      <c r="R1066" t="str">
        <v>C29</v>
      </c>
      <c r="S1066" t="str">
        <v>1000008805 SAKURA MOTORS S. A.</v>
      </c>
    </row>
    <row r="1067" spans="1:19" x14ac:dyDescent="0.3">
      <c r="A1067" s="2" t="s">
        <v>14</v>
      </c>
      <c r="B1067" s="3" t="s">
        <v>14</v>
      </c>
      <c r="C1067" s="3" t="s">
        <v>1122</v>
      </c>
      <c r="D1067" s="3" t="s">
        <v>14</v>
      </c>
      <c r="E1067" s="3" t="s">
        <v>466</v>
      </c>
      <c r="F1067" s="4">
        <v>46260</v>
      </c>
      <c r="G1067" s="3" t="s">
        <v>17</v>
      </c>
      <c r="H1067" s="5">
        <v>-400538</v>
      </c>
      <c r="I1067" s="3" t="s">
        <v>18</v>
      </c>
      <c r="J1067" s="3" t="s">
        <v>14</v>
      </c>
      <c r="K1067" s="3" t="s">
        <v>14</v>
      </c>
      <c r="L1067" s="3" t="s">
        <v>991</v>
      </c>
      <c r="M1067" s="4">
        <v>46262</v>
      </c>
      <c r="N1067" s="3" t="s">
        <v>1123</v>
      </c>
      <c r="O1067" s="3" t="s">
        <v>35</v>
      </c>
      <c r="P1067" t="str">
        <f t="shared" si="16"/>
        <v>450013629730</v>
      </c>
      <c r="Q1067" s="7" cm="1">
        <f t="array" ref="Q1067:S1067">VLOOKUP(P1067,Hoja1!C:F,{2,3,4},FALSE)</f>
        <v>46266</v>
      </c>
      <c r="R1067" t="str">
        <v>C29</v>
      </c>
      <c r="S1067" t="str">
        <v>1000008805 SAKURA MOTORS S. A.</v>
      </c>
    </row>
    <row r="1068" spans="1:19" x14ac:dyDescent="0.3">
      <c r="A1068" s="2" t="s">
        <v>14</v>
      </c>
      <c r="B1068" s="3" t="s">
        <v>14</v>
      </c>
      <c r="C1068" s="3" t="s">
        <v>1122</v>
      </c>
      <c r="D1068" s="3" t="s">
        <v>14</v>
      </c>
      <c r="E1068" s="3" t="s">
        <v>466</v>
      </c>
      <c r="F1068" s="4">
        <v>46260</v>
      </c>
      <c r="G1068" s="3" t="s">
        <v>17</v>
      </c>
      <c r="H1068" s="5">
        <v>-24824</v>
      </c>
      <c r="I1068" s="3" t="s">
        <v>18</v>
      </c>
      <c r="J1068" s="3" t="s">
        <v>14</v>
      </c>
      <c r="K1068" s="3" t="s">
        <v>14</v>
      </c>
      <c r="L1068" s="3" t="s">
        <v>991</v>
      </c>
      <c r="M1068" s="4">
        <v>46262</v>
      </c>
      <c r="N1068" s="3" t="s">
        <v>1123</v>
      </c>
      <c r="O1068" s="3" t="s">
        <v>23</v>
      </c>
      <c r="P1068" t="str">
        <f t="shared" si="16"/>
        <v>450013629740</v>
      </c>
      <c r="Q1068" s="7" cm="1">
        <f t="array" ref="Q1068:S1068">VLOOKUP(P1068,Hoja1!C:F,{2,3,4},FALSE)</f>
        <v>46266</v>
      </c>
      <c r="R1068" t="str">
        <v>C29</v>
      </c>
      <c r="S1068" t="str">
        <v>1000008805 SAKURA MOTORS S. A.</v>
      </c>
    </row>
    <row r="1069" spans="1:19" x14ac:dyDescent="0.3">
      <c r="A1069" s="2" t="s">
        <v>14</v>
      </c>
      <c r="B1069" s="3" t="s">
        <v>14</v>
      </c>
      <c r="C1069" s="3" t="s">
        <v>1124</v>
      </c>
      <c r="D1069" s="3" t="s">
        <v>84</v>
      </c>
      <c r="E1069" s="3" t="s">
        <v>466</v>
      </c>
      <c r="F1069" s="4">
        <v>46261</v>
      </c>
      <c r="G1069" s="3" t="s">
        <v>17</v>
      </c>
      <c r="H1069" s="5">
        <v>-123890</v>
      </c>
      <c r="I1069" s="3" t="s">
        <v>18</v>
      </c>
      <c r="J1069" s="3" t="s">
        <v>14</v>
      </c>
      <c r="K1069" s="3" t="s">
        <v>14</v>
      </c>
      <c r="L1069" s="3" t="s">
        <v>412</v>
      </c>
      <c r="M1069" s="4">
        <v>46262</v>
      </c>
      <c r="N1069" s="3" t="s">
        <v>1125</v>
      </c>
      <c r="O1069" s="3" t="s">
        <v>30</v>
      </c>
      <c r="P1069" t="str">
        <f t="shared" si="16"/>
        <v>450013672610</v>
      </c>
      <c r="Q1069" s="7" cm="1">
        <f t="array" ref="Q1069:S1069">VLOOKUP(P1069,Hoja1!C:F,{2,3,4},FALSE)</f>
        <v>46261</v>
      </c>
      <c r="R1069" t="str">
        <v>C11</v>
      </c>
      <c r="S1069" t="str">
        <v>1000000093 ELECTRICIDAD SERRA S.R.L.</v>
      </c>
    </row>
    <row r="1070" spans="1:19" x14ac:dyDescent="0.3">
      <c r="A1070" s="2" t="s">
        <v>14</v>
      </c>
      <c r="B1070" s="3" t="s">
        <v>14</v>
      </c>
      <c r="C1070" s="3" t="s">
        <v>1124</v>
      </c>
      <c r="D1070" s="3" t="s">
        <v>84</v>
      </c>
      <c r="E1070" s="3" t="s">
        <v>466</v>
      </c>
      <c r="F1070" s="4">
        <v>46261</v>
      </c>
      <c r="G1070" s="3" t="s">
        <v>17</v>
      </c>
      <c r="H1070" s="5">
        <v>-62416</v>
      </c>
      <c r="I1070" s="3" t="s">
        <v>18</v>
      </c>
      <c r="J1070" s="3" t="s">
        <v>14</v>
      </c>
      <c r="K1070" s="3" t="s">
        <v>14</v>
      </c>
      <c r="L1070" s="3" t="s">
        <v>412</v>
      </c>
      <c r="M1070" s="4">
        <v>46262</v>
      </c>
      <c r="N1070" s="3" t="s">
        <v>1125</v>
      </c>
      <c r="O1070" s="3" t="s">
        <v>22</v>
      </c>
      <c r="P1070" t="str">
        <f t="shared" si="16"/>
        <v>450013672620</v>
      </c>
      <c r="Q1070" s="7" cm="1">
        <f t="array" ref="Q1070:S1070">VLOOKUP(P1070,Hoja1!C:F,{2,3,4},FALSE)</f>
        <v>46261</v>
      </c>
      <c r="R1070" t="str">
        <v>C11</v>
      </c>
      <c r="S1070" t="str">
        <v>1000000093 ELECTRICIDAD SERRA S.R.L.</v>
      </c>
    </row>
    <row r="1071" spans="1:19" x14ac:dyDescent="0.3">
      <c r="A1071" s="2" t="s">
        <v>14</v>
      </c>
      <c r="B1071" s="3" t="s">
        <v>14</v>
      </c>
      <c r="C1071" s="3" t="s">
        <v>1124</v>
      </c>
      <c r="D1071" s="3" t="s">
        <v>84</v>
      </c>
      <c r="E1071" s="3" t="s">
        <v>466</v>
      </c>
      <c r="F1071" s="4">
        <v>46261</v>
      </c>
      <c r="G1071" s="3" t="s">
        <v>17</v>
      </c>
      <c r="H1071" s="5">
        <v>-54111.64</v>
      </c>
      <c r="I1071" s="3" t="s">
        <v>18</v>
      </c>
      <c r="J1071" s="3" t="s">
        <v>14</v>
      </c>
      <c r="K1071" s="3" t="s">
        <v>14</v>
      </c>
      <c r="L1071" s="3" t="s">
        <v>412</v>
      </c>
      <c r="M1071" s="4">
        <v>46262</v>
      </c>
      <c r="N1071" s="3" t="s">
        <v>1125</v>
      </c>
      <c r="O1071" s="3" t="s">
        <v>35</v>
      </c>
      <c r="P1071" t="str">
        <f t="shared" si="16"/>
        <v>450013672630</v>
      </c>
      <c r="Q1071" s="7" cm="1">
        <f t="array" ref="Q1071:S1071">VLOOKUP(P1071,Hoja1!C:F,{2,3,4},FALSE)</f>
        <v>46261</v>
      </c>
      <c r="R1071" t="str">
        <v>C11</v>
      </c>
      <c r="S1071" t="str">
        <v>1000000093 ELECTRICIDAD SERRA S.R.L.</v>
      </c>
    </row>
    <row r="1072" spans="1:19" x14ac:dyDescent="0.3">
      <c r="A1072" s="2" t="s">
        <v>14</v>
      </c>
      <c r="B1072" s="3" t="s">
        <v>14</v>
      </c>
      <c r="C1072" s="3" t="s">
        <v>1124</v>
      </c>
      <c r="D1072" s="3" t="s">
        <v>84</v>
      </c>
      <c r="E1072" s="3" t="s">
        <v>466</v>
      </c>
      <c r="F1072" s="4">
        <v>46261</v>
      </c>
      <c r="G1072" s="3" t="s">
        <v>17</v>
      </c>
      <c r="H1072" s="5">
        <v>-230675.20000000001</v>
      </c>
      <c r="I1072" s="3" t="s">
        <v>18</v>
      </c>
      <c r="J1072" s="3" t="s">
        <v>14</v>
      </c>
      <c r="K1072" s="3" t="s">
        <v>14</v>
      </c>
      <c r="L1072" s="3" t="s">
        <v>412</v>
      </c>
      <c r="M1072" s="4">
        <v>46262</v>
      </c>
      <c r="N1072" s="3" t="s">
        <v>1125</v>
      </c>
      <c r="O1072" s="3" t="s">
        <v>23</v>
      </c>
      <c r="P1072" t="str">
        <f t="shared" si="16"/>
        <v>450013672640</v>
      </c>
      <c r="Q1072" s="7" cm="1">
        <f t="array" ref="Q1072:S1072">VLOOKUP(P1072,Hoja1!C:F,{2,3,4},FALSE)</f>
        <v>46261</v>
      </c>
      <c r="R1072" t="str">
        <v>C11</v>
      </c>
      <c r="S1072" t="str">
        <v>1000000093 ELECTRICIDAD SERRA S.R.L.</v>
      </c>
    </row>
    <row r="1073" spans="1:19" x14ac:dyDescent="0.3">
      <c r="A1073" s="2" t="s">
        <v>14</v>
      </c>
      <c r="B1073" s="3" t="s">
        <v>14</v>
      </c>
      <c r="C1073" s="3" t="s">
        <v>1124</v>
      </c>
      <c r="D1073" s="3" t="s">
        <v>84</v>
      </c>
      <c r="E1073" s="3" t="s">
        <v>466</v>
      </c>
      <c r="F1073" s="4">
        <v>46261</v>
      </c>
      <c r="G1073" s="3" t="s">
        <v>17</v>
      </c>
      <c r="H1073" s="5">
        <v>-51969.599999999999</v>
      </c>
      <c r="I1073" s="3" t="s">
        <v>18</v>
      </c>
      <c r="J1073" s="3" t="s">
        <v>14</v>
      </c>
      <c r="K1073" s="3" t="s">
        <v>14</v>
      </c>
      <c r="L1073" s="3" t="s">
        <v>412</v>
      </c>
      <c r="M1073" s="4">
        <v>46262</v>
      </c>
      <c r="N1073" s="3" t="s">
        <v>1125</v>
      </c>
      <c r="O1073" s="3" t="s">
        <v>144</v>
      </c>
      <c r="P1073" t="str">
        <f t="shared" si="16"/>
        <v>450013672650</v>
      </c>
      <c r="Q1073" s="7" cm="1">
        <f t="array" ref="Q1073:S1073">VLOOKUP(P1073,Hoja1!C:F,{2,3,4},FALSE)</f>
        <v>46261</v>
      </c>
      <c r="R1073" t="str">
        <v>C11</v>
      </c>
      <c r="S1073" t="str">
        <v>1000000093 ELECTRICIDAD SERRA S.R.L.</v>
      </c>
    </row>
    <row r="1074" spans="1:19" x14ac:dyDescent="0.3">
      <c r="A1074" s="2" t="s">
        <v>14</v>
      </c>
      <c r="B1074" s="3" t="s">
        <v>14</v>
      </c>
      <c r="C1074" s="3" t="s">
        <v>1124</v>
      </c>
      <c r="D1074" s="3" t="s">
        <v>84</v>
      </c>
      <c r="E1074" s="3" t="s">
        <v>466</v>
      </c>
      <c r="F1074" s="4">
        <v>46261</v>
      </c>
      <c r="G1074" s="3" t="s">
        <v>17</v>
      </c>
      <c r="H1074" s="5">
        <v>-101452.34</v>
      </c>
      <c r="I1074" s="3" t="s">
        <v>18</v>
      </c>
      <c r="J1074" s="3" t="s">
        <v>14</v>
      </c>
      <c r="K1074" s="3" t="s">
        <v>14</v>
      </c>
      <c r="L1074" s="3" t="s">
        <v>412</v>
      </c>
      <c r="M1074" s="4">
        <v>46262</v>
      </c>
      <c r="N1074" s="3" t="s">
        <v>1125</v>
      </c>
      <c r="O1074" s="3" t="s">
        <v>141</v>
      </c>
      <c r="P1074" t="str">
        <f t="shared" si="16"/>
        <v>450013672660</v>
      </c>
      <c r="Q1074" s="7" cm="1">
        <f t="array" ref="Q1074:S1074">VLOOKUP(P1074,Hoja1!C:F,{2,3,4},FALSE)</f>
        <v>46261</v>
      </c>
      <c r="R1074" t="str">
        <v>C11</v>
      </c>
      <c r="S1074" t="str">
        <v>1000000093 ELECTRICIDAD SERRA S.R.L.</v>
      </c>
    </row>
    <row r="1075" spans="1:19" x14ac:dyDescent="0.3">
      <c r="A1075" s="2" t="s">
        <v>14</v>
      </c>
      <c r="B1075" s="3" t="s">
        <v>14</v>
      </c>
      <c r="C1075" s="3" t="s">
        <v>1124</v>
      </c>
      <c r="D1075" s="3" t="s">
        <v>84</v>
      </c>
      <c r="E1075" s="3" t="s">
        <v>466</v>
      </c>
      <c r="F1075" s="4">
        <v>46261</v>
      </c>
      <c r="G1075" s="3" t="s">
        <v>17</v>
      </c>
      <c r="H1075" s="5">
        <v>-148667</v>
      </c>
      <c r="I1075" s="3" t="s">
        <v>18</v>
      </c>
      <c r="J1075" s="3" t="s">
        <v>14</v>
      </c>
      <c r="K1075" s="3" t="s">
        <v>14</v>
      </c>
      <c r="L1075" s="3" t="s">
        <v>412</v>
      </c>
      <c r="M1075" s="4">
        <v>46262</v>
      </c>
      <c r="N1075" s="3" t="s">
        <v>1125</v>
      </c>
      <c r="O1075" s="3" t="s">
        <v>134</v>
      </c>
      <c r="P1075" t="str">
        <f t="shared" si="16"/>
        <v>450013672670</v>
      </c>
      <c r="Q1075" s="7" cm="1">
        <f t="array" ref="Q1075:S1075">VLOOKUP(P1075,Hoja1!C:F,{2,3,4},FALSE)</f>
        <v>46261</v>
      </c>
      <c r="R1075" t="str">
        <v>C11</v>
      </c>
      <c r="S1075" t="str">
        <v>1000000093 ELECTRICIDAD SERRA S.R.L.</v>
      </c>
    </row>
    <row r="1076" spans="1:19" x14ac:dyDescent="0.3">
      <c r="A1076" s="2" t="s">
        <v>14</v>
      </c>
      <c r="B1076" s="3" t="s">
        <v>14</v>
      </c>
      <c r="C1076" s="3" t="s">
        <v>1124</v>
      </c>
      <c r="D1076" s="3" t="s">
        <v>84</v>
      </c>
      <c r="E1076" s="3" t="s">
        <v>466</v>
      </c>
      <c r="F1076" s="4">
        <v>46261</v>
      </c>
      <c r="G1076" s="3" t="s">
        <v>17</v>
      </c>
      <c r="H1076" s="5">
        <v>-109023.9</v>
      </c>
      <c r="I1076" s="3" t="s">
        <v>18</v>
      </c>
      <c r="J1076" s="3" t="s">
        <v>14</v>
      </c>
      <c r="K1076" s="3" t="s">
        <v>14</v>
      </c>
      <c r="L1076" s="3" t="s">
        <v>412</v>
      </c>
      <c r="M1076" s="4">
        <v>46262</v>
      </c>
      <c r="N1076" s="3" t="s">
        <v>1125</v>
      </c>
      <c r="O1076" s="3" t="s">
        <v>138</v>
      </c>
      <c r="P1076" t="str">
        <f t="shared" si="16"/>
        <v>450013672690</v>
      </c>
      <c r="Q1076" s="7" cm="1">
        <f t="array" ref="Q1076:S1076">VLOOKUP(P1076,Hoja1!C:F,{2,3,4},FALSE)</f>
        <v>46261</v>
      </c>
      <c r="R1076" t="str">
        <v>C11</v>
      </c>
      <c r="S1076" t="str">
        <v>1000000093 ELECTRICIDAD SERRA S.R.L.</v>
      </c>
    </row>
    <row r="1077" spans="1:19" x14ac:dyDescent="0.3">
      <c r="A1077" s="2" t="s">
        <v>14</v>
      </c>
      <c r="B1077" s="3" t="s">
        <v>14</v>
      </c>
      <c r="C1077" s="3" t="s">
        <v>1124</v>
      </c>
      <c r="D1077" s="3" t="s">
        <v>84</v>
      </c>
      <c r="E1077" s="3" t="s">
        <v>466</v>
      </c>
      <c r="F1077" s="4">
        <v>46261</v>
      </c>
      <c r="G1077" s="3" t="s">
        <v>17</v>
      </c>
      <c r="H1077" s="5">
        <v>-29137.83</v>
      </c>
      <c r="I1077" s="3" t="s">
        <v>18</v>
      </c>
      <c r="J1077" s="3" t="s">
        <v>14</v>
      </c>
      <c r="K1077" s="3" t="s">
        <v>14</v>
      </c>
      <c r="L1077" s="3" t="s">
        <v>412</v>
      </c>
      <c r="M1077" s="4">
        <v>46262</v>
      </c>
      <c r="N1077" s="3" t="s">
        <v>1125</v>
      </c>
      <c r="O1077" s="3" t="s">
        <v>156</v>
      </c>
      <c r="P1077" t="str">
        <f t="shared" si="16"/>
        <v>4500136726110</v>
      </c>
      <c r="Q1077" s="7" cm="1">
        <f t="array" ref="Q1077:S1077">VLOOKUP(P1077,Hoja1!C:F,{2,3,4},FALSE)</f>
        <v>46261</v>
      </c>
      <c r="R1077" t="str">
        <v>C11</v>
      </c>
      <c r="S1077" t="str">
        <v>1000000093 ELECTRICIDAD SERRA S.R.L.</v>
      </c>
    </row>
    <row r="1078" spans="1:19" x14ac:dyDescent="0.3">
      <c r="A1078" s="2" t="s">
        <v>14</v>
      </c>
      <c r="B1078" s="3" t="s">
        <v>14</v>
      </c>
      <c r="C1078" s="3" t="s">
        <v>1126</v>
      </c>
      <c r="D1078" s="3" t="s">
        <v>84</v>
      </c>
      <c r="E1078" s="3" t="s">
        <v>466</v>
      </c>
      <c r="F1078" s="4">
        <v>46261</v>
      </c>
      <c r="G1078" s="3" t="s">
        <v>17</v>
      </c>
      <c r="H1078" s="5">
        <v>-3145.4</v>
      </c>
      <c r="I1078" s="3" t="s">
        <v>18</v>
      </c>
      <c r="J1078" s="3" t="s">
        <v>14</v>
      </c>
      <c r="K1078" s="3" t="s">
        <v>14</v>
      </c>
      <c r="L1078" s="3" t="s">
        <v>412</v>
      </c>
      <c r="M1078" s="4">
        <v>46262</v>
      </c>
      <c r="N1078" s="3" t="s">
        <v>1125</v>
      </c>
      <c r="O1078" s="3" t="s">
        <v>52</v>
      </c>
      <c r="P1078" t="str">
        <f t="shared" si="16"/>
        <v>450013672680</v>
      </c>
      <c r="Q1078" s="7" cm="1">
        <f t="array" ref="Q1078:S1078">VLOOKUP(P1078,Hoja1!C:F,{2,3,4},FALSE)</f>
        <v>46261</v>
      </c>
      <c r="R1078" t="str">
        <v>C11</v>
      </c>
      <c r="S1078" t="str">
        <v>1000000093 ELECTRICIDAD SERRA S.R.L.</v>
      </c>
    </row>
    <row r="1079" spans="1:19" x14ac:dyDescent="0.3">
      <c r="A1079" s="2" t="s">
        <v>14</v>
      </c>
      <c r="B1079" s="3" t="s">
        <v>14</v>
      </c>
      <c r="C1079" s="3" t="s">
        <v>1127</v>
      </c>
      <c r="D1079" s="3" t="s">
        <v>14</v>
      </c>
      <c r="E1079" s="3" t="s">
        <v>466</v>
      </c>
      <c r="F1079" s="4">
        <v>46262</v>
      </c>
      <c r="G1079" s="3" t="s">
        <v>17</v>
      </c>
      <c r="H1079" s="5">
        <v>-1212874.2</v>
      </c>
      <c r="I1079" s="3" t="s">
        <v>18</v>
      </c>
      <c r="J1079" s="3" t="s">
        <v>14</v>
      </c>
      <c r="K1079" s="3" t="s">
        <v>14</v>
      </c>
      <c r="L1079" s="3" t="s">
        <v>1128</v>
      </c>
      <c r="M1079" s="4">
        <v>46262</v>
      </c>
      <c r="N1079" s="3" t="s">
        <v>1129</v>
      </c>
      <c r="O1079" s="3" t="s">
        <v>30</v>
      </c>
      <c r="P1079" t="str">
        <f t="shared" si="16"/>
        <v>450013275510</v>
      </c>
      <c r="Q1079" s="7" cm="1">
        <f t="array" ref="Q1079:S1079">VLOOKUP(P1079,Hoja1!C:F,{2,3,4},FALSE)</f>
        <v>46301</v>
      </c>
      <c r="R1079" t="str">
        <v>C03</v>
      </c>
      <c r="S1079" t="str">
        <v>1000000540 INBELT S.R.L.</v>
      </c>
    </row>
    <row r="1080" spans="1:19" x14ac:dyDescent="0.3">
      <c r="A1080" s="2" t="s">
        <v>14</v>
      </c>
      <c r="B1080" s="3" t="s">
        <v>14</v>
      </c>
      <c r="C1080" s="3" t="s">
        <v>1130</v>
      </c>
      <c r="D1080" s="3" t="s">
        <v>14</v>
      </c>
      <c r="E1080" s="3" t="s">
        <v>466</v>
      </c>
      <c r="F1080" s="4">
        <v>46261</v>
      </c>
      <c r="G1080" s="3" t="s">
        <v>17</v>
      </c>
      <c r="H1080" s="5">
        <v>-467459.52</v>
      </c>
      <c r="I1080" s="3" t="s">
        <v>18</v>
      </c>
      <c r="J1080" s="3" t="s">
        <v>14</v>
      </c>
      <c r="K1080" s="3" t="s">
        <v>14</v>
      </c>
      <c r="L1080" s="3" t="s">
        <v>1056</v>
      </c>
      <c r="M1080" s="4">
        <v>46263</v>
      </c>
      <c r="N1080" s="3" t="s">
        <v>1131</v>
      </c>
      <c r="O1080" s="3" t="s">
        <v>22</v>
      </c>
      <c r="P1080" t="str">
        <f t="shared" si="16"/>
        <v>450013558920</v>
      </c>
      <c r="Q1080" s="7" cm="1">
        <f t="array" ref="Q1080:S1080">VLOOKUP(P1080,Hoja1!C:F,{2,3,4},FALSE)</f>
        <v>46255</v>
      </c>
      <c r="R1080" t="str">
        <v>C27</v>
      </c>
      <c r="S1080" t="str">
        <v>1000007373 ANGIULLI SERGIO RAUL</v>
      </c>
    </row>
    <row r="1081" spans="1:19" x14ac:dyDescent="0.3">
      <c r="A1081" s="2" t="s">
        <v>14</v>
      </c>
      <c r="B1081" s="3" t="s">
        <v>14</v>
      </c>
      <c r="C1081" s="3" t="s">
        <v>1130</v>
      </c>
      <c r="D1081" s="3" t="s">
        <v>14</v>
      </c>
      <c r="E1081" s="3" t="s">
        <v>466</v>
      </c>
      <c r="F1081" s="4">
        <v>46261</v>
      </c>
      <c r="G1081" s="3" t="s">
        <v>17</v>
      </c>
      <c r="H1081" s="5">
        <v>-576396.48</v>
      </c>
      <c r="I1081" s="3" t="s">
        <v>18</v>
      </c>
      <c r="J1081" s="3" t="s">
        <v>14</v>
      </c>
      <c r="K1081" s="3" t="s">
        <v>14</v>
      </c>
      <c r="L1081" s="3" t="s">
        <v>1056</v>
      </c>
      <c r="M1081" s="4">
        <v>46263</v>
      </c>
      <c r="N1081" s="3" t="s">
        <v>1131</v>
      </c>
      <c r="O1081" s="3" t="s">
        <v>23</v>
      </c>
      <c r="P1081" t="str">
        <f t="shared" si="16"/>
        <v>450013558940</v>
      </c>
      <c r="Q1081" s="7" cm="1">
        <f t="array" ref="Q1081:S1081">VLOOKUP(P1081,Hoja1!C:F,{2,3,4},FALSE)</f>
        <v>46255</v>
      </c>
      <c r="R1081" t="str">
        <v>C27</v>
      </c>
      <c r="S1081" t="str">
        <v>1000007373 ANGIULLI SERGIO RAUL</v>
      </c>
    </row>
    <row r="1082" spans="1:19" x14ac:dyDescent="0.3">
      <c r="A1082" s="2" t="s">
        <v>14</v>
      </c>
      <c r="B1082" s="3" t="s">
        <v>14</v>
      </c>
      <c r="C1082" s="3" t="s">
        <v>1130</v>
      </c>
      <c r="D1082" s="3" t="s">
        <v>14</v>
      </c>
      <c r="E1082" s="3" t="s">
        <v>466</v>
      </c>
      <c r="F1082" s="4">
        <v>46261</v>
      </c>
      <c r="G1082" s="3" t="s">
        <v>17</v>
      </c>
      <c r="H1082" s="5">
        <v>-159720</v>
      </c>
      <c r="I1082" s="3" t="s">
        <v>18</v>
      </c>
      <c r="J1082" s="3" t="s">
        <v>14</v>
      </c>
      <c r="K1082" s="3" t="s">
        <v>14</v>
      </c>
      <c r="L1082" s="3" t="s">
        <v>1056</v>
      </c>
      <c r="M1082" s="4">
        <v>46263</v>
      </c>
      <c r="N1082" s="3" t="s">
        <v>1131</v>
      </c>
      <c r="O1082" s="3" t="s">
        <v>141</v>
      </c>
      <c r="P1082" t="str">
        <f t="shared" si="16"/>
        <v>450013558960</v>
      </c>
      <c r="Q1082" s="7" cm="1">
        <f t="array" ref="Q1082:S1082">VLOOKUP(P1082,Hoja1!C:F,{2,3,4},FALSE)</f>
        <v>46255</v>
      </c>
      <c r="R1082" t="str">
        <v>C27</v>
      </c>
      <c r="S1082" t="str">
        <v>1000007373 ANGIULLI SERGIO RAUL</v>
      </c>
    </row>
    <row r="1083" spans="1:19" x14ac:dyDescent="0.3">
      <c r="A1083" s="2" t="s">
        <v>14</v>
      </c>
      <c r="B1083" s="3" t="s">
        <v>14</v>
      </c>
      <c r="C1083" s="3" t="s">
        <v>1130</v>
      </c>
      <c r="D1083" s="3" t="s">
        <v>14</v>
      </c>
      <c r="E1083" s="3" t="s">
        <v>466</v>
      </c>
      <c r="F1083" s="4">
        <v>46261</v>
      </c>
      <c r="G1083" s="3" t="s">
        <v>17</v>
      </c>
      <c r="H1083" s="5">
        <v>-174493.44</v>
      </c>
      <c r="I1083" s="3" t="s">
        <v>18</v>
      </c>
      <c r="J1083" s="3" t="s">
        <v>14</v>
      </c>
      <c r="K1083" s="3" t="s">
        <v>14</v>
      </c>
      <c r="L1083" s="3" t="s">
        <v>1056</v>
      </c>
      <c r="M1083" s="4">
        <v>46263</v>
      </c>
      <c r="N1083" s="3" t="s">
        <v>1131</v>
      </c>
      <c r="O1083" s="3" t="s">
        <v>134</v>
      </c>
      <c r="P1083" t="str">
        <f t="shared" si="16"/>
        <v>450013558970</v>
      </c>
      <c r="Q1083" s="7" cm="1">
        <f t="array" ref="Q1083:S1083">VLOOKUP(P1083,Hoja1!C:F,{2,3,4},FALSE)</f>
        <v>46255</v>
      </c>
      <c r="R1083" t="str">
        <v>C27</v>
      </c>
      <c r="S1083" t="str">
        <v>1000007373 ANGIULLI SERGIO RAUL</v>
      </c>
    </row>
    <row r="1084" spans="1:19" x14ac:dyDescent="0.3">
      <c r="A1084" s="2" t="s">
        <v>14</v>
      </c>
      <c r="B1084" s="3" t="s">
        <v>14</v>
      </c>
      <c r="C1084" s="3" t="s">
        <v>1130</v>
      </c>
      <c r="D1084" s="3" t="s">
        <v>14</v>
      </c>
      <c r="E1084" s="3" t="s">
        <v>466</v>
      </c>
      <c r="F1084" s="4">
        <v>46261</v>
      </c>
      <c r="G1084" s="3" t="s">
        <v>17</v>
      </c>
      <c r="H1084" s="5">
        <v>-151963.68</v>
      </c>
      <c r="I1084" s="3" t="s">
        <v>18</v>
      </c>
      <c r="J1084" s="3" t="s">
        <v>14</v>
      </c>
      <c r="K1084" s="3" t="s">
        <v>14</v>
      </c>
      <c r="L1084" s="3" t="s">
        <v>1056</v>
      </c>
      <c r="M1084" s="4">
        <v>46263</v>
      </c>
      <c r="N1084" s="3" t="s">
        <v>1131</v>
      </c>
      <c r="O1084" s="3" t="s">
        <v>45</v>
      </c>
      <c r="P1084" t="str">
        <f t="shared" si="16"/>
        <v>4500135589100</v>
      </c>
      <c r="Q1084" s="7" cm="1">
        <f t="array" ref="Q1084:S1084">VLOOKUP(P1084,Hoja1!C:F,{2,3,4},FALSE)</f>
        <v>46255</v>
      </c>
      <c r="R1084" t="str">
        <v>C27</v>
      </c>
      <c r="S1084" t="str">
        <v>1000007373 ANGIULLI SERGIO RAUL</v>
      </c>
    </row>
    <row r="1085" spans="1:19" x14ac:dyDescent="0.3">
      <c r="A1085" s="2" t="s">
        <v>14</v>
      </c>
      <c r="B1085" s="3" t="s">
        <v>14</v>
      </c>
      <c r="C1085" s="3" t="s">
        <v>1130</v>
      </c>
      <c r="D1085" s="3" t="s">
        <v>14</v>
      </c>
      <c r="E1085" s="3" t="s">
        <v>466</v>
      </c>
      <c r="F1085" s="4">
        <v>46261</v>
      </c>
      <c r="G1085" s="3" t="s">
        <v>17</v>
      </c>
      <c r="H1085" s="5">
        <v>-151963.68</v>
      </c>
      <c r="I1085" s="3" t="s">
        <v>18</v>
      </c>
      <c r="J1085" s="3" t="s">
        <v>14</v>
      </c>
      <c r="K1085" s="3" t="s">
        <v>14</v>
      </c>
      <c r="L1085" s="3" t="s">
        <v>1056</v>
      </c>
      <c r="M1085" s="4">
        <v>46263</v>
      </c>
      <c r="N1085" s="3" t="s">
        <v>1131</v>
      </c>
      <c r="O1085" s="3" t="s">
        <v>156</v>
      </c>
      <c r="P1085" t="str">
        <f t="shared" si="16"/>
        <v>4500135589110</v>
      </c>
      <c r="Q1085" s="7" cm="1">
        <f t="array" ref="Q1085:S1085">VLOOKUP(P1085,Hoja1!C:F,{2,3,4},FALSE)</f>
        <v>46255</v>
      </c>
      <c r="R1085" t="str">
        <v>C27</v>
      </c>
      <c r="S1085" t="str">
        <v>1000007373 ANGIULLI SERGIO RAUL</v>
      </c>
    </row>
    <row r="1086" spans="1:19" x14ac:dyDescent="0.3">
      <c r="A1086" s="2" t="s">
        <v>14</v>
      </c>
      <c r="B1086" s="3" t="s">
        <v>14</v>
      </c>
      <c r="C1086" s="3" t="s">
        <v>1130</v>
      </c>
      <c r="D1086" s="3" t="s">
        <v>14</v>
      </c>
      <c r="E1086" s="3" t="s">
        <v>466</v>
      </c>
      <c r="F1086" s="4">
        <v>46261</v>
      </c>
      <c r="G1086" s="3" t="s">
        <v>17</v>
      </c>
      <c r="H1086" s="5">
        <v>-174493.44</v>
      </c>
      <c r="I1086" s="3" t="s">
        <v>18</v>
      </c>
      <c r="J1086" s="3" t="s">
        <v>14</v>
      </c>
      <c r="K1086" s="3" t="s">
        <v>14</v>
      </c>
      <c r="L1086" s="3" t="s">
        <v>1056</v>
      </c>
      <c r="M1086" s="4">
        <v>46263</v>
      </c>
      <c r="N1086" s="3" t="s">
        <v>1131</v>
      </c>
      <c r="O1086" s="3" t="s">
        <v>132</v>
      </c>
      <c r="P1086" t="str">
        <f t="shared" si="16"/>
        <v>4500135589120</v>
      </c>
      <c r="Q1086" s="7" cm="1">
        <f t="array" ref="Q1086:S1086">VLOOKUP(P1086,Hoja1!C:F,{2,3,4},FALSE)</f>
        <v>46255</v>
      </c>
      <c r="R1086" t="str">
        <v>C27</v>
      </c>
      <c r="S1086" t="str">
        <v>1000007373 ANGIULLI SERGIO RAUL</v>
      </c>
    </row>
    <row r="1087" spans="1:19" x14ac:dyDescent="0.3">
      <c r="A1087" s="2" t="s">
        <v>14</v>
      </c>
      <c r="B1087" s="3" t="s">
        <v>14</v>
      </c>
      <c r="C1087" s="3" t="s">
        <v>1130</v>
      </c>
      <c r="D1087" s="3" t="s">
        <v>14</v>
      </c>
      <c r="E1087" s="3" t="s">
        <v>466</v>
      </c>
      <c r="F1087" s="4">
        <v>46261</v>
      </c>
      <c r="G1087" s="3" t="s">
        <v>17</v>
      </c>
      <c r="H1087" s="5">
        <v>-197720.16</v>
      </c>
      <c r="I1087" s="3" t="s">
        <v>18</v>
      </c>
      <c r="J1087" s="3" t="s">
        <v>14</v>
      </c>
      <c r="K1087" s="3" t="s">
        <v>14</v>
      </c>
      <c r="L1087" s="3" t="s">
        <v>1056</v>
      </c>
      <c r="M1087" s="4">
        <v>46263</v>
      </c>
      <c r="N1087" s="3" t="s">
        <v>1131</v>
      </c>
      <c r="O1087" s="3" t="s">
        <v>131</v>
      </c>
      <c r="P1087" t="str">
        <f t="shared" si="16"/>
        <v>4500135589140</v>
      </c>
      <c r="Q1087" s="7" cm="1">
        <f t="array" ref="Q1087:S1087">VLOOKUP(P1087,Hoja1!C:F,{2,3,4},FALSE)</f>
        <v>46255</v>
      </c>
      <c r="R1087" t="str">
        <v>C27</v>
      </c>
      <c r="S1087" t="str">
        <v>1000007373 ANGIULLI SERGIO RAUL</v>
      </c>
    </row>
    <row r="1088" spans="1:19" x14ac:dyDescent="0.3">
      <c r="A1088" s="2" t="s">
        <v>14</v>
      </c>
      <c r="B1088" s="3" t="s">
        <v>14</v>
      </c>
      <c r="C1088" s="3" t="s">
        <v>1130</v>
      </c>
      <c r="D1088" s="3" t="s">
        <v>14</v>
      </c>
      <c r="E1088" s="3" t="s">
        <v>466</v>
      </c>
      <c r="F1088" s="4">
        <v>46261</v>
      </c>
      <c r="G1088" s="3" t="s">
        <v>17</v>
      </c>
      <c r="H1088" s="5">
        <v>-144508.32</v>
      </c>
      <c r="I1088" s="3" t="s">
        <v>18</v>
      </c>
      <c r="J1088" s="3" t="s">
        <v>14</v>
      </c>
      <c r="K1088" s="3" t="s">
        <v>14</v>
      </c>
      <c r="L1088" s="3" t="s">
        <v>1056</v>
      </c>
      <c r="M1088" s="4">
        <v>46263</v>
      </c>
      <c r="N1088" s="3" t="s">
        <v>1131</v>
      </c>
      <c r="O1088" s="3" t="s">
        <v>129</v>
      </c>
      <c r="P1088" t="str">
        <f t="shared" si="16"/>
        <v>4500135589160</v>
      </c>
      <c r="Q1088" s="7" cm="1">
        <f t="array" ref="Q1088:S1088">VLOOKUP(P1088,Hoja1!C:F,{2,3,4},FALSE)</f>
        <v>46255</v>
      </c>
      <c r="R1088" t="str">
        <v>C27</v>
      </c>
      <c r="S1088" t="str">
        <v>1000007373 ANGIULLI SERGIO RAUL</v>
      </c>
    </row>
    <row r="1089" spans="1:19" x14ac:dyDescent="0.3">
      <c r="A1089" s="2" t="s">
        <v>14</v>
      </c>
      <c r="B1089" s="3" t="s">
        <v>14</v>
      </c>
      <c r="C1089" s="3" t="s">
        <v>1130</v>
      </c>
      <c r="D1089" s="3" t="s">
        <v>14</v>
      </c>
      <c r="E1089" s="3" t="s">
        <v>466</v>
      </c>
      <c r="F1089" s="4">
        <v>46261</v>
      </c>
      <c r="G1089" s="3" t="s">
        <v>17</v>
      </c>
      <c r="H1089" s="5">
        <v>-26030.400000000001</v>
      </c>
      <c r="I1089" s="3" t="s">
        <v>18</v>
      </c>
      <c r="J1089" s="3" t="s">
        <v>14</v>
      </c>
      <c r="K1089" s="3" t="s">
        <v>14</v>
      </c>
      <c r="L1089" s="3" t="s">
        <v>1056</v>
      </c>
      <c r="M1089" s="4">
        <v>46263</v>
      </c>
      <c r="N1089" s="3" t="s">
        <v>1131</v>
      </c>
      <c r="O1089" s="3" t="s">
        <v>130</v>
      </c>
      <c r="P1089" t="str">
        <f t="shared" si="16"/>
        <v>4500135589180</v>
      </c>
      <c r="Q1089" s="7" cm="1">
        <f t="array" ref="Q1089:S1089">VLOOKUP(P1089,Hoja1!C:F,{2,3,4},FALSE)</f>
        <v>46255</v>
      </c>
      <c r="R1089" t="str">
        <v>C27</v>
      </c>
      <c r="S1089" t="str">
        <v>1000007373 ANGIULLI SERGIO RAUL</v>
      </c>
    </row>
    <row r="1090" spans="1:19" x14ac:dyDescent="0.3">
      <c r="A1090" s="2" t="s">
        <v>14</v>
      </c>
      <c r="B1090" s="3" t="s">
        <v>14</v>
      </c>
      <c r="C1090" s="3" t="s">
        <v>1130</v>
      </c>
      <c r="D1090" s="3" t="s">
        <v>14</v>
      </c>
      <c r="E1090" s="3" t="s">
        <v>466</v>
      </c>
      <c r="F1090" s="4">
        <v>46261</v>
      </c>
      <c r="G1090" s="3" t="s">
        <v>17</v>
      </c>
      <c r="H1090" s="5">
        <v>-26025.119999999999</v>
      </c>
      <c r="I1090" s="3" t="s">
        <v>18</v>
      </c>
      <c r="J1090" s="3" t="s">
        <v>14</v>
      </c>
      <c r="K1090" s="3" t="s">
        <v>14</v>
      </c>
      <c r="L1090" s="3" t="s">
        <v>1056</v>
      </c>
      <c r="M1090" s="4">
        <v>46263</v>
      </c>
      <c r="N1090" s="3" t="s">
        <v>1131</v>
      </c>
      <c r="O1090" s="3" t="s">
        <v>127</v>
      </c>
      <c r="P1090" t="str">
        <f t="shared" si="16"/>
        <v>4500135589190</v>
      </c>
      <c r="Q1090" s="7" cm="1">
        <f t="array" ref="Q1090:S1090">VLOOKUP(P1090,Hoja1!C:F,{2,3,4},FALSE)</f>
        <v>46255</v>
      </c>
      <c r="R1090" t="str">
        <v>C27</v>
      </c>
      <c r="S1090" t="str">
        <v>1000007373 ANGIULLI SERGIO RAUL</v>
      </c>
    </row>
    <row r="1091" spans="1:19" x14ac:dyDescent="0.3">
      <c r="A1091" s="2" t="s">
        <v>14</v>
      </c>
      <c r="B1091" s="3" t="s">
        <v>14</v>
      </c>
      <c r="C1091" s="3" t="s">
        <v>1130</v>
      </c>
      <c r="D1091" s="3" t="s">
        <v>14</v>
      </c>
      <c r="E1091" s="3" t="s">
        <v>466</v>
      </c>
      <c r="F1091" s="4">
        <v>46261</v>
      </c>
      <c r="G1091" s="3" t="s">
        <v>17</v>
      </c>
      <c r="H1091" s="5">
        <v>-26025.119999999999</v>
      </c>
      <c r="I1091" s="3" t="s">
        <v>18</v>
      </c>
      <c r="J1091" s="3" t="s">
        <v>14</v>
      </c>
      <c r="K1091" s="3" t="s">
        <v>14</v>
      </c>
      <c r="L1091" s="3" t="s">
        <v>1056</v>
      </c>
      <c r="M1091" s="4">
        <v>46263</v>
      </c>
      <c r="N1091" s="3" t="s">
        <v>1131</v>
      </c>
      <c r="O1091" s="3" t="s">
        <v>161</v>
      </c>
      <c r="P1091" t="str">
        <f t="shared" ref="P1091:P1154" si="17">_xlfn.CONCAT(N1091:O1091)</f>
        <v>4500135589200</v>
      </c>
      <c r="Q1091" s="7" cm="1">
        <f t="array" ref="Q1091:S1091">VLOOKUP(P1091,Hoja1!C:F,{2,3,4},FALSE)</f>
        <v>46255</v>
      </c>
      <c r="R1091" t="str">
        <v>C27</v>
      </c>
      <c r="S1091" t="str">
        <v>1000007373 ANGIULLI SERGIO RAUL</v>
      </c>
    </row>
    <row r="1092" spans="1:19" x14ac:dyDescent="0.3">
      <c r="A1092" s="2" t="s">
        <v>14</v>
      </c>
      <c r="B1092" s="3" t="s">
        <v>14</v>
      </c>
      <c r="C1092" s="3" t="s">
        <v>1130</v>
      </c>
      <c r="D1092" s="3" t="s">
        <v>14</v>
      </c>
      <c r="E1092" s="3" t="s">
        <v>466</v>
      </c>
      <c r="F1092" s="4">
        <v>46261</v>
      </c>
      <c r="G1092" s="3" t="s">
        <v>17</v>
      </c>
      <c r="H1092" s="5">
        <v>-26025.119999999999</v>
      </c>
      <c r="I1092" s="3" t="s">
        <v>18</v>
      </c>
      <c r="J1092" s="3" t="s">
        <v>14</v>
      </c>
      <c r="K1092" s="3" t="s">
        <v>14</v>
      </c>
      <c r="L1092" s="3" t="s">
        <v>1056</v>
      </c>
      <c r="M1092" s="4">
        <v>46263</v>
      </c>
      <c r="N1092" s="3" t="s">
        <v>1131</v>
      </c>
      <c r="O1092" s="3" t="s">
        <v>136</v>
      </c>
      <c r="P1092" t="str">
        <f t="shared" si="17"/>
        <v>4500135589210</v>
      </c>
      <c r="Q1092" s="7" cm="1">
        <f t="array" ref="Q1092:S1092">VLOOKUP(P1092,Hoja1!C:F,{2,3,4},FALSE)</f>
        <v>46255</v>
      </c>
      <c r="R1092" t="str">
        <v>C27</v>
      </c>
      <c r="S1092" t="str">
        <v>1000007373 ANGIULLI SERGIO RAUL</v>
      </c>
    </row>
    <row r="1093" spans="1:19" x14ac:dyDescent="0.3">
      <c r="A1093" s="2" t="s">
        <v>14</v>
      </c>
      <c r="B1093" s="3" t="s">
        <v>14</v>
      </c>
      <c r="C1093" s="3" t="s">
        <v>1130</v>
      </c>
      <c r="D1093" s="3" t="s">
        <v>14</v>
      </c>
      <c r="E1093" s="3" t="s">
        <v>466</v>
      </c>
      <c r="F1093" s="4">
        <v>46261</v>
      </c>
      <c r="G1093" s="3" t="s">
        <v>17</v>
      </c>
      <c r="H1093" s="5">
        <v>-26025.119999999999</v>
      </c>
      <c r="I1093" s="3" t="s">
        <v>18</v>
      </c>
      <c r="J1093" s="3" t="s">
        <v>14</v>
      </c>
      <c r="K1093" s="3" t="s">
        <v>14</v>
      </c>
      <c r="L1093" s="3" t="s">
        <v>1056</v>
      </c>
      <c r="M1093" s="4">
        <v>46263</v>
      </c>
      <c r="N1093" s="3" t="s">
        <v>1131</v>
      </c>
      <c r="O1093" s="3" t="s">
        <v>140</v>
      </c>
      <c r="P1093" t="str">
        <f t="shared" si="17"/>
        <v>4500135589220</v>
      </c>
      <c r="Q1093" s="7" cm="1">
        <f t="array" ref="Q1093:S1093">VLOOKUP(P1093,Hoja1!C:F,{2,3,4},FALSE)</f>
        <v>46255</v>
      </c>
      <c r="R1093" t="str">
        <v>C27</v>
      </c>
      <c r="S1093" t="str">
        <v>1000007373 ANGIULLI SERGIO RAUL</v>
      </c>
    </row>
    <row r="1094" spans="1:19" x14ac:dyDescent="0.3">
      <c r="A1094" s="2" t="s">
        <v>14</v>
      </c>
      <c r="B1094" s="3" t="s">
        <v>14</v>
      </c>
      <c r="C1094" s="3" t="s">
        <v>1130</v>
      </c>
      <c r="D1094" s="3" t="s">
        <v>14</v>
      </c>
      <c r="E1094" s="3" t="s">
        <v>466</v>
      </c>
      <c r="F1094" s="4">
        <v>46261</v>
      </c>
      <c r="G1094" s="3" t="s">
        <v>17</v>
      </c>
      <c r="H1094" s="5">
        <v>-79242.240000000005</v>
      </c>
      <c r="I1094" s="3" t="s">
        <v>18</v>
      </c>
      <c r="J1094" s="3" t="s">
        <v>14</v>
      </c>
      <c r="K1094" s="3" t="s">
        <v>14</v>
      </c>
      <c r="L1094" s="3" t="s">
        <v>1056</v>
      </c>
      <c r="M1094" s="4">
        <v>46263</v>
      </c>
      <c r="N1094" s="3" t="s">
        <v>1131</v>
      </c>
      <c r="O1094" s="3" t="s">
        <v>137</v>
      </c>
      <c r="P1094" t="str">
        <f t="shared" si="17"/>
        <v>4500135589230</v>
      </c>
      <c r="Q1094" s="7" cm="1">
        <f t="array" ref="Q1094:S1094">VLOOKUP(P1094,Hoja1!C:F,{2,3,4},FALSE)</f>
        <v>46255</v>
      </c>
      <c r="R1094" t="str">
        <v>C27</v>
      </c>
      <c r="S1094" t="str">
        <v>1000007373 ANGIULLI SERGIO RAUL</v>
      </c>
    </row>
    <row r="1095" spans="1:19" x14ac:dyDescent="0.3">
      <c r="A1095" s="2" t="s">
        <v>14</v>
      </c>
      <c r="B1095" s="3" t="s">
        <v>14</v>
      </c>
      <c r="C1095" s="3" t="s">
        <v>1130</v>
      </c>
      <c r="D1095" s="3" t="s">
        <v>14</v>
      </c>
      <c r="E1095" s="3" t="s">
        <v>466</v>
      </c>
      <c r="F1095" s="4">
        <v>46261</v>
      </c>
      <c r="G1095" s="3" t="s">
        <v>17</v>
      </c>
      <c r="H1095" s="5">
        <v>-63866.879999999997</v>
      </c>
      <c r="I1095" s="3" t="s">
        <v>18</v>
      </c>
      <c r="J1095" s="3" t="s">
        <v>14</v>
      </c>
      <c r="K1095" s="3" t="s">
        <v>14</v>
      </c>
      <c r="L1095" s="3" t="s">
        <v>1056</v>
      </c>
      <c r="M1095" s="4">
        <v>46263</v>
      </c>
      <c r="N1095" s="3" t="s">
        <v>1131</v>
      </c>
      <c r="O1095" s="3" t="s">
        <v>143</v>
      </c>
      <c r="P1095" t="str">
        <f t="shared" si="17"/>
        <v>4500135589240</v>
      </c>
      <c r="Q1095" s="7" cm="1">
        <f t="array" ref="Q1095:S1095">VLOOKUP(P1095,Hoja1!C:F,{2,3,4},FALSE)</f>
        <v>46255</v>
      </c>
      <c r="R1095" t="str">
        <v>C27</v>
      </c>
      <c r="S1095" t="str">
        <v>1000007373 ANGIULLI SERGIO RAUL</v>
      </c>
    </row>
    <row r="1096" spans="1:19" x14ac:dyDescent="0.3">
      <c r="A1096" s="2" t="s">
        <v>14</v>
      </c>
      <c r="B1096" s="3" t="s">
        <v>14</v>
      </c>
      <c r="C1096" s="3" t="s">
        <v>1130</v>
      </c>
      <c r="D1096" s="3" t="s">
        <v>14</v>
      </c>
      <c r="E1096" s="3" t="s">
        <v>466</v>
      </c>
      <c r="F1096" s="4">
        <v>46261</v>
      </c>
      <c r="G1096" s="3" t="s">
        <v>17</v>
      </c>
      <c r="H1096" s="5">
        <v>-31363.200000000001</v>
      </c>
      <c r="I1096" s="3" t="s">
        <v>18</v>
      </c>
      <c r="J1096" s="3" t="s">
        <v>14</v>
      </c>
      <c r="K1096" s="3" t="s">
        <v>14</v>
      </c>
      <c r="L1096" s="3" t="s">
        <v>1056</v>
      </c>
      <c r="M1096" s="4">
        <v>46263</v>
      </c>
      <c r="N1096" s="3" t="s">
        <v>1131</v>
      </c>
      <c r="O1096" s="3" t="s">
        <v>128</v>
      </c>
      <c r="P1096" t="str">
        <f t="shared" si="17"/>
        <v>4500135589250</v>
      </c>
      <c r="Q1096" s="7" cm="1">
        <f t="array" ref="Q1096:S1096">VLOOKUP(P1096,Hoja1!C:F,{2,3,4},FALSE)</f>
        <v>46255</v>
      </c>
      <c r="R1096" t="str">
        <v>C27</v>
      </c>
      <c r="S1096" t="str">
        <v>1000007373 ANGIULLI SERGIO RAUL</v>
      </c>
    </row>
    <row r="1097" spans="1:19" x14ac:dyDescent="0.3">
      <c r="A1097" s="2" t="s">
        <v>14</v>
      </c>
      <c r="B1097" s="3" t="s">
        <v>14</v>
      </c>
      <c r="C1097" s="3" t="s">
        <v>1130</v>
      </c>
      <c r="D1097" s="3" t="s">
        <v>14</v>
      </c>
      <c r="E1097" s="3" t="s">
        <v>466</v>
      </c>
      <c r="F1097" s="4">
        <v>46261</v>
      </c>
      <c r="G1097" s="3" t="s">
        <v>17</v>
      </c>
      <c r="H1097" s="5">
        <v>-42620.160000000003</v>
      </c>
      <c r="I1097" s="3" t="s">
        <v>18</v>
      </c>
      <c r="J1097" s="3" t="s">
        <v>14</v>
      </c>
      <c r="K1097" s="3" t="s">
        <v>14</v>
      </c>
      <c r="L1097" s="3" t="s">
        <v>1056</v>
      </c>
      <c r="M1097" s="4">
        <v>46263</v>
      </c>
      <c r="N1097" s="3" t="s">
        <v>1131</v>
      </c>
      <c r="O1097" s="3" t="s">
        <v>126</v>
      </c>
      <c r="P1097" t="str">
        <f t="shared" si="17"/>
        <v>4500135589260</v>
      </c>
      <c r="Q1097" s="7" cm="1">
        <f t="array" ref="Q1097:S1097">VLOOKUP(P1097,Hoja1!C:F,{2,3,4},FALSE)</f>
        <v>46255</v>
      </c>
      <c r="R1097" t="str">
        <v>C27</v>
      </c>
      <c r="S1097" t="str">
        <v>1000007373 ANGIULLI SERGIO RAUL</v>
      </c>
    </row>
    <row r="1098" spans="1:19" x14ac:dyDescent="0.3">
      <c r="A1098" s="2" t="s">
        <v>14</v>
      </c>
      <c r="B1098" s="3" t="s">
        <v>14</v>
      </c>
      <c r="C1098" s="3" t="s">
        <v>1130</v>
      </c>
      <c r="D1098" s="3" t="s">
        <v>14</v>
      </c>
      <c r="E1098" s="3" t="s">
        <v>466</v>
      </c>
      <c r="F1098" s="4">
        <v>46261</v>
      </c>
      <c r="G1098" s="3" t="s">
        <v>17</v>
      </c>
      <c r="H1098" s="5">
        <v>-79244.88</v>
      </c>
      <c r="I1098" s="3" t="s">
        <v>18</v>
      </c>
      <c r="J1098" s="3" t="s">
        <v>14</v>
      </c>
      <c r="K1098" s="3" t="s">
        <v>14</v>
      </c>
      <c r="L1098" s="3" t="s">
        <v>1056</v>
      </c>
      <c r="M1098" s="4">
        <v>46263</v>
      </c>
      <c r="N1098" s="3" t="s">
        <v>1131</v>
      </c>
      <c r="O1098" s="3" t="s">
        <v>146</v>
      </c>
      <c r="P1098" t="str">
        <f t="shared" si="17"/>
        <v>4500135589270</v>
      </c>
      <c r="Q1098" s="7" cm="1">
        <f t="array" ref="Q1098:S1098">VLOOKUP(P1098,Hoja1!C:F,{2,3,4},FALSE)</f>
        <v>46255</v>
      </c>
      <c r="R1098" t="str">
        <v>C27</v>
      </c>
      <c r="S1098" t="str">
        <v>1000007373 ANGIULLI SERGIO RAUL</v>
      </c>
    </row>
    <row r="1099" spans="1:19" x14ac:dyDescent="0.3">
      <c r="A1099" s="2" t="s">
        <v>14</v>
      </c>
      <c r="B1099" s="3" t="s">
        <v>14</v>
      </c>
      <c r="C1099" s="3" t="s">
        <v>1130</v>
      </c>
      <c r="D1099" s="3" t="s">
        <v>14</v>
      </c>
      <c r="E1099" s="3" t="s">
        <v>466</v>
      </c>
      <c r="F1099" s="4">
        <v>46261</v>
      </c>
      <c r="G1099" s="3" t="s">
        <v>17</v>
      </c>
      <c r="H1099" s="5">
        <v>-44367.839999999997</v>
      </c>
      <c r="I1099" s="3" t="s">
        <v>18</v>
      </c>
      <c r="J1099" s="3" t="s">
        <v>14</v>
      </c>
      <c r="K1099" s="3" t="s">
        <v>14</v>
      </c>
      <c r="L1099" s="3" t="s">
        <v>1056</v>
      </c>
      <c r="M1099" s="4">
        <v>46263</v>
      </c>
      <c r="N1099" s="3" t="s">
        <v>1131</v>
      </c>
      <c r="O1099" s="3" t="s">
        <v>133</v>
      </c>
      <c r="P1099" t="str">
        <f t="shared" si="17"/>
        <v>4500135589280</v>
      </c>
      <c r="Q1099" s="7" cm="1">
        <f t="array" ref="Q1099:S1099">VLOOKUP(P1099,Hoja1!C:F,{2,3,4},FALSE)</f>
        <v>46255</v>
      </c>
      <c r="R1099" t="str">
        <v>C27</v>
      </c>
      <c r="S1099" t="str">
        <v>1000007373 ANGIULLI SERGIO RAUL</v>
      </c>
    </row>
    <row r="1100" spans="1:19" x14ac:dyDescent="0.3">
      <c r="A1100" s="2" t="s">
        <v>14</v>
      </c>
      <c r="B1100" s="3" t="s">
        <v>14</v>
      </c>
      <c r="C1100" s="3" t="s">
        <v>1130</v>
      </c>
      <c r="D1100" s="3" t="s">
        <v>14</v>
      </c>
      <c r="E1100" s="3" t="s">
        <v>466</v>
      </c>
      <c r="F1100" s="4">
        <v>46261</v>
      </c>
      <c r="G1100" s="3" t="s">
        <v>17</v>
      </c>
      <c r="H1100" s="5">
        <v>-56770.559999999998</v>
      </c>
      <c r="I1100" s="3" t="s">
        <v>18</v>
      </c>
      <c r="J1100" s="3" t="s">
        <v>14</v>
      </c>
      <c r="K1100" s="3" t="s">
        <v>14</v>
      </c>
      <c r="L1100" s="3" t="s">
        <v>1056</v>
      </c>
      <c r="M1100" s="4">
        <v>46263</v>
      </c>
      <c r="N1100" s="3" t="s">
        <v>1131</v>
      </c>
      <c r="O1100" s="3" t="s">
        <v>173</v>
      </c>
      <c r="P1100" t="str">
        <f t="shared" si="17"/>
        <v>4500135589290</v>
      </c>
      <c r="Q1100" s="7" cm="1">
        <f t="array" ref="Q1100:S1100">VLOOKUP(P1100,Hoja1!C:F,{2,3,4},FALSE)</f>
        <v>46255</v>
      </c>
      <c r="R1100" t="str">
        <v>C27</v>
      </c>
      <c r="S1100" t="str">
        <v>1000007373 ANGIULLI SERGIO RAUL</v>
      </c>
    </row>
    <row r="1101" spans="1:19" x14ac:dyDescent="0.3">
      <c r="A1101" s="2" t="s">
        <v>14</v>
      </c>
      <c r="B1101" s="3" t="s">
        <v>14</v>
      </c>
      <c r="C1101" s="3" t="s">
        <v>1130</v>
      </c>
      <c r="D1101" s="3" t="s">
        <v>14</v>
      </c>
      <c r="E1101" s="3" t="s">
        <v>466</v>
      </c>
      <c r="F1101" s="4">
        <v>46261</v>
      </c>
      <c r="G1101" s="3" t="s">
        <v>17</v>
      </c>
      <c r="H1101" s="5">
        <v>-47324.639999999999</v>
      </c>
      <c r="I1101" s="3" t="s">
        <v>18</v>
      </c>
      <c r="J1101" s="3" t="s">
        <v>14</v>
      </c>
      <c r="K1101" s="3" t="s">
        <v>14</v>
      </c>
      <c r="L1101" s="3" t="s">
        <v>1056</v>
      </c>
      <c r="M1101" s="4">
        <v>46263</v>
      </c>
      <c r="N1101" s="3" t="s">
        <v>1131</v>
      </c>
      <c r="O1101" s="3" t="s">
        <v>145</v>
      </c>
      <c r="P1101" t="str">
        <f t="shared" si="17"/>
        <v>4500135589300</v>
      </c>
      <c r="Q1101" s="7" cm="1">
        <f t="array" ref="Q1101:S1101">VLOOKUP(P1101,Hoja1!C:F,{2,3,4},FALSE)</f>
        <v>46255</v>
      </c>
      <c r="R1101" t="str">
        <v>C27</v>
      </c>
      <c r="S1101" t="str">
        <v>1000007373 ANGIULLI SERGIO RAUL</v>
      </c>
    </row>
    <row r="1102" spans="1:19" x14ac:dyDescent="0.3">
      <c r="A1102" s="2" t="s">
        <v>14</v>
      </c>
      <c r="B1102" s="3" t="s">
        <v>14</v>
      </c>
      <c r="C1102" s="3" t="s">
        <v>1130</v>
      </c>
      <c r="D1102" s="3" t="s">
        <v>14</v>
      </c>
      <c r="E1102" s="3" t="s">
        <v>466</v>
      </c>
      <c r="F1102" s="4">
        <v>46261</v>
      </c>
      <c r="G1102" s="3" t="s">
        <v>17</v>
      </c>
      <c r="H1102" s="5">
        <v>-54415.68</v>
      </c>
      <c r="I1102" s="3" t="s">
        <v>18</v>
      </c>
      <c r="J1102" s="3" t="s">
        <v>14</v>
      </c>
      <c r="K1102" s="3" t="s">
        <v>14</v>
      </c>
      <c r="L1102" s="3" t="s">
        <v>1056</v>
      </c>
      <c r="M1102" s="4">
        <v>46263</v>
      </c>
      <c r="N1102" s="3" t="s">
        <v>1131</v>
      </c>
      <c r="O1102" s="3" t="s">
        <v>147</v>
      </c>
      <c r="P1102" t="str">
        <f t="shared" si="17"/>
        <v>4500135589310</v>
      </c>
      <c r="Q1102" s="7" cm="1">
        <f t="array" ref="Q1102:S1102">VLOOKUP(P1102,Hoja1!C:F,{2,3,4},FALSE)</f>
        <v>46255</v>
      </c>
      <c r="R1102" t="str">
        <v>C27</v>
      </c>
      <c r="S1102" t="str">
        <v>1000007373 ANGIULLI SERGIO RAUL</v>
      </c>
    </row>
    <row r="1103" spans="1:19" x14ac:dyDescent="0.3">
      <c r="A1103" s="2" t="s">
        <v>14</v>
      </c>
      <c r="B1103" s="3" t="s">
        <v>14</v>
      </c>
      <c r="C1103" s="3" t="s">
        <v>1130</v>
      </c>
      <c r="D1103" s="3" t="s">
        <v>14</v>
      </c>
      <c r="E1103" s="3" t="s">
        <v>466</v>
      </c>
      <c r="F1103" s="4">
        <v>46261</v>
      </c>
      <c r="G1103" s="3" t="s">
        <v>17</v>
      </c>
      <c r="H1103" s="5">
        <v>-73392</v>
      </c>
      <c r="I1103" s="3" t="s">
        <v>18</v>
      </c>
      <c r="J1103" s="3" t="s">
        <v>14</v>
      </c>
      <c r="K1103" s="3" t="s">
        <v>14</v>
      </c>
      <c r="L1103" s="3" t="s">
        <v>1056</v>
      </c>
      <c r="M1103" s="4">
        <v>46263</v>
      </c>
      <c r="N1103" s="3" t="s">
        <v>1131</v>
      </c>
      <c r="O1103" s="3" t="s">
        <v>150</v>
      </c>
      <c r="P1103" t="str">
        <f t="shared" si="17"/>
        <v>4500135589320</v>
      </c>
      <c r="Q1103" s="7" cm="1">
        <f t="array" ref="Q1103:S1103">VLOOKUP(P1103,Hoja1!C:F,{2,3,4},FALSE)</f>
        <v>46255</v>
      </c>
      <c r="R1103" t="str">
        <v>C27</v>
      </c>
      <c r="S1103" t="str">
        <v>1000007373 ANGIULLI SERGIO RAUL</v>
      </c>
    </row>
    <row r="1104" spans="1:19" x14ac:dyDescent="0.3">
      <c r="A1104" s="2" t="s">
        <v>14</v>
      </c>
      <c r="B1104" s="3" t="s">
        <v>14</v>
      </c>
      <c r="C1104" s="3" t="s">
        <v>1130</v>
      </c>
      <c r="D1104" s="3" t="s">
        <v>14</v>
      </c>
      <c r="E1104" s="3" t="s">
        <v>466</v>
      </c>
      <c r="F1104" s="4">
        <v>46261</v>
      </c>
      <c r="G1104" s="3" t="s">
        <v>17</v>
      </c>
      <c r="H1104" s="5">
        <v>-26021.439999999999</v>
      </c>
      <c r="I1104" s="3" t="s">
        <v>18</v>
      </c>
      <c r="J1104" s="3" t="s">
        <v>14</v>
      </c>
      <c r="K1104" s="3" t="s">
        <v>14</v>
      </c>
      <c r="L1104" s="3" t="s">
        <v>1056</v>
      </c>
      <c r="M1104" s="4">
        <v>46263</v>
      </c>
      <c r="N1104" s="3" t="s">
        <v>1131</v>
      </c>
      <c r="O1104" s="3" t="s">
        <v>154</v>
      </c>
      <c r="P1104" t="str">
        <f t="shared" si="17"/>
        <v>4500135589330</v>
      </c>
      <c r="Q1104" s="7" cm="1">
        <f t="array" ref="Q1104:S1104">VLOOKUP(P1104,Hoja1!C:F,{2,3,4},FALSE)</f>
        <v>46255</v>
      </c>
      <c r="R1104" t="str">
        <v>C27</v>
      </c>
      <c r="S1104" t="str">
        <v>1000007373 ANGIULLI SERGIO RAUL</v>
      </c>
    </row>
    <row r="1105" spans="1:19" x14ac:dyDescent="0.3">
      <c r="A1105" s="2" t="s">
        <v>14</v>
      </c>
      <c r="B1105" s="3" t="s">
        <v>14</v>
      </c>
      <c r="C1105" s="3" t="s">
        <v>1130</v>
      </c>
      <c r="D1105" s="3" t="s">
        <v>14</v>
      </c>
      <c r="E1105" s="3" t="s">
        <v>466</v>
      </c>
      <c r="F1105" s="4">
        <v>46261</v>
      </c>
      <c r="G1105" s="3" t="s">
        <v>17</v>
      </c>
      <c r="H1105" s="5">
        <v>-42620.160000000003</v>
      </c>
      <c r="I1105" s="3" t="s">
        <v>18</v>
      </c>
      <c r="J1105" s="3" t="s">
        <v>14</v>
      </c>
      <c r="K1105" s="3" t="s">
        <v>14</v>
      </c>
      <c r="L1105" s="3" t="s">
        <v>1056</v>
      </c>
      <c r="M1105" s="4">
        <v>46263</v>
      </c>
      <c r="N1105" s="3" t="s">
        <v>1131</v>
      </c>
      <c r="O1105" s="3" t="s">
        <v>135</v>
      </c>
      <c r="P1105" t="str">
        <f t="shared" si="17"/>
        <v>4500135589340</v>
      </c>
      <c r="Q1105" s="7" cm="1">
        <f t="array" ref="Q1105:S1105">VLOOKUP(P1105,Hoja1!C:F,{2,3,4},FALSE)</f>
        <v>46255</v>
      </c>
      <c r="R1105" t="str">
        <v>C27</v>
      </c>
      <c r="S1105" t="str">
        <v>1000007373 ANGIULLI SERGIO RAUL</v>
      </c>
    </row>
    <row r="1106" spans="1:19" x14ac:dyDescent="0.3">
      <c r="A1106" s="2" t="s">
        <v>14</v>
      </c>
      <c r="B1106" s="3" t="s">
        <v>14</v>
      </c>
      <c r="C1106" s="3" t="s">
        <v>1130</v>
      </c>
      <c r="D1106" s="3" t="s">
        <v>14</v>
      </c>
      <c r="E1106" s="3" t="s">
        <v>466</v>
      </c>
      <c r="F1106" s="4">
        <v>46261</v>
      </c>
      <c r="G1106" s="3" t="s">
        <v>17</v>
      </c>
      <c r="H1106" s="5">
        <v>-30159.360000000001</v>
      </c>
      <c r="I1106" s="3" t="s">
        <v>18</v>
      </c>
      <c r="J1106" s="3" t="s">
        <v>14</v>
      </c>
      <c r="K1106" s="3" t="s">
        <v>14</v>
      </c>
      <c r="L1106" s="3" t="s">
        <v>1056</v>
      </c>
      <c r="M1106" s="4">
        <v>46263</v>
      </c>
      <c r="N1106" s="3" t="s">
        <v>1131</v>
      </c>
      <c r="O1106" s="3" t="s">
        <v>139</v>
      </c>
      <c r="P1106" t="str">
        <f t="shared" si="17"/>
        <v>4500135589350</v>
      </c>
      <c r="Q1106" s="7" cm="1">
        <f t="array" ref="Q1106:S1106">VLOOKUP(P1106,Hoja1!C:F,{2,3,4},FALSE)</f>
        <v>46255</v>
      </c>
      <c r="R1106" t="str">
        <v>C27</v>
      </c>
      <c r="S1106" t="str">
        <v>1000007373 ANGIULLI SERGIO RAUL</v>
      </c>
    </row>
    <row r="1107" spans="1:19" x14ac:dyDescent="0.3">
      <c r="A1107" s="2" t="s">
        <v>14</v>
      </c>
      <c r="B1107" s="3" t="s">
        <v>14</v>
      </c>
      <c r="C1107" s="3" t="s">
        <v>1130</v>
      </c>
      <c r="D1107" s="3" t="s">
        <v>14</v>
      </c>
      <c r="E1107" s="3" t="s">
        <v>466</v>
      </c>
      <c r="F1107" s="4">
        <v>46261</v>
      </c>
      <c r="G1107" s="3" t="s">
        <v>17</v>
      </c>
      <c r="H1107" s="5">
        <v>-46733.279999999999</v>
      </c>
      <c r="I1107" s="3" t="s">
        <v>18</v>
      </c>
      <c r="J1107" s="3" t="s">
        <v>14</v>
      </c>
      <c r="K1107" s="3" t="s">
        <v>14</v>
      </c>
      <c r="L1107" s="3" t="s">
        <v>1056</v>
      </c>
      <c r="M1107" s="4">
        <v>46263</v>
      </c>
      <c r="N1107" s="3" t="s">
        <v>1131</v>
      </c>
      <c r="O1107" s="3" t="s">
        <v>168</v>
      </c>
      <c r="P1107" t="str">
        <f t="shared" si="17"/>
        <v>4500135589360</v>
      </c>
      <c r="Q1107" s="7" cm="1">
        <f t="array" ref="Q1107:S1107">VLOOKUP(P1107,Hoja1!C:F,{2,3,4},FALSE)</f>
        <v>46255</v>
      </c>
      <c r="R1107" t="str">
        <v>C27</v>
      </c>
      <c r="S1107" t="str">
        <v>1000007373 ANGIULLI SERGIO RAUL</v>
      </c>
    </row>
    <row r="1108" spans="1:19" x14ac:dyDescent="0.3">
      <c r="A1108" s="2" t="s">
        <v>14</v>
      </c>
      <c r="B1108" s="3" t="s">
        <v>14</v>
      </c>
      <c r="C1108" s="3" t="s">
        <v>1130</v>
      </c>
      <c r="D1108" s="3" t="s">
        <v>14</v>
      </c>
      <c r="E1108" s="3" t="s">
        <v>466</v>
      </c>
      <c r="F1108" s="4">
        <v>46261</v>
      </c>
      <c r="G1108" s="3" t="s">
        <v>17</v>
      </c>
      <c r="H1108" s="5">
        <v>-38448.959999999999</v>
      </c>
      <c r="I1108" s="3" t="s">
        <v>18</v>
      </c>
      <c r="J1108" s="3" t="s">
        <v>14</v>
      </c>
      <c r="K1108" s="3" t="s">
        <v>14</v>
      </c>
      <c r="L1108" s="3" t="s">
        <v>1056</v>
      </c>
      <c r="M1108" s="4">
        <v>46263</v>
      </c>
      <c r="N1108" s="3" t="s">
        <v>1131</v>
      </c>
      <c r="O1108" s="3" t="s">
        <v>162</v>
      </c>
      <c r="P1108" t="str">
        <f t="shared" si="17"/>
        <v>4500135589370</v>
      </c>
      <c r="Q1108" s="7" cm="1">
        <f t="array" ref="Q1108:S1108">VLOOKUP(P1108,Hoja1!C:F,{2,3,4},FALSE)</f>
        <v>46255</v>
      </c>
      <c r="R1108" t="str">
        <v>C27</v>
      </c>
      <c r="S1108" t="str">
        <v>1000007373 ANGIULLI SERGIO RAUL</v>
      </c>
    </row>
    <row r="1109" spans="1:19" x14ac:dyDescent="0.3">
      <c r="A1109" s="2" t="s">
        <v>14</v>
      </c>
      <c r="B1109" s="3" t="s">
        <v>14</v>
      </c>
      <c r="C1109" s="3" t="s">
        <v>1130</v>
      </c>
      <c r="D1109" s="3" t="s">
        <v>14</v>
      </c>
      <c r="E1109" s="3" t="s">
        <v>466</v>
      </c>
      <c r="F1109" s="4">
        <v>46261</v>
      </c>
      <c r="G1109" s="3" t="s">
        <v>17</v>
      </c>
      <c r="H1109" s="5">
        <v>-26025.119999999999</v>
      </c>
      <c r="I1109" s="3" t="s">
        <v>18</v>
      </c>
      <c r="J1109" s="3" t="s">
        <v>14</v>
      </c>
      <c r="K1109" s="3" t="s">
        <v>14</v>
      </c>
      <c r="L1109" s="3" t="s">
        <v>1056</v>
      </c>
      <c r="M1109" s="4">
        <v>46263</v>
      </c>
      <c r="N1109" s="3" t="s">
        <v>1131</v>
      </c>
      <c r="O1109" s="3" t="s">
        <v>1132</v>
      </c>
      <c r="P1109" t="str">
        <f t="shared" si="17"/>
        <v>4500135589380</v>
      </c>
      <c r="Q1109" s="7" cm="1">
        <f t="array" ref="Q1109:S1109">VLOOKUP(P1109,Hoja1!C:F,{2,3,4},FALSE)</f>
        <v>46255</v>
      </c>
      <c r="R1109" t="str">
        <v>C27</v>
      </c>
      <c r="S1109" t="str">
        <v>1000007373 ANGIULLI SERGIO RAUL</v>
      </c>
    </row>
    <row r="1110" spans="1:19" x14ac:dyDescent="0.3">
      <c r="A1110" s="2" t="s">
        <v>14</v>
      </c>
      <c r="B1110" s="3" t="s">
        <v>14</v>
      </c>
      <c r="C1110" s="3" t="s">
        <v>1130</v>
      </c>
      <c r="D1110" s="3" t="s">
        <v>14</v>
      </c>
      <c r="E1110" s="3" t="s">
        <v>466</v>
      </c>
      <c r="F1110" s="4">
        <v>46261</v>
      </c>
      <c r="G1110" s="3" t="s">
        <v>17</v>
      </c>
      <c r="H1110" s="5">
        <v>-26025.119999999999</v>
      </c>
      <c r="I1110" s="3" t="s">
        <v>18</v>
      </c>
      <c r="J1110" s="3" t="s">
        <v>14</v>
      </c>
      <c r="K1110" s="3" t="s">
        <v>14</v>
      </c>
      <c r="L1110" s="3" t="s">
        <v>1056</v>
      </c>
      <c r="M1110" s="4">
        <v>46263</v>
      </c>
      <c r="N1110" s="3" t="s">
        <v>1131</v>
      </c>
      <c r="O1110" s="3" t="s">
        <v>158</v>
      </c>
      <c r="P1110" t="str">
        <f t="shared" si="17"/>
        <v>4500135589390</v>
      </c>
      <c r="Q1110" s="7" cm="1">
        <f t="array" ref="Q1110:S1110">VLOOKUP(P1110,Hoja1!C:F,{2,3,4},FALSE)</f>
        <v>46255</v>
      </c>
      <c r="R1110" t="str">
        <v>C27</v>
      </c>
      <c r="S1110" t="str">
        <v>1000007373 ANGIULLI SERGIO RAUL</v>
      </c>
    </row>
    <row r="1111" spans="1:19" x14ac:dyDescent="0.3">
      <c r="A1111" s="2" t="s">
        <v>14</v>
      </c>
      <c r="B1111" s="3" t="s">
        <v>14</v>
      </c>
      <c r="C1111" s="3" t="s">
        <v>1130</v>
      </c>
      <c r="D1111" s="3" t="s">
        <v>14</v>
      </c>
      <c r="E1111" s="3" t="s">
        <v>466</v>
      </c>
      <c r="F1111" s="4">
        <v>46261</v>
      </c>
      <c r="G1111" s="3" t="s">
        <v>17</v>
      </c>
      <c r="H1111" s="5">
        <v>-26025.119999999999</v>
      </c>
      <c r="I1111" s="3" t="s">
        <v>18</v>
      </c>
      <c r="J1111" s="3" t="s">
        <v>14</v>
      </c>
      <c r="K1111" s="3" t="s">
        <v>14</v>
      </c>
      <c r="L1111" s="3" t="s">
        <v>1056</v>
      </c>
      <c r="M1111" s="4">
        <v>46263</v>
      </c>
      <c r="N1111" s="3" t="s">
        <v>1131</v>
      </c>
      <c r="O1111" s="3" t="s">
        <v>178</v>
      </c>
      <c r="P1111" t="str">
        <f t="shared" si="17"/>
        <v>4500135589400</v>
      </c>
      <c r="Q1111" s="7" cm="1">
        <f t="array" ref="Q1111:S1111">VLOOKUP(P1111,Hoja1!C:F,{2,3,4},FALSE)</f>
        <v>46255</v>
      </c>
      <c r="R1111" t="str">
        <v>C27</v>
      </c>
      <c r="S1111" t="str">
        <v>1000007373 ANGIULLI SERGIO RAUL</v>
      </c>
    </row>
    <row r="1112" spans="1:19" x14ac:dyDescent="0.3">
      <c r="A1112" s="2" t="s">
        <v>14</v>
      </c>
      <c r="B1112" s="3" t="s">
        <v>14</v>
      </c>
      <c r="C1112" s="3" t="s">
        <v>1130</v>
      </c>
      <c r="D1112" s="3" t="s">
        <v>14</v>
      </c>
      <c r="E1112" s="3" t="s">
        <v>466</v>
      </c>
      <c r="F1112" s="4">
        <v>46261</v>
      </c>
      <c r="G1112" s="3" t="s">
        <v>17</v>
      </c>
      <c r="H1112" s="5">
        <v>-26025.119999999999</v>
      </c>
      <c r="I1112" s="3" t="s">
        <v>18</v>
      </c>
      <c r="J1112" s="3" t="s">
        <v>14</v>
      </c>
      <c r="K1112" s="3" t="s">
        <v>14</v>
      </c>
      <c r="L1112" s="3" t="s">
        <v>1056</v>
      </c>
      <c r="M1112" s="4">
        <v>46263</v>
      </c>
      <c r="N1112" s="3" t="s">
        <v>1131</v>
      </c>
      <c r="O1112" s="3" t="s">
        <v>157</v>
      </c>
      <c r="P1112" t="str">
        <f t="shared" si="17"/>
        <v>4500135589410</v>
      </c>
      <c r="Q1112" s="7" cm="1">
        <f t="array" ref="Q1112:S1112">VLOOKUP(P1112,Hoja1!C:F,{2,3,4},FALSE)</f>
        <v>46255</v>
      </c>
      <c r="R1112" t="str">
        <v>C27</v>
      </c>
      <c r="S1112" t="str">
        <v>1000007373 ANGIULLI SERGIO RAUL</v>
      </c>
    </row>
    <row r="1113" spans="1:19" x14ac:dyDescent="0.3">
      <c r="A1113" s="2" t="s">
        <v>14</v>
      </c>
      <c r="B1113" s="3" t="s">
        <v>14</v>
      </c>
      <c r="C1113" s="3" t="s">
        <v>1130</v>
      </c>
      <c r="D1113" s="3" t="s">
        <v>14</v>
      </c>
      <c r="E1113" s="3" t="s">
        <v>466</v>
      </c>
      <c r="F1113" s="4">
        <v>46261</v>
      </c>
      <c r="G1113" s="3" t="s">
        <v>17</v>
      </c>
      <c r="H1113" s="5">
        <v>-26025.119999999999</v>
      </c>
      <c r="I1113" s="3" t="s">
        <v>18</v>
      </c>
      <c r="J1113" s="3" t="s">
        <v>14</v>
      </c>
      <c r="K1113" s="3" t="s">
        <v>14</v>
      </c>
      <c r="L1113" s="3" t="s">
        <v>1056</v>
      </c>
      <c r="M1113" s="4">
        <v>46263</v>
      </c>
      <c r="N1113" s="3" t="s">
        <v>1131</v>
      </c>
      <c r="O1113" s="3" t="s">
        <v>155</v>
      </c>
      <c r="P1113" t="str">
        <f t="shared" si="17"/>
        <v>4500135589420</v>
      </c>
      <c r="Q1113" s="7" cm="1">
        <f t="array" ref="Q1113:S1113">VLOOKUP(P1113,Hoja1!C:F,{2,3,4},FALSE)</f>
        <v>46255</v>
      </c>
      <c r="R1113" t="str">
        <v>C27</v>
      </c>
      <c r="S1113" t="str">
        <v>1000007373 ANGIULLI SERGIO RAUL</v>
      </c>
    </row>
    <row r="1114" spans="1:19" x14ac:dyDescent="0.3">
      <c r="A1114" s="2" t="s">
        <v>14</v>
      </c>
      <c r="B1114" s="3" t="s">
        <v>14</v>
      </c>
      <c r="C1114" s="3" t="s">
        <v>1130</v>
      </c>
      <c r="D1114" s="3" t="s">
        <v>14</v>
      </c>
      <c r="E1114" s="3" t="s">
        <v>466</v>
      </c>
      <c r="F1114" s="4">
        <v>46261</v>
      </c>
      <c r="G1114" s="3" t="s">
        <v>17</v>
      </c>
      <c r="H1114" s="5">
        <v>-37282.080000000002</v>
      </c>
      <c r="I1114" s="3" t="s">
        <v>18</v>
      </c>
      <c r="J1114" s="3" t="s">
        <v>14</v>
      </c>
      <c r="K1114" s="3" t="s">
        <v>14</v>
      </c>
      <c r="L1114" s="3" t="s">
        <v>1056</v>
      </c>
      <c r="M1114" s="4">
        <v>46263</v>
      </c>
      <c r="N1114" s="3" t="s">
        <v>1131</v>
      </c>
      <c r="O1114" s="3" t="s">
        <v>166</v>
      </c>
      <c r="P1114" t="str">
        <f t="shared" si="17"/>
        <v>4500135589430</v>
      </c>
      <c r="Q1114" s="7" cm="1">
        <f t="array" ref="Q1114:S1114">VLOOKUP(P1114,Hoja1!C:F,{2,3,4},FALSE)</f>
        <v>46255</v>
      </c>
      <c r="R1114" t="str">
        <v>C27</v>
      </c>
      <c r="S1114" t="str">
        <v>1000007373 ANGIULLI SERGIO RAUL</v>
      </c>
    </row>
    <row r="1115" spans="1:19" x14ac:dyDescent="0.3">
      <c r="A1115" s="2" t="s">
        <v>14</v>
      </c>
      <c r="B1115" s="3" t="s">
        <v>14</v>
      </c>
      <c r="C1115" s="3" t="s">
        <v>1130</v>
      </c>
      <c r="D1115" s="3" t="s">
        <v>14</v>
      </c>
      <c r="E1115" s="3" t="s">
        <v>466</v>
      </c>
      <c r="F1115" s="4">
        <v>46261</v>
      </c>
      <c r="G1115" s="3" t="s">
        <v>17</v>
      </c>
      <c r="H1115" s="5">
        <v>-69801.600000000006</v>
      </c>
      <c r="I1115" s="3" t="s">
        <v>18</v>
      </c>
      <c r="J1115" s="3" t="s">
        <v>14</v>
      </c>
      <c r="K1115" s="3" t="s">
        <v>14</v>
      </c>
      <c r="L1115" s="3" t="s">
        <v>1056</v>
      </c>
      <c r="M1115" s="4">
        <v>46263</v>
      </c>
      <c r="N1115" s="3" t="s">
        <v>1131</v>
      </c>
      <c r="O1115" s="3" t="s">
        <v>164</v>
      </c>
      <c r="P1115" t="str">
        <f t="shared" si="17"/>
        <v>4500135589440</v>
      </c>
      <c r="Q1115" s="7" cm="1">
        <f t="array" ref="Q1115:S1115">VLOOKUP(P1115,Hoja1!C:F,{2,3,4},FALSE)</f>
        <v>46255</v>
      </c>
      <c r="R1115" t="str">
        <v>C27</v>
      </c>
      <c r="S1115" t="str">
        <v>1000007373 ANGIULLI SERGIO RAUL</v>
      </c>
    </row>
    <row r="1116" spans="1:19" x14ac:dyDescent="0.3">
      <c r="A1116" s="2" t="s">
        <v>14</v>
      </c>
      <c r="B1116" s="3" t="s">
        <v>14</v>
      </c>
      <c r="C1116" s="3" t="s">
        <v>1130</v>
      </c>
      <c r="D1116" s="3" t="s">
        <v>14</v>
      </c>
      <c r="E1116" s="3" t="s">
        <v>466</v>
      </c>
      <c r="F1116" s="4">
        <v>46261</v>
      </c>
      <c r="G1116" s="3" t="s">
        <v>17</v>
      </c>
      <c r="H1116" s="5">
        <v>-30159.360000000001</v>
      </c>
      <c r="I1116" s="3" t="s">
        <v>18</v>
      </c>
      <c r="J1116" s="3" t="s">
        <v>14</v>
      </c>
      <c r="K1116" s="3" t="s">
        <v>14</v>
      </c>
      <c r="L1116" s="3" t="s">
        <v>1056</v>
      </c>
      <c r="M1116" s="4">
        <v>46263</v>
      </c>
      <c r="N1116" s="3" t="s">
        <v>1131</v>
      </c>
      <c r="O1116" s="3" t="s">
        <v>169</v>
      </c>
      <c r="P1116" t="str">
        <f t="shared" si="17"/>
        <v>4500135589450</v>
      </c>
      <c r="Q1116" s="7" cm="1">
        <f t="array" ref="Q1116:S1116">VLOOKUP(P1116,Hoja1!C:F,{2,3,4},FALSE)</f>
        <v>46255</v>
      </c>
      <c r="R1116" t="str">
        <v>C27</v>
      </c>
      <c r="S1116" t="str">
        <v>1000007373 ANGIULLI SERGIO RAUL</v>
      </c>
    </row>
    <row r="1117" spans="1:19" x14ac:dyDescent="0.3">
      <c r="A1117" s="2" t="s">
        <v>14</v>
      </c>
      <c r="B1117" s="3" t="s">
        <v>14</v>
      </c>
      <c r="C1117" s="3" t="s">
        <v>1130</v>
      </c>
      <c r="D1117" s="3" t="s">
        <v>14</v>
      </c>
      <c r="E1117" s="3" t="s">
        <v>466</v>
      </c>
      <c r="F1117" s="4">
        <v>46261</v>
      </c>
      <c r="G1117" s="3" t="s">
        <v>17</v>
      </c>
      <c r="H1117" s="5">
        <v>-271027.68</v>
      </c>
      <c r="I1117" s="3" t="s">
        <v>18</v>
      </c>
      <c r="J1117" s="3" t="s">
        <v>14</v>
      </c>
      <c r="K1117" s="3" t="s">
        <v>14</v>
      </c>
      <c r="L1117" s="3" t="s">
        <v>1056</v>
      </c>
      <c r="M1117" s="4">
        <v>46263</v>
      </c>
      <c r="N1117" s="3" t="s">
        <v>1131</v>
      </c>
      <c r="O1117" s="3" t="s">
        <v>170</v>
      </c>
      <c r="P1117" t="str">
        <f t="shared" si="17"/>
        <v>4500135589460</v>
      </c>
      <c r="Q1117" s="7" cm="1">
        <f t="array" ref="Q1117:S1117">VLOOKUP(P1117,Hoja1!C:F,{2,3,4},FALSE)</f>
        <v>46255</v>
      </c>
      <c r="R1117" t="str">
        <v>C27</v>
      </c>
      <c r="S1117" t="str">
        <v>1000007373 ANGIULLI SERGIO RAUL</v>
      </c>
    </row>
    <row r="1118" spans="1:19" x14ac:dyDescent="0.3">
      <c r="A1118" s="2" t="s">
        <v>14</v>
      </c>
      <c r="B1118" s="3" t="s">
        <v>14</v>
      </c>
      <c r="C1118" s="3" t="s">
        <v>1130</v>
      </c>
      <c r="D1118" s="3" t="s">
        <v>14</v>
      </c>
      <c r="E1118" s="3" t="s">
        <v>466</v>
      </c>
      <c r="F1118" s="4">
        <v>46261</v>
      </c>
      <c r="G1118" s="3" t="s">
        <v>17</v>
      </c>
      <c r="H1118" s="5">
        <v>-656903.19999999995</v>
      </c>
      <c r="I1118" s="3" t="s">
        <v>18</v>
      </c>
      <c r="J1118" s="3" t="s">
        <v>14</v>
      </c>
      <c r="K1118" s="3" t="s">
        <v>14</v>
      </c>
      <c r="L1118" s="3" t="s">
        <v>1056</v>
      </c>
      <c r="M1118" s="4">
        <v>46263</v>
      </c>
      <c r="N1118" s="3" t="s">
        <v>1131</v>
      </c>
      <c r="O1118" s="3" t="s">
        <v>171</v>
      </c>
      <c r="P1118" t="str">
        <f t="shared" si="17"/>
        <v>4500135589470</v>
      </c>
      <c r="Q1118" s="7" cm="1">
        <f t="array" ref="Q1118:S1118">VLOOKUP(P1118,Hoja1!C:F,{2,3,4},FALSE)</f>
        <v>46255</v>
      </c>
      <c r="R1118" t="str">
        <v>C27</v>
      </c>
      <c r="S1118" t="str">
        <v>1000007373 ANGIULLI SERGIO RAUL</v>
      </c>
    </row>
    <row r="1119" spans="1:19" x14ac:dyDescent="0.3">
      <c r="A1119" s="2" t="s">
        <v>14</v>
      </c>
      <c r="B1119" s="3" t="s">
        <v>14</v>
      </c>
      <c r="C1119" s="3" t="s">
        <v>1130</v>
      </c>
      <c r="D1119" s="3" t="s">
        <v>14</v>
      </c>
      <c r="E1119" s="3" t="s">
        <v>466</v>
      </c>
      <c r="F1119" s="4">
        <v>46261</v>
      </c>
      <c r="G1119" s="3" t="s">
        <v>17</v>
      </c>
      <c r="H1119" s="5">
        <v>-128383.2</v>
      </c>
      <c r="I1119" s="3" t="s">
        <v>18</v>
      </c>
      <c r="J1119" s="3" t="s">
        <v>14</v>
      </c>
      <c r="K1119" s="3" t="s">
        <v>14</v>
      </c>
      <c r="L1119" s="3" t="s">
        <v>1056</v>
      </c>
      <c r="M1119" s="4">
        <v>46263</v>
      </c>
      <c r="N1119" s="3" t="s">
        <v>1131</v>
      </c>
      <c r="O1119" s="3" t="s">
        <v>172</v>
      </c>
      <c r="P1119" t="str">
        <f t="shared" si="17"/>
        <v>4500135589480</v>
      </c>
      <c r="Q1119" s="7" cm="1">
        <f t="array" ref="Q1119:S1119">VLOOKUP(P1119,Hoja1!C:F,{2,3,4},FALSE)</f>
        <v>46255</v>
      </c>
      <c r="R1119" t="str">
        <v>C27</v>
      </c>
      <c r="S1119" t="str">
        <v>1000007373 ANGIULLI SERGIO RAUL</v>
      </c>
    </row>
    <row r="1120" spans="1:19" x14ac:dyDescent="0.3">
      <c r="A1120" s="2" t="s">
        <v>14</v>
      </c>
      <c r="B1120" s="3" t="s">
        <v>14</v>
      </c>
      <c r="C1120" s="3" t="s">
        <v>1130</v>
      </c>
      <c r="D1120" s="3" t="s">
        <v>14</v>
      </c>
      <c r="E1120" s="3" t="s">
        <v>466</v>
      </c>
      <c r="F1120" s="4">
        <v>46261</v>
      </c>
      <c r="G1120" s="3" t="s">
        <v>17</v>
      </c>
      <c r="H1120" s="5">
        <v>-140812.32</v>
      </c>
      <c r="I1120" s="3" t="s">
        <v>18</v>
      </c>
      <c r="J1120" s="3" t="s">
        <v>14</v>
      </c>
      <c r="K1120" s="3" t="s">
        <v>14</v>
      </c>
      <c r="L1120" s="3" t="s">
        <v>1056</v>
      </c>
      <c r="M1120" s="4">
        <v>46263</v>
      </c>
      <c r="N1120" s="3" t="s">
        <v>1131</v>
      </c>
      <c r="O1120" s="3" t="s">
        <v>1133</v>
      </c>
      <c r="P1120" t="str">
        <f t="shared" si="17"/>
        <v>4500135589490</v>
      </c>
      <c r="Q1120" s="7" cm="1">
        <f t="array" ref="Q1120:S1120">VLOOKUP(P1120,Hoja1!C:F,{2,3,4},FALSE)</f>
        <v>46255</v>
      </c>
      <c r="R1120" t="str">
        <v>C27</v>
      </c>
      <c r="S1120" t="str">
        <v>1000007373 ANGIULLI SERGIO RAUL</v>
      </c>
    </row>
    <row r="1121" spans="1:19" x14ac:dyDescent="0.3">
      <c r="A1121" s="2" t="s">
        <v>14</v>
      </c>
      <c r="B1121" s="3" t="s">
        <v>14</v>
      </c>
      <c r="C1121" s="3" t="s">
        <v>1130</v>
      </c>
      <c r="D1121" s="3" t="s">
        <v>14</v>
      </c>
      <c r="E1121" s="3" t="s">
        <v>466</v>
      </c>
      <c r="F1121" s="4">
        <v>46261</v>
      </c>
      <c r="G1121" s="3" t="s">
        <v>17</v>
      </c>
      <c r="H1121" s="5">
        <v>-165670.56</v>
      </c>
      <c r="I1121" s="3" t="s">
        <v>18</v>
      </c>
      <c r="J1121" s="3" t="s">
        <v>14</v>
      </c>
      <c r="K1121" s="3" t="s">
        <v>14</v>
      </c>
      <c r="L1121" s="3" t="s">
        <v>1056</v>
      </c>
      <c r="M1121" s="4">
        <v>46263</v>
      </c>
      <c r="N1121" s="3" t="s">
        <v>1131</v>
      </c>
      <c r="O1121" s="3" t="s">
        <v>160</v>
      </c>
      <c r="P1121" t="str">
        <f t="shared" si="17"/>
        <v>4500135589500</v>
      </c>
      <c r="Q1121" s="7" cm="1">
        <f t="array" ref="Q1121:S1121">VLOOKUP(P1121,Hoja1!C:F,{2,3,4},FALSE)</f>
        <v>46255</v>
      </c>
      <c r="R1121" t="str">
        <v>C27</v>
      </c>
      <c r="S1121" t="str">
        <v>1000007373 ANGIULLI SERGIO RAUL</v>
      </c>
    </row>
    <row r="1122" spans="1:19" x14ac:dyDescent="0.3">
      <c r="A1122" s="2" t="s">
        <v>14</v>
      </c>
      <c r="B1122" s="3" t="s">
        <v>14</v>
      </c>
      <c r="C1122" s="3" t="s">
        <v>1130</v>
      </c>
      <c r="D1122" s="3" t="s">
        <v>14</v>
      </c>
      <c r="E1122" s="3" t="s">
        <v>466</v>
      </c>
      <c r="F1122" s="4">
        <v>46261</v>
      </c>
      <c r="G1122" s="3" t="s">
        <v>17</v>
      </c>
      <c r="H1122" s="5">
        <v>-130743.36</v>
      </c>
      <c r="I1122" s="3" t="s">
        <v>18</v>
      </c>
      <c r="J1122" s="3" t="s">
        <v>14</v>
      </c>
      <c r="K1122" s="3" t="s">
        <v>14</v>
      </c>
      <c r="L1122" s="3" t="s">
        <v>1056</v>
      </c>
      <c r="M1122" s="4">
        <v>46263</v>
      </c>
      <c r="N1122" s="3" t="s">
        <v>1131</v>
      </c>
      <c r="O1122" s="3" t="s">
        <v>1134</v>
      </c>
      <c r="P1122" t="str">
        <f t="shared" si="17"/>
        <v>4500135589520</v>
      </c>
      <c r="Q1122" s="7" cm="1">
        <f t="array" ref="Q1122:S1122">VLOOKUP(P1122,Hoja1!C:F,{2,3,4},FALSE)</f>
        <v>46255</v>
      </c>
      <c r="R1122" t="str">
        <v>C27</v>
      </c>
      <c r="S1122" t="str">
        <v>1000007373 ANGIULLI SERGIO RAUL</v>
      </c>
    </row>
    <row r="1123" spans="1:19" x14ac:dyDescent="0.3">
      <c r="A1123" s="2" t="s">
        <v>14</v>
      </c>
      <c r="B1123" s="3" t="s">
        <v>14</v>
      </c>
      <c r="C1123" s="3" t="s">
        <v>1130</v>
      </c>
      <c r="D1123" s="3" t="s">
        <v>14</v>
      </c>
      <c r="E1123" s="3" t="s">
        <v>466</v>
      </c>
      <c r="F1123" s="4">
        <v>46261</v>
      </c>
      <c r="G1123" s="3" t="s">
        <v>17</v>
      </c>
      <c r="H1123" s="5">
        <v>-101777.28</v>
      </c>
      <c r="I1123" s="3" t="s">
        <v>18</v>
      </c>
      <c r="J1123" s="3" t="s">
        <v>14</v>
      </c>
      <c r="K1123" s="3" t="s">
        <v>14</v>
      </c>
      <c r="L1123" s="3" t="s">
        <v>1056</v>
      </c>
      <c r="M1123" s="4">
        <v>46263</v>
      </c>
      <c r="N1123" s="3" t="s">
        <v>1131</v>
      </c>
      <c r="O1123" s="3" t="s">
        <v>151</v>
      </c>
      <c r="P1123" t="str">
        <f t="shared" si="17"/>
        <v>4500135589540</v>
      </c>
      <c r="Q1123" s="7" cm="1">
        <f t="array" ref="Q1123:S1123">VLOOKUP(P1123,Hoja1!C:F,{2,3,4},FALSE)</f>
        <v>46255</v>
      </c>
      <c r="R1123" t="str">
        <v>C27</v>
      </c>
      <c r="S1123" t="str">
        <v>1000007373 ANGIULLI SERGIO RAUL</v>
      </c>
    </row>
    <row r="1124" spans="1:19" x14ac:dyDescent="0.3">
      <c r="A1124" s="2" t="s">
        <v>14</v>
      </c>
      <c r="B1124" s="3" t="s">
        <v>14</v>
      </c>
      <c r="C1124" s="3" t="s">
        <v>1130</v>
      </c>
      <c r="D1124" s="3" t="s">
        <v>14</v>
      </c>
      <c r="E1124" s="3" t="s">
        <v>466</v>
      </c>
      <c r="F1124" s="4">
        <v>46261</v>
      </c>
      <c r="G1124" s="3" t="s">
        <v>17</v>
      </c>
      <c r="H1124" s="5">
        <v>-101777.28</v>
      </c>
      <c r="I1124" s="3" t="s">
        <v>18</v>
      </c>
      <c r="J1124" s="3" t="s">
        <v>14</v>
      </c>
      <c r="K1124" s="3" t="s">
        <v>14</v>
      </c>
      <c r="L1124" s="3" t="s">
        <v>1056</v>
      </c>
      <c r="M1124" s="4">
        <v>46263</v>
      </c>
      <c r="N1124" s="3" t="s">
        <v>1131</v>
      </c>
      <c r="O1124" s="3" t="s">
        <v>153</v>
      </c>
      <c r="P1124" t="str">
        <f t="shared" si="17"/>
        <v>4500135589550</v>
      </c>
      <c r="Q1124" s="7" cm="1">
        <f t="array" ref="Q1124:S1124">VLOOKUP(P1124,Hoja1!C:F,{2,3,4},FALSE)</f>
        <v>46255</v>
      </c>
      <c r="R1124" t="str">
        <v>C27</v>
      </c>
      <c r="S1124" t="str">
        <v>1000007373 ANGIULLI SERGIO RAUL</v>
      </c>
    </row>
    <row r="1125" spans="1:19" x14ac:dyDescent="0.3">
      <c r="A1125" s="2" t="s">
        <v>14</v>
      </c>
      <c r="B1125" s="3" t="s">
        <v>14</v>
      </c>
      <c r="C1125" s="3" t="s">
        <v>1130</v>
      </c>
      <c r="D1125" s="3" t="s">
        <v>14</v>
      </c>
      <c r="E1125" s="3" t="s">
        <v>466</v>
      </c>
      <c r="F1125" s="4">
        <v>46261</v>
      </c>
      <c r="G1125" s="3" t="s">
        <v>17</v>
      </c>
      <c r="H1125" s="5">
        <v>-376184.16</v>
      </c>
      <c r="I1125" s="3" t="s">
        <v>18</v>
      </c>
      <c r="J1125" s="3" t="s">
        <v>14</v>
      </c>
      <c r="K1125" s="3" t="s">
        <v>14</v>
      </c>
      <c r="L1125" s="3" t="s">
        <v>1056</v>
      </c>
      <c r="M1125" s="4">
        <v>46263</v>
      </c>
      <c r="N1125" s="3" t="s">
        <v>1131</v>
      </c>
      <c r="O1125" s="3" t="s">
        <v>175</v>
      </c>
      <c r="P1125" t="str">
        <f t="shared" si="17"/>
        <v>4500135589620</v>
      </c>
      <c r="Q1125" s="7" cm="1">
        <f t="array" ref="Q1125:S1125">VLOOKUP(P1125,Hoja1!C:F,{2,3,4},FALSE)</f>
        <v>46255</v>
      </c>
      <c r="R1125" t="str">
        <v>C27</v>
      </c>
      <c r="S1125" t="str">
        <v>1000007373 ANGIULLI SERGIO RAUL</v>
      </c>
    </row>
    <row r="1126" spans="1:19" x14ac:dyDescent="0.3">
      <c r="A1126" s="2" t="s">
        <v>14</v>
      </c>
      <c r="B1126" s="3" t="s">
        <v>14</v>
      </c>
      <c r="C1126" s="3" t="s">
        <v>1130</v>
      </c>
      <c r="D1126" s="3" t="s">
        <v>14</v>
      </c>
      <c r="E1126" s="3" t="s">
        <v>466</v>
      </c>
      <c r="F1126" s="4">
        <v>46261</v>
      </c>
      <c r="G1126" s="3" t="s">
        <v>17</v>
      </c>
      <c r="H1126" s="5">
        <v>-26019.84</v>
      </c>
      <c r="I1126" s="3" t="s">
        <v>18</v>
      </c>
      <c r="J1126" s="3" t="s">
        <v>14</v>
      </c>
      <c r="K1126" s="3" t="s">
        <v>14</v>
      </c>
      <c r="L1126" s="3" t="s">
        <v>1056</v>
      </c>
      <c r="M1126" s="4">
        <v>46263</v>
      </c>
      <c r="N1126" s="3" t="s">
        <v>1131</v>
      </c>
      <c r="O1126" s="3" t="s">
        <v>149</v>
      </c>
      <c r="P1126" t="str">
        <f t="shared" si="17"/>
        <v>4500135589640</v>
      </c>
      <c r="Q1126" s="7" cm="1">
        <f t="array" ref="Q1126:S1126">VLOOKUP(P1126,Hoja1!C:F,{2,3,4},FALSE)</f>
        <v>46255</v>
      </c>
      <c r="R1126" t="str">
        <v>C27</v>
      </c>
      <c r="S1126" t="str">
        <v>1000007373 ANGIULLI SERGIO RAUL</v>
      </c>
    </row>
    <row r="1127" spans="1:19" x14ac:dyDescent="0.3">
      <c r="A1127" s="2" t="s">
        <v>14</v>
      </c>
      <c r="B1127" s="3" t="s">
        <v>14</v>
      </c>
      <c r="C1127" s="3" t="s">
        <v>1135</v>
      </c>
      <c r="D1127" s="3" t="s">
        <v>14</v>
      </c>
      <c r="E1127" s="3" t="s">
        <v>466</v>
      </c>
      <c r="F1127" s="4">
        <v>46261</v>
      </c>
      <c r="G1127" s="3" t="s">
        <v>17</v>
      </c>
      <c r="H1127" s="5">
        <v>-2436000</v>
      </c>
      <c r="I1127" s="3" t="s">
        <v>18</v>
      </c>
      <c r="J1127" s="3" t="s">
        <v>14</v>
      </c>
      <c r="K1127" s="3" t="s">
        <v>14</v>
      </c>
      <c r="L1127" s="3" t="s">
        <v>1136</v>
      </c>
      <c r="M1127" s="4">
        <v>46263</v>
      </c>
      <c r="N1127" s="3" t="s">
        <v>1137</v>
      </c>
      <c r="O1127" s="3" t="s">
        <v>30</v>
      </c>
      <c r="P1127" t="str">
        <f t="shared" si="17"/>
        <v>450013635210</v>
      </c>
      <c r="Q1127" s="7" cm="1">
        <f t="array" ref="Q1127:S1127">VLOOKUP(P1127,Hoja1!C:F,{2,3,4},FALSE)</f>
        <v>46261</v>
      </c>
      <c r="R1127" t="str">
        <v>C27</v>
      </c>
      <c r="S1127" t="str">
        <v>1000000388 WURTH ARGENTINA S.A.</v>
      </c>
    </row>
    <row r="1128" spans="1:19" x14ac:dyDescent="0.3">
      <c r="A1128" s="2" t="s">
        <v>14</v>
      </c>
      <c r="B1128" s="3" t="s">
        <v>14</v>
      </c>
      <c r="C1128" s="3" t="s">
        <v>1138</v>
      </c>
      <c r="D1128" s="3" t="s">
        <v>14</v>
      </c>
      <c r="E1128" s="3" t="s">
        <v>466</v>
      </c>
      <c r="F1128" s="4">
        <v>46263</v>
      </c>
      <c r="G1128" s="3" t="s">
        <v>17</v>
      </c>
      <c r="H1128" s="5">
        <v>-52600</v>
      </c>
      <c r="I1128" s="3" t="s">
        <v>18</v>
      </c>
      <c r="J1128" s="3" t="s">
        <v>14</v>
      </c>
      <c r="K1128" s="3" t="s">
        <v>14</v>
      </c>
      <c r="L1128" s="3" t="s">
        <v>949</v>
      </c>
      <c r="M1128" s="4">
        <v>46263</v>
      </c>
      <c r="N1128" s="3" t="s">
        <v>1139</v>
      </c>
      <c r="O1128" s="3" t="s">
        <v>30</v>
      </c>
      <c r="P1128" t="str">
        <f t="shared" si="17"/>
        <v>450013681610</v>
      </c>
      <c r="Q1128" s="7" cm="1">
        <f t="array" ref="Q1128:S1128">VLOOKUP(P1128,Hoja1!C:F,{2,3,4},FALSE)</f>
        <v>46279</v>
      </c>
      <c r="R1128" t="str">
        <v>EFO</v>
      </c>
      <c r="S1128" t="str">
        <v>1000003117 SALDAÑA CARLOS ALBERTO</v>
      </c>
    </row>
    <row r="1129" spans="1:19" x14ac:dyDescent="0.3">
      <c r="A1129" s="2" t="s">
        <v>14</v>
      </c>
      <c r="B1129" s="3" t="s">
        <v>14</v>
      </c>
      <c r="C1129" s="3" t="s">
        <v>1140</v>
      </c>
      <c r="D1129" s="3" t="s">
        <v>32</v>
      </c>
      <c r="E1129" s="3" t="s">
        <v>466</v>
      </c>
      <c r="F1129" s="4">
        <v>46263</v>
      </c>
      <c r="G1129" s="3" t="s">
        <v>17</v>
      </c>
      <c r="H1129" s="5">
        <v>-6431.24</v>
      </c>
      <c r="I1129" s="3" t="s">
        <v>18</v>
      </c>
      <c r="J1129" s="3" t="s">
        <v>14</v>
      </c>
      <c r="K1129" s="3" t="s">
        <v>14</v>
      </c>
      <c r="L1129" s="3" t="s">
        <v>335</v>
      </c>
      <c r="M1129" s="4">
        <v>46263</v>
      </c>
      <c r="N1129" s="3" t="s">
        <v>336</v>
      </c>
      <c r="O1129" s="3" t="s">
        <v>30</v>
      </c>
      <c r="P1129" t="str">
        <f t="shared" si="17"/>
        <v>450013124310</v>
      </c>
      <c r="Q1129" s="7" cm="1">
        <f t="array" ref="Q1129:S1129">VLOOKUP(P1129,Hoja1!C:F,{2,3,4},FALSE)</f>
        <v>46433</v>
      </c>
      <c r="R1129" t="str">
        <v>C21</v>
      </c>
      <c r="S1129" t="str">
        <v>1000013302 PETROTRES SA</v>
      </c>
    </row>
    <row r="1130" spans="1:19" x14ac:dyDescent="0.3">
      <c r="A1130" s="2" t="s">
        <v>14</v>
      </c>
      <c r="B1130" s="3" t="s">
        <v>14</v>
      </c>
      <c r="C1130" s="3" t="s">
        <v>1140</v>
      </c>
      <c r="D1130" s="3" t="s">
        <v>32</v>
      </c>
      <c r="E1130" s="3" t="s">
        <v>466</v>
      </c>
      <c r="F1130" s="4">
        <v>46263</v>
      </c>
      <c r="G1130" s="3" t="s">
        <v>17</v>
      </c>
      <c r="H1130" s="5">
        <v>-394.01</v>
      </c>
      <c r="I1130" s="3" t="s">
        <v>18</v>
      </c>
      <c r="J1130" s="3" t="s">
        <v>14</v>
      </c>
      <c r="K1130" s="3" t="s">
        <v>14</v>
      </c>
      <c r="L1130" s="3" t="s">
        <v>335</v>
      </c>
      <c r="M1130" s="4">
        <v>46263</v>
      </c>
      <c r="N1130" s="3" t="s">
        <v>336</v>
      </c>
      <c r="O1130" s="3" t="s">
        <v>30</v>
      </c>
      <c r="P1130" t="str">
        <f t="shared" si="17"/>
        <v>450013124310</v>
      </c>
      <c r="Q1130" s="7" cm="1">
        <f t="array" ref="Q1130:S1130">VLOOKUP(P1130,Hoja1!C:F,{2,3,4},FALSE)</f>
        <v>46433</v>
      </c>
      <c r="R1130" t="str">
        <v>C21</v>
      </c>
      <c r="S1130" t="str">
        <v>1000013302 PETROTRES SA</v>
      </c>
    </row>
    <row r="1131" spans="1:19" x14ac:dyDescent="0.3">
      <c r="A1131" s="2" t="s">
        <v>14</v>
      </c>
      <c r="B1131" s="3" t="s">
        <v>14</v>
      </c>
      <c r="C1131" s="3" t="s">
        <v>1141</v>
      </c>
      <c r="D1131" s="3" t="s">
        <v>32</v>
      </c>
      <c r="E1131" s="3" t="s">
        <v>466</v>
      </c>
      <c r="F1131" s="4">
        <v>46263</v>
      </c>
      <c r="G1131" s="3" t="s">
        <v>17</v>
      </c>
      <c r="H1131" s="5">
        <v>-6999.44</v>
      </c>
      <c r="I1131" s="3" t="s">
        <v>18</v>
      </c>
      <c r="J1131" s="3" t="s">
        <v>14</v>
      </c>
      <c r="K1131" s="3" t="s">
        <v>14</v>
      </c>
      <c r="L1131" s="3" t="s">
        <v>335</v>
      </c>
      <c r="M1131" s="4">
        <v>46263</v>
      </c>
      <c r="N1131" s="3" t="s">
        <v>336</v>
      </c>
      <c r="O1131" s="3" t="s">
        <v>30</v>
      </c>
      <c r="P1131" t="str">
        <f t="shared" si="17"/>
        <v>450013124310</v>
      </c>
      <c r="Q1131" s="7" cm="1">
        <f t="array" ref="Q1131:S1131">VLOOKUP(P1131,Hoja1!C:F,{2,3,4},FALSE)</f>
        <v>46433</v>
      </c>
      <c r="R1131" t="str">
        <v>C21</v>
      </c>
      <c r="S1131" t="str">
        <v>1000013302 PETROTRES SA</v>
      </c>
    </row>
    <row r="1132" spans="1:19" x14ac:dyDescent="0.3">
      <c r="A1132" s="2" t="s">
        <v>14</v>
      </c>
      <c r="B1132" s="3" t="s">
        <v>14</v>
      </c>
      <c r="C1132" s="3" t="s">
        <v>1141</v>
      </c>
      <c r="D1132" s="3" t="s">
        <v>32</v>
      </c>
      <c r="E1132" s="3" t="s">
        <v>466</v>
      </c>
      <c r="F1132" s="4">
        <v>46263</v>
      </c>
      <c r="G1132" s="3" t="s">
        <v>17</v>
      </c>
      <c r="H1132" s="5">
        <v>-428.82</v>
      </c>
      <c r="I1132" s="3" t="s">
        <v>18</v>
      </c>
      <c r="J1132" s="3" t="s">
        <v>14</v>
      </c>
      <c r="K1132" s="3" t="s">
        <v>14</v>
      </c>
      <c r="L1132" s="3" t="s">
        <v>335</v>
      </c>
      <c r="M1132" s="4">
        <v>46263</v>
      </c>
      <c r="N1132" s="3" t="s">
        <v>336</v>
      </c>
      <c r="O1132" s="3" t="s">
        <v>30</v>
      </c>
      <c r="P1132" t="str">
        <f t="shared" si="17"/>
        <v>450013124310</v>
      </c>
      <c r="Q1132" s="7" cm="1">
        <f t="array" ref="Q1132:S1132">VLOOKUP(P1132,Hoja1!C:F,{2,3,4},FALSE)</f>
        <v>46433</v>
      </c>
      <c r="R1132" t="str">
        <v>C21</v>
      </c>
      <c r="S1132" t="str">
        <v>1000013302 PETROTRES SA</v>
      </c>
    </row>
    <row r="1133" spans="1:19" x14ac:dyDescent="0.3">
      <c r="A1133" s="2" t="s">
        <v>14</v>
      </c>
      <c r="B1133" s="3" t="s">
        <v>14</v>
      </c>
      <c r="C1133" s="3" t="s">
        <v>1142</v>
      </c>
      <c r="D1133" s="3" t="s">
        <v>32</v>
      </c>
      <c r="E1133" s="3" t="s">
        <v>466</v>
      </c>
      <c r="F1133" s="4">
        <v>46263</v>
      </c>
      <c r="G1133" s="3" t="s">
        <v>17</v>
      </c>
      <c r="H1133" s="5">
        <v>-6266.79</v>
      </c>
      <c r="I1133" s="3" t="s">
        <v>18</v>
      </c>
      <c r="J1133" s="3" t="s">
        <v>14</v>
      </c>
      <c r="K1133" s="3" t="s">
        <v>14</v>
      </c>
      <c r="L1133" s="3" t="s">
        <v>335</v>
      </c>
      <c r="M1133" s="4">
        <v>46263</v>
      </c>
      <c r="N1133" s="3" t="s">
        <v>336</v>
      </c>
      <c r="O1133" s="3" t="s">
        <v>30</v>
      </c>
      <c r="P1133" t="str">
        <f t="shared" si="17"/>
        <v>450013124310</v>
      </c>
      <c r="Q1133" s="7" cm="1">
        <f t="array" ref="Q1133:S1133">VLOOKUP(P1133,Hoja1!C:F,{2,3,4},FALSE)</f>
        <v>46433</v>
      </c>
      <c r="R1133" t="str">
        <v>C21</v>
      </c>
      <c r="S1133" t="str">
        <v>1000013302 PETROTRES SA</v>
      </c>
    </row>
    <row r="1134" spans="1:19" x14ac:dyDescent="0.3">
      <c r="A1134" s="2" t="s">
        <v>14</v>
      </c>
      <c r="B1134" s="3" t="s">
        <v>14</v>
      </c>
      <c r="C1134" s="3" t="s">
        <v>1142</v>
      </c>
      <c r="D1134" s="3" t="s">
        <v>32</v>
      </c>
      <c r="E1134" s="3" t="s">
        <v>466</v>
      </c>
      <c r="F1134" s="4">
        <v>46263</v>
      </c>
      <c r="G1134" s="3" t="s">
        <v>17</v>
      </c>
      <c r="H1134" s="5">
        <v>-383.93</v>
      </c>
      <c r="I1134" s="3" t="s">
        <v>18</v>
      </c>
      <c r="J1134" s="3" t="s">
        <v>14</v>
      </c>
      <c r="K1134" s="3" t="s">
        <v>14</v>
      </c>
      <c r="L1134" s="3" t="s">
        <v>335</v>
      </c>
      <c r="M1134" s="4">
        <v>46263</v>
      </c>
      <c r="N1134" s="3" t="s">
        <v>336</v>
      </c>
      <c r="O1134" s="3" t="s">
        <v>30</v>
      </c>
      <c r="P1134" t="str">
        <f t="shared" si="17"/>
        <v>450013124310</v>
      </c>
      <c r="Q1134" s="7" cm="1">
        <f t="array" ref="Q1134:S1134">VLOOKUP(P1134,Hoja1!C:F,{2,3,4},FALSE)</f>
        <v>46433</v>
      </c>
      <c r="R1134" t="str">
        <v>C21</v>
      </c>
      <c r="S1134" t="str">
        <v>1000013302 PETROTRES SA</v>
      </c>
    </row>
    <row r="1135" spans="1:19" x14ac:dyDescent="0.3">
      <c r="A1135" s="2" t="s">
        <v>14</v>
      </c>
      <c r="B1135" s="3" t="s">
        <v>14</v>
      </c>
      <c r="C1135" s="3" t="s">
        <v>1143</v>
      </c>
      <c r="D1135" s="3" t="s">
        <v>14</v>
      </c>
      <c r="E1135" s="3" t="s">
        <v>466</v>
      </c>
      <c r="F1135" s="4">
        <v>46263</v>
      </c>
      <c r="G1135" s="3" t="s">
        <v>17</v>
      </c>
      <c r="H1135" s="5">
        <v>-5723002.7699999996</v>
      </c>
      <c r="I1135" s="3" t="s">
        <v>18</v>
      </c>
      <c r="J1135" s="3" t="s">
        <v>14</v>
      </c>
      <c r="K1135" s="3" t="s">
        <v>14</v>
      </c>
      <c r="L1135" s="3" t="s">
        <v>73</v>
      </c>
      <c r="M1135" s="4">
        <v>46263</v>
      </c>
      <c r="N1135" s="3" t="s">
        <v>81</v>
      </c>
      <c r="O1135" s="3" t="s">
        <v>30</v>
      </c>
      <c r="P1135" t="str">
        <f t="shared" si="17"/>
        <v>450012991410</v>
      </c>
      <c r="Q1135" s="7" cm="1">
        <f t="array" ref="Q1135:S1135">VLOOKUP(P1135,Hoja1!C:F,{2,3,4},FALSE)</f>
        <v>46295</v>
      </c>
      <c r="R1135" t="str">
        <v>C21</v>
      </c>
      <c r="S1135" t="str">
        <v>1000000808 GLOBAL OIL S.R.L.</v>
      </c>
    </row>
    <row r="1136" spans="1:19" x14ac:dyDescent="0.3">
      <c r="A1136" s="2" t="s">
        <v>14</v>
      </c>
      <c r="B1136" s="3" t="s">
        <v>14</v>
      </c>
      <c r="C1136" s="3" t="s">
        <v>1143</v>
      </c>
      <c r="D1136" s="3" t="s">
        <v>14</v>
      </c>
      <c r="E1136" s="3" t="s">
        <v>466</v>
      </c>
      <c r="F1136" s="4">
        <v>46263</v>
      </c>
      <c r="G1136" s="3" t="s">
        <v>17</v>
      </c>
      <c r="H1136" s="5">
        <v>-502627.72</v>
      </c>
      <c r="I1136" s="3" t="s">
        <v>18</v>
      </c>
      <c r="J1136" s="3" t="s">
        <v>14</v>
      </c>
      <c r="K1136" s="3" t="s">
        <v>14</v>
      </c>
      <c r="L1136" s="3" t="s">
        <v>73</v>
      </c>
      <c r="M1136" s="4">
        <v>46263</v>
      </c>
      <c r="N1136" s="3" t="s">
        <v>81</v>
      </c>
      <c r="O1136" s="3" t="s">
        <v>30</v>
      </c>
      <c r="P1136" t="str">
        <f t="shared" si="17"/>
        <v>450012991410</v>
      </c>
      <c r="Q1136" s="7" cm="1">
        <f t="array" ref="Q1136:S1136">VLOOKUP(P1136,Hoja1!C:F,{2,3,4},FALSE)</f>
        <v>46295</v>
      </c>
      <c r="R1136" t="str">
        <v>C21</v>
      </c>
      <c r="S1136" t="str">
        <v>1000000808 GLOBAL OIL S.R.L.</v>
      </c>
    </row>
    <row r="1137" spans="1:19" x14ac:dyDescent="0.3">
      <c r="A1137" s="2" t="s">
        <v>14</v>
      </c>
      <c r="B1137" s="3" t="s">
        <v>14</v>
      </c>
      <c r="C1137" s="3" t="s">
        <v>1143</v>
      </c>
      <c r="D1137" s="3" t="s">
        <v>14</v>
      </c>
      <c r="E1137" s="3" t="s">
        <v>466</v>
      </c>
      <c r="F1137" s="4">
        <v>46263</v>
      </c>
      <c r="G1137" s="3" t="s">
        <v>17</v>
      </c>
      <c r="H1137" s="5">
        <v>-105801.65</v>
      </c>
      <c r="I1137" s="3" t="s">
        <v>18</v>
      </c>
      <c r="J1137" s="3" t="s">
        <v>14</v>
      </c>
      <c r="K1137" s="3" t="s">
        <v>14</v>
      </c>
      <c r="L1137" s="3" t="s">
        <v>73</v>
      </c>
      <c r="M1137" s="4">
        <v>46263</v>
      </c>
      <c r="N1137" s="3" t="s">
        <v>81</v>
      </c>
      <c r="O1137" s="3" t="s">
        <v>30</v>
      </c>
      <c r="P1137" t="str">
        <f t="shared" si="17"/>
        <v>450012991410</v>
      </c>
      <c r="Q1137" s="7" cm="1">
        <f t="array" ref="Q1137:S1137">VLOOKUP(P1137,Hoja1!C:F,{2,3,4},FALSE)</f>
        <v>46295</v>
      </c>
      <c r="R1137" t="str">
        <v>C21</v>
      </c>
      <c r="S1137" t="str">
        <v>1000000808 GLOBAL OIL S.R.L.</v>
      </c>
    </row>
    <row r="1138" spans="1:19" x14ac:dyDescent="0.3">
      <c r="A1138" s="2" t="s">
        <v>14</v>
      </c>
      <c r="B1138" s="3" t="s">
        <v>14</v>
      </c>
      <c r="C1138" s="3" t="s">
        <v>1144</v>
      </c>
      <c r="D1138" s="3" t="s">
        <v>14</v>
      </c>
      <c r="E1138" s="3" t="s">
        <v>466</v>
      </c>
      <c r="F1138" s="4">
        <v>46264</v>
      </c>
      <c r="G1138" s="3" t="s">
        <v>17</v>
      </c>
      <c r="H1138" s="5">
        <v>-606353.57999999996</v>
      </c>
      <c r="I1138" s="3" t="s">
        <v>18</v>
      </c>
      <c r="J1138" s="3" t="s">
        <v>14</v>
      </c>
      <c r="K1138" s="3" t="s">
        <v>14</v>
      </c>
      <c r="L1138" s="3" t="s">
        <v>1145</v>
      </c>
      <c r="M1138" s="4">
        <v>46264</v>
      </c>
      <c r="N1138" s="3" t="s">
        <v>1146</v>
      </c>
      <c r="O1138" s="3" t="s">
        <v>30</v>
      </c>
      <c r="P1138" t="str">
        <f t="shared" si="17"/>
        <v>450013015210</v>
      </c>
      <c r="Q1138" s="7" cm="1">
        <f t="array" ref="Q1138:S1138">VLOOKUP(P1138,Hoja1!C:F,{2,3,4},FALSE)</f>
        <v>46182</v>
      </c>
      <c r="R1138" t="str">
        <v>EFO</v>
      </c>
      <c r="S1138" t="str">
        <v>1000000189 POBERAJ S.A.</v>
      </c>
    </row>
    <row r="1139" spans="1:19" x14ac:dyDescent="0.3">
      <c r="A1139" s="2" t="s">
        <v>14</v>
      </c>
      <c r="B1139" s="3" t="s">
        <v>14</v>
      </c>
      <c r="C1139" s="3" t="s">
        <v>1147</v>
      </c>
      <c r="D1139" s="3" t="s">
        <v>14</v>
      </c>
      <c r="E1139" s="3" t="s">
        <v>466</v>
      </c>
      <c r="F1139" s="4">
        <v>46265</v>
      </c>
      <c r="G1139" s="3" t="s">
        <v>17</v>
      </c>
      <c r="H1139" s="5">
        <v>-306444</v>
      </c>
      <c r="I1139" s="3" t="s">
        <v>18</v>
      </c>
      <c r="J1139" s="3" t="s">
        <v>14</v>
      </c>
      <c r="K1139" s="3" t="s">
        <v>14</v>
      </c>
      <c r="L1139" s="3" t="s">
        <v>991</v>
      </c>
      <c r="M1139" s="4">
        <v>46265</v>
      </c>
      <c r="N1139" s="3" t="s">
        <v>1148</v>
      </c>
      <c r="O1139" s="3" t="s">
        <v>30</v>
      </c>
      <c r="P1139" t="str">
        <f t="shared" si="17"/>
        <v>450013648410</v>
      </c>
      <c r="Q1139" s="7" cm="1">
        <f t="array" ref="Q1139:S1139">VLOOKUP(P1139,Hoja1!C:F,{2,3,4},FALSE)</f>
        <v>46262</v>
      </c>
      <c r="R1139" t="str">
        <v>C03</v>
      </c>
      <c r="S1139" t="str">
        <v>1000008805 SAKURA MOTORS S. A.</v>
      </c>
    </row>
    <row r="1140" spans="1:19" x14ac:dyDescent="0.3">
      <c r="A1140" s="2" t="s">
        <v>14</v>
      </c>
      <c r="B1140" s="3" t="s">
        <v>14</v>
      </c>
      <c r="C1140" s="3" t="s">
        <v>1147</v>
      </c>
      <c r="D1140" s="3" t="s">
        <v>14</v>
      </c>
      <c r="E1140" s="3" t="s">
        <v>466</v>
      </c>
      <c r="F1140" s="4">
        <v>46265</v>
      </c>
      <c r="G1140" s="3" t="s">
        <v>17</v>
      </c>
      <c r="H1140" s="5">
        <v>-30640</v>
      </c>
      <c r="I1140" s="3" t="s">
        <v>18</v>
      </c>
      <c r="J1140" s="3" t="s">
        <v>14</v>
      </c>
      <c r="K1140" s="3" t="s">
        <v>14</v>
      </c>
      <c r="L1140" s="3" t="s">
        <v>991</v>
      </c>
      <c r="M1140" s="4">
        <v>46265</v>
      </c>
      <c r="N1140" s="3" t="s">
        <v>1148</v>
      </c>
      <c r="O1140" s="3" t="s">
        <v>22</v>
      </c>
      <c r="P1140" t="str">
        <f t="shared" si="17"/>
        <v>450013648420</v>
      </c>
      <c r="Q1140" s="7" cm="1">
        <f t="array" ref="Q1140:S1140">VLOOKUP(P1140,Hoja1!C:F,{2,3,4},FALSE)</f>
        <v>46262</v>
      </c>
      <c r="R1140" t="str">
        <v>C03</v>
      </c>
      <c r="S1140" t="str">
        <v>1000008805 SAKURA MOTORS S. A.</v>
      </c>
    </row>
    <row r="1141" spans="1:19" x14ac:dyDescent="0.3">
      <c r="A1141" s="2" t="s">
        <v>14</v>
      </c>
      <c r="B1141" s="3" t="s">
        <v>14</v>
      </c>
      <c r="C1141" s="3" t="s">
        <v>1147</v>
      </c>
      <c r="D1141" s="3" t="s">
        <v>14</v>
      </c>
      <c r="E1141" s="3" t="s">
        <v>466</v>
      </c>
      <c r="F1141" s="4">
        <v>46265</v>
      </c>
      <c r="G1141" s="3" t="s">
        <v>17</v>
      </c>
      <c r="H1141" s="5">
        <v>-331497</v>
      </c>
      <c r="I1141" s="3" t="s">
        <v>18</v>
      </c>
      <c r="J1141" s="3" t="s">
        <v>14</v>
      </c>
      <c r="K1141" s="3" t="s">
        <v>14</v>
      </c>
      <c r="L1141" s="3" t="s">
        <v>991</v>
      </c>
      <c r="M1141" s="4">
        <v>46265</v>
      </c>
      <c r="N1141" s="3" t="s">
        <v>1148</v>
      </c>
      <c r="O1141" s="3" t="s">
        <v>35</v>
      </c>
      <c r="P1141" t="str">
        <f t="shared" si="17"/>
        <v>450013648430</v>
      </c>
      <c r="Q1141" s="7" cm="1">
        <f t="array" ref="Q1141:S1141">VLOOKUP(P1141,Hoja1!C:F,{2,3,4},FALSE)</f>
        <v>46262</v>
      </c>
      <c r="R1141" t="str">
        <v>C03</v>
      </c>
      <c r="S1141" t="str">
        <v>1000008805 SAKURA MOTORS S. A.</v>
      </c>
    </row>
    <row r="1142" spans="1:19" x14ac:dyDescent="0.3">
      <c r="A1142" s="2" t="s">
        <v>14</v>
      </c>
      <c r="B1142" s="3" t="s">
        <v>14</v>
      </c>
      <c r="C1142" s="3" t="s">
        <v>1147</v>
      </c>
      <c r="D1142" s="3" t="s">
        <v>14</v>
      </c>
      <c r="E1142" s="3" t="s">
        <v>466</v>
      </c>
      <c r="F1142" s="4">
        <v>46265</v>
      </c>
      <c r="G1142" s="3" t="s">
        <v>17</v>
      </c>
      <c r="H1142" s="5">
        <v>-2689166</v>
      </c>
      <c r="I1142" s="3" t="s">
        <v>18</v>
      </c>
      <c r="J1142" s="3" t="s">
        <v>14</v>
      </c>
      <c r="K1142" s="3" t="s">
        <v>14</v>
      </c>
      <c r="L1142" s="3" t="s">
        <v>991</v>
      </c>
      <c r="M1142" s="4">
        <v>46265</v>
      </c>
      <c r="N1142" s="3" t="s">
        <v>1148</v>
      </c>
      <c r="O1142" s="3" t="s">
        <v>23</v>
      </c>
      <c r="P1142" t="str">
        <f t="shared" si="17"/>
        <v>450013648440</v>
      </c>
      <c r="Q1142" s="7" cm="1">
        <f t="array" ref="Q1142:S1142">VLOOKUP(P1142,Hoja1!C:F,{2,3,4},FALSE)</f>
        <v>46262</v>
      </c>
      <c r="R1142" t="str">
        <v>C03</v>
      </c>
      <c r="S1142" t="str">
        <v>1000008805 SAKURA MOTORS S. A.</v>
      </c>
    </row>
    <row r="1143" spans="1:19" x14ac:dyDescent="0.3">
      <c r="A1143" s="2" t="s">
        <v>14</v>
      </c>
      <c r="B1143" s="3" t="s">
        <v>14</v>
      </c>
      <c r="C1143" s="3" t="s">
        <v>1147</v>
      </c>
      <c r="D1143" s="3" t="s">
        <v>14</v>
      </c>
      <c r="E1143" s="3" t="s">
        <v>466</v>
      </c>
      <c r="F1143" s="4">
        <v>46265</v>
      </c>
      <c r="G1143" s="3" t="s">
        <v>17</v>
      </c>
      <c r="H1143" s="5">
        <v>-306444</v>
      </c>
      <c r="I1143" s="3" t="s">
        <v>18</v>
      </c>
      <c r="J1143" s="3" t="s">
        <v>14</v>
      </c>
      <c r="K1143" s="3" t="s">
        <v>14</v>
      </c>
      <c r="L1143" s="3" t="s">
        <v>991</v>
      </c>
      <c r="M1143" s="4">
        <v>46265</v>
      </c>
      <c r="N1143" s="3" t="s">
        <v>1148</v>
      </c>
      <c r="O1143" s="3" t="s">
        <v>144</v>
      </c>
      <c r="P1143" t="str">
        <f t="shared" si="17"/>
        <v>450013648450</v>
      </c>
      <c r="Q1143" s="7" cm="1">
        <f t="array" ref="Q1143:S1143">VLOOKUP(P1143,Hoja1!C:F,{2,3,4},FALSE)</f>
        <v>46262</v>
      </c>
      <c r="R1143" t="str">
        <v>C03</v>
      </c>
      <c r="S1143" t="str">
        <v>1000008805 SAKURA MOTORS S. A.</v>
      </c>
    </row>
    <row r="1144" spans="1:19" x14ac:dyDescent="0.3">
      <c r="A1144" s="2" t="s">
        <v>14</v>
      </c>
      <c r="B1144" s="3" t="s">
        <v>14</v>
      </c>
      <c r="C1144" s="3" t="s">
        <v>1147</v>
      </c>
      <c r="D1144" s="3" t="s">
        <v>14</v>
      </c>
      <c r="E1144" s="3" t="s">
        <v>466</v>
      </c>
      <c r="F1144" s="4">
        <v>46265</v>
      </c>
      <c r="G1144" s="3" t="s">
        <v>17</v>
      </c>
      <c r="H1144" s="5">
        <v>-30640</v>
      </c>
      <c r="I1144" s="3" t="s">
        <v>18</v>
      </c>
      <c r="J1144" s="3" t="s">
        <v>14</v>
      </c>
      <c r="K1144" s="3" t="s">
        <v>14</v>
      </c>
      <c r="L1144" s="3" t="s">
        <v>991</v>
      </c>
      <c r="M1144" s="4">
        <v>46265</v>
      </c>
      <c r="N1144" s="3" t="s">
        <v>1148</v>
      </c>
      <c r="O1144" s="3" t="s">
        <v>141</v>
      </c>
      <c r="P1144" t="str">
        <f t="shared" si="17"/>
        <v>450013648460</v>
      </c>
      <c r="Q1144" s="7" cm="1">
        <f t="array" ref="Q1144:S1144">VLOOKUP(P1144,Hoja1!C:F,{2,3,4},FALSE)</f>
        <v>46262</v>
      </c>
      <c r="R1144" t="str">
        <v>C03</v>
      </c>
      <c r="S1144" t="str">
        <v>1000008805 SAKURA MOTORS S. A.</v>
      </c>
    </row>
    <row r="1145" spans="1:19" x14ac:dyDescent="0.3">
      <c r="A1145" s="2" t="s">
        <v>14</v>
      </c>
      <c r="B1145" s="3" t="s">
        <v>14</v>
      </c>
      <c r="C1145" s="3" t="s">
        <v>1147</v>
      </c>
      <c r="D1145" s="3" t="s">
        <v>14</v>
      </c>
      <c r="E1145" s="3" t="s">
        <v>466</v>
      </c>
      <c r="F1145" s="4">
        <v>46265</v>
      </c>
      <c r="G1145" s="3" t="s">
        <v>17</v>
      </c>
      <c r="H1145" s="5">
        <v>-331497</v>
      </c>
      <c r="I1145" s="3" t="s">
        <v>18</v>
      </c>
      <c r="J1145" s="3" t="s">
        <v>14</v>
      </c>
      <c r="K1145" s="3" t="s">
        <v>14</v>
      </c>
      <c r="L1145" s="3" t="s">
        <v>991</v>
      </c>
      <c r="M1145" s="4">
        <v>46265</v>
      </c>
      <c r="N1145" s="3" t="s">
        <v>1148</v>
      </c>
      <c r="O1145" s="3" t="s">
        <v>134</v>
      </c>
      <c r="P1145" t="str">
        <f t="shared" si="17"/>
        <v>450013648470</v>
      </c>
      <c r="Q1145" s="7" cm="1">
        <f t="array" ref="Q1145:S1145">VLOOKUP(P1145,Hoja1!C:F,{2,3,4},FALSE)</f>
        <v>46262</v>
      </c>
      <c r="R1145" t="str">
        <v>C03</v>
      </c>
      <c r="S1145" t="str">
        <v>1000008805 SAKURA MOTORS S. A.</v>
      </c>
    </row>
    <row r="1146" spans="1:19" x14ac:dyDescent="0.3">
      <c r="A1146" s="2" t="s">
        <v>14</v>
      </c>
      <c r="B1146" s="3" t="s">
        <v>14</v>
      </c>
      <c r="C1146" s="3" t="s">
        <v>1147</v>
      </c>
      <c r="D1146" s="3" t="s">
        <v>14</v>
      </c>
      <c r="E1146" s="3" t="s">
        <v>466</v>
      </c>
      <c r="F1146" s="4">
        <v>46265</v>
      </c>
      <c r="G1146" s="3" t="s">
        <v>17</v>
      </c>
      <c r="H1146" s="5">
        <v>-2689166</v>
      </c>
      <c r="I1146" s="3" t="s">
        <v>18</v>
      </c>
      <c r="J1146" s="3" t="s">
        <v>14</v>
      </c>
      <c r="K1146" s="3" t="s">
        <v>14</v>
      </c>
      <c r="L1146" s="3" t="s">
        <v>991</v>
      </c>
      <c r="M1146" s="4">
        <v>46265</v>
      </c>
      <c r="N1146" s="3" t="s">
        <v>1148</v>
      </c>
      <c r="O1146" s="3" t="s">
        <v>52</v>
      </c>
      <c r="P1146" t="str">
        <f t="shared" si="17"/>
        <v>450013648480</v>
      </c>
      <c r="Q1146" s="7" cm="1">
        <f t="array" ref="Q1146:S1146">VLOOKUP(P1146,Hoja1!C:F,{2,3,4},FALSE)</f>
        <v>46262</v>
      </c>
      <c r="R1146" t="str">
        <v>C03</v>
      </c>
      <c r="S1146" t="str">
        <v>1000008805 SAKURA MOTORS S. A.</v>
      </c>
    </row>
    <row r="1147" spans="1:19" x14ac:dyDescent="0.3">
      <c r="A1147" s="2" t="s">
        <v>14</v>
      </c>
      <c r="B1147" s="3" t="s">
        <v>14</v>
      </c>
      <c r="C1147" s="3" t="s">
        <v>1147</v>
      </c>
      <c r="D1147" s="3" t="s">
        <v>14</v>
      </c>
      <c r="E1147" s="3" t="s">
        <v>466</v>
      </c>
      <c r="F1147" s="4">
        <v>46265</v>
      </c>
      <c r="G1147" s="3" t="s">
        <v>17</v>
      </c>
      <c r="H1147" s="5">
        <v>-1077597</v>
      </c>
      <c r="I1147" s="3" t="s">
        <v>18</v>
      </c>
      <c r="J1147" s="3" t="s">
        <v>14</v>
      </c>
      <c r="K1147" s="3" t="s">
        <v>14</v>
      </c>
      <c r="L1147" s="3" t="s">
        <v>991</v>
      </c>
      <c r="M1147" s="4">
        <v>46265</v>
      </c>
      <c r="N1147" s="3" t="s">
        <v>1148</v>
      </c>
      <c r="O1147" s="3" t="s">
        <v>138</v>
      </c>
      <c r="P1147" t="str">
        <f t="shared" si="17"/>
        <v>450013648490</v>
      </c>
      <c r="Q1147" s="7" cm="1">
        <f t="array" ref="Q1147:S1147">VLOOKUP(P1147,Hoja1!C:F,{2,3,4},FALSE)</f>
        <v>46268</v>
      </c>
      <c r="R1147" t="str">
        <v>C03</v>
      </c>
      <c r="S1147" t="str">
        <v>1000008805 SAKURA MOTORS S. A.</v>
      </c>
    </row>
    <row r="1148" spans="1:19" x14ac:dyDescent="0.3">
      <c r="A1148" s="2" t="s">
        <v>14</v>
      </c>
      <c r="B1148" s="3" t="s">
        <v>14</v>
      </c>
      <c r="C1148" s="3" t="s">
        <v>1149</v>
      </c>
      <c r="D1148" s="3" t="s">
        <v>14</v>
      </c>
      <c r="E1148" s="3" t="s">
        <v>466</v>
      </c>
      <c r="F1148" s="4">
        <v>46265</v>
      </c>
      <c r="G1148" s="3" t="s">
        <v>17</v>
      </c>
      <c r="H1148" s="5">
        <v>-83214</v>
      </c>
      <c r="I1148" s="3" t="s">
        <v>18</v>
      </c>
      <c r="J1148" s="3" t="s">
        <v>14</v>
      </c>
      <c r="K1148" s="3" t="s">
        <v>14</v>
      </c>
      <c r="L1148" s="3" t="s">
        <v>690</v>
      </c>
      <c r="M1148" s="4">
        <v>46265</v>
      </c>
      <c r="N1148" s="3" t="s">
        <v>1063</v>
      </c>
      <c r="O1148" s="3" t="s">
        <v>30</v>
      </c>
      <c r="P1148" t="str">
        <f t="shared" si="17"/>
        <v>450013443610</v>
      </c>
      <c r="Q1148" s="7" cm="1">
        <f t="array" ref="Q1148:S1148">VLOOKUP(P1148,Hoja1!C:F,{2,3,4},FALSE)</f>
        <v>46248</v>
      </c>
      <c r="R1148" t="str">
        <v>C28</v>
      </c>
      <c r="S1148" t="str">
        <v>1000000669 PROSEIND SA</v>
      </c>
    </row>
    <row r="1149" spans="1:19" x14ac:dyDescent="0.3">
      <c r="A1149" s="2" t="s">
        <v>14</v>
      </c>
      <c r="B1149" s="3" t="s">
        <v>14</v>
      </c>
      <c r="C1149" s="3" t="s">
        <v>1150</v>
      </c>
      <c r="D1149" s="3" t="s">
        <v>14</v>
      </c>
      <c r="E1149" s="3" t="s">
        <v>466</v>
      </c>
      <c r="F1149" s="4">
        <v>46265</v>
      </c>
      <c r="G1149" s="3" t="s">
        <v>17</v>
      </c>
      <c r="H1149" s="5">
        <v>-6595041.2999999998</v>
      </c>
      <c r="I1149" s="3" t="s">
        <v>18</v>
      </c>
      <c r="J1149" s="3" t="s">
        <v>14</v>
      </c>
      <c r="K1149" s="3" t="s">
        <v>14</v>
      </c>
      <c r="L1149" s="3" t="s">
        <v>1151</v>
      </c>
      <c r="M1149" s="4">
        <v>46265</v>
      </c>
      <c r="N1149" s="3" t="s">
        <v>1152</v>
      </c>
      <c r="O1149" s="3" t="s">
        <v>30</v>
      </c>
      <c r="P1149" t="str">
        <f t="shared" si="17"/>
        <v>450013670110</v>
      </c>
      <c r="Q1149" s="7" cm="1">
        <f t="array" ref="Q1149:S1149">VLOOKUP(P1149,Hoja1!C:F,{2,3,4},FALSE)</f>
        <v>46275</v>
      </c>
      <c r="R1149" t="str">
        <v>C48</v>
      </c>
      <c r="S1149" t="str">
        <v>1000011072 NEUMATICOS GOODYEAR S R L</v>
      </c>
    </row>
    <row r="1150" spans="1:19" x14ac:dyDescent="0.3">
      <c r="A1150" s="2" t="s">
        <v>14</v>
      </c>
      <c r="B1150" s="3" t="s">
        <v>14</v>
      </c>
      <c r="C1150" s="3" t="s">
        <v>1153</v>
      </c>
      <c r="D1150" s="3" t="s">
        <v>84</v>
      </c>
      <c r="E1150" s="3" t="s">
        <v>466</v>
      </c>
      <c r="F1150" s="4">
        <v>46265</v>
      </c>
      <c r="G1150" s="3" t="s">
        <v>17</v>
      </c>
      <c r="H1150" s="5">
        <v>-6049293.25</v>
      </c>
      <c r="I1150" s="3" t="s">
        <v>18</v>
      </c>
      <c r="J1150" s="3" t="s">
        <v>14</v>
      </c>
      <c r="K1150" s="3" t="s">
        <v>14</v>
      </c>
      <c r="L1150" s="3" t="s">
        <v>91</v>
      </c>
      <c r="M1150" s="4">
        <v>46265</v>
      </c>
      <c r="N1150" s="3" t="s">
        <v>92</v>
      </c>
      <c r="O1150" s="3" t="s">
        <v>30</v>
      </c>
      <c r="P1150" t="str">
        <f t="shared" si="17"/>
        <v>450013262610</v>
      </c>
      <c r="Q1150" s="7" cm="1">
        <f t="array" ref="Q1150:S1150">VLOOKUP(P1150,Hoja1!C:F,{2,3,4},FALSE)</f>
        <v>46317</v>
      </c>
      <c r="R1150" t="str">
        <v>C19</v>
      </c>
      <c r="S1150" t="str">
        <v>1000000015 MADETEC S.A.</v>
      </c>
    </row>
    <row r="1151" spans="1:19" x14ac:dyDescent="0.3">
      <c r="A1151" s="2" t="s">
        <v>14</v>
      </c>
      <c r="B1151" s="3" t="s">
        <v>14</v>
      </c>
      <c r="C1151" s="3" t="s">
        <v>1154</v>
      </c>
      <c r="D1151" s="3" t="s">
        <v>14</v>
      </c>
      <c r="E1151" s="3" t="s">
        <v>466</v>
      </c>
      <c r="F1151" s="4">
        <v>46265</v>
      </c>
      <c r="G1151" s="3" t="s">
        <v>17</v>
      </c>
      <c r="H1151" s="5">
        <v>-82460.25</v>
      </c>
      <c r="I1151" s="3" t="s">
        <v>18</v>
      </c>
      <c r="J1151" s="3" t="s">
        <v>14</v>
      </c>
      <c r="K1151" s="3" t="s">
        <v>14</v>
      </c>
      <c r="L1151" s="3" t="s">
        <v>1155</v>
      </c>
      <c r="M1151" s="4">
        <v>46265</v>
      </c>
      <c r="N1151" s="3" t="s">
        <v>1156</v>
      </c>
      <c r="O1151" s="3" t="s">
        <v>30</v>
      </c>
      <c r="P1151" t="str">
        <f t="shared" si="17"/>
        <v>450013690710</v>
      </c>
      <c r="Q1151" s="7" cm="1">
        <f t="array" ref="Q1151:S1151">VLOOKUP(P1151,Hoja1!C:F,{2,3,4},FALSE)</f>
        <v>46267</v>
      </c>
      <c r="R1151" t="str">
        <v>C03</v>
      </c>
      <c r="S1151" t="str">
        <v>1000000077 HUGO SANCHEZ S.A.</v>
      </c>
    </row>
    <row r="1152" spans="1:19" x14ac:dyDescent="0.3">
      <c r="A1152" s="2" t="s">
        <v>14</v>
      </c>
      <c r="B1152" s="3" t="s">
        <v>14</v>
      </c>
      <c r="C1152" s="3" t="s">
        <v>1157</v>
      </c>
      <c r="D1152" s="3" t="s">
        <v>14</v>
      </c>
      <c r="E1152" s="3" t="s">
        <v>466</v>
      </c>
      <c r="F1152" s="4">
        <v>46265</v>
      </c>
      <c r="G1152" s="3" t="s">
        <v>17</v>
      </c>
      <c r="H1152" s="5">
        <v>-226807.2</v>
      </c>
      <c r="I1152" s="3" t="s">
        <v>18</v>
      </c>
      <c r="J1152" s="3" t="s">
        <v>14</v>
      </c>
      <c r="K1152" s="3" t="s">
        <v>14</v>
      </c>
      <c r="L1152" s="3" t="s">
        <v>47</v>
      </c>
      <c r="M1152" s="4">
        <v>46265</v>
      </c>
      <c r="N1152" s="3" t="s">
        <v>1158</v>
      </c>
      <c r="O1152" s="3" t="s">
        <v>30</v>
      </c>
      <c r="P1152" t="str">
        <f t="shared" si="17"/>
        <v>450013686510</v>
      </c>
      <c r="Q1152" s="7" cm="1">
        <f t="array" ref="Q1152:S1152">VLOOKUP(P1152,Hoja1!C:F,{2,3,4},FALSE)</f>
        <v>46260</v>
      </c>
      <c r="R1152" t="str">
        <v>EFO</v>
      </c>
      <c r="S1152" t="str">
        <v>1000000010 GASES ROSARIO S.R.L.</v>
      </c>
    </row>
    <row r="1153" spans="1:19" x14ac:dyDescent="0.3">
      <c r="A1153" s="2" t="s">
        <v>14</v>
      </c>
      <c r="B1153" s="3" t="s">
        <v>14</v>
      </c>
      <c r="C1153" s="3" t="s">
        <v>1159</v>
      </c>
      <c r="D1153" s="3" t="s">
        <v>14</v>
      </c>
      <c r="E1153" s="3" t="s">
        <v>466</v>
      </c>
      <c r="F1153" s="4">
        <v>46266</v>
      </c>
      <c r="G1153" s="3" t="s">
        <v>17</v>
      </c>
      <c r="H1153" s="5">
        <v>-5816</v>
      </c>
      <c r="I1153" s="3" t="s">
        <v>18</v>
      </c>
      <c r="J1153" s="3" t="s">
        <v>14</v>
      </c>
      <c r="K1153" s="3" t="s">
        <v>14</v>
      </c>
      <c r="L1153" s="3" t="s">
        <v>47</v>
      </c>
      <c r="M1153" s="4">
        <v>46265</v>
      </c>
      <c r="N1153" s="3" t="s">
        <v>1160</v>
      </c>
      <c r="O1153" s="3" t="s">
        <v>30</v>
      </c>
      <c r="P1153" t="str">
        <f t="shared" si="17"/>
        <v>450013714010</v>
      </c>
      <c r="Q1153" s="7" cm="1">
        <f t="array" ref="Q1153:S1153">VLOOKUP(P1153,Hoja1!C:F,{2,3,4},FALSE)</f>
        <v>46263</v>
      </c>
      <c r="R1153" t="str">
        <v>C03</v>
      </c>
      <c r="S1153" t="str">
        <v>1000000010 GASES ROSARIO S.R.L.</v>
      </c>
    </row>
    <row r="1154" spans="1:19" x14ac:dyDescent="0.3">
      <c r="A1154" s="2" t="s">
        <v>14</v>
      </c>
      <c r="B1154" s="3" t="s">
        <v>14</v>
      </c>
      <c r="C1154" s="3" t="s">
        <v>1161</v>
      </c>
      <c r="D1154" s="3" t="s">
        <v>14</v>
      </c>
      <c r="E1154" s="3" t="s">
        <v>466</v>
      </c>
      <c r="F1154" s="4">
        <v>46259</v>
      </c>
      <c r="G1154" s="3" t="s">
        <v>17</v>
      </c>
      <c r="H1154" s="5">
        <v>-2105947.35</v>
      </c>
      <c r="I1154" s="3" t="s">
        <v>18</v>
      </c>
      <c r="J1154" s="3" t="s">
        <v>14</v>
      </c>
      <c r="K1154" s="3" t="s">
        <v>14</v>
      </c>
      <c r="L1154" s="3" t="s">
        <v>589</v>
      </c>
      <c r="M1154" s="4">
        <v>46265</v>
      </c>
      <c r="N1154" s="3" t="s">
        <v>751</v>
      </c>
      <c r="O1154" s="3" t="s">
        <v>23</v>
      </c>
      <c r="P1154" t="str">
        <f t="shared" si="17"/>
        <v>450011905740</v>
      </c>
      <c r="Q1154" s="7" cm="1">
        <f t="array" ref="Q1154:S1154">VLOOKUP(P1154,Hoja1!C:F,{2,3,4},FALSE)</f>
        <v>46307</v>
      </c>
      <c r="R1154" t="str">
        <v>C03</v>
      </c>
      <c r="S1154" t="str">
        <v>1000001123 HAULOTTE ARGENTINA S.A.</v>
      </c>
    </row>
    <row r="1155" spans="1:19" x14ac:dyDescent="0.3">
      <c r="A1155" s="2" t="s">
        <v>14</v>
      </c>
      <c r="B1155" s="3" t="s">
        <v>14</v>
      </c>
      <c r="C1155" s="3" t="s">
        <v>1161</v>
      </c>
      <c r="D1155" s="3" t="s">
        <v>14</v>
      </c>
      <c r="E1155" s="3" t="s">
        <v>466</v>
      </c>
      <c r="F1155" s="4">
        <v>46259</v>
      </c>
      <c r="G1155" s="3" t="s">
        <v>17</v>
      </c>
      <c r="H1155" s="5">
        <v>-740906.1</v>
      </c>
      <c r="I1155" s="3" t="s">
        <v>18</v>
      </c>
      <c r="J1155" s="3" t="s">
        <v>14</v>
      </c>
      <c r="K1155" s="3" t="s">
        <v>14</v>
      </c>
      <c r="L1155" s="3" t="s">
        <v>589</v>
      </c>
      <c r="M1155" s="4">
        <v>46265</v>
      </c>
      <c r="N1155" s="3" t="s">
        <v>751</v>
      </c>
      <c r="O1155" s="3" t="s">
        <v>134</v>
      </c>
      <c r="P1155" t="str">
        <f t="shared" ref="P1155:P1218" si="18">_xlfn.CONCAT(N1155:O1155)</f>
        <v>450011905770</v>
      </c>
      <c r="Q1155" s="7" cm="1">
        <f t="array" ref="Q1155:S1155">VLOOKUP(P1155,Hoja1!C:F,{2,3,4},FALSE)</f>
        <v>46307</v>
      </c>
      <c r="R1155" t="str">
        <v>C03</v>
      </c>
      <c r="S1155" t="str">
        <v>1000001123 HAULOTTE ARGENTINA S.A.</v>
      </c>
    </row>
    <row r="1156" spans="1:19" x14ac:dyDescent="0.3">
      <c r="A1156" s="2" t="s">
        <v>14</v>
      </c>
      <c r="B1156" s="3" t="s">
        <v>14</v>
      </c>
      <c r="C1156" s="3" t="s">
        <v>1161</v>
      </c>
      <c r="D1156" s="3" t="s">
        <v>14</v>
      </c>
      <c r="E1156" s="3" t="s">
        <v>466</v>
      </c>
      <c r="F1156" s="4">
        <v>46259</v>
      </c>
      <c r="G1156" s="3" t="s">
        <v>17</v>
      </c>
      <c r="H1156" s="5">
        <v>-324383.84999999998</v>
      </c>
      <c r="I1156" s="3" t="s">
        <v>18</v>
      </c>
      <c r="J1156" s="3" t="s">
        <v>14</v>
      </c>
      <c r="K1156" s="3" t="s">
        <v>14</v>
      </c>
      <c r="L1156" s="3" t="s">
        <v>589</v>
      </c>
      <c r="M1156" s="4">
        <v>46265</v>
      </c>
      <c r="N1156" s="3" t="s">
        <v>751</v>
      </c>
      <c r="O1156" s="3" t="s">
        <v>52</v>
      </c>
      <c r="P1156" t="str">
        <f t="shared" si="18"/>
        <v>450011905780</v>
      </c>
      <c r="Q1156" s="7" cm="1">
        <f t="array" ref="Q1156:S1156">VLOOKUP(P1156,Hoja1!C:F,{2,3,4},FALSE)</f>
        <v>46307</v>
      </c>
      <c r="R1156" t="str">
        <v>C03</v>
      </c>
      <c r="S1156" t="str">
        <v>1000001123 HAULOTTE ARGENTINA S.A.</v>
      </c>
    </row>
    <row r="1157" spans="1:19" x14ac:dyDescent="0.3">
      <c r="A1157" s="2" t="s">
        <v>14</v>
      </c>
      <c r="B1157" s="3" t="s">
        <v>14</v>
      </c>
      <c r="C1157" s="3" t="s">
        <v>1161</v>
      </c>
      <c r="D1157" s="3" t="s">
        <v>14</v>
      </c>
      <c r="E1157" s="3" t="s">
        <v>466</v>
      </c>
      <c r="F1157" s="4">
        <v>46259</v>
      </c>
      <c r="G1157" s="3" t="s">
        <v>17</v>
      </c>
      <c r="H1157" s="5">
        <v>-925002</v>
      </c>
      <c r="I1157" s="3" t="s">
        <v>18</v>
      </c>
      <c r="J1157" s="3" t="s">
        <v>14</v>
      </c>
      <c r="K1157" s="3" t="s">
        <v>14</v>
      </c>
      <c r="L1157" s="3" t="s">
        <v>589</v>
      </c>
      <c r="M1157" s="4">
        <v>46265</v>
      </c>
      <c r="N1157" s="3" t="s">
        <v>751</v>
      </c>
      <c r="O1157" s="3" t="s">
        <v>136</v>
      </c>
      <c r="P1157" t="str">
        <f t="shared" si="18"/>
        <v>4500119057210</v>
      </c>
      <c r="Q1157" s="7" cm="1">
        <f t="array" ref="Q1157:S1157">VLOOKUP(P1157,Hoja1!C:F,{2,3,4},FALSE)</f>
        <v>46307</v>
      </c>
      <c r="R1157" t="str">
        <v>C03</v>
      </c>
      <c r="S1157" t="str">
        <v>1000001123 HAULOTTE ARGENTINA S.A.</v>
      </c>
    </row>
    <row r="1158" spans="1:19" x14ac:dyDescent="0.3">
      <c r="A1158" s="2" t="s">
        <v>14</v>
      </c>
      <c r="B1158" s="3" t="s">
        <v>14</v>
      </c>
      <c r="C1158" s="3" t="s">
        <v>1161</v>
      </c>
      <c r="D1158" s="3" t="s">
        <v>14</v>
      </c>
      <c r="E1158" s="3" t="s">
        <v>466</v>
      </c>
      <c r="F1158" s="4">
        <v>46259</v>
      </c>
      <c r="G1158" s="3" t="s">
        <v>17</v>
      </c>
      <c r="H1158" s="5">
        <v>-267430.5</v>
      </c>
      <c r="I1158" s="3" t="s">
        <v>18</v>
      </c>
      <c r="J1158" s="3" t="s">
        <v>14</v>
      </c>
      <c r="K1158" s="3" t="s">
        <v>14</v>
      </c>
      <c r="L1158" s="3" t="s">
        <v>589</v>
      </c>
      <c r="M1158" s="4">
        <v>46265</v>
      </c>
      <c r="N1158" s="3" t="s">
        <v>751</v>
      </c>
      <c r="O1158" s="3" t="s">
        <v>135</v>
      </c>
      <c r="P1158" t="str">
        <f t="shared" si="18"/>
        <v>4500119057340</v>
      </c>
      <c r="Q1158" s="7" cm="1">
        <f t="array" ref="Q1158:S1158">VLOOKUP(P1158,Hoja1!C:F,{2,3,4},FALSE)</f>
        <v>46307</v>
      </c>
      <c r="R1158" t="str">
        <v>C03</v>
      </c>
      <c r="S1158" t="str">
        <v>1000001123 HAULOTTE ARGENTINA S.A.</v>
      </c>
    </row>
    <row r="1159" spans="1:19" x14ac:dyDescent="0.3">
      <c r="A1159" s="2" t="s">
        <v>14</v>
      </c>
      <c r="B1159" s="3" t="s">
        <v>14</v>
      </c>
      <c r="C1159" s="3" t="s">
        <v>1161</v>
      </c>
      <c r="D1159" s="3" t="s">
        <v>14</v>
      </c>
      <c r="E1159" s="3" t="s">
        <v>466</v>
      </c>
      <c r="F1159" s="4">
        <v>46259</v>
      </c>
      <c r="G1159" s="3" t="s">
        <v>17</v>
      </c>
      <c r="H1159" s="5">
        <v>-1306821.6000000001</v>
      </c>
      <c r="I1159" s="3" t="s">
        <v>18</v>
      </c>
      <c r="J1159" s="3" t="s">
        <v>14</v>
      </c>
      <c r="K1159" s="3" t="s">
        <v>14</v>
      </c>
      <c r="L1159" s="3" t="s">
        <v>589</v>
      </c>
      <c r="M1159" s="4">
        <v>46265</v>
      </c>
      <c r="N1159" s="3" t="s">
        <v>751</v>
      </c>
      <c r="O1159" s="3" t="s">
        <v>169</v>
      </c>
      <c r="P1159" t="str">
        <f t="shared" si="18"/>
        <v>4500119057450</v>
      </c>
      <c r="Q1159" s="7" cm="1">
        <f t="array" ref="Q1159:S1159">VLOOKUP(P1159,Hoja1!C:F,{2,3,4},FALSE)</f>
        <v>46307</v>
      </c>
      <c r="R1159" t="str">
        <v>C03</v>
      </c>
      <c r="S1159" t="str">
        <v>1000001123 HAULOTTE ARGENTINA S.A.</v>
      </c>
    </row>
    <row r="1160" spans="1:19" x14ac:dyDescent="0.3">
      <c r="A1160" s="2" t="s">
        <v>14</v>
      </c>
      <c r="B1160" s="3" t="s">
        <v>14</v>
      </c>
      <c r="C1160" s="3" t="s">
        <v>1161</v>
      </c>
      <c r="D1160" s="3" t="s">
        <v>14</v>
      </c>
      <c r="E1160" s="3" t="s">
        <v>466</v>
      </c>
      <c r="F1160" s="4">
        <v>46259</v>
      </c>
      <c r="G1160" s="3" t="s">
        <v>17</v>
      </c>
      <c r="H1160" s="5">
        <v>-609874.19999999995</v>
      </c>
      <c r="I1160" s="3" t="s">
        <v>18</v>
      </c>
      <c r="J1160" s="3" t="s">
        <v>14</v>
      </c>
      <c r="K1160" s="3" t="s">
        <v>14</v>
      </c>
      <c r="L1160" s="3" t="s">
        <v>589</v>
      </c>
      <c r="M1160" s="4">
        <v>46265</v>
      </c>
      <c r="N1160" s="3" t="s">
        <v>751</v>
      </c>
      <c r="O1160" s="3" t="s">
        <v>172</v>
      </c>
      <c r="P1160" t="str">
        <f t="shared" si="18"/>
        <v>4500119057480</v>
      </c>
      <c r="Q1160" s="7" cm="1">
        <f t="array" ref="Q1160:S1160">VLOOKUP(P1160,Hoja1!C:F,{2,3,4},FALSE)</f>
        <v>46307</v>
      </c>
      <c r="R1160" t="str">
        <v>C03</v>
      </c>
      <c r="S1160" t="str">
        <v>1000001123 HAULOTTE ARGENTINA S.A.</v>
      </c>
    </row>
    <row r="1161" spans="1:19" x14ac:dyDescent="0.3">
      <c r="A1161" s="2" t="s">
        <v>14</v>
      </c>
      <c r="B1161" s="3" t="s">
        <v>14</v>
      </c>
      <c r="C1161" s="3" t="s">
        <v>1161</v>
      </c>
      <c r="D1161" s="3" t="s">
        <v>14</v>
      </c>
      <c r="E1161" s="3" t="s">
        <v>466</v>
      </c>
      <c r="F1161" s="4">
        <v>46259</v>
      </c>
      <c r="G1161" s="3" t="s">
        <v>17</v>
      </c>
      <c r="H1161" s="5">
        <v>-774734.4</v>
      </c>
      <c r="I1161" s="3" t="s">
        <v>18</v>
      </c>
      <c r="J1161" s="3" t="s">
        <v>14</v>
      </c>
      <c r="K1161" s="3" t="s">
        <v>14</v>
      </c>
      <c r="L1161" s="3" t="s">
        <v>589</v>
      </c>
      <c r="M1161" s="4">
        <v>46265</v>
      </c>
      <c r="N1161" s="3" t="s">
        <v>751</v>
      </c>
      <c r="O1161" s="3" t="s">
        <v>159</v>
      </c>
      <c r="P1161" t="str">
        <f t="shared" si="18"/>
        <v>4500119057510</v>
      </c>
      <c r="Q1161" s="7" cm="1">
        <f t="array" ref="Q1161:S1161">VLOOKUP(P1161,Hoja1!C:F,{2,3,4},FALSE)</f>
        <v>46307</v>
      </c>
      <c r="R1161" t="str">
        <v>C03</v>
      </c>
      <c r="S1161" t="str">
        <v>1000001123 HAULOTTE ARGENTINA S.A.</v>
      </c>
    </row>
    <row r="1162" spans="1:19" x14ac:dyDescent="0.3">
      <c r="A1162" s="2" t="s">
        <v>14</v>
      </c>
      <c r="B1162" s="3" t="s">
        <v>14</v>
      </c>
      <c r="C1162" s="3" t="s">
        <v>1161</v>
      </c>
      <c r="D1162" s="3" t="s">
        <v>14</v>
      </c>
      <c r="E1162" s="3" t="s">
        <v>466</v>
      </c>
      <c r="F1162" s="4">
        <v>46259</v>
      </c>
      <c r="G1162" s="3" t="s">
        <v>17</v>
      </c>
      <c r="H1162" s="5">
        <v>-1938524.4</v>
      </c>
      <c r="I1162" s="3" t="s">
        <v>18</v>
      </c>
      <c r="J1162" s="3" t="s">
        <v>14</v>
      </c>
      <c r="K1162" s="3" t="s">
        <v>14</v>
      </c>
      <c r="L1162" s="3" t="s">
        <v>589</v>
      </c>
      <c r="M1162" s="4">
        <v>46265</v>
      </c>
      <c r="N1162" s="3" t="s">
        <v>751</v>
      </c>
      <c r="O1162" s="3" t="s">
        <v>167</v>
      </c>
      <c r="P1162" t="str">
        <f t="shared" si="18"/>
        <v>4500119057530</v>
      </c>
      <c r="Q1162" s="7" cm="1">
        <f t="array" ref="Q1162:S1162">VLOOKUP(P1162,Hoja1!C:F,{2,3,4},FALSE)</f>
        <v>46307</v>
      </c>
      <c r="R1162" t="str">
        <v>C03</v>
      </c>
      <c r="S1162" t="str">
        <v>1000001123 HAULOTTE ARGENTINA S.A.</v>
      </c>
    </row>
    <row r="1163" spans="1:19" x14ac:dyDescent="0.3">
      <c r="A1163" s="2" t="s">
        <v>14</v>
      </c>
      <c r="B1163" s="3" t="s">
        <v>14</v>
      </c>
      <c r="C1163" s="3" t="s">
        <v>1161</v>
      </c>
      <c r="D1163" s="3" t="s">
        <v>14</v>
      </c>
      <c r="E1163" s="3" t="s">
        <v>466</v>
      </c>
      <c r="F1163" s="4">
        <v>46259</v>
      </c>
      <c r="G1163" s="3" t="s">
        <v>17</v>
      </c>
      <c r="H1163" s="5">
        <v>-151518.82999999999</v>
      </c>
      <c r="I1163" s="3" t="s">
        <v>18</v>
      </c>
      <c r="J1163" s="3" t="s">
        <v>14</v>
      </c>
      <c r="K1163" s="3" t="s">
        <v>14</v>
      </c>
      <c r="L1163" s="3" t="s">
        <v>589</v>
      </c>
      <c r="M1163" s="4">
        <v>46265</v>
      </c>
      <c r="N1163" s="3" t="s">
        <v>751</v>
      </c>
      <c r="O1163" s="3" t="s">
        <v>151</v>
      </c>
      <c r="P1163" t="str">
        <f t="shared" si="18"/>
        <v>4500119057540</v>
      </c>
      <c r="Q1163" s="7" cm="1">
        <f t="array" ref="Q1163:S1163">VLOOKUP(P1163,Hoja1!C:F,{2,3,4},FALSE)</f>
        <v>46307</v>
      </c>
      <c r="R1163" t="str">
        <v>C03</v>
      </c>
      <c r="S1163" t="str">
        <v>1000001123 HAULOTTE ARGENTINA S.A.</v>
      </c>
    </row>
    <row r="1164" spans="1:19" x14ac:dyDescent="0.3">
      <c r="A1164" s="2" t="s">
        <v>14</v>
      </c>
      <c r="B1164" s="3" t="s">
        <v>14</v>
      </c>
      <c r="C1164" s="3" t="s">
        <v>1161</v>
      </c>
      <c r="D1164" s="3" t="s">
        <v>14</v>
      </c>
      <c r="E1164" s="3" t="s">
        <v>466</v>
      </c>
      <c r="F1164" s="4">
        <v>46259</v>
      </c>
      <c r="G1164" s="3" t="s">
        <v>17</v>
      </c>
      <c r="H1164" s="5">
        <v>-372654</v>
      </c>
      <c r="I1164" s="3" t="s">
        <v>18</v>
      </c>
      <c r="J1164" s="3" t="s">
        <v>14</v>
      </c>
      <c r="K1164" s="3" t="s">
        <v>14</v>
      </c>
      <c r="L1164" s="3" t="s">
        <v>589</v>
      </c>
      <c r="M1164" s="4">
        <v>46265</v>
      </c>
      <c r="N1164" s="3" t="s">
        <v>751</v>
      </c>
      <c r="O1164" s="3" t="s">
        <v>153</v>
      </c>
      <c r="P1164" t="str">
        <f t="shared" si="18"/>
        <v>4500119057550</v>
      </c>
      <c r="Q1164" s="7" cm="1">
        <f t="array" ref="Q1164:S1164">VLOOKUP(P1164,Hoja1!C:F,{2,3,4},FALSE)</f>
        <v>46307</v>
      </c>
      <c r="R1164" t="str">
        <v>C03</v>
      </c>
      <c r="S1164" t="str">
        <v>1000001123 HAULOTTE ARGENTINA S.A.</v>
      </c>
    </row>
    <row r="1165" spans="1:19" x14ac:dyDescent="0.3">
      <c r="A1165" s="2" t="s">
        <v>14</v>
      </c>
      <c r="B1165" s="3" t="s">
        <v>14</v>
      </c>
      <c r="C1165" s="3" t="s">
        <v>1161</v>
      </c>
      <c r="D1165" s="3" t="s">
        <v>14</v>
      </c>
      <c r="E1165" s="3" t="s">
        <v>466</v>
      </c>
      <c r="F1165" s="4">
        <v>46259</v>
      </c>
      <c r="G1165" s="3" t="s">
        <v>17</v>
      </c>
      <c r="H1165" s="5">
        <v>-138087</v>
      </c>
      <c r="I1165" s="3" t="s">
        <v>18</v>
      </c>
      <c r="J1165" s="3" t="s">
        <v>14</v>
      </c>
      <c r="K1165" s="3" t="s">
        <v>14</v>
      </c>
      <c r="L1165" s="3" t="s">
        <v>589</v>
      </c>
      <c r="M1165" s="4">
        <v>46265</v>
      </c>
      <c r="N1165" s="3" t="s">
        <v>751</v>
      </c>
      <c r="O1165" s="3" t="s">
        <v>176</v>
      </c>
      <c r="P1165" t="str">
        <f t="shared" si="18"/>
        <v>4500119057560</v>
      </c>
      <c r="Q1165" s="7" cm="1">
        <f t="array" ref="Q1165:S1165">VLOOKUP(P1165,Hoja1!C:F,{2,3,4},FALSE)</f>
        <v>46307</v>
      </c>
      <c r="R1165" t="str">
        <v>C03</v>
      </c>
      <c r="S1165" t="str">
        <v>1000001123 HAULOTTE ARGENTINA S.A.</v>
      </c>
    </row>
    <row r="1166" spans="1:19" x14ac:dyDescent="0.3">
      <c r="A1166" s="2" t="s">
        <v>14</v>
      </c>
      <c r="B1166" s="3" t="s">
        <v>14</v>
      </c>
      <c r="C1166" s="3" t="s">
        <v>1161</v>
      </c>
      <c r="D1166" s="3" t="s">
        <v>14</v>
      </c>
      <c r="E1166" s="3" t="s">
        <v>466</v>
      </c>
      <c r="F1166" s="4">
        <v>46259</v>
      </c>
      <c r="G1166" s="3" t="s">
        <v>17</v>
      </c>
      <c r="H1166" s="5">
        <v>-407115.45</v>
      </c>
      <c r="I1166" s="3" t="s">
        <v>18</v>
      </c>
      <c r="J1166" s="3" t="s">
        <v>14</v>
      </c>
      <c r="K1166" s="3" t="s">
        <v>14</v>
      </c>
      <c r="L1166" s="3" t="s">
        <v>589</v>
      </c>
      <c r="M1166" s="4">
        <v>46265</v>
      </c>
      <c r="N1166" s="3" t="s">
        <v>751</v>
      </c>
      <c r="O1166" s="3" t="s">
        <v>177</v>
      </c>
      <c r="P1166" t="str">
        <f t="shared" si="18"/>
        <v>4500119057570</v>
      </c>
      <c r="Q1166" s="7" cm="1">
        <f t="array" ref="Q1166:S1166">VLOOKUP(P1166,Hoja1!C:F,{2,3,4},FALSE)</f>
        <v>46307</v>
      </c>
      <c r="R1166" t="str">
        <v>C03</v>
      </c>
      <c r="S1166" t="str">
        <v>1000001123 HAULOTTE ARGENTINA S.A.</v>
      </c>
    </row>
    <row r="1167" spans="1:19" x14ac:dyDescent="0.3">
      <c r="A1167" s="2" t="s">
        <v>14</v>
      </c>
      <c r="B1167" s="3" t="s">
        <v>14</v>
      </c>
      <c r="C1167" s="3" t="s">
        <v>1161</v>
      </c>
      <c r="D1167" s="3" t="s">
        <v>14</v>
      </c>
      <c r="E1167" s="3" t="s">
        <v>466</v>
      </c>
      <c r="F1167" s="4">
        <v>46259</v>
      </c>
      <c r="G1167" s="3" t="s">
        <v>17</v>
      </c>
      <c r="H1167" s="5">
        <v>-1700595.68</v>
      </c>
      <c r="I1167" s="3" t="s">
        <v>18</v>
      </c>
      <c r="J1167" s="3" t="s">
        <v>14</v>
      </c>
      <c r="K1167" s="3" t="s">
        <v>14</v>
      </c>
      <c r="L1167" s="3" t="s">
        <v>589</v>
      </c>
      <c r="M1167" s="4">
        <v>46265</v>
      </c>
      <c r="N1167" s="3" t="s">
        <v>751</v>
      </c>
      <c r="O1167" s="3" t="s">
        <v>152</v>
      </c>
      <c r="P1167" t="str">
        <f t="shared" si="18"/>
        <v>4500119057600</v>
      </c>
      <c r="Q1167" s="7" cm="1">
        <f t="array" ref="Q1167:S1167">VLOOKUP(P1167,Hoja1!C:F,{2,3,4},FALSE)</f>
        <v>46307</v>
      </c>
      <c r="R1167" t="str">
        <v>C03</v>
      </c>
      <c r="S1167" t="str">
        <v>1000001123 HAULOTTE ARGENTINA S.A.</v>
      </c>
    </row>
    <row r="1168" spans="1:19" x14ac:dyDescent="0.3">
      <c r="A1168" s="2" t="s">
        <v>14</v>
      </c>
      <c r="B1168" s="3" t="s">
        <v>14</v>
      </c>
      <c r="C1168" s="3" t="s">
        <v>1161</v>
      </c>
      <c r="D1168" s="3" t="s">
        <v>14</v>
      </c>
      <c r="E1168" s="3" t="s">
        <v>466</v>
      </c>
      <c r="F1168" s="4">
        <v>46259</v>
      </c>
      <c r="G1168" s="3" t="s">
        <v>17</v>
      </c>
      <c r="H1168" s="5">
        <v>-812241</v>
      </c>
      <c r="I1168" s="3" t="s">
        <v>18</v>
      </c>
      <c r="J1168" s="3" t="s">
        <v>14</v>
      </c>
      <c r="K1168" s="3" t="s">
        <v>14</v>
      </c>
      <c r="L1168" s="3" t="s">
        <v>589</v>
      </c>
      <c r="M1168" s="4">
        <v>46265</v>
      </c>
      <c r="N1168" s="3" t="s">
        <v>751</v>
      </c>
      <c r="O1168" s="3" t="s">
        <v>149</v>
      </c>
      <c r="P1168" t="str">
        <f t="shared" si="18"/>
        <v>4500119057640</v>
      </c>
      <c r="Q1168" s="7" cm="1">
        <f t="array" ref="Q1168:S1168">VLOOKUP(P1168,Hoja1!C:F,{2,3,4},FALSE)</f>
        <v>46307</v>
      </c>
      <c r="R1168" t="str">
        <v>C03</v>
      </c>
      <c r="S1168" t="str">
        <v>1000001123 HAULOTTE ARGENTINA S.A.</v>
      </c>
    </row>
    <row r="1169" spans="1:19" x14ac:dyDescent="0.3">
      <c r="A1169" s="2" t="s">
        <v>14</v>
      </c>
      <c r="B1169" s="3" t="s">
        <v>14</v>
      </c>
      <c r="C1169" s="3" t="s">
        <v>1161</v>
      </c>
      <c r="D1169" s="3" t="s">
        <v>14</v>
      </c>
      <c r="E1169" s="3" t="s">
        <v>466</v>
      </c>
      <c r="F1169" s="4">
        <v>46259</v>
      </c>
      <c r="G1169" s="3" t="s">
        <v>17</v>
      </c>
      <c r="H1169" s="5">
        <v>-664747.19999999995</v>
      </c>
      <c r="I1169" s="3" t="s">
        <v>18</v>
      </c>
      <c r="J1169" s="3" t="s">
        <v>14</v>
      </c>
      <c r="K1169" s="3" t="s">
        <v>14</v>
      </c>
      <c r="L1169" s="3" t="s">
        <v>589</v>
      </c>
      <c r="M1169" s="4">
        <v>46265</v>
      </c>
      <c r="N1169" s="3" t="s">
        <v>751</v>
      </c>
      <c r="O1169" s="3" t="s">
        <v>179</v>
      </c>
      <c r="P1169" t="str">
        <f t="shared" si="18"/>
        <v>4500119057660</v>
      </c>
      <c r="Q1169" s="7" cm="1">
        <f t="array" ref="Q1169:S1169">VLOOKUP(P1169,Hoja1!C:F,{2,3,4},FALSE)</f>
        <v>46307</v>
      </c>
      <c r="R1169" t="str">
        <v>C03</v>
      </c>
      <c r="S1169" t="str">
        <v>1000001123 HAULOTTE ARGENTINA S.A.</v>
      </c>
    </row>
    <row r="1170" spans="1:19" x14ac:dyDescent="0.3">
      <c r="A1170" s="2" t="s">
        <v>14</v>
      </c>
      <c r="B1170" s="3" t="s">
        <v>14</v>
      </c>
      <c r="C1170" s="3" t="s">
        <v>1161</v>
      </c>
      <c r="D1170" s="3" t="s">
        <v>14</v>
      </c>
      <c r="E1170" s="3" t="s">
        <v>466</v>
      </c>
      <c r="F1170" s="4">
        <v>46259</v>
      </c>
      <c r="G1170" s="3" t="s">
        <v>17</v>
      </c>
      <c r="H1170" s="5">
        <v>-287269.2</v>
      </c>
      <c r="I1170" s="3" t="s">
        <v>18</v>
      </c>
      <c r="J1170" s="3" t="s">
        <v>14</v>
      </c>
      <c r="K1170" s="3" t="s">
        <v>14</v>
      </c>
      <c r="L1170" s="3" t="s">
        <v>589</v>
      </c>
      <c r="M1170" s="4">
        <v>46265</v>
      </c>
      <c r="N1170" s="3" t="s">
        <v>751</v>
      </c>
      <c r="O1170" s="3" t="s">
        <v>180</v>
      </c>
      <c r="P1170" t="str">
        <f t="shared" si="18"/>
        <v>4500119057670</v>
      </c>
      <c r="Q1170" s="7" cm="1">
        <f t="array" ref="Q1170:S1170">VLOOKUP(P1170,Hoja1!C:F,{2,3,4},FALSE)</f>
        <v>46307</v>
      </c>
      <c r="R1170" t="str">
        <v>C03</v>
      </c>
      <c r="S1170" t="str">
        <v>1000001123 HAULOTTE ARGENTINA S.A.</v>
      </c>
    </row>
    <row r="1171" spans="1:19" x14ac:dyDescent="0.3">
      <c r="A1171" s="2" t="s">
        <v>14</v>
      </c>
      <c r="B1171" s="3" t="s">
        <v>14</v>
      </c>
      <c r="C1171" s="3" t="s">
        <v>1161</v>
      </c>
      <c r="D1171" s="3" t="s">
        <v>14</v>
      </c>
      <c r="E1171" s="3" t="s">
        <v>466</v>
      </c>
      <c r="F1171" s="4">
        <v>46259</v>
      </c>
      <c r="G1171" s="3" t="s">
        <v>17</v>
      </c>
      <c r="H1171" s="5">
        <v>-287661.15000000002</v>
      </c>
      <c r="I1171" s="3" t="s">
        <v>18</v>
      </c>
      <c r="J1171" s="3" t="s">
        <v>14</v>
      </c>
      <c r="K1171" s="3" t="s">
        <v>14</v>
      </c>
      <c r="L1171" s="3" t="s">
        <v>589</v>
      </c>
      <c r="M1171" s="4">
        <v>46265</v>
      </c>
      <c r="N1171" s="3" t="s">
        <v>751</v>
      </c>
      <c r="O1171" s="3" t="s">
        <v>818</v>
      </c>
      <c r="P1171" t="str">
        <f t="shared" si="18"/>
        <v>4500119057690</v>
      </c>
      <c r="Q1171" s="7" cm="1">
        <f t="array" ref="Q1171:S1171">VLOOKUP(P1171,Hoja1!C:F,{2,3,4},FALSE)</f>
        <v>46307</v>
      </c>
      <c r="R1171" t="str">
        <v>C03</v>
      </c>
      <c r="S1171" t="str">
        <v>1000001123 HAULOTTE ARGENTINA S.A.</v>
      </c>
    </row>
    <row r="1172" spans="1:19" x14ac:dyDescent="0.3">
      <c r="A1172" s="2" t="s">
        <v>14</v>
      </c>
      <c r="B1172" s="3" t="s">
        <v>14</v>
      </c>
      <c r="C1172" s="3" t="s">
        <v>1161</v>
      </c>
      <c r="D1172" s="3" t="s">
        <v>14</v>
      </c>
      <c r="E1172" s="3" t="s">
        <v>466</v>
      </c>
      <c r="F1172" s="4">
        <v>46259</v>
      </c>
      <c r="G1172" s="3" t="s">
        <v>17</v>
      </c>
      <c r="H1172" s="5">
        <v>-3224964.6</v>
      </c>
      <c r="I1172" s="3" t="s">
        <v>18</v>
      </c>
      <c r="J1172" s="3" t="s">
        <v>14</v>
      </c>
      <c r="K1172" s="3" t="s">
        <v>14</v>
      </c>
      <c r="L1172" s="3" t="s">
        <v>589</v>
      </c>
      <c r="M1172" s="4">
        <v>46265</v>
      </c>
      <c r="N1172" s="3" t="s">
        <v>751</v>
      </c>
      <c r="O1172" s="3" t="s">
        <v>1162</v>
      </c>
      <c r="P1172" t="str">
        <f t="shared" si="18"/>
        <v>4500119057700</v>
      </c>
      <c r="Q1172" s="7" cm="1">
        <f t="array" ref="Q1172:S1172">VLOOKUP(P1172,Hoja1!C:F,{2,3,4},FALSE)</f>
        <v>46307</v>
      </c>
      <c r="R1172" t="str">
        <v>C03</v>
      </c>
      <c r="S1172" t="str">
        <v>1000001123 HAULOTTE ARGENTINA S.A.</v>
      </c>
    </row>
    <row r="1173" spans="1:19" x14ac:dyDescent="0.3">
      <c r="A1173" s="2" t="s">
        <v>14</v>
      </c>
      <c r="B1173" s="3" t="s">
        <v>14</v>
      </c>
      <c r="C1173" s="3" t="s">
        <v>1161</v>
      </c>
      <c r="D1173" s="3" t="s">
        <v>14</v>
      </c>
      <c r="E1173" s="3" t="s">
        <v>466</v>
      </c>
      <c r="F1173" s="4">
        <v>46259</v>
      </c>
      <c r="G1173" s="3" t="s">
        <v>17</v>
      </c>
      <c r="H1173" s="5">
        <v>-461144.25</v>
      </c>
      <c r="I1173" s="3" t="s">
        <v>18</v>
      </c>
      <c r="J1173" s="3" t="s">
        <v>14</v>
      </c>
      <c r="K1173" s="3" t="s">
        <v>14</v>
      </c>
      <c r="L1173" s="3" t="s">
        <v>589</v>
      </c>
      <c r="M1173" s="4">
        <v>46265</v>
      </c>
      <c r="N1173" s="3" t="s">
        <v>751</v>
      </c>
      <c r="O1173" s="3" t="s">
        <v>807</v>
      </c>
      <c r="P1173" t="str">
        <f t="shared" si="18"/>
        <v>4500119057780</v>
      </c>
      <c r="Q1173" s="7" cm="1">
        <f t="array" ref="Q1173:S1173">VLOOKUP(P1173,Hoja1!C:F,{2,3,4},FALSE)</f>
        <v>46307</v>
      </c>
      <c r="R1173" t="str">
        <v>C03</v>
      </c>
      <c r="S1173" t="str">
        <v>1000001123 HAULOTTE ARGENTINA S.A.</v>
      </c>
    </row>
    <row r="1174" spans="1:19" x14ac:dyDescent="0.3">
      <c r="A1174" s="2" t="s">
        <v>14</v>
      </c>
      <c r="B1174" s="3" t="s">
        <v>14</v>
      </c>
      <c r="C1174" s="3" t="s">
        <v>1163</v>
      </c>
      <c r="D1174" s="3" t="s">
        <v>14</v>
      </c>
      <c r="E1174" s="3" t="s">
        <v>466</v>
      </c>
      <c r="F1174" s="4">
        <v>46265</v>
      </c>
      <c r="G1174" s="3" t="s">
        <v>17</v>
      </c>
      <c r="H1174" s="5">
        <v>-11700</v>
      </c>
      <c r="I1174" s="3" t="s">
        <v>18</v>
      </c>
      <c r="J1174" s="3" t="s">
        <v>14</v>
      </c>
      <c r="K1174" s="3" t="s">
        <v>14</v>
      </c>
      <c r="L1174" s="3" t="s">
        <v>1164</v>
      </c>
      <c r="M1174" s="4">
        <v>46265</v>
      </c>
      <c r="N1174" s="3" t="s">
        <v>1165</v>
      </c>
      <c r="O1174" s="3" t="s">
        <v>161</v>
      </c>
      <c r="P1174" t="str">
        <f t="shared" si="18"/>
        <v>4500136752200</v>
      </c>
      <c r="Q1174" s="7" cm="1">
        <f t="array" ref="Q1174:S1174">VLOOKUP(P1174,Hoja1!C:F,{2,3,4},FALSE)</f>
        <v>46262</v>
      </c>
      <c r="R1174" t="str">
        <v>C27</v>
      </c>
      <c r="S1174" t="str">
        <v>1000013253 PIAZZA MARCOS LUCIANO</v>
      </c>
    </row>
    <row r="1175" spans="1:19" x14ac:dyDescent="0.3">
      <c r="A1175" s="2" t="s">
        <v>14</v>
      </c>
      <c r="B1175" s="3" t="s">
        <v>14</v>
      </c>
      <c r="C1175" s="3" t="s">
        <v>1163</v>
      </c>
      <c r="D1175" s="3" t="s">
        <v>14</v>
      </c>
      <c r="E1175" s="3" t="s">
        <v>466</v>
      </c>
      <c r="F1175" s="4">
        <v>46265</v>
      </c>
      <c r="G1175" s="3" t="s">
        <v>17</v>
      </c>
      <c r="H1175" s="5">
        <v>-16545</v>
      </c>
      <c r="I1175" s="3" t="s">
        <v>18</v>
      </c>
      <c r="J1175" s="3" t="s">
        <v>14</v>
      </c>
      <c r="K1175" s="3" t="s">
        <v>14</v>
      </c>
      <c r="L1175" s="3" t="s">
        <v>1164</v>
      </c>
      <c r="M1175" s="4">
        <v>46265</v>
      </c>
      <c r="N1175" s="3" t="s">
        <v>1165</v>
      </c>
      <c r="O1175" s="3" t="s">
        <v>143</v>
      </c>
      <c r="P1175" t="str">
        <f t="shared" si="18"/>
        <v>4500136752240</v>
      </c>
      <c r="Q1175" s="7" cm="1">
        <f t="array" ref="Q1175:S1175">VLOOKUP(P1175,Hoja1!C:F,{2,3,4},FALSE)</f>
        <v>46265</v>
      </c>
      <c r="R1175" t="str">
        <v>C27</v>
      </c>
      <c r="S1175" t="str">
        <v>1000013253 PIAZZA MARCOS LUCIANO</v>
      </c>
    </row>
    <row r="1176" spans="1:19" x14ac:dyDescent="0.3">
      <c r="A1176" s="2" t="s">
        <v>14</v>
      </c>
      <c r="B1176" s="3" t="s">
        <v>14</v>
      </c>
      <c r="C1176" s="3" t="s">
        <v>1166</v>
      </c>
      <c r="D1176" s="3" t="s">
        <v>14</v>
      </c>
      <c r="E1176" s="3" t="s">
        <v>466</v>
      </c>
      <c r="F1176" s="4">
        <v>46266</v>
      </c>
      <c r="G1176" s="3" t="s">
        <v>17</v>
      </c>
      <c r="H1176" s="5">
        <v>-154710.74</v>
      </c>
      <c r="I1176" s="3" t="s">
        <v>18</v>
      </c>
      <c r="J1176" s="3" t="s">
        <v>14</v>
      </c>
      <c r="K1176" s="3" t="s">
        <v>14</v>
      </c>
      <c r="L1176" s="3" t="s">
        <v>844</v>
      </c>
      <c r="M1176" s="4">
        <v>46266</v>
      </c>
      <c r="N1176" s="3" t="s">
        <v>1167</v>
      </c>
      <c r="O1176" s="3" t="s">
        <v>30</v>
      </c>
      <c r="P1176" t="str">
        <f t="shared" si="18"/>
        <v>450013678410</v>
      </c>
      <c r="Q1176" s="7" cm="1">
        <f t="array" ref="Q1176:S1176">VLOOKUP(P1176,Hoja1!C:F,{2,3,4},FALSE)</f>
        <v>46276</v>
      </c>
      <c r="R1176" t="str">
        <v>EFO</v>
      </c>
      <c r="S1176" t="str">
        <v>1000006585 SALDAÑA LEANDRO EZEQUIEL</v>
      </c>
    </row>
    <row r="1177" spans="1:19" x14ac:dyDescent="0.3">
      <c r="A1177" s="2" t="s">
        <v>14</v>
      </c>
      <c r="B1177" s="3" t="s">
        <v>14</v>
      </c>
      <c r="C1177" s="3" t="s">
        <v>1168</v>
      </c>
      <c r="D1177" s="3" t="s">
        <v>32</v>
      </c>
      <c r="E1177" s="3" t="s">
        <v>466</v>
      </c>
      <c r="F1177" s="4">
        <v>46266</v>
      </c>
      <c r="G1177" s="3" t="s">
        <v>17</v>
      </c>
      <c r="H1177" s="5">
        <v>-189000</v>
      </c>
      <c r="I1177" s="3" t="s">
        <v>18</v>
      </c>
      <c r="J1177" s="3" t="s">
        <v>14</v>
      </c>
      <c r="K1177" s="3" t="s">
        <v>14</v>
      </c>
      <c r="L1177" s="3" t="s">
        <v>181</v>
      </c>
      <c r="M1177" s="4">
        <v>46266</v>
      </c>
      <c r="N1177" s="3" t="s">
        <v>1169</v>
      </c>
      <c r="O1177" s="3" t="s">
        <v>30</v>
      </c>
      <c r="P1177" t="str">
        <f t="shared" si="18"/>
        <v>450012645210</v>
      </c>
      <c r="Q1177" s="7" cm="1">
        <f t="array" ref="Q1177:S1177">VLOOKUP(P1177,Hoja1!C:F,{2,3,4},FALSE)</f>
        <v>46387</v>
      </c>
      <c r="R1177" t="str">
        <v>C04</v>
      </c>
      <c r="S1177" t="str">
        <v>1000011461 CONTRERAS BRIAN ALEXANDER</v>
      </c>
    </row>
    <row r="1178" spans="1:19" x14ac:dyDescent="0.3">
      <c r="A1178" s="2" t="s">
        <v>14</v>
      </c>
      <c r="B1178" s="3" t="s">
        <v>14</v>
      </c>
      <c r="C1178" s="3" t="s">
        <v>1168</v>
      </c>
      <c r="D1178" s="3" t="s">
        <v>32</v>
      </c>
      <c r="E1178" s="3" t="s">
        <v>466</v>
      </c>
      <c r="F1178" s="4">
        <v>46266</v>
      </c>
      <c r="G1178" s="3" t="s">
        <v>17</v>
      </c>
      <c r="H1178" s="5">
        <v>-252000</v>
      </c>
      <c r="I1178" s="3" t="s">
        <v>18</v>
      </c>
      <c r="J1178" s="3" t="s">
        <v>14</v>
      </c>
      <c r="K1178" s="3" t="s">
        <v>14</v>
      </c>
      <c r="L1178" s="3" t="s">
        <v>181</v>
      </c>
      <c r="M1178" s="4">
        <v>46266</v>
      </c>
      <c r="N1178" s="3" t="s">
        <v>1169</v>
      </c>
      <c r="O1178" s="3" t="s">
        <v>22</v>
      </c>
      <c r="P1178" t="str">
        <f t="shared" si="18"/>
        <v>450012645220</v>
      </c>
      <c r="Q1178" s="7" cm="1">
        <f t="array" ref="Q1178:S1178">VLOOKUP(P1178,Hoja1!C:F,{2,3,4},FALSE)</f>
        <v>46387</v>
      </c>
      <c r="R1178" t="str">
        <v>C04</v>
      </c>
      <c r="S1178" t="str">
        <v>1000011461 CONTRERAS BRIAN ALEXANDER</v>
      </c>
    </row>
    <row r="1179" spans="1:19" x14ac:dyDescent="0.3">
      <c r="A1179" s="2" t="s">
        <v>14</v>
      </c>
      <c r="B1179" s="3" t="s">
        <v>14</v>
      </c>
      <c r="C1179" s="3" t="s">
        <v>1168</v>
      </c>
      <c r="D1179" s="3" t="s">
        <v>32</v>
      </c>
      <c r="E1179" s="3" t="s">
        <v>466</v>
      </c>
      <c r="F1179" s="4">
        <v>46266</v>
      </c>
      <c r="G1179" s="3" t="s">
        <v>17</v>
      </c>
      <c r="H1179" s="5">
        <v>-1638000</v>
      </c>
      <c r="I1179" s="3" t="s">
        <v>18</v>
      </c>
      <c r="J1179" s="3" t="s">
        <v>14</v>
      </c>
      <c r="K1179" s="3" t="s">
        <v>14</v>
      </c>
      <c r="L1179" s="3" t="s">
        <v>181</v>
      </c>
      <c r="M1179" s="4">
        <v>46266</v>
      </c>
      <c r="N1179" s="3" t="s">
        <v>1169</v>
      </c>
      <c r="O1179" s="3" t="s">
        <v>35</v>
      </c>
      <c r="P1179" t="str">
        <f t="shared" si="18"/>
        <v>450012645230</v>
      </c>
      <c r="Q1179" s="7" cm="1">
        <f t="array" ref="Q1179:S1179">VLOOKUP(P1179,Hoja1!C:F,{2,3,4},FALSE)</f>
        <v>46387</v>
      </c>
      <c r="R1179" t="str">
        <v>C04</v>
      </c>
      <c r="S1179" t="str">
        <v>1000011461 CONTRERAS BRIAN ALEXANDER</v>
      </c>
    </row>
    <row r="1180" spans="1:19" x14ac:dyDescent="0.3">
      <c r="A1180" s="2" t="s">
        <v>14</v>
      </c>
      <c r="B1180" s="3" t="s">
        <v>14</v>
      </c>
      <c r="C1180" s="3" t="s">
        <v>1168</v>
      </c>
      <c r="D1180" s="3" t="s">
        <v>32</v>
      </c>
      <c r="E1180" s="3" t="s">
        <v>466</v>
      </c>
      <c r="F1180" s="4">
        <v>46266</v>
      </c>
      <c r="G1180" s="3" t="s">
        <v>17</v>
      </c>
      <c r="H1180" s="5">
        <v>-252000</v>
      </c>
      <c r="I1180" s="3" t="s">
        <v>18</v>
      </c>
      <c r="J1180" s="3" t="s">
        <v>14</v>
      </c>
      <c r="K1180" s="3" t="s">
        <v>14</v>
      </c>
      <c r="L1180" s="3" t="s">
        <v>181</v>
      </c>
      <c r="M1180" s="4">
        <v>46266</v>
      </c>
      <c r="N1180" s="3" t="s">
        <v>1169</v>
      </c>
      <c r="O1180" s="3" t="s">
        <v>23</v>
      </c>
      <c r="P1180" t="str">
        <f t="shared" si="18"/>
        <v>450012645240</v>
      </c>
      <c r="Q1180" s="7" cm="1">
        <f t="array" ref="Q1180:S1180">VLOOKUP(P1180,Hoja1!C:F,{2,3,4},FALSE)</f>
        <v>46387</v>
      </c>
      <c r="R1180" t="str">
        <v>C04</v>
      </c>
      <c r="S1180" t="str">
        <v>1000011461 CONTRERAS BRIAN ALEXANDER</v>
      </c>
    </row>
    <row r="1181" spans="1:19" x14ac:dyDescent="0.3">
      <c r="A1181" s="2" t="s">
        <v>14</v>
      </c>
      <c r="B1181" s="3" t="s">
        <v>14</v>
      </c>
      <c r="C1181" s="3" t="s">
        <v>1168</v>
      </c>
      <c r="D1181" s="3" t="s">
        <v>32</v>
      </c>
      <c r="E1181" s="3" t="s">
        <v>466</v>
      </c>
      <c r="F1181" s="4">
        <v>46266</v>
      </c>
      <c r="G1181" s="3" t="s">
        <v>17</v>
      </c>
      <c r="H1181" s="5">
        <v>-47250</v>
      </c>
      <c r="I1181" s="3" t="s">
        <v>18</v>
      </c>
      <c r="J1181" s="3" t="s">
        <v>14</v>
      </c>
      <c r="K1181" s="3" t="s">
        <v>14</v>
      </c>
      <c r="L1181" s="3" t="s">
        <v>181</v>
      </c>
      <c r="M1181" s="4">
        <v>46266</v>
      </c>
      <c r="N1181" s="3" t="s">
        <v>1169</v>
      </c>
      <c r="O1181" s="3" t="s">
        <v>144</v>
      </c>
      <c r="P1181" t="str">
        <f t="shared" si="18"/>
        <v>450012645250</v>
      </c>
      <c r="Q1181" s="7" cm="1">
        <f t="array" ref="Q1181:S1181">VLOOKUP(P1181,Hoja1!C:F,{2,3,4},FALSE)</f>
        <v>46387</v>
      </c>
      <c r="R1181" t="str">
        <v>C04</v>
      </c>
      <c r="S1181" t="str">
        <v>1000011461 CONTRERAS BRIAN ALEXANDER</v>
      </c>
    </row>
    <row r="1182" spans="1:19" x14ac:dyDescent="0.3">
      <c r="A1182" s="2" t="s">
        <v>14</v>
      </c>
      <c r="B1182" s="3" t="s">
        <v>14</v>
      </c>
      <c r="C1182" s="3" t="s">
        <v>1168</v>
      </c>
      <c r="D1182" s="3" t="s">
        <v>32</v>
      </c>
      <c r="E1182" s="3" t="s">
        <v>466</v>
      </c>
      <c r="F1182" s="4">
        <v>46266</v>
      </c>
      <c r="G1182" s="3" t="s">
        <v>17</v>
      </c>
      <c r="H1182" s="5">
        <v>-63000</v>
      </c>
      <c r="I1182" s="3" t="s">
        <v>18</v>
      </c>
      <c r="J1182" s="3" t="s">
        <v>14</v>
      </c>
      <c r="K1182" s="3" t="s">
        <v>14</v>
      </c>
      <c r="L1182" s="3" t="s">
        <v>181</v>
      </c>
      <c r="M1182" s="4">
        <v>46266</v>
      </c>
      <c r="N1182" s="3" t="s">
        <v>1169</v>
      </c>
      <c r="O1182" s="3" t="s">
        <v>141</v>
      </c>
      <c r="P1182" t="str">
        <f t="shared" si="18"/>
        <v>450012645260</v>
      </c>
      <c r="Q1182" s="7" cm="1">
        <f t="array" ref="Q1182:S1182">VLOOKUP(P1182,Hoja1!C:F,{2,3,4},FALSE)</f>
        <v>46387</v>
      </c>
      <c r="R1182" t="str">
        <v>C04</v>
      </c>
      <c r="S1182" t="str">
        <v>1000011461 CONTRERAS BRIAN ALEXANDER</v>
      </c>
    </row>
    <row r="1183" spans="1:19" x14ac:dyDescent="0.3">
      <c r="A1183" s="2" t="s">
        <v>14</v>
      </c>
      <c r="B1183" s="3" t="s">
        <v>14</v>
      </c>
      <c r="C1183" s="3" t="s">
        <v>1168</v>
      </c>
      <c r="D1183" s="3" t="s">
        <v>32</v>
      </c>
      <c r="E1183" s="3" t="s">
        <v>466</v>
      </c>
      <c r="F1183" s="4">
        <v>46266</v>
      </c>
      <c r="G1183" s="3" t="s">
        <v>17</v>
      </c>
      <c r="H1183" s="5">
        <v>-378000</v>
      </c>
      <c r="I1183" s="3" t="s">
        <v>18</v>
      </c>
      <c r="J1183" s="3" t="s">
        <v>14</v>
      </c>
      <c r="K1183" s="3" t="s">
        <v>14</v>
      </c>
      <c r="L1183" s="3" t="s">
        <v>181</v>
      </c>
      <c r="M1183" s="4">
        <v>46266</v>
      </c>
      <c r="N1183" s="3" t="s">
        <v>1169</v>
      </c>
      <c r="O1183" s="3" t="s">
        <v>52</v>
      </c>
      <c r="P1183" t="str">
        <f t="shared" si="18"/>
        <v>450012645280</v>
      </c>
      <c r="Q1183" s="7" cm="1">
        <f t="array" ref="Q1183:S1183">VLOOKUP(P1183,Hoja1!C:F,{2,3,4},FALSE)</f>
        <v>46387</v>
      </c>
      <c r="R1183" t="str">
        <v>C04</v>
      </c>
      <c r="S1183" t="str">
        <v>1000011461 CONTRERAS BRIAN ALEXANDER</v>
      </c>
    </row>
    <row r="1184" spans="1:19" x14ac:dyDescent="0.3">
      <c r="A1184" s="2" t="s">
        <v>14</v>
      </c>
      <c r="B1184" s="3" t="s">
        <v>14</v>
      </c>
      <c r="C1184" s="3" t="s">
        <v>1168</v>
      </c>
      <c r="D1184" s="3" t="s">
        <v>32</v>
      </c>
      <c r="E1184" s="3" t="s">
        <v>466</v>
      </c>
      <c r="F1184" s="4">
        <v>46266</v>
      </c>
      <c r="G1184" s="3" t="s">
        <v>17</v>
      </c>
      <c r="H1184" s="5">
        <v>-115500</v>
      </c>
      <c r="I1184" s="3" t="s">
        <v>18</v>
      </c>
      <c r="J1184" s="3" t="s">
        <v>14</v>
      </c>
      <c r="K1184" s="3" t="s">
        <v>14</v>
      </c>
      <c r="L1184" s="3" t="s">
        <v>181</v>
      </c>
      <c r="M1184" s="4">
        <v>46266</v>
      </c>
      <c r="N1184" s="3" t="s">
        <v>1169</v>
      </c>
      <c r="O1184" s="3" t="s">
        <v>138</v>
      </c>
      <c r="P1184" t="str">
        <f t="shared" si="18"/>
        <v>450012645290</v>
      </c>
      <c r="Q1184" s="7" cm="1">
        <f t="array" ref="Q1184:S1184">VLOOKUP(P1184,Hoja1!C:F,{2,3,4},FALSE)</f>
        <v>46387</v>
      </c>
      <c r="R1184" t="str">
        <v>C04</v>
      </c>
      <c r="S1184" t="str">
        <v>1000011461 CONTRERAS BRIAN ALEXANDER</v>
      </c>
    </row>
    <row r="1185" spans="1:19" x14ac:dyDescent="0.3">
      <c r="A1185" s="2" t="s">
        <v>14</v>
      </c>
      <c r="B1185" s="3" t="s">
        <v>14</v>
      </c>
      <c r="C1185" s="3" t="s">
        <v>1168</v>
      </c>
      <c r="D1185" s="3" t="s">
        <v>32</v>
      </c>
      <c r="E1185" s="3" t="s">
        <v>466</v>
      </c>
      <c r="F1185" s="4">
        <v>46266</v>
      </c>
      <c r="G1185" s="3" t="s">
        <v>17</v>
      </c>
      <c r="H1185" s="5">
        <v>-346500</v>
      </c>
      <c r="I1185" s="3" t="s">
        <v>18</v>
      </c>
      <c r="J1185" s="3" t="s">
        <v>14</v>
      </c>
      <c r="K1185" s="3" t="s">
        <v>14</v>
      </c>
      <c r="L1185" s="3" t="s">
        <v>181</v>
      </c>
      <c r="M1185" s="4">
        <v>46266</v>
      </c>
      <c r="N1185" s="3" t="s">
        <v>1169</v>
      </c>
      <c r="O1185" s="3" t="s">
        <v>156</v>
      </c>
      <c r="P1185" t="str">
        <f t="shared" si="18"/>
        <v>4500126452110</v>
      </c>
      <c r="Q1185" s="7" cm="1">
        <f t="array" ref="Q1185:S1185">VLOOKUP(P1185,Hoja1!C:F,{2,3,4},FALSE)</f>
        <v>46387</v>
      </c>
      <c r="R1185" t="str">
        <v>C04</v>
      </c>
      <c r="S1185" t="str">
        <v>1000011461 CONTRERAS BRIAN ALEXANDER</v>
      </c>
    </row>
    <row r="1186" spans="1:19" x14ac:dyDescent="0.3">
      <c r="A1186" s="2" t="s">
        <v>14</v>
      </c>
      <c r="B1186" s="3" t="s">
        <v>14</v>
      </c>
      <c r="C1186" s="3" t="s">
        <v>1168</v>
      </c>
      <c r="D1186" s="3" t="s">
        <v>32</v>
      </c>
      <c r="E1186" s="3" t="s">
        <v>466</v>
      </c>
      <c r="F1186" s="4">
        <v>46266</v>
      </c>
      <c r="G1186" s="3" t="s">
        <v>17</v>
      </c>
      <c r="H1186" s="5">
        <v>-5250</v>
      </c>
      <c r="I1186" s="3" t="s">
        <v>18</v>
      </c>
      <c r="J1186" s="3" t="s">
        <v>14</v>
      </c>
      <c r="K1186" s="3" t="s">
        <v>14</v>
      </c>
      <c r="L1186" s="3" t="s">
        <v>181</v>
      </c>
      <c r="M1186" s="4">
        <v>46266</v>
      </c>
      <c r="N1186" s="3" t="s">
        <v>1169</v>
      </c>
      <c r="O1186" s="3" t="s">
        <v>132</v>
      </c>
      <c r="P1186" t="str">
        <f t="shared" si="18"/>
        <v>4500126452120</v>
      </c>
      <c r="Q1186" s="7" cm="1">
        <f t="array" ref="Q1186:S1186">VLOOKUP(P1186,Hoja1!C:F,{2,3,4},FALSE)</f>
        <v>46387</v>
      </c>
      <c r="R1186" t="str">
        <v>C04</v>
      </c>
      <c r="S1186" t="str">
        <v>1000011461 CONTRERAS BRIAN ALEXANDER</v>
      </c>
    </row>
    <row r="1187" spans="1:19" x14ac:dyDescent="0.3">
      <c r="A1187" s="2" t="s">
        <v>14</v>
      </c>
      <c r="B1187" s="3" t="s">
        <v>14</v>
      </c>
      <c r="C1187" s="3" t="s">
        <v>1170</v>
      </c>
      <c r="D1187" s="3" t="s">
        <v>32</v>
      </c>
      <c r="E1187" s="3" t="s">
        <v>466</v>
      </c>
      <c r="F1187" s="4">
        <v>46266</v>
      </c>
      <c r="G1187" s="3" t="s">
        <v>17</v>
      </c>
      <c r="H1187" s="5">
        <v>-1600000</v>
      </c>
      <c r="I1187" s="3" t="s">
        <v>18</v>
      </c>
      <c r="J1187" s="3" t="s">
        <v>14</v>
      </c>
      <c r="K1187" s="3" t="s">
        <v>14</v>
      </c>
      <c r="L1187" s="3" t="s">
        <v>1171</v>
      </c>
      <c r="M1187" s="4">
        <v>46266</v>
      </c>
      <c r="N1187" s="3" t="s">
        <v>1172</v>
      </c>
      <c r="O1187" s="3" t="s">
        <v>30</v>
      </c>
      <c r="P1187" t="str">
        <f t="shared" si="18"/>
        <v>450012464910</v>
      </c>
      <c r="Q1187" s="7" cm="1">
        <f t="array" ref="Q1187:S1187">VLOOKUP(P1187,Hoja1!C:F,{2,3,4},FALSE)</f>
        <v>46265</v>
      </c>
      <c r="R1187" t="str">
        <v>EFO</v>
      </c>
      <c r="S1187" t="str">
        <v>1000009474 JORGE ALBERTO SOTO S.A.S.</v>
      </c>
    </row>
    <row r="1188" spans="1:19" x14ac:dyDescent="0.3">
      <c r="A1188" s="2" t="s">
        <v>14</v>
      </c>
      <c r="B1188" s="3" t="s">
        <v>14</v>
      </c>
      <c r="C1188" s="3" t="s">
        <v>1173</v>
      </c>
      <c r="D1188" s="3" t="s">
        <v>32</v>
      </c>
      <c r="E1188" s="3" t="s">
        <v>466</v>
      </c>
      <c r="F1188" s="4">
        <v>46266</v>
      </c>
      <c r="G1188" s="3" t="s">
        <v>17</v>
      </c>
      <c r="H1188" s="5">
        <v>-1187500</v>
      </c>
      <c r="I1188" s="3" t="s">
        <v>18</v>
      </c>
      <c r="J1188" s="3" t="s">
        <v>14</v>
      </c>
      <c r="K1188" s="3" t="s">
        <v>14</v>
      </c>
      <c r="L1188" s="3" t="s">
        <v>1171</v>
      </c>
      <c r="M1188" s="4">
        <v>46266</v>
      </c>
      <c r="N1188" s="3" t="s">
        <v>1174</v>
      </c>
      <c r="O1188" s="3" t="s">
        <v>30</v>
      </c>
      <c r="P1188" t="str">
        <f t="shared" si="18"/>
        <v>450011638610</v>
      </c>
      <c r="Q1188" s="7" cm="1">
        <f t="array" ref="Q1188:S1188">VLOOKUP(P1188,Hoja1!C:F,{2,3,4},FALSE)</f>
        <v>46325</v>
      </c>
      <c r="R1188" t="str">
        <v>C04</v>
      </c>
      <c r="S1188" t="str">
        <v>1000009474 JORGE ALBERTO SOTO S.A.S.</v>
      </c>
    </row>
    <row r="1189" spans="1:19" x14ac:dyDescent="0.3">
      <c r="A1189" s="2" t="s">
        <v>14</v>
      </c>
      <c r="B1189" s="3" t="s">
        <v>14</v>
      </c>
      <c r="C1189" s="3" t="s">
        <v>1173</v>
      </c>
      <c r="D1189" s="3" t="s">
        <v>32</v>
      </c>
      <c r="E1189" s="3" t="s">
        <v>466</v>
      </c>
      <c r="F1189" s="4">
        <v>46266</v>
      </c>
      <c r="G1189" s="3" t="s">
        <v>17</v>
      </c>
      <c r="H1189" s="5">
        <v>-603250</v>
      </c>
      <c r="I1189" s="3" t="s">
        <v>18</v>
      </c>
      <c r="J1189" s="3" t="s">
        <v>14</v>
      </c>
      <c r="K1189" s="3" t="s">
        <v>14</v>
      </c>
      <c r="L1189" s="3" t="s">
        <v>1171</v>
      </c>
      <c r="M1189" s="4">
        <v>46266</v>
      </c>
      <c r="N1189" s="3" t="s">
        <v>1174</v>
      </c>
      <c r="O1189" s="3" t="s">
        <v>22</v>
      </c>
      <c r="P1189" t="str">
        <f t="shared" si="18"/>
        <v>450011638620</v>
      </c>
      <c r="Q1189" s="7" cm="1">
        <f t="array" ref="Q1189:S1189">VLOOKUP(P1189,Hoja1!C:F,{2,3,4},FALSE)</f>
        <v>46325</v>
      </c>
      <c r="R1189" t="str">
        <v>C04</v>
      </c>
      <c r="S1189" t="str">
        <v>1000009474 JORGE ALBERTO SOTO S.A.S.</v>
      </c>
    </row>
    <row r="1190" spans="1:19" x14ac:dyDescent="0.3">
      <c r="A1190" s="2" t="s">
        <v>14</v>
      </c>
      <c r="B1190" s="3" t="s">
        <v>14</v>
      </c>
      <c r="C1190" s="3" t="s">
        <v>1173</v>
      </c>
      <c r="D1190" s="3" t="s">
        <v>32</v>
      </c>
      <c r="E1190" s="3" t="s">
        <v>466</v>
      </c>
      <c r="F1190" s="4">
        <v>46266</v>
      </c>
      <c r="G1190" s="3" t="s">
        <v>17</v>
      </c>
      <c r="H1190" s="5">
        <v>-1576575</v>
      </c>
      <c r="I1190" s="3" t="s">
        <v>18</v>
      </c>
      <c r="J1190" s="3" t="s">
        <v>14</v>
      </c>
      <c r="K1190" s="3" t="s">
        <v>14</v>
      </c>
      <c r="L1190" s="3" t="s">
        <v>1171</v>
      </c>
      <c r="M1190" s="4">
        <v>46266</v>
      </c>
      <c r="N1190" s="3" t="s">
        <v>1174</v>
      </c>
      <c r="O1190" s="3" t="s">
        <v>35</v>
      </c>
      <c r="P1190" t="str">
        <f t="shared" si="18"/>
        <v>450011638630</v>
      </c>
      <c r="Q1190" s="7" cm="1">
        <f t="array" ref="Q1190:S1190">VLOOKUP(P1190,Hoja1!C:F,{2,3,4},FALSE)</f>
        <v>46325</v>
      </c>
      <c r="R1190" t="str">
        <v>C04</v>
      </c>
      <c r="S1190" t="str">
        <v>1000009474 JORGE ALBERTO SOTO S.A.S.</v>
      </c>
    </row>
    <row r="1191" spans="1:19" x14ac:dyDescent="0.3">
      <c r="A1191" s="2" t="s">
        <v>14</v>
      </c>
      <c r="B1191" s="3" t="s">
        <v>14</v>
      </c>
      <c r="C1191" s="3" t="s">
        <v>1175</v>
      </c>
      <c r="D1191" s="3" t="s">
        <v>32</v>
      </c>
      <c r="E1191" s="3" t="s">
        <v>466</v>
      </c>
      <c r="F1191" s="4">
        <v>46266</v>
      </c>
      <c r="G1191" s="3" t="s">
        <v>17</v>
      </c>
      <c r="H1191" s="5">
        <v>-1900000</v>
      </c>
      <c r="I1191" s="3" t="s">
        <v>18</v>
      </c>
      <c r="J1191" s="3" t="s">
        <v>14</v>
      </c>
      <c r="K1191" s="3" t="s">
        <v>14</v>
      </c>
      <c r="L1191" s="3" t="s">
        <v>1171</v>
      </c>
      <c r="M1191" s="4">
        <v>46266</v>
      </c>
      <c r="N1191" s="3" t="s">
        <v>1176</v>
      </c>
      <c r="O1191" s="3" t="s">
        <v>22</v>
      </c>
      <c r="P1191" t="str">
        <f t="shared" si="18"/>
        <v>450011729020</v>
      </c>
      <c r="Q1191" s="7" cm="1">
        <f t="array" ref="Q1191:S1191">VLOOKUP(P1191,Hoja1!C:F,{2,3,4},FALSE)</f>
        <v>46317</v>
      </c>
      <c r="R1191" t="str">
        <v>C04</v>
      </c>
      <c r="S1191" t="str">
        <v>1000009474 JORGE ALBERTO SOTO S.A.S.</v>
      </c>
    </row>
    <row r="1192" spans="1:19" x14ac:dyDescent="0.3">
      <c r="A1192" s="2" t="s">
        <v>14</v>
      </c>
      <c r="B1192" s="3" t="s">
        <v>14</v>
      </c>
      <c r="C1192" s="3" t="s">
        <v>1177</v>
      </c>
      <c r="D1192" s="3" t="s">
        <v>14</v>
      </c>
      <c r="E1192" s="3" t="s">
        <v>466</v>
      </c>
      <c r="F1192" s="4">
        <v>46266</v>
      </c>
      <c r="G1192" s="3" t="s">
        <v>17</v>
      </c>
      <c r="H1192" s="5">
        <v>-16898</v>
      </c>
      <c r="I1192" s="3" t="s">
        <v>18</v>
      </c>
      <c r="J1192" s="3" t="s">
        <v>14</v>
      </c>
      <c r="K1192" s="3" t="s">
        <v>14</v>
      </c>
      <c r="L1192" s="3" t="s">
        <v>603</v>
      </c>
      <c r="M1192" s="4">
        <v>46266</v>
      </c>
      <c r="N1192" s="3" t="s">
        <v>646</v>
      </c>
      <c r="O1192" s="3" t="s">
        <v>30</v>
      </c>
      <c r="P1192" t="str">
        <f t="shared" si="18"/>
        <v>450012546810</v>
      </c>
      <c r="Q1192" s="7" cm="1">
        <f t="array" ref="Q1192:S1192">VLOOKUP(P1192,Hoja1!C:F,{2,3,4},FALSE)</f>
        <v>46274</v>
      </c>
      <c r="R1192" t="str">
        <v>C42</v>
      </c>
      <c r="S1192" t="str">
        <v>1000000161 BOSCO GERMAN, BOSCO LUCIO Y BOSCO</v>
      </c>
    </row>
    <row r="1193" spans="1:19" x14ac:dyDescent="0.3">
      <c r="A1193" s="2" t="s">
        <v>14</v>
      </c>
      <c r="B1193" s="3" t="s">
        <v>14</v>
      </c>
      <c r="C1193" s="3" t="s">
        <v>1178</v>
      </c>
      <c r="D1193" s="3" t="s">
        <v>14</v>
      </c>
      <c r="E1193" s="3" t="s">
        <v>466</v>
      </c>
      <c r="F1193" s="4">
        <v>46262</v>
      </c>
      <c r="G1193" s="3" t="s">
        <v>17</v>
      </c>
      <c r="H1193" s="5">
        <v>-225943</v>
      </c>
      <c r="I1193" s="3" t="s">
        <v>18</v>
      </c>
      <c r="J1193" s="3" t="s">
        <v>14</v>
      </c>
      <c r="K1193" s="3" t="s">
        <v>14</v>
      </c>
      <c r="L1193" s="3" t="s">
        <v>1179</v>
      </c>
      <c r="M1193" s="4">
        <v>46267</v>
      </c>
      <c r="N1193" s="3" t="s">
        <v>1180</v>
      </c>
      <c r="O1193" s="3" t="s">
        <v>22</v>
      </c>
      <c r="P1193" t="str">
        <f t="shared" si="18"/>
        <v>450013543120</v>
      </c>
      <c r="Q1193" s="7" cm="1">
        <f t="array" ref="Q1193:S1193">VLOOKUP(P1193,Hoja1!C:F,{2,3,4},FALSE)</f>
        <v>46259</v>
      </c>
      <c r="R1193" t="str">
        <v>C17</v>
      </c>
      <c r="S1193" t="str">
        <v>1000000008 DISTRIBUIDORA DIQUE S.R.L.</v>
      </c>
    </row>
    <row r="1194" spans="1:19" x14ac:dyDescent="0.3">
      <c r="A1194" s="2" t="s">
        <v>14</v>
      </c>
      <c r="B1194" s="3" t="s">
        <v>14</v>
      </c>
      <c r="C1194" s="3" t="s">
        <v>1181</v>
      </c>
      <c r="D1194" s="3" t="s">
        <v>14</v>
      </c>
      <c r="E1194" s="3" t="s">
        <v>466</v>
      </c>
      <c r="F1194" s="4">
        <v>46267</v>
      </c>
      <c r="G1194" s="3" t="s">
        <v>17</v>
      </c>
      <c r="H1194" s="5">
        <v>-124800</v>
      </c>
      <c r="I1194" s="3" t="s">
        <v>18</v>
      </c>
      <c r="J1194" s="3" t="s">
        <v>14</v>
      </c>
      <c r="K1194" s="3" t="s">
        <v>14</v>
      </c>
      <c r="L1194" s="3" t="s">
        <v>1182</v>
      </c>
      <c r="M1194" s="4">
        <v>46267</v>
      </c>
      <c r="N1194" s="3" t="s">
        <v>1183</v>
      </c>
      <c r="O1194" s="3" t="s">
        <v>30</v>
      </c>
      <c r="P1194" t="str">
        <f t="shared" si="18"/>
        <v>450013726910</v>
      </c>
      <c r="Q1194" s="7" cm="1">
        <f t="array" ref="Q1194:S1194">VLOOKUP(P1194,Hoja1!C:F,{2,3,4},FALSE)</f>
        <v>46274</v>
      </c>
      <c r="R1194" t="str">
        <v>C38</v>
      </c>
      <c r="S1194" t="str">
        <v>1000001653 RIAL JOSE ANGEL</v>
      </c>
    </row>
    <row r="1195" spans="1:19" x14ac:dyDescent="0.3">
      <c r="A1195" s="2" t="s">
        <v>14</v>
      </c>
      <c r="B1195" s="3" t="s">
        <v>14</v>
      </c>
      <c r="C1195" s="3" t="s">
        <v>1184</v>
      </c>
      <c r="D1195" s="3" t="s">
        <v>14</v>
      </c>
      <c r="E1195" s="3" t="s">
        <v>466</v>
      </c>
      <c r="F1195" s="4">
        <v>46267</v>
      </c>
      <c r="G1195" s="3" t="s">
        <v>17</v>
      </c>
      <c r="H1195" s="5">
        <v>-469200</v>
      </c>
      <c r="I1195" s="3" t="s">
        <v>18</v>
      </c>
      <c r="J1195" s="3" t="s">
        <v>14</v>
      </c>
      <c r="K1195" s="3" t="s">
        <v>14</v>
      </c>
      <c r="L1195" s="3" t="s">
        <v>1182</v>
      </c>
      <c r="M1195" s="4">
        <v>46267</v>
      </c>
      <c r="N1195" s="3" t="s">
        <v>1185</v>
      </c>
      <c r="O1195" s="3" t="s">
        <v>30</v>
      </c>
      <c r="P1195" t="str">
        <f t="shared" si="18"/>
        <v>450013727210</v>
      </c>
      <c r="Q1195" s="7" cm="1">
        <f t="array" ref="Q1195:S1195">VLOOKUP(P1195,Hoja1!C:F,{2,3,4},FALSE)</f>
        <v>46274</v>
      </c>
      <c r="R1195" t="str">
        <v>C38</v>
      </c>
      <c r="S1195" t="str">
        <v>1000001653 RIAL JOSE ANGEL</v>
      </c>
    </row>
    <row r="1196" spans="1:19" x14ac:dyDescent="0.3">
      <c r="A1196" s="2" t="s">
        <v>14</v>
      </c>
      <c r="B1196" s="3" t="s">
        <v>14</v>
      </c>
      <c r="C1196" s="3" t="s">
        <v>1186</v>
      </c>
      <c r="D1196" s="3" t="s">
        <v>14</v>
      </c>
      <c r="E1196" s="3" t="s">
        <v>466</v>
      </c>
      <c r="F1196" s="4">
        <v>46267</v>
      </c>
      <c r="G1196" s="3" t="s">
        <v>17</v>
      </c>
      <c r="H1196" s="5">
        <v>-251919.5</v>
      </c>
      <c r="I1196" s="3" t="s">
        <v>18</v>
      </c>
      <c r="J1196" s="3" t="s">
        <v>14</v>
      </c>
      <c r="K1196" s="3" t="s">
        <v>14</v>
      </c>
      <c r="L1196" s="3" t="s">
        <v>232</v>
      </c>
      <c r="M1196" s="4">
        <v>46267</v>
      </c>
      <c r="N1196" s="3" t="s">
        <v>1187</v>
      </c>
      <c r="O1196" s="3" t="s">
        <v>22</v>
      </c>
      <c r="P1196" t="str">
        <f t="shared" si="18"/>
        <v>450013638520</v>
      </c>
      <c r="Q1196" s="7" cm="1">
        <f t="array" ref="Q1196:S1196">VLOOKUP(P1196,Hoja1!C:F,{2,3,4},FALSE)</f>
        <v>46310</v>
      </c>
      <c r="R1196" t="str">
        <v>C03</v>
      </c>
      <c r="S1196" t="str">
        <v>1000000572 GRUAS SAN BLAS S.A</v>
      </c>
    </row>
    <row r="1197" spans="1:19" x14ac:dyDescent="0.3">
      <c r="A1197" s="2" t="s">
        <v>14</v>
      </c>
      <c r="B1197" s="3" t="s">
        <v>14</v>
      </c>
      <c r="C1197" s="3" t="s">
        <v>1188</v>
      </c>
      <c r="D1197" s="3" t="s">
        <v>14</v>
      </c>
      <c r="E1197" s="3" t="s">
        <v>466</v>
      </c>
      <c r="F1197" s="4">
        <v>46267</v>
      </c>
      <c r="G1197" s="3" t="s">
        <v>17</v>
      </c>
      <c r="H1197" s="5">
        <v>-49480.72</v>
      </c>
      <c r="I1197" s="3" t="s">
        <v>18</v>
      </c>
      <c r="J1197" s="3" t="s">
        <v>14</v>
      </c>
      <c r="K1197" s="3" t="s">
        <v>14</v>
      </c>
      <c r="L1197" s="3" t="s">
        <v>47</v>
      </c>
      <c r="M1197" s="4">
        <v>46267</v>
      </c>
      <c r="N1197" s="3" t="s">
        <v>1189</v>
      </c>
      <c r="O1197" s="3" t="s">
        <v>30</v>
      </c>
      <c r="P1197" t="str">
        <f t="shared" si="18"/>
        <v>450013740110</v>
      </c>
      <c r="Q1197" s="7" cm="1">
        <f t="array" ref="Q1197:S1197">VLOOKUP(P1197,Hoja1!C:F,{2,3,4},FALSE)</f>
        <v>46280</v>
      </c>
      <c r="R1197" t="str">
        <v>C03</v>
      </c>
      <c r="S1197" t="str">
        <v>1000000010 GASES ROSARIO S.R.L.</v>
      </c>
    </row>
    <row r="1198" spans="1:19" x14ac:dyDescent="0.3">
      <c r="A1198" s="2" t="s">
        <v>14</v>
      </c>
      <c r="B1198" s="3" t="s">
        <v>14</v>
      </c>
      <c r="C1198" s="3" t="s">
        <v>1190</v>
      </c>
      <c r="D1198" s="3" t="s">
        <v>14</v>
      </c>
      <c r="E1198" s="3" t="s">
        <v>466</v>
      </c>
      <c r="F1198" s="4">
        <v>46267</v>
      </c>
      <c r="G1198" s="3" t="s">
        <v>17</v>
      </c>
      <c r="H1198" s="5">
        <v>-41600</v>
      </c>
      <c r="I1198" s="3" t="s">
        <v>18</v>
      </c>
      <c r="J1198" s="3" t="s">
        <v>14</v>
      </c>
      <c r="K1198" s="3" t="s">
        <v>14</v>
      </c>
      <c r="L1198" s="3" t="s">
        <v>1182</v>
      </c>
      <c r="M1198" s="4">
        <v>46267</v>
      </c>
      <c r="N1198" s="3" t="s">
        <v>1183</v>
      </c>
      <c r="O1198" s="3" t="s">
        <v>30</v>
      </c>
      <c r="P1198" t="str">
        <f t="shared" si="18"/>
        <v>450013726910</v>
      </c>
      <c r="Q1198" s="7" cm="1">
        <f t="array" ref="Q1198:S1198">VLOOKUP(P1198,Hoja1!C:F,{2,3,4},FALSE)</f>
        <v>46274</v>
      </c>
      <c r="R1198" t="str">
        <v>C38</v>
      </c>
      <c r="S1198" t="str">
        <v>1000001653 RIAL JOSE ANGEL</v>
      </c>
    </row>
    <row r="1199" spans="1:19" x14ac:dyDescent="0.3">
      <c r="A1199" s="2" t="s">
        <v>14</v>
      </c>
      <c r="B1199" s="3" t="s">
        <v>14</v>
      </c>
      <c r="C1199" s="3" t="s">
        <v>1191</v>
      </c>
      <c r="D1199" s="3" t="s">
        <v>14</v>
      </c>
      <c r="E1199" s="3" t="s">
        <v>466</v>
      </c>
      <c r="F1199" s="4">
        <v>46267</v>
      </c>
      <c r="G1199" s="3" t="s">
        <v>17</v>
      </c>
      <c r="H1199" s="5">
        <v>-83200</v>
      </c>
      <c r="I1199" s="3" t="s">
        <v>18</v>
      </c>
      <c r="J1199" s="3" t="s">
        <v>14</v>
      </c>
      <c r="K1199" s="3" t="s">
        <v>14</v>
      </c>
      <c r="L1199" s="3" t="s">
        <v>1182</v>
      </c>
      <c r="M1199" s="4">
        <v>46267</v>
      </c>
      <c r="N1199" s="3" t="s">
        <v>1192</v>
      </c>
      <c r="O1199" s="3" t="s">
        <v>30</v>
      </c>
      <c r="P1199" t="str">
        <f t="shared" si="18"/>
        <v>450013727310</v>
      </c>
      <c r="Q1199" s="7" cm="1">
        <f t="array" ref="Q1199:S1199">VLOOKUP(P1199,Hoja1!C:F,{2,3,4},FALSE)</f>
        <v>46274</v>
      </c>
      <c r="R1199" t="str">
        <v>C38</v>
      </c>
      <c r="S1199" t="str">
        <v>1000001653 RIAL JOSE ANGEL</v>
      </c>
    </row>
    <row r="1200" spans="1:19" x14ac:dyDescent="0.3">
      <c r="A1200" s="2" t="s">
        <v>14</v>
      </c>
      <c r="B1200" s="3" t="s">
        <v>14</v>
      </c>
      <c r="C1200" s="3" t="s">
        <v>1193</v>
      </c>
      <c r="D1200" s="3" t="s">
        <v>14</v>
      </c>
      <c r="E1200" s="3" t="s">
        <v>466</v>
      </c>
      <c r="F1200" s="4">
        <v>46267</v>
      </c>
      <c r="G1200" s="3" t="s">
        <v>17</v>
      </c>
      <c r="H1200" s="5">
        <v>-209730</v>
      </c>
      <c r="I1200" s="3" t="s">
        <v>18</v>
      </c>
      <c r="J1200" s="3" t="s">
        <v>14</v>
      </c>
      <c r="K1200" s="3" t="s">
        <v>14</v>
      </c>
      <c r="L1200" s="3" t="s">
        <v>1182</v>
      </c>
      <c r="M1200" s="4">
        <v>46267</v>
      </c>
      <c r="N1200" s="3" t="s">
        <v>1194</v>
      </c>
      <c r="O1200" s="3" t="s">
        <v>30</v>
      </c>
      <c r="P1200" t="str">
        <f t="shared" si="18"/>
        <v>450013728110</v>
      </c>
      <c r="Q1200" s="7" cm="1">
        <f t="array" ref="Q1200:S1200">VLOOKUP(P1200,Hoja1!C:F,{2,3,4},FALSE)</f>
        <v>46295</v>
      </c>
      <c r="R1200" t="str">
        <v>C38</v>
      </c>
      <c r="S1200" t="str">
        <v>1000001653 RIAL JOSE ANGEL</v>
      </c>
    </row>
    <row r="1201" spans="1:19" x14ac:dyDescent="0.3">
      <c r="A1201" s="2" t="s">
        <v>14</v>
      </c>
      <c r="B1201" s="3" t="s">
        <v>14</v>
      </c>
      <c r="C1201" s="3" t="s">
        <v>1195</v>
      </c>
      <c r="D1201" s="3" t="s">
        <v>14</v>
      </c>
      <c r="E1201" s="3" t="s">
        <v>466</v>
      </c>
      <c r="F1201" s="4">
        <v>46267</v>
      </c>
      <c r="G1201" s="3" t="s">
        <v>17</v>
      </c>
      <c r="H1201" s="5">
        <v>-78200</v>
      </c>
      <c r="I1201" s="3" t="s">
        <v>18</v>
      </c>
      <c r="J1201" s="3" t="s">
        <v>14</v>
      </c>
      <c r="K1201" s="3" t="s">
        <v>14</v>
      </c>
      <c r="L1201" s="3" t="s">
        <v>1182</v>
      </c>
      <c r="M1201" s="4">
        <v>46267</v>
      </c>
      <c r="N1201" s="3" t="s">
        <v>1185</v>
      </c>
      <c r="O1201" s="3" t="s">
        <v>30</v>
      </c>
      <c r="P1201" t="str">
        <f t="shared" si="18"/>
        <v>450013727210</v>
      </c>
      <c r="Q1201" s="7" cm="1">
        <f t="array" ref="Q1201:S1201">VLOOKUP(P1201,Hoja1!C:F,{2,3,4},FALSE)</f>
        <v>46274</v>
      </c>
      <c r="R1201" t="str">
        <v>C38</v>
      </c>
      <c r="S1201" t="str">
        <v>1000001653 RIAL JOSE ANGEL</v>
      </c>
    </row>
    <row r="1202" spans="1:19" x14ac:dyDescent="0.3">
      <c r="A1202" s="2" t="s">
        <v>14</v>
      </c>
      <c r="B1202" s="3" t="s">
        <v>14</v>
      </c>
      <c r="C1202" s="3" t="s">
        <v>1195</v>
      </c>
      <c r="D1202" s="3" t="s">
        <v>14</v>
      </c>
      <c r="E1202" s="3" t="s">
        <v>466</v>
      </c>
      <c r="F1202" s="4">
        <v>46267</v>
      </c>
      <c r="G1202" s="3" t="s">
        <v>17</v>
      </c>
      <c r="H1202" s="5">
        <v>-82870</v>
      </c>
      <c r="I1202" s="3" t="s">
        <v>18</v>
      </c>
      <c r="J1202" s="3" t="s">
        <v>14</v>
      </c>
      <c r="K1202" s="3" t="s">
        <v>14</v>
      </c>
      <c r="L1202" s="3" t="s">
        <v>1182</v>
      </c>
      <c r="M1202" s="4">
        <v>46267</v>
      </c>
      <c r="N1202" s="3" t="s">
        <v>1185</v>
      </c>
      <c r="O1202" s="3" t="s">
        <v>22</v>
      </c>
      <c r="P1202" t="str">
        <f t="shared" si="18"/>
        <v>450013727220</v>
      </c>
      <c r="Q1202" s="7" cm="1">
        <f t="array" ref="Q1202:S1202">VLOOKUP(P1202,Hoja1!C:F,{2,3,4},FALSE)</f>
        <v>46274</v>
      </c>
      <c r="R1202" t="str">
        <v>C38</v>
      </c>
      <c r="S1202" t="str">
        <v>1000001653 RIAL JOSE ANGEL</v>
      </c>
    </row>
    <row r="1203" spans="1:19" x14ac:dyDescent="0.3">
      <c r="A1203" s="2" t="s">
        <v>14</v>
      </c>
      <c r="B1203" s="3" t="s">
        <v>14</v>
      </c>
      <c r="C1203" s="3" t="s">
        <v>1196</v>
      </c>
      <c r="D1203" s="3" t="s">
        <v>14</v>
      </c>
      <c r="E1203" s="3" t="s">
        <v>466</v>
      </c>
      <c r="F1203" s="4">
        <v>46268</v>
      </c>
      <c r="G1203" s="3" t="s">
        <v>17</v>
      </c>
      <c r="H1203" s="5">
        <v>-1041324.66</v>
      </c>
      <c r="I1203" s="3" t="s">
        <v>18</v>
      </c>
      <c r="J1203" s="3" t="s">
        <v>14</v>
      </c>
      <c r="K1203" s="3" t="s">
        <v>14</v>
      </c>
      <c r="L1203" s="3" t="s">
        <v>991</v>
      </c>
      <c r="M1203" s="4">
        <v>46268</v>
      </c>
      <c r="N1203" s="3" t="s">
        <v>1197</v>
      </c>
      <c r="O1203" s="3" t="s">
        <v>30</v>
      </c>
      <c r="P1203" t="str">
        <f t="shared" si="18"/>
        <v>450013682410</v>
      </c>
      <c r="Q1203" s="7" cm="1">
        <f t="array" ref="Q1203:S1203">VLOOKUP(P1203,Hoja1!C:F,{2,3,4},FALSE)</f>
        <v>46268</v>
      </c>
      <c r="R1203" t="str">
        <v>C03</v>
      </c>
      <c r="S1203" t="str">
        <v>1000008805 SAKURA MOTORS S. A.</v>
      </c>
    </row>
    <row r="1204" spans="1:19" x14ac:dyDescent="0.3">
      <c r="A1204" s="2" t="s">
        <v>14</v>
      </c>
      <c r="B1204" s="3" t="s">
        <v>14</v>
      </c>
      <c r="C1204" s="3" t="s">
        <v>1196</v>
      </c>
      <c r="D1204" s="3" t="s">
        <v>14</v>
      </c>
      <c r="E1204" s="3" t="s">
        <v>466</v>
      </c>
      <c r="F1204" s="4">
        <v>46268</v>
      </c>
      <c r="G1204" s="3" t="s">
        <v>17</v>
      </c>
      <c r="H1204" s="5">
        <v>-1041324.66</v>
      </c>
      <c r="I1204" s="3" t="s">
        <v>18</v>
      </c>
      <c r="J1204" s="3" t="s">
        <v>14</v>
      </c>
      <c r="K1204" s="3" t="s">
        <v>14</v>
      </c>
      <c r="L1204" s="3" t="s">
        <v>991</v>
      </c>
      <c r="M1204" s="4">
        <v>46268</v>
      </c>
      <c r="N1204" s="3" t="s">
        <v>1197</v>
      </c>
      <c r="O1204" s="3" t="s">
        <v>22</v>
      </c>
      <c r="P1204" t="str">
        <f t="shared" si="18"/>
        <v>450013682420</v>
      </c>
      <c r="Q1204" s="7" cm="1">
        <f t="array" ref="Q1204:S1204">VLOOKUP(P1204,Hoja1!C:F,{2,3,4},FALSE)</f>
        <v>46268</v>
      </c>
      <c r="R1204" t="str">
        <v>C03</v>
      </c>
      <c r="S1204" t="str">
        <v>1000008805 SAKURA MOTORS S. A.</v>
      </c>
    </row>
    <row r="1205" spans="1:19" x14ac:dyDescent="0.3">
      <c r="A1205" s="2" t="s">
        <v>14</v>
      </c>
      <c r="B1205" s="3" t="s">
        <v>14</v>
      </c>
      <c r="C1205" s="3" t="s">
        <v>1198</v>
      </c>
      <c r="D1205" s="3" t="s">
        <v>14</v>
      </c>
      <c r="E1205" s="3" t="s">
        <v>466</v>
      </c>
      <c r="F1205" s="4">
        <v>46268</v>
      </c>
      <c r="G1205" s="3" t="s">
        <v>17</v>
      </c>
      <c r="H1205" s="5">
        <v>-20326</v>
      </c>
      <c r="I1205" s="3" t="s">
        <v>18</v>
      </c>
      <c r="J1205" s="3" t="s">
        <v>14</v>
      </c>
      <c r="K1205" s="3" t="s">
        <v>14</v>
      </c>
      <c r="L1205" s="3" t="s">
        <v>1103</v>
      </c>
      <c r="M1205" s="4">
        <v>46268</v>
      </c>
      <c r="N1205" s="3" t="s">
        <v>1104</v>
      </c>
      <c r="O1205" s="3" t="s">
        <v>35</v>
      </c>
      <c r="P1205" t="str">
        <f t="shared" si="18"/>
        <v>450013583230</v>
      </c>
      <c r="Q1205" s="7" cm="1">
        <f t="array" ref="Q1205:S1205">VLOOKUP(P1205,Hoja1!C:F,{2,3,4},FALSE)</f>
        <v>46255</v>
      </c>
      <c r="R1205" t="str">
        <v>C11</v>
      </c>
      <c r="S1205" t="str">
        <v>1000013182 MONFORT JUAN CARLOS</v>
      </c>
    </row>
    <row r="1206" spans="1:19" x14ac:dyDescent="0.3">
      <c r="A1206" s="2" t="s">
        <v>14</v>
      </c>
      <c r="B1206" s="3" t="s">
        <v>14</v>
      </c>
      <c r="C1206" s="3" t="s">
        <v>1199</v>
      </c>
      <c r="D1206" s="3" t="s">
        <v>14</v>
      </c>
      <c r="E1206" s="3" t="s">
        <v>466</v>
      </c>
      <c r="F1206" s="4">
        <v>46268</v>
      </c>
      <c r="G1206" s="3" t="s">
        <v>17</v>
      </c>
      <c r="H1206" s="5">
        <v>-3675.86</v>
      </c>
      <c r="I1206" s="3" t="s">
        <v>18</v>
      </c>
      <c r="J1206" s="3" t="s">
        <v>14</v>
      </c>
      <c r="K1206" s="3" t="s">
        <v>14</v>
      </c>
      <c r="L1206" s="3" t="s">
        <v>117</v>
      </c>
      <c r="M1206" s="4">
        <v>46268</v>
      </c>
      <c r="N1206" s="3" t="s">
        <v>432</v>
      </c>
      <c r="O1206" s="3" t="s">
        <v>53</v>
      </c>
      <c r="P1206" t="str">
        <f t="shared" si="18"/>
        <v>4500136739170</v>
      </c>
      <c r="Q1206" s="7" cm="1">
        <f t="array" ref="Q1206:S1206">VLOOKUP(P1206,Hoja1!C:F,{2,3,4},FALSE)</f>
        <v>46265</v>
      </c>
      <c r="R1206" t="str">
        <v>C03</v>
      </c>
      <c r="S1206" t="str">
        <v>1000001129 AGRONORTE S.R.L.</v>
      </c>
    </row>
    <row r="1207" spans="1:19" x14ac:dyDescent="0.3">
      <c r="A1207" s="2" t="s">
        <v>14</v>
      </c>
      <c r="B1207" s="3" t="s">
        <v>14</v>
      </c>
      <c r="C1207" s="3" t="s">
        <v>1199</v>
      </c>
      <c r="D1207" s="3" t="s">
        <v>14</v>
      </c>
      <c r="E1207" s="3" t="s">
        <v>466</v>
      </c>
      <c r="F1207" s="4">
        <v>46268</v>
      </c>
      <c r="G1207" s="3" t="s">
        <v>17</v>
      </c>
      <c r="H1207" s="5">
        <v>-18062.939999999999</v>
      </c>
      <c r="I1207" s="3" t="s">
        <v>18</v>
      </c>
      <c r="J1207" s="3" t="s">
        <v>14</v>
      </c>
      <c r="K1207" s="3" t="s">
        <v>14</v>
      </c>
      <c r="L1207" s="3" t="s">
        <v>117</v>
      </c>
      <c r="M1207" s="4">
        <v>46268</v>
      </c>
      <c r="N1207" s="3" t="s">
        <v>432</v>
      </c>
      <c r="O1207" s="3" t="s">
        <v>130</v>
      </c>
      <c r="P1207" t="str">
        <f t="shared" si="18"/>
        <v>4500136739180</v>
      </c>
      <c r="Q1207" s="7" cm="1">
        <f t="array" ref="Q1207:S1207">VLOOKUP(P1207,Hoja1!C:F,{2,3,4},FALSE)</f>
        <v>46265</v>
      </c>
      <c r="R1207" t="str">
        <v>C03</v>
      </c>
      <c r="S1207" t="str">
        <v>1000001129 AGRONORTE S.R.L.</v>
      </c>
    </row>
    <row r="1208" spans="1:19" x14ac:dyDescent="0.3">
      <c r="A1208" s="2" t="s">
        <v>14</v>
      </c>
      <c r="B1208" s="3" t="s">
        <v>14</v>
      </c>
      <c r="C1208" s="3" t="s">
        <v>1200</v>
      </c>
      <c r="D1208" s="3" t="s">
        <v>32</v>
      </c>
      <c r="E1208" s="3" t="s">
        <v>466</v>
      </c>
      <c r="F1208" s="4">
        <v>46268</v>
      </c>
      <c r="G1208" s="3" t="s">
        <v>17</v>
      </c>
      <c r="H1208" s="5">
        <v>-187500</v>
      </c>
      <c r="I1208" s="3" t="s">
        <v>18</v>
      </c>
      <c r="J1208" s="3" t="s">
        <v>14</v>
      </c>
      <c r="K1208" s="3" t="s">
        <v>14</v>
      </c>
      <c r="L1208" s="3" t="s">
        <v>396</v>
      </c>
      <c r="M1208" s="4">
        <v>46268</v>
      </c>
      <c r="N1208" s="3" t="s">
        <v>397</v>
      </c>
      <c r="O1208" s="3" t="s">
        <v>35</v>
      </c>
      <c r="P1208" t="str">
        <f t="shared" si="18"/>
        <v>450013218630</v>
      </c>
      <c r="Q1208" s="7" cm="1">
        <f t="array" ref="Q1208:S1208">VLOOKUP(P1208,Hoja1!C:F,{2,3,4},FALSE)</f>
        <v>46387</v>
      </c>
      <c r="R1208" t="str">
        <v>C25</v>
      </c>
      <c r="S1208" t="str">
        <v>1000011567 MALDONADO ELVA</v>
      </c>
    </row>
    <row r="1209" spans="1:19" x14ac:dyDescent="0.3">
      <c r="A1209" s="2" t="s">
        <v>14</v>
      </c>
      <c r="B1209" s="3" t="s">
        <v>14</v>
      </c>
      <c r="C1209" s="3" t="s">
        <v>1201</v>
      </c>
      <c r="D1209" s="3" t="s">
        <v>84</v>
      </c>
      <c r="E1209" s="3" t="s">
        <v>466</v>
      </c>
      <c r="F1209" s="4">
        <v>46268</v>
      </c>
      <c r="G1209" s="3" t="s">
        <v>17</v>
      </c>
      <c r="H1209" s="5">
        <v>-677925</v>
      </c>
      <c r="I1209" s="3" t="s">
        <v>18</v>
      </c>
      <c r="J1209" s="3" t="s">
        <v>14</v>
      </c>
      <c r="K1209" s="3" t="s">
        <v>14</v>
      </c>
      <c r="L1209" s="3" t="s">
        <v>1202</v>
      </c>
      <c r="M1209" s="4">
        <v>46268</v>
      </c>
      <c r="N1209" s="3" t="s">
        <v>1203</v>
      </c>
      <c r="O1209" s="3" t="s">
        <v>130</v>
      </c>
      <c r="P1209" t="str">
        <f t="shared" si="18"/>
        <v>4500130397180</v>
      </c>
      <c r="Q1209" s="7" cm="1">
        <f t="array" ref="Q1209:S1209">VLOOKUP(P1209,Hoja1!C:F,{2,3,4},FALSE)</f>
        <v>46269</v>
      </c>
      <c r="R1209" t="str">
        <v>C26</v>
      </c>
      <c r="S1209" t="str">
        <v>1000000500 HARDTEC S.R.L.</v>
      </c>
    </row>
    <row r="1210" spans="1:19" x14ac:dyDescent="0.3">
      <c r="A1210" s="2" t="s">
        <v>14</v>
      </c>
      <c r="B1210" s="3" t="s">
        <v>14</v>
      </c>
      <c r="C1210" s="3" t="s">
        <v>1201</v>
      </c>
      <c r="D1210" s="3" t="s">
        <v>84</v>
      </c>
      <c r="E1210" s="3" t="s">
        <v>466</v>
      </c>
      <c r="F1210" s="4">
        <v>46268</v>
      </c>
      <c r="G1210" s="3" t="s">
        <v>17</v>
      </c>
      <c r="H1210" s="5">
        <v>-2169360</v>
      </c>
      <c r="I1210" s="3" t="s">
        <v>18</v>
      </c>
      <c r="J1210" s="3" t="s">
        <v>14</v>
      </c>
      <c r="K1210" s="3" t="s">
        <v>14</v>
      </c>
      <c r="L1210" s="3" t="s">
        <v>1202</v>
      </c>
      <c r="M1210" s="4">
        <v>46268</v>
      </c>
      <c r="N1210" s="3" t="s">
        <v>1203</v>
      </c>
      <c r="O1210" s="3" t="s">
        <v>127</v>
      </c>
      <c r="P1210" t="str">
        <f t="shared" si="18"/>
        <v>4500130397190</v>
      </c>
      <c r="Q1210" s="7" cm="1">
        <f t="array" ref="Q1210:S1210">VLOOKUP(P1210,Hoja1!C:F,{2,3,4},FALSE)</f>
        <v>46269</v>
      </c>
      <c r="R1210" t="str">
        <v>C26</v>
      </c>
      <c r="S1210" t="str">
        <v>1000000500 HARDTEC S.R.L.</v>
      </c>
    </row>
    <row r="1211" spans="1:19" x14ac:dyDescent="0.3">
      <c r="A1211" s="2" t="s">
        <v>14</v>
      </c>
      <c r="B1211" s="3" t="s">
        <v>14</v>
      </c>
      <c r="C1211" s="3" t="s">
        <v>1201</v>
      </c>
      <c r="D1211" s="3" t="s">
        <v>84</v>
      </c>
      <c r="E1211" s="3" t="s">
        <v>466</v>
      </c>
      <c r="F1211" s="4">
        <v>46268</v>
      </c>
      <c r="G1211" s="3" t="s">
        <v>17</v>
      </c>
      <c r="H1211" s="5">
        <v>-14956532</v>
      </c>
      <c r="I1211" s="3" t="s">
        <v>18</v>
      </c>
      <c r="J1211" s="3" t="s">
        <v>14</v>
      </c>
      <c r="K1211" s="3" t="s">
        <v>14</v>
      </c>
      <c r="L1211" s="3" t="s">
        <v>1202</v>
      </c>
      <c r="M1211" s="4">
        <v>46268</v>
      </c>
      <c r="N1211" s="3" t="s">
        <v>1203</v>
      </c>
      <c r="O1211" s="3" t="s">
        <v>136</v>
      </c>
      <c r="P1211" t="str">
        <f t="shared" si="18"/>
        <v>4500130397210</v>
      </c>
      <c r="Q1211" s="7" cm="1">
        <f t="array" ref="Q1211:S1211">VLOOKUP(P1211,Hoja1!C:F,{2,3,4},FALSE)</f>
        <v>46311</v>
      </c>
      <c r="R1211" t="str">
        <v>C26</v>
      </c>
      <c r="S1211" t="str">
        <v>1000000500 HARDTEC S.R.L.</v>
      </c>
    </row>
    <row r="1212" spans="1:19" x14ac:dyDescent="0.3">
      <c r="A1212" s="2" t="s">
        <v>14</v>
      </c>
      <c r="B1212" s="3" t="s">
        <v>14</v>
      </c>
      <c r="C1212" s="3" t="s">
        <v>1204</v>
      </c>
      <c r="D1212" s="3" t="s">
        <v>14</v>
      </c>
      <c r="E1212" s="3" t="s">
        <v>466</v>
      </c>
      <c r="F1212" s="4">
        <v>46268</v>
      </c>
      <c r="G1212" s="3" t="s">
        <v>17</v>
      </c>
      <c r="H1212" s="5">
        <v>-425525.99</v>
      </c>
      <c r="I1212" s="3" t="s">
        <v>18</v>
      </c>
      <c r="J1212" s="3" t="s">
        <v>14</v>
      </c>
      <c r="K1212" s="3" t="s">
        <v>14</v>
      </c>
      <c r="L1212" s="3" t="s">
        <v>117</v>
      </c>
      <c r="M1212" s="4">
        <v>46268</v>
      </c>
      <c r="N1212" s="3" t="s">
        <v>118</v>
      </c>
      <c r="O1212" s="3" t="s">
        <v>119</v>
      </c>
      <c r="P1212" t="str">
        <f t="shared" si="18"/>
        <v>4500136283590</v>
      </c>
      <c r="Q1212" s="7" cm="1">
        <f t="array" ref="Q1212:S1212">VLOOKUP(P1212,Hoja1!C:F,{2,3,4},FALSE)</f>
        <v>46272</v>
      </c>
      <c r="R1212" t="str">
        <v>C03</v>
      </c>
      <c r="S1212" t="str">
        <v>1000001129 AGRONORTE S.R.L.</v>
      </c>
    </row>
    <row r="1213" spans="1:19" x14ac:dyDescent="0.3">
      <c r="A1213" s="2" t="s">
        <v>14</v>
      </c>
      <c r="B1213" s="3" t="s">
        <v>14</v>
      </c>
      <c r="C1213" s="3" t="s">
        <v>1205</v>
      </c>
      <c r="D1213" s="3" t="s">
        <v>32</v>
      </c>
      <c r="E1213" s="3" t="s">
        <v>466</v>
      </c>
      <c r="F1213" s="4">
        <v>46268</v>
      </c>
      <c r="G1213" s="3" t="s">
        <v>17</v>
      </c>
      <c r="H1213" s="5">
        <v>-408306</v>
      </c>
      <c r="I1213" s="3" t="s">
        <v>18</v>
      </c>
      <c r="J1213" s="3" t="s">
        <v>14</v>
      </c>
      <c r="K1213" s="3" t="s">
        <v>14</v>
      </c>
      <c r="L1213" s="3" t="s">
        <v>1206</v>
      </c>
      <c r="M1213" s="4">
        <v>46268</v>
      </c>
      <c r="N1213" s="3" t="s">
        <v>1207</v>
      </c>
      <c r="O1213" s="3" t="s">
        <v>30</v>
      </c>
      <c r="P1213" t="str">
        <f t="shared" si="18"/>
        <v>450013749610</v>
      </c>
      <c r="Q1213" s="7" cm="1">
        <f t="array" ref="Q1213:S1213">VLOOKUP(P1213,Hoja1!C:F,{2,3,4},FALSE)</f>
        <v>46276</v>
      </c>
      <c r="R1213" t="str">
        <v>374</v>
      </c>
      <c r="S1213" t="str">
        <v>1000010380 BUSTOS MARIA LORENA</v>
      </c>
    </row>
    <row r="1214" spans="1:19" x14ac:dyDescent="0.3">
      <c r="A1214" s="2" t="s">
        <v>14</v>
      </c>
      <c r="B1214" s="3" t="s">
        <v>14</v>
      </c>
      <c r="C1214" s="3" t="s">
        <v>1208</v>
      </c>
      <c r="D1214" s="3" t="s">
        <v>14</v>
      </c>
      <c r="E1214" s="3" t="s">
        <v>466</v>
      </c>
      <c r="F1214" s="4">
        <v>46268</v>
      </c>
      <c r="G1214" s="3" t="s">
        <v>17</v>
      </c>
      <c r="H1214" s="5">
        <v>-82950</v>
      </c>
      <c r="I1214" s="3" t="s">
        <v>18</v>
      </c>
      <c r="J1214" s="3" t="s">
        <v>14</v>
      </c>
      <c r="K1214" s="3" t="s">
        <v>14</v>
      </c>
      <c r="L1214" s="3" t="s">
        <v>47</v>
      </c>
      <c r="M1214" s="4">
        <v>46268</v>
      </c>
      <c r="N1214" s="3" t="s">
        <v>1209</v>
      </c>
      <c r="O1214" s="3" t="s">
        <v>30</v>
      </c>
      <c r="P1214" t="str">
        <f t="shared" si="18"/>
        <v>450013319010</v>
      </c>
      <c r="Q1214" s="7" cm="1">
        <f t="array" ref="Q1214:S1214">VLOOKUP(P1214,Hoja1!C:F,{2,3,4},FALSE)</f>
        <v>46216</v>
      </c>
      <c r="R1214" t="str">
        <v>C38</v>
      </c>
      <c r="S1214" t="str">
        <v>1000000010 GASES ROSARIO S.R.L.</v>
      </c>
    </row>
    <row r="1215" spans="1:19" x14ac:dyDescent="0.3">
      <c r="A1215" s="2" t="s">
        <v>14</v>
      </c>
      <c r="B1215" s="3" t="s">
        <v>14</v>
      </c>
      <c r="C1215" s="3" t="s">
        <v>1210</v>
      </c>
      <c r="D1215" s="3" t="s">
        <v>14</v>
      </c>
      <c r="E1215" s="3" t="s">
        <v>466</v>
      </c>
      <c r="F1215" s="4">
        <v>46246</v>
      </c>
      <c r="G1215" s="3" t="s">
        <v>17</v>
      </c>
      <c r="H1215" s="5">
        <v>-10370068.08</v>
      </c>
      <c r="I1215" s="3" t="s">
        <v>18</v>
      </c>
      <c r="J1215" s="3" t="s">
        <v>14</v>
      </c>
      <c r="K1215" s="3" t="s">
        <v>14</v>
      </c>
      <c r="L1215" s="3" t="s">
        <v>1211</v>
      </c>
      <c r="M1215" s="4">
        <v>46268</v>
      </c>
      <c r="N1215" s="3" t="s">
        <v>1212</v>
      </c>
      <c r="O1215" s="3" t="s">
        <v>30</v>
      </c>
      <c r="P1215" t="str">
        <f t="shared" si="18"/>
        <v>450013680610</v>
      </c>
      <c r="Q1215" s="7" cm="1">
        <f t="array" ref="Q1215:S1215">VLOOKUP(P1215,Hoja1!C:F,{2,3,4},FALSE)</f>
        <v>46402</v>
      </c>
      <c r="R1215" t="str">
        <v>C38</v>
      </c>
      <c r="S1215" t="str">
        <v>1000000012 IGARRETA MAQUINAS S.A.</v>
      </c>
    </row>
    <row r="1216" spans="1:19" x14ac:dyDescent="0.3">
      <c r="A1216" s="2" t="s">
        <v>14</v>
      </c>
      <c r="B1216" s="3" t="s">
        <v>14</v>
      </c>
      <c r="C1216" s="3" t="s">
        <v>1213</v>
      </c>
      <c r="D1216" s="3" t="s">
        <v>14</v>
      </c>
      <c r="E1216" s="3" t="s">
        <v>466</v>
      </c>
      <c r="F1216" s="4">
        <v>46268</v>
      </c>
      <c r="G1216" s="3" t="s">
        <v>17</v>
      </c>
      <c r="H1216" s="5">
        <v>-393750</v>
      </c>
      <c r="I1216" s="3" t="s">
        <v>18</v>
      </c>
      <c r="J1216" s="3" t="s">
        <v>14</v>
      </c>
      <c r="K1216" s="3" t="s">
        <v>14</v>
      </c>
      <c r="L1216" s="3" t="s">
        <v>1028</v>
      </c>
      <c r="M1216" s="4">
        <v>46268</v>
      </c>
      <c r="N1216" s="3" t="s">
        <v>1214</v>
      </c>
      <c r="O1216" s="3" t="s">
        <v>30</v>
      </c>
      <c r="P1216" t="str">
        <f t="shared" si="18"/>
        <v>450013731510</v>
      </c>
      <c r="Q1216" s="7" cm="1">
        <f t="array" ref="Q1216:S1216">VLOOKUP(P1216,Hoja1!C:F,{2,3,4},FALSE)</f>
        <v>46272</v>
      </c>
      <c r="R1216" t="str">
        <v>C38</v>
      </c>
      <c r="S1216" t="str">
        <v>1000012593 PASARON FABIO ALEXIS</v>
      </c>
    </row>
    <row r="1217" spans="1:19" x14ac:dyDescent="0.3">
      <c r="A1217" s="2" t="s">
        <v>14</v>
      </c>
      <c r="B1217" s="3" t="s">
        <v>14</v>
      </c>
      <c r="C1217" s="3" t="s">
        <v>1215</v>
      </c>
      <c r="D1217" s="3" t="s">
        <v>14</v>
      </c>
      <c r="E1217" s="3" t="s">
        <v>466</v>
      </c>
      <c r="F1217" s="4">
        <v>46268</v>
      </c>
      <c r="G1217" s="3" t="s">
        <v>17</v>
      </c>
      <c r="H1217" s="5">
        <v>-168486.96</v>
      </c>
      <c r="I1217" s="3" t="s">
        <v>18</v>
      </c>
      <c r="J1217" s="3" t="s">
        <v>14</v>
      </c>
      <c r="K1217" s="3" t="s">
        <v>14</v>
      </c>
      <c r="L1217" s="3" t="s">
        <v>117</v>
      </c>
      <c r="M1217" s="4">
        <v>46268</v>
      </c>
      <c r="N1217" s="3" t="s">
        <v>1216</v>
      </c>
      <c r="O1217" s="3" t="s">
        <v>144</v>
      </c>
      <c r="P1217" t="str">
        <f t="shared" si="18"/>
        <v>450013464150</v>
      </c>
      <c r="Q1217" s="7" cm="1">
        <f t="array" ref="Q1217:S1217">VLOOKUP(P1217,Hoja1!C:F,{2,3,4},FALSE)</f>
        <v>46290</v>
      </c>
      <c r="R1217" t="str">
        <v>C03</v>
      </c>
      <c r="S1217" t="str">
        <v>1000001129 AGRONORTE S.R.L.</v>
      </c>
    </row>
    <row r="1218" spans="1:19" x14ac:dyDescent="0.3">
      <c r="A1218" s="2" t="s">
        <v>14</v>
      </c>
      <c r="B1218" s="3" t="s">
        <v>14</v>
      </c>
      <c r="C1218" s="3" t="s">
        <v>1215</v>
      </c>
      <c r="D1218" s="3" t="s">
        <v>14</v>
      </c>
      <c r="E1218" s="3" t="s">
        <v>466</v>
      </c>
      <c r="F1218" s="4">
        <v>46268</v>
      </c>
      <c r="G1218" s="3" t="s">
        <v>17</v>
      </c>
      <c r="H1218" s="5">
        <v>-276548.21000000002</v>
      </c>
      <c r="I1218" s="3" t="s">
        <v>18</v>
      </c>
      <c r="J1218" s="3" t="s">
        <v>14</v>
      </c>
      <c r="K1218" s="3" t="s">
        <v>14</v>
      </c>
      <c r="L1218" s="3" t="s">
        <v>117</v>
      </c>
      <c r="M1218" s="4">
        <v>46268</v>
      </c>
      <c r="N1218" s="3" t="s">
        <v>1216</v>
      </c>
      <c r="O1218" s="3" t="s">
        <v>141</v>
      </c>
      <c r="P1218" t="str">
        <f t="shared" si="18"/>
        <v>450013464160</v>
      </c>
      <c r="Q1218" s="7" cm="1">
        <f t="array" ref="Q1218:S1218">VLOOKUP(P1218,Hoja1!C:F,{2,3,4},FALSE)</f>
        <v>46290</v>
      </c>
      <c r="R1218" t="str">
        <v>C03</v>
      </c>
      <c r="S1218" t="str">
        <v>1000001129 AGRONORTE S.R.L.</v>
      </c>
    </row>
    <row r="1219" spans="1:19" x14ac:dyDescent="0.3">
      <c r="A1219" s="2" t="s">
        <v>14</v>
      </c>
      <c r="B1219" s="3" t="s">
        <v>14</v>
      </c>
      <c r="C1219" s="3" t="s">
        <v>1215</v>
      </c>
      <c r="D1219" s="3" t="s">
        <v>14</v>
      </c>
      <c r="E1219" s="3" t="s">
        <v>466</v>
      </c>
      <c r="F1219" s="4">
        <v>46268</v>
      </c>
      <c r="G1219" s="3" t="s">
        <v>17</v>
      </c>
      <c r="H1219" s="5">
        <v>-181563.38</v>
      </c>
      <c r="I1219" s="3" t="s">
        <v>18</v>
      </c>
      <c r="J1219" s="3" t="s">
        <v>14</v>
      </c>
      <c r="K1219" s="3" t="s">
        <v>14</v>
      </c>
      <c r="L1219" s="3" t="s">
        <v>117</v>
      </c>
      <c r="M1219" s="4">
        <v>46268</v>
      </c>
      <c r="N1219" s="3" t="s">
        <v>1216</v>
      </c>
      <c r="O1219" s="3" t="s">
        <v>134</v>
      </c>
      <c r="P1219" t="str">
        <f t="shared" ref="P1219:P1282" si="19">_xlfn.CONCAT(N1219:O1219)</f>
        <v>450013464170</v>
      </c>
      <c r="Q1219" s="7" cm="1">
        <f t="array" ref="Q1219:S1219">VLOOKUP(P1219,Hoja1!C:F,{2,3,4},FALSE)</f>
        <v>46290</v>
      </c>
      <c r="R1219" t="str">
        <v>C03</v>
      </c>
      <c r="S1219" t="str">
        <v>1000001129 AGRONORTE S.R.L.</v>
      </c>
    </row>
    <row r="1220" spans="1:19" x14ac:dyDescent="0.3">
      <c r="A1220" s="2" t="s">
        <v>14</v>
      </c>
      <c r="B1220" s="3" t="s">
        <v>14</v>
      </c>
      <c r="C1220" s="3" t="s">
        <v>1215</v>
      </c>
      <c r="D1220" s="3" t="s">
        <v>14</v>
      </c>
      <c r="E1220" s="3" t="s">
        <v>466</v>
      </c>
      <c r="F1220" s="4">
        <v>46268</v>
      </c>
      <c r="G1220" s="3" t="s">
        <v>17</v>
      </c>
      <c r="H1220" s="5">
        <v>-600445.71</v>
      </c>
      <c r="I1220" s="3" t="s">
        <v>18</v>
      </c>
      <c r="J1220" s="3" t="s">
        <v>14</v>
      </c>
      <c r="K1220" s="3" t="s">
        <v>14</v>
      </c>
      <c r="L1220" s="3" t="s">
        <v>117</v>
      </c>
      <c r="M1220" s="4">
        <v>46268</v>
      </c>
      <c r="N1220" s="3" t="s">
        <v>1216</v>
      </c>
      <c r="O1220" s="3" t="s">
        <v>138</v>
      </c>
      <c r="P1220" t="str">
        <f t="shared" si="19"/>
        <v>450013464190</v>
      </c>
      <c r="Q1220" s="7" cm="1">
        <f t="array" ref="Q1220:S1220">VLOOKUP(P1220,Hoja1!C:F,{2,3,4},FALSE)</f>
        <v>46290</v>
      </c>
      <c r="R1220" t="str">
        <v>C03</v>
      </c>
      <c r="S1220" t="str">
        <v>1000001129 AGRONORTE S.R.L.</v>
      </c>
    </row>
    <row r="1221" spans="1:19" x14ac:dyDescent="0.3">
      <c r="A1221" s="2" t="s">
        <v>14</v>
      </c>
      <c r="B1221" s="3" t="s">
        <v>14</v>
      </c>
      <c r="C1221" s="3" t="s">
        <v>1215</v>
      </c>
      <c r="D1221" s="3" t="s">
        <v>14</v>
      </c>
      <c r="E1221" s="3" t="s">
        <v>466</v>
      </c>
      <c r="F1221" s="4">
        <v>46268</v>
      </c>
      <c r="G1221" s="3" t="s">
        <v>17</v>
      </c>
      <c r="H1221" s="5">
        <v>-1262145.7</v>
      </c>
      <c r="I1221" s="3" t="s">
        <v>18</v>
      </c>
      <c r="J1221" s="3" t="s">
        <v>14</v>
      </c>
      <c r="K1221" s="3" t="s">
        <v>14</v>
      </c>
      <c r="L1221" s="3" t="s">
        <v>117</v>
      </c>
      <c r="M1221" s="4">
        <v>46268</v>
      </c>
      <c r="N1221" s="3" t="s">
        <v>1216</v>
      </c>
      <c r="O1221" s="3" t="s">
        <v>45</v>
      </c>
      <c r="P1221" t="str">
        <f t="shared" si="19"/>
        <v>4500134641100</v>
      </c>
      <c r="Q1221" s="7" cm="1">
        <f t="array" ref="Q1221:S1221">VLOOKUP(P1221,Hoja1!C:F,{2,3,4},FALSE)</f>
        <v>46290</v>
      </c>
      <c r="R1221" t="str">
        <v>C03</v>
      </c>
      <c r="S1221" t="str">
        <v>1000001129 AGRONORTE S.R.L.</v>
      </c>
    </row>
    <row r="1222" spans="1:19" x14ac:dyDescent="0.3">
      <c r="A1222" s="2" t="s">
        <v>14</v>
      </c>
      <c r="B1222" s="3" t="s">
        <v>14</v>
      </c>
      <c r="C1222" s="3" t="s">
        <v>1215</v>
      </c>
      <c r="D1222" s="3" t="s">
        <v>14</v>
      </c>
      <c r="E1222" s="3" t="s">
        <v>466</v>
      </c>
      <c r="F1222" s="4">
        <v>46268</v>
      </c>
      <c r="G1222" s="3" t="s">
        <v>17</v>
      </c>
      <c r="H1222" s="5">
        <v>-182828.84</v>
      </c>
      <c r="I1222" s="3" t="s">
        <v>18</v>
      </c>
      <c r="J1222" s="3" t="s">
        <v>14</v>
      </c>
      <c r="K1222" s="3" t="s">
        <v>14</v>
      </c>
      <c r="L1222" s="3" t="s">
        <v>117</v>
      </c>
      <c r="M1222" s="4">
        <v>46268</v>
      </c>
      <c r="N1222" s="3" t="s">
        <v>1216</v>
      </c>
      <c r="O1222" s="3" t="s">
        <v>156</v>
      </c>
      <c r="P1222" t="str">
        <f t="shared" si="19"/>
        <v>4500134641110</v>
      </c>
      <c r="Q1222" s="7" cm="1">
        <f t="array" ref="Q1222:S1222">VLOOKUP(P1222,Hoja1!C:F,{2,3,4},FALSE)</f>
        <v>46290</v>
      </c>
      <c r="R1222" t="str">
        <v>C03</v>
      </c>
      <c r="S1222" t="str">
        <v>1000001129 AGRONORTE S.R.L.</v>
      </c>
    </row>
    <row r="1223" spans="1:19" x14ac:dyDescent="0.3">
      <c r="A1223" s="2" t="s">
        <v>14</v>
      </c>
      <c r="B1223" s="3" t="s">
        <v>14</v>
      </c>
      <c r="C1223" s="3" t="s">
        <v>1215</v>
      </c>
      <c r="D1223" s="3" t="s">
        <v>14</v>
      </c>
      <c r="E1223" s="3" t="s">
        <v>466</v>
      </c>
      <c r="F1223" s="4">
        <v>46268</v>
      </c>
      <c r="G1223" s="3" t="s">
        <v>17</v>
      </c>
      <c r="H1223" s="5">
        <v>-71829.919999999998</v>
      </c>
      <c r="I1223" s="3" t="s">
        <v>18</v>
      </c>
      <c r="J1223" s="3" t="s">
        <v>14</v>
      </c>
      <c r="K1223" s="3" t="s">
        <v>14</v>
      </c>
      <c r="L1223" s="3" t="s">
        <v>117</v>
      </c>
      <c r="M1223" s="4">
        <v>46268</v>
      </c>
      <c r="N1223" s="3" t="s">
        <v>1216</v>
      </c>
      <c r="O1223" s="3" t="s">
        <v>132</v>
      </c>
      <c r="P1223" t="str">
        <f t="shared" si="19"/>
        <v>4500134641120</v>
      </c>
      <c r="Q1223" s="7" cm="1">
        <f t="array" ref="Q1223:S1223">VLOOKUP(P1223,Hoja1!C:F,{2,3,4},FALSE)</f>
        <v>46290</v>
      </c>
      <c r="R1223" t="str">
        <v>C03</v>
      </c>
      <c r="S1223" t="str">
        <v>1000001129 AGRONORTE S.R.L.</v>
      </c>
    </row>
    <row r="1224" spans="1:19" x14ac:dyDescent="0.3">
      <c r="A1224" s="2" t="s">
        <v>14</v>
      </c>
      <c r="B1224" s="3" t="s">
        <v>14</v>
      </c>
      <c r="C1224" s="3" t="s">
        <v>1215</v>
      </c>
      <c r="D1224" s="3" t="s">
        <v>14</v>
      </c>
      <c r="E1224" s="3" t="s">
        <v>466</v>
      </c>
      <c r="F1224" s="4">
        <v>46268</v>
      </c>
      <c r="G1224" s="3" t="s">
        <v>17</v>
      </c>
      <c r="H1224" s="5">
        <v>-1176365.5900000001</v>
      </c>
      <c r="I1224" s="3" t="s">
        <v>18</v>
      </c>
      <c r="J1224" s="3" t="s">
        <v>14</v>
      </c>
      <c r="K1224" s="3" t="s">
        <v>14</v>
      </c>
      <c r="L1224" s="3" t="s">
        <v>117</v>
      </c>
      <c r="M1224" s="4">
        <v>46268</v>
      </c>
      <c r="N1224" s="3" t="s">
        <v>1216</v>
      </c>
      <c r="O1224" s="3" t="s">
        <v>68</v>
      </c>
      <c r="P1224" t="str">
        <f t="shared" si="19"/>
        <v>4500134641150</v>
      </c>
      <c r="Q1224" s="7" cm="1">
        <f t="array" ref="Q1224:S1224">VLOOKUP(P1224,Hoja1!C:F,{2,3,4},FALSE)</f>
        <v>46290</v>
      </c>
      <c r="R1224" t="str">
        <v>C03</v>
      </c>
      <c r="S1224" t="str">
        <v>1000001129 AGRONORTE S.R.L.</v>
      </c>
    </row>
    <row r="1225" spans="1:19" x14ac:dyDescent="0.3">
      <c r="A1225" s="2" t="s">
        <v>14</v>
      </c>
      <c r="B1225" s="3" t="s">
        <v>14</v>
      </c>
      <c r="C1225" s="3" t="s">
        <v>1215</v>
      </c>
      <c r="D1225" s="3" t="s">
        <v>14</v>
      </c>
      <c r="E1225" s="3" t="s">
        <v>466</v>
      </c>
      <c r="F1225" s="4">
        <v>46268</v>
      </c>
      <c r="G1225" s="3" t="s">
        <v>17</v>
      </c>
      <c r="H1225" s="5">
        <v>-859126.82</v>
      </c>
      <c r="I1225" s="3" t="s">
        <v>18</v>
      </c>
      <c r="J1225" s="3" t="s">
        <v>14</v>
      </c>
      <c r="K1225" s="3" t="s">
        <v>14</v>
      </c>
      <c r="L1225" s="3" t="s">
        <v>117</v>
      </c>
      <c r="M1225" s="4">
        <v>46268</v>
      </c>
      <c r="N1225" s="3" t="s">
        <v>1216</v>
      </c>
      <c r="O1225" s="3" t="s">
        <v>129</v>
      </c>
      <c r="P1225" t="str">
        <f t="shared" si="19"/>
        <v>4500134641160</v>
      </c>
      <c r="Q1225" s="7" cm="1">
        <f t="array" ref="Q1225:S1225">VLOOKUP(P1225,Hoja1!C:F,{2,3,4},FALSE)</f>
        <v>46290</v>
      </c>
      <c r="R1225" t="str">
        <v>C03</v>
      </c>
      <c r="S1225" t="str">
        <v>1000001129 AGRONORTE S.R.L.</v>
      </c>
    </row>
    <row r="1226" spans="1:19" x14ac:dyDescent="0.3">
      <c r="A1226" s="2" t="s">
        <v>14</v>
      </c>
      <c r="B1226" s="3" t="s">
        <v>14</v>
      </c>
      <c r="C1226" s="3" t="s">
        <v>1215</v>
      </c>
      <c r="D1226" s="3" t="s">
        <v>14</v>
      </c>
      <c r="E1226" s="3" t="s">
        <v>466</v>
      </c>
      <c r="F1226" s="4">
        <v>46268</v>
      </c>
      <c r="G1226" s="3" t="s">
        <v>17</v>
      </c>
      <c r="H1226" s="5">
        <v>-182828.84</v>
      </c>
      <c r="I1226" s="3" t="s">
        <v>18</v>
      </c>
      <c r="J1226" s="3" t="s">
        <v>14</v>
      </c>
      <c r="K1226" s="3" t="s">
        <v>14</v>
      </c>
      <c r="L1226" s="3" t="s">
        <v>117</v>
      </c>
      <c r="M1226" s="4">
        <v>46268</v>
      </c>
      <c r="N1226" s="3" t="s">
        <v>1216</v>
      </c>
      <c r="O1226" s="3" t="s">
        <v>127</v>
      </c>
      <c r="P1226" t="str">
        <f t="shared" si="19"/>
        <v>4500134641190</v>
      </c>
      <c r="Q1226" s="7" cm="1">
        <f t="array" ref="Q1226:S1226">VLOOKUP(P1226,Hoja1!C:F,{2,3,4},FALSE)</f>
        <v>46290</v>
      </c>
      <c r="R1226" t="str">
        <v>C03</v>
      </c>
      <c r="S1226" t="str">
        <v>1000001129 AGRONORTE S.R.L.</v>
      </c>
    </row>
    <row r="1227" spans="1:19" x14ac:dyDescent="0.3">
      <c r="A1227" s="2" t="s">
        <v>14</v>
      </c>
      <c r="B1227" s="3" t="s">
        <v>14</v>
      </c>
      <c r="C1227" s="3" t="s">
        <v>1215</v>
      </c>
      <c r="D1227" s="3" t="s">
        <v>14</v>
      </c>
      <c r="E1227" s="3" t="s">
        <v>466</v>
      </c>
      <c r="F1227" s="4">
        <v>46268</v>
      </c>
      <c r="G1227" s="3" t="s">
        <v>17</v>
      </c>
      <c r="H1227" s="5">
        <v>-7321.59</v>
      </c>
      <c r="I1227" s="3" t="s">
        <v>18</v>
      </c>
      <c r="J1227" s="3" t="s">
        <v>14</v>
      </c>
      <c r="K1227" s="3" t="s">
        <v>14</v>
      </c>
      <c r="L1227" s="3" t="s">
        <v>117</v>
      </c>
      <c r="M1227" s="4">
        <v>46268</v>
      </c>
      <c r="N1227" s="3" t="s">
        <v>1216</v>
      </c>
      <c r="O1227" s="3" t="s">
        <v>140</v>
      </c>
      <c r="P1227" t="str">
        <f t="shared" si="19"/>
        <v>4500134641220</v>
      </c>
      <c r="Q1227" s="7" cm="1">
        <f t="array" ref="Q1227:S1227">VLOOKUP(P1227,Hoja1!C:F,{2,3,4},FALSE)</f>
        <v>46290</v>
      </c>
      <c r="R1227" t="str">
        <v>C03</v>
      </c>
      <c r="S1227" t="str">
        <v>1000001129 AGRONORTE S.R.L.</v>
      </c>
    </row>
    <row r="1228" spans="1:19" x14ac:dyDescent="0.3">
      <c r="A1228" s="2" t="s">
        <v>14</v>
      </c>
      <c r="B1228" s="3" t="s">
        <v>14</v>
      </c>
      <c r="C1228" s="3" t="s">
        <v>1215</v>
      </c>
      <c r="D1228" s="3" t="s">
        <v>14</v>
      </c>
      <c r="E1228" s="3" t="s">
        <v>466</v>
      </c>
      <c r="F1228" s="4">
        <v>46268</v>
      </c>
      <c r="G1228" s="3" t="s">
        <v>17</v>
      </c>
      <c r="H1228" s="5">
        <v>-19584.5</v>
      </c>
      <c r="I1228" s="3" t="s">
        <v>18</v>
      </c>
      <c r="J1228" s="3" t="s">
        <v>14</v>
      </c>
      <c r="K1228" s="3" t="s">
        <v>14</v>
      </c>
      <c r="L1228" s="3" t="s">
        <v>117</v>
      </c>
      <c r="M1228" s="4">
        <v>46268</v>
      </c>
      <c r="N1228" s="3" t="s">
        <v>1216</v>
      </c>
      <c r="O1228" s="3" t="s">
        <v>137</v>
      </c>
      <c r="P1228" t="str">
        <f t="shared" si="19"/>
        <v>4500134641230</v>
      </c>
      <c r="Q1228" s="7" cm="1">
        <f t="array" ref="Q1228:S1228">VLOOKUP(P1228,Hoja1!C:F,{2,3,4},FALSE)</f>
        <v>46290</v>
      </c>
      <c r="R1228" t="str">
        <v>C03</v>
      </c>
      <c r="S1228" t="str">
        <v>1000001129 AGRONORTE S.R.L.</v>
      </c>
    </row>
    <row r="1229" spans="1:19" x14ac:dyDescent="0.3">
      <c r="A1229" s="2" t="s">
        <v>14</v>
      </c>
      <c r="B1229" s="3" t="s">
        <v>14</v>
      </c>
      <c r="C1229" s="3" t="s">
        <v>1215</v>
      </c>
      <c r="D1229" s="3" t="s">
        <v>14</v>
      </c>
      <c r="E1229" s="3" t="s">
        <v>466</v>
      </c>
      <c r="F1229" s="4">
        <v>46268</v>
      </c>
      <c r="G1229" s="3" t="s">
        <v>17</v>
      </c>
      <c r="H1229" s="5">
        <v>-35990.29</v>
      </c>
      <c r="I1229" s="3" t="s">
        <v>18</v>
      </c>
      <c r="J1229" s="3" t="s">
        <v>14</v>
      </c>
      <c r="K1229" s="3" t="s">
        <v>14</v>
      </c>
      <c r="L1229" s="3" t="s">
        <v>117</v>
      </c>
      <c r="M1229" s="4">
        <v>46268</v>
      </c>
      <c r="N1229" s="3" t="s">
        <v>1216</v>
      </c>
      <c r="O1229" s="3" t="s">
        <v>128</v>
      </c>
      <c r="P1229" t="str">
        <f t="shared" si="19"/>
        <v>4500134641250</v>
      </c>
      <c r="Q1229" s="7" cm="1">
        <f t="array" ref="Q1229:S1229">VLOOKUP(P1229,Hoja1!C:F,{2,3,4},FALSE)</f>
        <v>46290</v>
      </c>
      <c r="R1229" t="str">
        <v>C03</v>
      </c>
      <c r="S1229" t="str">
        <v>1000001129 AGRONORTE S.R.L.</v>
      </c>
    </row>
    <row r="1230" spans="1:19" x14ac:dyDescent="0.3">
      <c r="A1230" s="2" t="s">
        <v>14</v>
      </c>
      <c r="B1230" s="3" t="s">
        <v>14</v>
      </c>
      <c r="C1230" s="3" t="s">
        <v>1215</v>
      </c>
      <c r="D1230" s="3" t="s">
        <v>14</v>
      </c>
      <c r="E1230" s="3" t="s">
        <v>466</v>
      </c>
      <c r="F1230" s="4">
        <v>46268</v>
      </c>
      <c r="G1230" s="3" t="s">
        <v>17</v>
      </c>
      <c r="H1230" s="5">
        <v>-135208.38</v>
      </c>
      <c r="I1230" s="3" t="s">
        <v>18</v>
      </c>
      <c r="J1230" s="3" t="s">
        <v>14</v>
      </c>
      <c r="K1230" s="3" t="s">
        <v>14</v>
      </c>
      <c r="L1230" s="3" t="s">
        <v>117</v>
      </c>
      <c r="M1230" s="4">
        <v>46268</v>
      </c>
      <c r="N1230" s="3" t="s">
        <v>1216</v>
      </c>
      <c r="O1230" s="3" t="s">
        <v>126</v>
      </c>
      <c r="P1230" t="str">
        <f t="shared" si="19"/>
        <v>4500134641260</v>
      </c>
      <c r="Q1230" s="7" cm="1">
        <f t="array" ref="Q1230:S1230">VLOOKUP(P1230,Hoja1!C:F,{2,3,4},FALSE)</f>
        <v>46290</v>
      </c>
      <c r="R1230" t="str">
        <v>C03</v>
      </c>
      <c r="S1230" t="str">
        <v>1000001129 AGRONORTE S.R.L.</v>
      </c>
    </row>
    <row r="1231" spans="1:19" x14ac:dyDescent="0.3">
      <c r="A1231" s="2" t="s">
        <v>14</v>
      </c>
      <c r="B1231" s="3" t="s">
        <v>14</v>
      </c>
      <c r="C1231" s="3" t="s">
        <v>1215</v>
      </c>
      <c r="D1231" s="3" t="s">
        <v>14</v>
      </c>
      <c r="E1231" s="3" t="s">
        <v>466</v>
      </c>
      <c r="F1231" s="4">
        <v>46268</v>
      </c>
      <c r="G1231" s="3" t="s">
        <v>17</v>
      </c>
      <c r="H1231" s="5">
        <v>-157384.06</v>
      </c>
      <c r="I1231" s="3" t="s">
        <v>18</v>
      </c>
      <c r="J1231" s="3" t="s">
        <v>14</v>
      </c>
      <c r="K1231" s="3" t="s">
        <v>14</v>
      </c>
      <c r="L1231" s="3" t="s">
        <v>117</v>
      </c>
      <c r="M1231" s="4">
        <v>46268</v>
      </c>
      <c r="N1231" s="3" t="s">
        <v>1216</v>
      </c>
      <c r="O1231" s="3" t="s">
        <v>146</v>
      </c>
      <c r="P1231" t="str">
        <f t="shared" si="19"/>
        <v>4500134641270</v>
      </c>
      <c r="Q1231" s="7" cm="1">
        <f t="array" ref="Q1231:S1231">VLOOKUP(P1231,Hoja1!C:F,{2,3,4},FALSE)</f>
        <v>46290</v>
      </c>
      <c r="R1231" t="str">
        <v>C03</v>
      </c>
      <c r="S1231" t="str">
        <v>1000001129 AGRONORTE S.R.L.</v>
      </c>
    </row>
    <row r="1232" spans="1:19" x14ac:dyDescent="0.3">
      <c r="A1232" s="2" t="s">
        <v>14</v>
      </c>
      <c r="B1232" s="3" t="s">
        <v>14</v>
      </c>
      <c r="C1232" s="3" t="s">
        <v>1215</v>
      </c>
      <c r="D1232" s="3" t="s">
        <v>14</v>
      </c>
      <c r="E1232" s="3" t="s">
        <v>466</v>
      </c>
      <c r="F1232" s="4">
        <v>46268</v>
      </c>
      <c r="G1232" s="3" t="s">
        <v>17</v>
      </c>
      <c r="H1232" s="5">
        <v>-20081.650000000001</v>
      </c>
      <c r="I1232" s="3" t="s">
        <v>18</v>
      </c>
      <c r="J1232" s="3" t="s">
        <v>14</v>
      </c>
      <c r="K1232" s="3" t="s">
        <v>14</v>
      </c>
      <c r="L1232" s="3" t="s">
        <v>117</v>
      </c>
      <c r="M1232" s="4">
        <v>46268</v>
      </c>
      <c r="N1232" s="3" t="s">
        <v>1216</v>
      </c>
      <c r="O1232" s="3" t="s">
        <v>133</v>
      </c>
      <c r="P1232" t="str">
        <f t="shared" si="19"/>
        <v>4500134641280</v>
      </c>
      <c r="Q1232" s="7" cm="1">
        <f t="array" ref="Q1232:S1232">VLOOKUP(P1232,Hoja1!C:F,{2,3,4},FALSE)</f>
        <v>46290</v>
      </c>
      <c r="R1232" t="str">
        <v>C03</v>
      </c>
      <c r="S1232" t="str">
        <v>1000001129 AGRONORTE S.R.L.</v>
      </c>
    </row>
    <row r="1233" spans="1:19" x14ac:dyDescent="0.3">
      <c r="A1233" s="2" t="s">
        <v>14</v>
      </c>
      <c r="B1233" s="3" t="s">
        <v>14</v>
      </c>
      <c r="C1233" s="3" t="s">
        <v>1215</v>
      </c>
      <c r="D1233" s="3" t="s">
        <v>14</v>
      </c>
      <c r="E1233" s="3" t="s">
        <v>466</v>
      </c>
      <c r="F1233" s="4">
        <v>46268</v>
      </c>
      <c r="G1233" s="3" t="s">
        <v>17</v>
      </c>
      <c r="H1233" s="5">
        <v>-641015.75</v>
      </c>
      <c r="I1233" s="3" t="s">
        <v>18</v>
      </c>
      <c r="J1233" s="3" t="s">
        <v>14</v>
      </c>
      <c r="K1233" s="3" t="s">
        <v>14</v>
      </c>
      <c r="L1233" s="3" t="s">
        <v>117</v>
      </c>
      <c r="M1233" s="4">
        <v>46268</v>
      </c>
      <c r="N1233" s="3" t="s">
        <v>1216</v>
      </c>
      <c r="O1233" s="3" t="s">
        <v>145</v>
      </c>
      <c r="P1233" t="str">
        <f t="shared" si="19"/>
        <v>4500134641300</v>
      </c>
      <c r="Q1233" s="7" cm="1">
        <f t="array" ref="Q1233:S1233">VLOOKUP(P1233,Hoja1!C:F,{2,3,4},FALSE)</f>
        <v>46290</v>
      </c>
      <c r="R1233" t="str">
        <v>C03</v>
      </c>
      <c r="S1233" t="str">
        <v>1000001129 AGRONORTE S.R.L.</v>
      </c>
    </row>
    <row r="1234" spans="1:19" x14ac:dyDescent="0.3">
      <c r="A1234" s="2" t="s">
        <v>14</v>
      </c>
      <c r="B1234" s="3" t="s">
        <v>14</v>
      </c>
      <c r="C1234" s="3" t="s">
        <v>1215</v>
      </c>
      <c r="D1234" s="3" t="s">
        <v>14</v>
      </c>
      <c r="E1234" s="3" t="s">
        <v>466</v>
      </c>
      <c r="F1234" s="4">
        <v>46268</v>
      </c>
      <c r="G1234" s="3" t="s">
        <v>17</v>
      </c>
      <c r="H1234" s="5">
        <v>-387833.36</v>
      </c>
      <c r="I1234" s="3" t="s">
        <v>18</v>
      </c>
      <c r="J1234" s="3" t="s">
        <v>14</v>
      </c>
      <c r="K1234" s="3" t="s">
        <v>14</v>
      </c>
      <c r="L1234" s="3" t="s">
        <v>117</v>
      </c>
      <c r="M1234" s="4">
        <v>46268</v>
      </c>
      <c r="N1234" s="3" t="s">
        <v>1216</v>
      </c>
      <c r="O1234" s="3" t="s">
        <v>147</v>
      </c>
      <c r="P1234" t="str">
        <f t="shared" si="19"/>
        <v>4500134641310</v>
      </c>
      <c r="Q1234" s="7" cm="1">
        <f t="array" ref="Q1234:S1234">VLOOKUP(P1234,Hoja1!C:F,{2,3,4},FALSE)</f>
        <v>46290</v>
      </c>
      <c r="R1234" t="str">
        <v>C03</v>
      </c>
      <c r="S1234" t="str">
        <v>1000001129 AGRONORTE S.R.L.</v>
      </c>
    </row>
    <row r="1235" spans="1:19" x14ac:dyDescent="0.3">
      <c r="A1235" s="2" t="s">
        <v>14</v>
      </c>
      <c r="B1235" s="3" t="s">
        <v>14</v>
      </c>
      <c r="C1235" s="3" t="s">
        <v>1215</v>
      </c>
      <c r="D1235" s="3" t="s">
        <v>14</v>
      </c>
      <c r="E1235" s="3" t="s">
        <v>466</v>
      </c>
      <c r="F1235" s="4">
        <v>46268</v>
      </c>
      <c r="G1235" s="3" t="s">
        <v>17</v>
      </c>
      <c r="H1235" s="5">
        <v>-136820.32999999999</v>
      </c>
      <c r="I1235" s="3" t="s">
        <v>18</v>
      </c>
      <c r="J1235" s="3" t="s">
        <v>14</v>
      </c>
      <c r="K1235" s="3" t="s">
        <v>14</v>
      </c>
      <c r="L1235" s="3" t="s">
        <v>117</v>
      </c>
      <c r="M1235" s="4">
        <v>46268</v>
      </c>
      <c r="N1235" s="3" t="s">
        <v>1216</v>
      </c>
      <c r="O1235" s="3" t="s">
        <v>154</v>
      </c>
      <c r="P1235" t="str">
        <f t="shared" si="19"/>
        <v>4500134641330</v>
      </c>
      <c r="Q1235" s="7" cm="1">
        <f t="array" ref="Q1235:S1235">VLOOKUP(P1235,Hoja1!C:F,{2,3,4},FALSE)</f>
        <v>46290</v>
      </c>
      <c r="R1235" t="str">
        <v>C03</v>
      </c>
      <c r="S1235" t="str">
        <v>1000001129 AGRONORTE S.R.L.</v>
      </c>
    </row>
    <row r="1236" spans="1:19" x14ac:dyDescent="0.3">
      <c r="A1236" s="2" t="s">
        <v>14</v>
      </c>
      <c r="B1236" s="3" t="s">
        <v>14</v>
      </c>
      <c r="C1236" s="3" t="s">
        <v>1215</v>
      </c>
      <c r="D1236" s="3" t="s">
        <v>14</v>
      </c>
      <c r="E1236" s="3" t="s">
        <v>466</v>
      </c>
      <c r="F1236" s="4">
        <v>46268</v>
      </c>
      <c r="G1236" s="3" t="s">
        <v>17</v>
      </c>
      <c r="H1236" s="5">
        <v>-194805.52</v>
      </c>
      <c r="I1236" s="3" t="s">
        <v>18</v>
      </c>
      <c r="J1236" s="3" t="s">
        <v>14</v>
      </c>
      <c r="K1236" s="3" t="s">
        <v>14</v>
      </c>
      <c r="L1236" s="3" t="s">
        <v>117</v>
      </c>
      <c r="M1236" s="4">
        <v>46268</v>
      </c>
      <c r="N1236" s="3" t="s">
        <v>1216</v>
      </c>
      <c r="O1236" s="3" t="s">
        <v>139</v>
      </c>
      <c r="P1236" t="str">
        <f t="shared" si="19"/>
        <v>4500134641350</v>
      </c>
      <c r="Q1236" s="7" cm="1">
        <f t="array" ref="Q1236:S1236">VLOOKUP(P1236,Hoja1!C:F,{2,3,4},FALSE)</f>
        <v>46322</v>
      </c>
      <c r="R1236" t="str">
        <v>C03</v>
      </c>
      <c r="S1236" t="str">
        <v>1000001129 AGRONORTE S.R.L.</v>
      </c>
    </row>
    <row r="1237" spans="1:19" x14ac:dyDescent="0.3">
      <c r="A1237" s="2" t="s">
        <v>14</v>
      </c>
      <c r="B1237" s="3" t="s">
        <v>14</v>
      </c>
      <c r="C1237" s="3" t="s">
        <v>1215</v>
      </c>
      <c r="D1237" s="3" t="s">
        <v>14</v>
      </c>
      <c r="E1237" s="3" t="s">
        <v>466</v>
      </c>
      <c r="F1237" s="4">
        <v>46268</v>
      </c>
      <c r="G1237" s="3" t="s">
        <v>17</v>
      </c>
      <c r="H1237" s="5">
        <v>-34227.68</v>
      </c>
      <c r="I1237" s="3" t="s">
        <v>18</v>
      </c>
      <c r="J1237" s="3" t="s">
        <v>14</v>
      </c>
      <c r="K1237" s="3" t="s">
        <v>14</v>
      </c>
      <c r="L1237" s="3" t="s">
        <v>117</v>
      </c>
      <c r="M1237" s="4">
        <v>46268</v>
      </c>
      <c r="N1237" s="3" t="s">
        <v>1216</v>
      </c>
      <c r="O1237" s="3" t="s">
        <v>168</v>
      </c>
      <c r="P1237" t="str">
        <f t="shared" si="19"/>
        <v>4500134641360</v>
      </c>
      <c r="Q1237" s="7" cm="1">
        <f t="array" ref="Q1237:S1237">VLOOKUP(P1237,Hoja1!C:F,{2,3,4},FALSE)</f>
        <v>46290</v>
      </c>
      <c r="R1237" t="str">
        <v>C03</v>
      </c>
      <c r="S1237" t="str">
        <v>1000001129 AGRONORTE S.R.L.</v>
      </c>
    </row>
    <row r="1238" spans="1:19" x14ac:dyDescent="0.3">
      <c r="A1238" s="2" t="s">
        <v>14</v>
      </c>
      <c r="B1238" s="3" t="s">
        <v>14</v>
      </c>
      <c r="C1238" s="3" t="s">
        <v>1215</v>
      </c>
      <c r="D1238" s="3" t="s">
        <v>14</v>
      </c>
      <c r="E1238" s="3" t="s">
        <v>466</v>
      </c>
      <c r="F1238" s="4">
        <v>46268</v>
      </c>
      <c r="G1238" s="3" t="s">
        <v>17</v>
      </c>
      <c r="H1238" s="5">
        <v>-16149.68</v>
      </c>
      <c r="I1238" s="3" t="s">
        <v>18</v>
      </c>
      <c r="J1238" s="3" t="s">
        <v>14</v>
      </c>
      <c r="K1238" s="3" t="s">
        <v>14</v>
      </c>
      <c r="L1238" s="3" t="s">
        <v>117</v>
      </c>
      <c r="M1238" s="4">
        <v>46268</v>
      </c>
      <c r="N1238" s="3" t="s">
        <v>1216</v>
      </c>
      <c r="O1238" s="3" t="s">
        <v>162</v>
      </c>
      <c r="P1238" t="str">
        <f t="shared" si="19"/>
        <v>4500134641370</v>
      </c>
      <c r="Q1238" s="7" cm="1">
        <f t="array" ref="Q1238:S1238">VLOOKUP(P1238,Hoja1!C:F,{2,3,4},FALSE)</f>
        <v>46290</v>
      </c>
      <c r="R1238" t="str">
        <v>C03</v>
      </c>
      <c r="S1238" t="str">
        <v>1000001129 AGRONORTE S.R.L.</v>
      </c>
    </row>
    <row r="1239" spans="1:19" x14ac:dyDescent="0.3">
      <c r="A1239" s="2" t="s">
        <v>14</v>
      </c>
      <c r="B1239" s="3" t="s">
        <v>14</v>
      </c>
      <c r="C1239" s="3" t="s">
        <v>1215</v>
      </c>
      <c r="D1239" s="3" t="s">
        <v>14</v>
      </c>
      <c r="E1239" s="3" t="s">
        <v>466</v>
      </c>
      <c r="F1239" s="4">
        <v>46268</v>
      </c>
      <c r="G1239" s="3" t="s">
        <v>17</v>
      </c>
      <c r="H1239" s="5">
        <v>-20849.96</v>
      </c>
      <c r="I1239" s="3" t="s">
        <v>18</v>
      </c>
      <c r="J1239" s="3" t="s">
        <v>14</v>
      </c>
      <c r="K1239" s="3" t="s">
        <v>14</v>
      </c>
      <c r="L1239" s="3" t="s">
        <v>117</v>
      </c>
      <c r="M1239" s="4">
        <v>46268</v>
      </c>
      <c r="N1239" s="3" t="s">
        <v>1216</v>
      </c>
      <c r="O1239" s="3" t="s">
        <v>1132</v>
      </c>
      <c r="P1239" t="str">
        <f t="shared" si="19"/>
        <v>4500134641380</v>
      </c>
      <c r="Q1239" s="7" cm="1">
        <f t="array" ref="Q1239:S1239">VLOOKUP(P1239,Hoja1!C:F,{2,3,4},FALSE)</f>
        <v>46290</v>
      </c>
      <c r="R1239" t="str">
        <v>C03</v>
      </c>
      <c r="S1239" t="str">
        <v>1000001129 AGRONORTE S.R.L.</v>
      </c>
    </row>
    <row r="1240" spans="1:19" x14ac:dyDescent="0.3">
      <c r="A1240" s="2" t="s">
        <v>14</v>
      </c>
      <c r="B1240" s="3" t="s">
        <v>14</v>
      </c>
      <c r="C1240" s="3" t="s">
        <v>1215</v>
      </c>
      <c r="D1240" s="3" t="s">
        <v>14</v>
      </c>
      <c r="E1240" s="3" t="s">
        <v>466</v>
      </c>
      <c r="F1240" s="4">
        <v>46268</v>
      </c>
      <c r="G1240" s="3" t="s">
        <v>17</v>
      </c>
      <c r="H1240" s="5">
        <v>-16209.94</v>
      </c>
      <c r="I1240" s="3" t="s">
        <v>18</v>
      </c>
      <c r="J1240" s="3" t="s">
        <v>14</v>
      </c>
      <c r="K1240" s="3" t="s">
        <v>14</v>
      </c>
      <c r="L1240" s="3" t="s">
        <v>117</v>
      </c>
      <c r="M1240" s="4">
        <v>46268</v>
      </c>
      <c r="N1240" s="3" t="s">
        <v>1216</v>
      </c>
      <c r="O1240" s="3" t="s">
        <v>158</v>
      </c>
      <c r="P1240" t="str">
        <f t="shared" si="19"/>
        <v>4500134641390</v>
      </c>
      <c r="Q1240" s="7" cm="1">
        <f t="array" ref="Q1240:S1240">VLOOKUP(P1240,Hoja1!C:F,{2,3,4},FALSE)</f>
        <v>46290</v>
      </c>
      <c r="R1240" t="str">
        <v>C03</v>
      </c>
      <c r="S1240" t="str">
        <v>1000001129 AGRONORTE S.R.L.</v>
      </c>
    </row>
    <row r="1241" spans="1:19" x14ac:dyDescent="0.3">
      <c r="A1241" s="2" t="s">
        <v>14</v>
      </c>
      <c r="B1241" s="3" t="s">
        <v>14</v>
      </c>
      <c r="C1241" s="3" t="s">
        <v>1215</v>
      </c>
      <c r="D1241" s="3" t="s">
        <v>14</v>
      </c>
      <c r="E1241" s="3" t="s">
        <v>466</v>
      </c>
      <c r="F1241" s="4">
        <v>46268</v>
      </c>
      <c r="G1241" s="3" t="s">
        <v>17</v>
      </c>
      <c r="H1241" s="5">
        <v>-293029.32</v>
      </c>
      <c r="I1241" s="3" t="s">
        <v>18</v>
      </c>
      <c r="J1241" s="3" t="s">
        <v>14</v>
      </c>
      <c r="K1241" s="3" t="s">
        <v>14</v>
      </c>
      <c r="L1241" s="3" t="s">
        <v>117</v>
      </c>
      <c r="M1241" s="4">
        <v>46268</v>
      </c>
      <c r="N1241" s="3" t="s">
        <v>1216</v>
      </c>
      <c r="O1241" s="3" t="s">
        <v>178</v>
      </c>
      <c r="P1241" t="str">
        <f t="shared" si="19"/>
        <v>4500134641400</v>
      </c>
      <c r="Q1241" s="7" cm="1">
        <f t="array" ref="Q1241:S1241">VLOOKUP(P1241,Hoja1!C:F,{2,3,4},FALSE)</f>
        <v>46290</v>
      </c>
      <c r="R1241" t="str">
        <v>C03</v>
      </c>
      <c r="S1241" t="str">
        <v>1000001129 AGRONORTE S.R.L.</v>
      </c>
    </row>
    <row r="1242" spans="1:19" x14ac:dyDescent="0.3">
      <c r="A1242" s="2" t="s">
        <v>14</v>
      </c>
      <c r="B1242" s="3" t="s">
        <v>14</v>
      </c>
      <c r="C1242" s="3" t="s">
        <v>1215</v>
      </c>
      <c r="D1242" s="3" t="s">
        <v>14</v>
      </c>
      <c r="E1242" s="3" t="s">
        <v>466</v>
      </c>
      <c r="F1242" s="4">
        <v>46268</v>
      </c>
      <c r="G1242" s="3" t="s">
        <v>17</v>
      </c>
      <c r="H1242" s="5">
        <v>-87256.48</v>
      </c>
      <c r="I1242" s="3" t="s">
        <v>18</v>
      </c>
      <c r="J1242" s="3" t="s">
        <v>14</v>
      </c>
      <c r="K1242" s="3" t="s">
        <v>14</v>
      </c>
      <c r="L1242" s="3" t="s">
        <v>117</v>
      </c>
      <c r="M1242" s="4">
        <v>46268</v>
      </c>
      <c r="N1242" s="3" t="s">
        <v>1216</v>
      </c>
      <c r="O1242" s="3" t="s">
        <v>157</v>
      </c>
      <c r="P1242" t="str">
        <f t="shared" si="19"/>
        <v>4500134641410</v>
      </c>
      <c r="Q1242" s="7" cm="1">
        <f t="array" ref="Q1242:S1242">VLOOKUP(P1242,Hoja1!C:F,{2,3,4},FALSE)</f>
        <v>46290</v>
      </c>
      <c r="R1242" t="str">
        <v>C03</v>
      </c>
      <c r="S1242" t="str">
        <v>1000001129 AGRONORTE S.R.L.</v>
      </c>
    </row>
    <row r="1243" spans="1:19" x14ac:dyDescent="0.3">
      <c r="A1243" s="2" t="s">
        <v>14</v>
      </c>
      <c r="B1243" s="3" t="s">
        <v>14</v>
      </c>
      <c r="C1243" s="3" t="s">
        <v>1215</v>
      </c>
      <c r="D1243" s="3" t="s">
        <v>14</v>
      </c>
      <c r="E1243" s="3" t="s">
        <v>466</v>
      </c>
      <c r="F1243" s="4">
        <v>46268</v>
      </c>
      <c r="G1243" s="3" t="s">
        <v>17</v>
      </c>
      <c r="H1243" s="5">
        <v>-104114.22</v>
      </c>
      <c r="I1243" s="3" t="s">
        <v>18</v>
      </c>
      <c r="J1243" s="3" t="s">
        <v>14</v>
      </c>
      <c r="K1243" s="3" t="s">
        <v>14</v>
      </c>
      <c r="L1243" s="3" t="s">
        <v>117</v>
      </c>
      <c r="M1243" s="4">
        <v>46268</v>
      </c>
      <c r="N1243" s="3" t="s">
        <v>1216</v>
      </c>
      <c r="O1243" s="3" t="s">
        <v>155</v>
      </c>
      <c r="P1243" t="str">
        <f t="shared" si="19"/>
        <v>4500134641420</v>
      </c>
      <c r="Q1243" s="7" cm="1">
        <f t="array" ref="Q1243:S1243">VLOOKUP(P1243,Hoja1!C:F,{2,3,4},FALSE)</f>
        <v>46290</v>
      </c>
      <c r="R1243" t="str">
        <v>C03</v>
      </c>
      <c r="S1243" t="str">
        <v>1000001129 AGRONORTE S.R.L.</v>
      </c>
    </row>
    <row r="1244" spans="1:19" x14ac:dyDescent="0.3">
      <c r="A1244" s="2" t="s">
        <v>14</v>
      </c>
      <c r="B1244" s="3" t="s">
        <v>14</v>
      </c>
      <c r="C1244" s="3" t="s">
        <v>1215</v>
      </c>
      <c r="D1244" s="3" t="s">
        <v>14</v>
      </c>
      <c r="E1244" s="3" t="s">
        <v>466</v>
      </c>
      <c r="F1244" s="4">
        <v>46268</v>
      </c>
      <c r="G1244" s="3" t="s">
        <v>17</v>
      </c>
      <c r="H1244" s="5">
        <v>-180162.34</v>
      </c>
      <c r="I1244" s="3" t="s">
        <v>18</v>
      </c>
      <c r="J1244" s="3" t="s">
        <v>14</v>
      </c>
      <c r="K1244" s="3" t="s">
        <v>14</v>
      </c>
      <c r="L1244" s="3" t="s">
        <v>117</v>
      </c>
      <c r="M1244" s="4">
        <v>46268</v>
      </c>
      <c r="N1244" s="3" t="s">
        <v>1216</v>
      </c>
      <c r="O1244" s="3" t="s">
        <v>166</v>
      </c>
      <c r="P1244" t="str">
        <f t="shared" si="19"/>
        <v>4500134641430</v>
      </c>
      <c r="Q1244" s="7" cm="1">
        <f t="array" ref="Q1244:S1244">VLOOKUP(P1244,Hoja1!C:F,{2,3,4},FALSE)</f>
        <v>46290</v>
      </c>
      <c r="R1244" t="str">
        <v>C03</v>
      </c>
      <c r="S1244" t="str">
        <v>1000001129 AGRONORTE S.R.L.</v>
      </c>
    </row>
    <row r="1245" spans="1:19" x14ac:dyDescent="0.3">
      <c r="A1245" s="2" t="s">
        <v>14</v>
      </c>
      <c r="B1245" s="3" t="s">
        <v>14</v>
      </c>
      <c r="C1245" s="3" t="s">
        <v>1215</v>
      </c>
      <c r="D1245" s="3" t="s">
        <v>14</v>
      </c>
      <c r="E1245" s="3" t="s">
        <v>466</v>
      </c>
      <c r="F1245" s="4">
        <v>46268</v>
      </c>
      <c r="G1245" s="3" t="s">
        <v>17</v>
      </c>
      <c r="H1245" s="5">
        <v>-3389.63</v>
      </c>
      <c r="I1245" s="3" t="s">
        <v>18</v>
      </c>
      <c r="J1245" s="3" t="s">
        <v>14</v>
      </c>
      <c r="K1245" s="3" t="s">
        <v>14</v>
      </c>
      <c r="L1245" s="3" t="s">
        <v>117</v>
      </c>
      <c r="M1245" s="4">
        <v>46268</v>
      </c>
      <c r="N1245" s="3" t="s">
        <v>1216</v>
      </c>
      <c r="O1245" s="3" t="s">
        <v>169</v>
      </c>
      <c r="P1245" t="str">
        <f t="shared" si="19"/>
        <v>4500134641450</v>
      </c>
      <c r="Q1245" s="7" cm="1">
        <f t="array" ref="Q1245:S1245">VLOOKUP(P1245,Hoja1!C:F,{2,3,4},FALSE)</f>
        <v>46290</v>
      </c>
      <c r="R1245" t="str">
        <v>C03</v>
      </c>
      <c r="S1245" t="str">
        <v>1000001129 AGRONORTE S.R.L.</v>
      </c>
    </row>
    <row r="1246" spans="1:19" x14ac:dyDescent="0.3">
      <c r="A1246" s="2" t="s">
        <v>14</v>
      </c>
      <c r="B1246" s="3" t="s">
        <v>14</v>
      </c>
      <c r="C1246" s="3" t="s">
        <v>1215</v>
      </c>
      <c r="D1246" s="3" t="s">
        <v>14</v>
      </c>
      <c r="E1246" s="3" t="s">
        <v>466</v>
      </c>
      <c r="F1246" s="4">
        <v>46268</v>
      </c>
      <c r="G1246" s="3" t="s">
        <v>17</v>
      </c>
      <c r="H1246" s="5">
        <v>-4459.24</v>
      </c>
      <c r="I1246" s="3" t="s">
        <v>18</v>
      </c>
      <c r="J1246" s="3" t="s">
        <v>14</v>
      </c>
      <c r="K1246" s="3" t="s">
        <v>14</v>
      </c>
      <c r="L1246" s="3" t="s">
        <v>117</v>
      </c>
      <c r="M1246" s="4">
        <v>46268</v>
      </c>
      <c r="N1246" s="3" t="s">
        <v>1216</v>
      </c>
      <c r="O1246" s="3" t="s">
        <v>170</v>
      </c>
      <c r="P1246" t="str">
        <f t="shared" si="19"/>
        <v>4500134641460</v>
      </c>
      <c r="Q1246" s="7" cm="1">
        <f t="array" ref="Q1246:S1246">VLOOKUP(P1246,Hoja1!C:F,{2,3,4},FALSE)</f>
        <v>46290</v>
      </c>
      <c r="R1246" t="str">
        <v>C03</v>
      </c>
      <c r="S1246" t="str">
        <v>1000001129 AGRONORTE S.R.L.</v>
      </c>
    </row>
    <row r="1247" spans="1:19" x14ac:dyDescent="0.3">
      <c r="A1247" s="2" t="s">
        <v>14</v>
      </c>
      <c r="B1247" s="3" t="s">
        <v>14</v>
      </c>
      <c r="C1247" s="3" t="s">
        <v>1215</v>
      </c>
      <c r="D1247" s="3" t="s">
        <v>14</v>
      </c>
      <c r="E1247" s="3" t="s">
        <v>466</v>
      </c>
      <c r="F1247" s="4">
        <v>46268</v>
      </c>
      <c r="G1247" s="3" t="s">
        <v>17</v>
      </c>
      <c r="H1247" s="5">
        <v>-159779.39000000001</v>
      </c>
      <c r="I1247" s="3" t="s">
        <v>18</v>
      </c>
      <c r="J1247" s="3" t="s">
        <v>14</v>
      </c>
      <c r="K1247" s="3" t="s">
        <v>14</v>
      </c>
      <c r="L1247" s="3" t="s">
        <v>117</v>
      </c>
      <c r="M1247" s="4">
        <v>46268</v>
      </c>
      <c r="N1247" s="3" t="s">
        <v>1216</v>
      </c>
      <c r="O1247" s="3" t="s">
        <v>171</v>
      </c>
      <c r="P1247" t="str">
        <f t="shared" si="19"/>
        <v>4500134641470</v>
      </c>
      <c r="Q1247" s="7" cm="1">
        <f t="array" ref="Q1247:S1247">VLOOKUP(P1247,Hoja1!C:F,{2,3,4},FALSE)</f>
        <v>46290</v>
      </c>
      <c r="R1247" t="str">
        <v>C03</v>
      </c>
      <c r="S1247" t="str">
        <v>1000001129 AGRONORTE S.R.L.</v>
      </c>
    </row>
    <row r="1248" spans="1:19" x14ac:dyDescent="0.3">
      <c r="A1248" s="2" t="s">
        <v>14</v>
      </c>
      <c r="B1248" s="3" t="s">
        <v>14</v>
      </c>
      <c r="C1248" s="3" t="s">
        <v>1217</v>
      </c>
      <c r="D1248" s="3" t="s">
        <v>14</v>
      </c>
      <c r="E1248" s="3" t="s">
        <v>466</v>
      </c>
      <c r="F1248" s="4">
        <v>46268</v>
      </c>
      <c r="G1248" s="3" t="s">
        <v>17</v>
      </c>
      <c r="H1248" s="5">
        <v>-50482.82</v>
      </c>
      <c r="I1248" s="3" t="s">
        <v>18</v>
      </c>
      <c r="J1248" s="3" t="s">
        <v>14</v>
      </c>
      <c r="K1248" s="3" t="s">
        <v>14</v>
      </c>
      <c r="L1248" s="3" t="s">
        <v>117</v>
      </c>
      <c r="M1248" s="4">
        <v>46268</v>
      </c>
      <c r="N1248" s="3" t="s">
        <v>432</v>
      </c>
      <c r="O1248" s="3" t="s">
        <v>22</v>
      </c>
      <c r="P1248" t="str">
        <f t="shared" si="19"/>
        <v>450013673920</v>
      </c>
      <c r="Q1248" s="7" cm="1">
        <f t="array" ref="Q1248:S1248">VLOOKUP(P1248,Hoja1!C:F,{2,3,4},FALSE)</f>
        <v>46265</v>
      </c>
      <c r="R1248" t="str">
        <v>C03</v>
      </c>
      <c r="S1248" t="str">
        <v>1000001129 AGRONORTE S.R.L.</v>
      </c>
    </row>
    <row r="1249" spans="1:19" x14ac:dyDescent="0.3">
      <c r="A1249" s="2" t="s">
        <v>14</v>
      </c>
      <c r="B1249" s="3" t="s">
        <v>14</v>
      </c>
      <c r="C1249" s="3" t="s">
        <v>1217</v>
      </c>
      <c r="D1249" s="3" t="s">
        <v>14</v>
      </c>
      <c r="E1249" s="3" t="s">
        <v>466</v>
      </c>
      <c r="F1249" s="4">
        <v>46268</v>
      </c>
      <c r="G1249" s="3" t="s">
        <v>17</v>
      </c>
      <c r="H1249" s="5">
        <v>-134771.49</v>
      </c>
      <c r="I1249" s="3" t="s">
        <v>18</v>
      </c>
      <c r="J1249" s="3" t="s">
        <v>14</v>
      </c>
      <c r="K1249" s="3" t="s">
        <v>14</v>
      </c>
      <c r="L1249" s="3" t="s">
        <v>117</v>
      </c>
      <c r="M1249" s="4">
        <v>46268</v>
      </c>
      <c r="N1249" s="3" t="s">
        <v>432</v>
      </c>
      <c r="O1249" s="3" t="s">
        <v>147</v>
      </c>
      <c r="P1249" t="str">
        <f t="shared" si="19"/>
        <v>4500136739310</v>
      </c>
      <c r="Q1249" s="7" cm="1">
        <f t="array" ref="Q1249:S1249">VLOOKUP(P1249,Hoja1!C:F,{2,3,4},FALSE)</f>
        <v>46265</v>
      </c>
      <c r="R1249" t="str">
        <v>C03</v>
      </c>
      <c r="S1249" t="str">
        <v>1000001129 AGRONORTE S.R.L.</v>
      </c>
    </row>
    <row r="1250" spans="1:19" x14ac:dyDescent="0.3">
      <c r="A1250" s="2" t="s">
        <v>14</v>
      </c>
      <c r="B1250" s="3" t="s">
        <v>14</v>
      </c>
      <c r="C1250" s="3" t="s">
        <v>1217</v>
      </c>
      <c r="D1250" s="3" t="s">
        <v>14</v>
      </c>
      <c r="E1250" s="3" t="s">
        <v>466</v>
      </c>
      <c r="F1250" s="4">
        <v>46268</v>
      </c>
      <c r="G1250" s="3" t="s">
        <v>17</v>
      </c>
      <c r="H1250" s="5">
        <v>-189909.39</v>
      </c>
      <c r="I1250" s="3" t="s">
        <v>18</v>
      </c>
      <c r="J1250" s="3" t="s">
        <v>14</v>
      </c>
      <c r="K1250" s="3" t="s">
        <v>14</v>
      </c>
      <c r="L1250" s="3" t="s">
        <v>117</v>
      </c>
      <c r="M1250" s="4">
        <v>46268</v>
      </c>
      <c r="N1250" s="3" t="s">
        <v>432</v>
      </c>
      <c r="O1250" s="3" t="s">
        <v>173</v>
      </c>
      <c r="P1250" t="str">
        <f t="shared" si="19"/>
        <v>4500136739290</v>
      </c>
      <c r="Q1250" s="7" cm="1">
        <f t="array" ref="Q1250:S1250">VLOOKUP(P1250,Hoja1!C:F,{2,3,4},FALSE)</f>
        <v>46265</v>
      </c>
      <c r="R1250" t="str">
        <v>C03</v>
      </c>
      <c r="S1250" t="str">
        <v>1000001129 AGRONORTE S.R.L.</v>
      </c>
    </row>
    <row r="1251" spans="1:19" x14ac:dyDescent="0.3">
      <c r="A1251" s="2" t="s">
        <v>14</v>
      </c>
      <c r="B1251" s="3" t="s">
        <v>14</v>
      </c>
      <c r="C1251" s="3" t="s">
        <v>1217</v>
      </c>
      <c r="D1251" s="3" t="s">
        <v>14</v>
      </c>
      <c r="E1251" s="3" t="s">
        <v>466</v>
      </c>
      <c r="F1251" s="4">
        <v>46268</v>
      </c>
      <c r="G1251" s="3" t="s">
        <v>17</v>
      </c>
      <c r="H1251" s="5">
        <v>-61299.49</v>
      </c>
      <c r="I1251" s="3" t="s">
        <v>18</v>
      </c>
      <c r="J1251" s="3" t="s">
        <v>14</v>
      </c>
      <c r="K1251" s="3" t="s">
        <v>14</v>
      </c>
      <c r="L1251" s="3" t="s">
        <v>117</v>
      </c>
      <c r="M1251" s="4">
        <v>46268</v>
      </c>
      <c r="N1251" s="3" t="s">
        <v>432</v>
      </c>
      <c r="O1251" s="3" t="s">
        <v>150</v>
      </c>
      <c r="P1251" t="str">
        <f t="shared" si="19"/>
        <v>4500136739320</v>
      </c>
      <c r="Q1251" s="7" cm="1">
        <f t="array" ref="Q1251:S1251">VLOOKUP(P1251,Hoja1!C:F,{2,3,4},FALSE)</f>
        <v>46265</v>
      </c>
      <c r="R1251" t="str">
        <v>C03</v>
      </c>
      <c r="S1251" t="str">
        <v>1000001129 AGRONORTE S.R.L.</v>
      </c>
    </row>
    <row r="1252" spans="1:19" x14ac:dyDescent="0.3">
      <c r="A1252" s="2" t="s">
        <v>14</v>
      </c>
      <c r="B1252" s="3" t="s">
        <v>14</v>
      </c>
      <c r="C1252" s="3" t="s">
        <v>1217</v>
      </c>
      <c r="D1252" s="3" t="s">
        <v>14</v>
      </c>
      <c r="E1252" s="3" t="s">
        <v>466</v>
      </c>
      <c r="F1252" s="4">
        <v>46268</v>
      </c>
      <c r="G1252" s="3" t="s">
        <v>17</v>
      </c>
      <c r="H1252" s="5">
        <v>-24194.39</v>
      </c>
      <c r="I1252" s="3" t="s">
        <v>18</v>
      </c>
      <c r="J1252" s="3" t="s">
        <v>14</v>
      </c>
      <c r="K1252" s="3" t="s">
        <v>14</v>
      </c>
      <c r="L1252" s="3" t="s">
        <v>117</v>
      </c>
      <c r="M1252" s="4">
        <v>46268</v>
      </c>
      <c r="N1252" s="3" t="s">
        <v>432</v>
      </c>
      <c r="O1252" s="3" t="s">
        <v>156</v>
      </c>
      <c r="P1252" t="str">
        <f t="shared" si="19"/>
        <v>4500136739110</v>
      </c>
      <c r="Q1252" s="7" cm="1">
        <f t="array" ref="Q1252:S1252">VLOOKUP(P1252,Hoja1!C:F,{2,3,4},FALSE)</f>
        <v>46265</v>
      </c>
      <c r="R1252" t="str">
        <v>C03</v>
      </c>
      <c r="S1252" t="str">
        <v>1000001129 AGRONORTE S.R.L.</v>
      </c>
    </row>
    <row r="1253" spans="1:19" x14ac:dyDescent="0.3">
      <c r="A1253" s="2" t="s">
        <v>14</v>
      </c>
      <c r="B1253" s="3" t="s">
        <v>14</v>
      </c>
      <c r="C1253" s="3" t="s">
        <v>1217</v>
      </c>
      <c r="D1253" s="3" t="s">
        <v>14</v>
      </c>
      <c r="E1253" s="3" t="s">
        <v>466</v>
      </c>
      <c r="F1253" s="4">
        <v>46268</v>
      </c>
      <c r="G1253" s="3" t="s">
        <v>17</v>
      </c>
      <c r="H1253" s="5">
        <v>-137392.79999999999</v>
      </c>
      <c r="I1253" s="3" t="s">
        <v>18</v>
      </c>
      <c r="J1253" s="3" t="s">
        <v>14</v>
      </c>
      <c r="K1253" s="3" t="s">
        <v>14</v>
      </c>
      <c r="L1253" s="3" t="s">
        <v>117</v>
      </c>
      <c r="M1253" s="4">
        <v>46268</v>
      </c>
      <c r="N1253" s="3" t="s">
        <v>432</v>
      </c>
      <c r="O1253" s="3" t="s">
        <v>30</v>
      </c>
      <c r="P1253" t="str">
        <f t="shared" si="19"/>
        <v>450013673910</v>
      </c>
      <c r="Q1253" s="7" cm="1">
        <f t="array" ref="Q1253:S1253">VLOOKUP(P1253,Hoja1!C:F,{2,3,4},FALSE)</f>
        <v>46265</v>
      </c>
      <c r="R1253" t="str">
        <v>C03</v>
      </c>
      <c r="S1253" t="str">
        <v>1000001129 AGRONORTE S.R.L.</v>
      </c>
    </row>
    <row r="1254" spans="1:19" x14ac:dyDescent="0.3">
      <c r="A1254" s="2" t="s">
        <v>14</v>
      </c>
      <c r="B1254" s="3" t="s">
        <v>14</v>
      </c>
      <c r="C1254" s="3" t="s">
        <v>1217</v>
      </c>
      <c r="D1254" s="3" t="s">
        <v>14</v>
      </c>
      <c r="E1254" s="3" t="s">
        <v>466</v>
      </c>
      <c r="F1254" s="4">
        <v>46268</v>
      </c>
      <c r="G1254" s="3" t="s">
        <v>17</v>
      </c>
      <c r="H1254" s="5">
        <v>-3748940.32</v>
      </c>
      <c r="I1254" s="3" t="s">
        <v>18</v>
      </c>
      <c r="J1254" s="3" t="s">
        <v>14</v>
      </c>
      <c r="K1254" s="3" t="s">
        <v>14</v>
      </c>
      <c r="L1254" s="3" t="s">
        <v>117</v>
      </c>
      <c r="M1254" s="4">
        <v>46268</v>
      </c>
      <c r="N1254" s="3" t="s">
        <v>432</v>
      </c>
      <c r="O1254" s="3" t="s">
        <v>45</v>
      </c>
      <c r="P1254" t="str">
        <f t="shared" si="19"/>
        <v>4500136739100</v>
      </c>
      <c r="Q1254" s="7" cm="1">
        <f t="array" ref="Q1254:S1254">VLOOKUP(P1254,Hoja1!C:F,{2,3,4},FALSE)</f>
        <v>46265</v>
      </c>
      <c r="R1254" t="str">
        <v>C03</v>
      </c>
      <c r="S1254" t="str">
        <v>1000001129 AGRONORTE S.R.L.</v>
      </c>
    </row>
    <row r="1255" spans="1:19" x14ac:dyDescent="0.3">
      <c r="A1255" s="2" t="s">
        <v>14</v>
      </c>
      <c r="B1255" s="3" t="s">
        <v>14</v>
      </c>
      <c r="C1255" s="3" t="s">
        <v>1217</v>
      </c>
      <c r="D1255" s="3" t="s">
        <v>14</v>
      </c>
      <c r="E1255" s="3" t="s">
        <v>466</v>
      </c>
      <c r="F1255" s="4">
        <v>46268</v>
      </c>
      <c r="G1255" s="3" t="s">
        <v>17</v>
      </c>
      <c r="H1255" s="5">
        <v>-5737686.0300000003</v>
      </c>
      <c r="I1255" s="3" t="s">
        <v>18</v>
      </c>
      <c r="J1255" s="3" t="s">
        <v>14</v>
      </c>
      <c r="K1255" s="3" t="s">
        <v>14</v>
      </c>
      <c r="L1255" s="3" t="s">
        <v>117</v>
      </c>
      <c r="M1255" s="4">
        <v>46268</v>
      </c>
      <c r="N1255" s="3" t="s">
        <v>432</v>
      </c>
      <c r="O1255" s="3" t="s">
        <v>178</v>
      </c>
      <c r="P1255" t="str">
        <f t="shared" si="19"/>
        <v>4500136739400</v>
      </c>
      <c r="Q1255" s="7" cm="1">
        <f t="array" ref="Q1255:S1255">VLOOKUP(P1255,Hoja1!C:F,{2,3,4},FALSE)</f>
        <v>46265</v>
      </c>
      <c r="R1255" t="str">
        <v>C03</v>
      </c>
      <c r="S1255" t="str">
        <v>1000001129 AGRONORTE S.R.L.</v>
      </c>
    </row>
    <row r="1256" spans="1:19" x14ac:dyDescent="0.3">
      <c r="A1256" s="2" t="s">
        <v>14</v>
      </c>
      <c r="B1256" s="3" t="s">
        <v>14</v>
      </c>
      <c r="C1256" s="3" t="s">
        <v>1217</v>
      </c>
      <c r="D1256" s="3" t="s">
        <v>14</v>
      </c>
      <c r="E1256" s="3" t="s">
        <v>466</v>
      </c>
      <c r="F1256" s="4">
        <v>46268</v>
      </c>
      <c r="G1256" s="3" t="s">
        <v>17</v>
      </c>
      <c r="H1256" s="5">
        <v>-20337.75</v>
      </c>
      <c r="I1256" s="3" t="s">
        <v>18</v>
      </c>
      <c r="J1256" s="3" t="s">
        <v>14</v>
      </c>
      <c r="K1256" s="3" t="s">
        <v>14</v>
      </c>
      <c r="L1256" s="3" t="s">
        <v>117</v>
      </c>
      <c r="M1256" s="4">
        <v>46268</v>
      </c>
      <c r="N1256" s="3" t="s">
        <v>432</v>
      </c>
      <c r="O1256" s="3" t="s">
        <v>161</v>
      </c>
      <c r="P1256" t="str">
        <f t="shared" si="19"/>
        <v>4500136739200</v>
      </c>
      <c r="Q1256" s="7" cm="1">
        <f t="array" ref="Q1256:S1256">VLOOKUP(P1256,Hoja1!C:F,{2,3,4},FALSE)</f>
        <v>46265</v>
      </c>
      <c r="R1256" t="str">
        <v>C03</v>
      </c>
      <c r="S1256" t="str">
        <v>1000001129 AGRONORTE S.R.L.</v>
      </c>
    </row>
    <row r="1257" spans="1:19" x14ac:dyDescent="0.3">
      <c r="A1257" s="2" t="s">
        <v>14</v>
      </c>
      <c r="B1257" s="3" t="s">
        <v>14</v>
      </c>
      <c r="C1257" s="3" t="s">
        <v>1217</v>
      </c>
      <c r="D1257" s="3" t="s">
        <v>14</v>
      </c>
      <c r="E1257" s="3" t="s">
        <v>466</v>
      </c>
      <c r="F1257" s="4">
        <v>46268</v>
      </c>
      <c r="G1257" s="3" t="s">
        <v>17</v>
      </c>
      <c r="H1257" s="5">
        <v>-1339670.19</v>
      </c>
      <c r="I1257" s="3" t="s">
        <v>18</v>
      </c>
      <c r="J1257" s="3" t="s">
        <v>14</v>
      </c>
      <c r="K1257" s="3" t="s">
        <v>14</v>
      </c>
      <c r="L1257" s="3" t="s">
        <v>117</v>
      </c>
      <c r="M1257" s="4">
        <v>46268</v>
      </c>
      <c r="N1257" s="3" t="s">
        <v>432</v>
      </c>
      <c r="O1257" s="3" t="s">
        <v>158</v>
      </c>
      <c r="P1257" t="str">
        <f t="shared" si="19"/>
        <v>4500136739390</v>
      </c>
      <c r="Q1257" s="7" cm="1">
        <f t="array" ref="Q1257:S1257">VLOOKUP(P1257,Hoja1!C:F,{2,3,4},FALSE)</f>
        <v>46265</v>
      </c>
      <c r="R1257" t="str">
        <v>C03</v>
      </c>
      <c r="S1257" t="str">
        <v>1000001129 AGRONORTE S.R.L.</v>
      </c>
    </row>
    <row r="1258" spans="1:19" x14ac:dyDescent="0.3">
      <c r="A1258" s="2" t="s">
        <v>14</v>
      </c>
      <c r="B1258" s="3" t="s">
        <v>14</v>
      </c>
      <c r="C1258" s="3" t="s">
        <v>1217</v>
      </c>
      <c r="D1258" s="3" t="s">
        <v>14</v>
      </c>
      <c r="E1258" s="3" t="s">
        <v>466</v>
      </c>
      <c r="F1258" s="4">
        <v>46268</v>
      </c>
      <c r="G1258" s="3" t="s">
        <v>17</v>
      </c>
      <c r="H1258" s="5">
        <v>-180885.46</v>
      </c>
      <c r="I1258" s="3" t="s">
        <v>18</v>
      </c>
      <c r="J1258" s="3" t="s">
        <v>14</v>
      </c>
      <c r="K1258" s="3" t="s">
        <v>14</v>
      </c>
      <c r="L1258" s="3" t="s">
        <v>117</v>
      </c>
      <c r="M1258" s="4">
        <v>46268</v>
      </c>
      <c r="N1258" s="3" t="s">
        <v>432</v>
      </c>
      <c r="O1258" s="3" t="s">
        <v>23</v>
      </c>
      <c r="P1258" t="str">
        <f t="shared" si="19"/>
        <v>450013673940</v>
      </c>
      <c r="Q1258" s="7" cm="1">
        <f t="array" ref="Q1258:S1258">VLOOKUP(P1258,Hoja1!C:F,{2,3,4},FALSE)</f>
        <v>46265</v>
      </c>
      <c r="R1258" t="str">
        <v>C03</v>
      </c>
      <c r="S1258" t="str">
        <v>1000001129 AGRONORTE S.R.L.</v>
      </c>
    </row>
    <row r="1259" spans="1:19" x14ac:dyDescent="0.3">
      <c r="A1259" s="2" t="s">
        <v>14</v>
      </c>
      <c r="B1259" s="3" t="s">
        <v>14</v>
      </c>
      <c r="C1259" s="3" t="s">
        <v>1217</v>
      </c>
      <c r="D1259" s="3" t="s">
        <v>14</v>
      </c>
      <c r="E1259" s="3" t="s">
        <v>466</v>
      </c>
      <c r="F1259" s="4">
        <v>46268</v>
      </c>
      <c r="G1259" s="3" t="s">
        <v>17</v>
      </c>
      <c r="H1259" s="5">
        <v>-95692.88</v>
      </c>
      <c r="I1259" s="3" t="s">
        <v>18</v>
      </c>
      <c r="J1259" s="3" t="s">
        <v>14</v>
      </c>
      <c r="K1259" s="3" t="s">
        <v>14</v>
      </c>
      <c r="L1259" s="3" t="s">
        <v>117</v>
      </c>
      <c r="M1259" s="4">
        <v>46268</v>
      </c>
      <c r="N1259" s="3" t="s">
        <v>432</v>
      </c>
      <c r="O1259" s="3" t="s">
        <v>144</v>
      </c>
      <c r="P1259" t="str">
        <f t="shared" si="19"/>
        <v>450013673950</v>
      </c>
      <c r="Q1259" s="7" cm="1">
        <f t="array" ref="Q1259:S1259">VLOOKUP(P1259,Hoja1!C:F,{2,3,4},FALSE)</f>
        <v>46265</v>
      </c>
      <c r="R1259" t="str">
        <v>C03</v>
      </c>
      <c r="S1259" t="str">
        <v>1000001129 AGRONORTE S.R.L.</v>
      </c>
    </row>
    <row r="1260" spans="1:19" x14ac:dyDescent="0.3">
      <c r="A1260" s="2" t="s">
        <v>14</v>
      </c>
      <c r="B1260" s="3" t="s">
        <v>14</v>
      </c>
      <c r="C1260" s="3" t="s">
        <v>1217</v>
      </c>
      <c r="D1260" s="3" t="s">
        <v>14</v>
      </c>
      <c r="E1260" s="3" t="s">
        <v>466</v>
      </c>
      <c r="F1260" s="4">
        <v>46268</v>
      </c>
      <c r="G1260" s="3" t="s">
        <v>17</v>
      </c>
      <c r="H1260" s="5">
        <v>-294129.06</v>
      </c>
      <c r="I1260" s="3" t="s">
        <v>18</v>
      </c>
      <c r="J1260" s="3" t="s">
        <v>14</v>
      </c>
      <c r="K1260" s="3" t="s">
        <v>14</v>
      </c>
      <c r="L1260" s="3" t="s">
        <v>117</v>
      </c>
      <c r="M1260" s="4">
        <v>46268</v>
      </c>
      <c r="N1260" s="3" t="s">
        <v>432</v>
      </c>
      <c r="O1260" s="3" t="s">
        <v>1132</v>
      </c>
      <c r="P1260" t="str">
        <f t="shared" si="19"/>
        <v>4500136739380</v>
      </c>
      <c r="Q1260" s="7" cm="1">
        <f t="array" ref="Q1260:S1260">VLOOKUP(P1260,Hoja1!C:F,{2,3,4},FALSE)</f>
        <v>46265</v>
      </c>
      <c r="R1260" t="str">
        <v>C03</v>
      </c>
      <c r="S1260" t="str">
        <v>1000001129 AGRONORTE S.R.L.</v>
      </c>
    </row>
    <row r="1261" spans="1:19" x14ac:dyDescent="0.3">
      <c r="A1261" s="2" t="s">
        <v>14</v>
      </c>
      <c r="B1261" s="3" t="s">
        <v>14</v>
      </c>
      <c r="C1261" s="3" t="s">
        <v>1217</v>
      </c>
      <c r="D1261" s="3" t="s">
        <v>14</v>
      </c>
      <c r="E1261" s="3" t="s">
        <v>466</v>
      </c>
      <c r="F1261" s="4">
        <v>46268</v>
      </c>
      <c r="G1261" s="3" t="s">
        <v>17</v>
      </c>
      <c r="H1261" s="5">
        <v>-763298.36</v>
      </c>
      <c r="I1261" s="3" t="s">
        <v>18</v>
      </c>
      <c r="J1261" s="3" t="s">
        <v>14</v>
      </c>
      <c r="K1261" s="3" t="s">
        <v>14</v>
      </c>
      <c r="L1261" s="3" t="s">
        <v>117</v>
      </c>
      <c r="M1261" s="4">
        <v>46268</v>
      </c>
      <c r="N1261" s="3" t="s">
        <v>432</v>
      </c>
      <c r="O1261" s="3" t="s">
        <v>166</v>
      </c>
      <c r="P1261" t="str">
        <f t="shared" si="19"/>
        <v>4500136739430</v>
      </c>
      <c r="Q1261" s="7" cm="1">
        <f t="array" ref="Q1261:S1261">VLOOKUP(P1261,Hoja1!C:F,{2,3,4},FALSE)</f>
        <v>46265</v>
      </c>
      <c r="R1261" t="str">
        <v>C03</v>
      </c>
      <c r="S1261" t="str">
        <v>1000001129 AGRONORTE S.R.L.</v>
      </c>
    </row>
    <row r="1262" spans="1:19" x14ac:dyDescent="0.3">
      <c r="A1262" s="2" t="s">
        <v>14</v>
      </c>
      <c r="B1262" s="3" t="s">
        <v>14</v>
      </c>
      <c r="C1262" s="3" t="s">
        <v>1217</v>
      </c>
      <c r="D1262" s="3" t="s">
        <v>14</v>
      </c>
      <c r="E1262" s="3" t="s">
        <v>466</v>
      </c>
      <c r="F1262" s="4">
        <v>46268</v>
      </c>
      <c r="G1262" s="3" t="s">
        <v>17</v>
      </c>
      <c r="H1262" s="5">
        <v>-492761.09</v>
      </c>
      <c r="I1262" s="3" t="s">
        <v>18</v>
      </c>
      <c r="J1262" s="3" t="s">
        <v>14</v>
      </c>
      <c r="K1262" s="3" t="s">
        <v>14</v>
      </c>
      <c r="L1262" s="3" t="s">
        <v>117</v>
      </c>
      <c r="M1262" s="4">
        <v>46268</v>
      </c>
      <c r="N1262" s="3" t="s">
        <v>432</v>
      </c>
      <c r="O1262" s="3" t="s">
        <v>138</v>
      </c>
      <c r="P1262" t="str">
        <f t="shared" si="19"/>
        <v>450013673990</v>
      </c>
      <c r="Q1262" s="7" cm="1">
        <f t="array" ref="Q1262:S1262">VLOOKUP(P1262,Hoja1!C:F,{2,3,4},FALSE)</f>
        <v>46265</v>
      </c>
      <c r="R1262" t="str">
        <v>C03</v>
      </c>
      <c r="S1262" t="str">
        <v>1000001129 AGRONORTE S.R.L.</v>
      </c>
    </row>
    <row r="1263" spans="1:19" x14ac:dyDescent="0.3">
      <c r="A1263" s="2" t="s">
        <v>14</v>
      </c>
      <c r="B1263" s="3" t="s">
        <v>14</v>
      </c>
      <c r="C1263" s="3" t="s">
        <v>1217</v>
      </c>
      <c r="D1263" s="3" t="s">
        <v>14</v>
      </c>
      <c r="E1263" s="3" t="s">
        <v>466</v>
      </c>
      <c r="F1263" s="4">
        <v>46268</v>
      </c>
      <c r="G1263" s="3" t="s">
        <v>17</v>
      </c>
      <c r="H1263" s="5">
        <v>-1114388.18</v>
      </c>
      <c r="I1263" s="3" t="s">
        <v>18</v>
      </c>
      <c r="J1263" s="3" t="s">
        <v>14</v>
      </c>
      <c r="K1263" s="3" t="s">
        <v>14</v>
      </c>
      <c r="L1263" s="3" t="s">
        <v>117</v>
      </c>
      <c r="M1263" s="4">
        <v>46268</v>
      </c>
      <c r="N1263" s="3" t="s">
        <v>432</v>
      </c>
      <c r="O1263" s="3" t="s">
        <v>128</v>
      </c>
      <c r="P1263" t="str">
        <f t="shared" si="19"/>
        <v>4500136739250</v>
      </c>
      <c r="Q1263" s="7" cm="1">
        <f t="array" ref="Q1263:S1263">VLOOKUP(P1263,Hoja1!C:F,{2,3,4},FALSE)</f>
        <v>46265</v>
      </c>
      <c r="R1263" t="str">
        <v>C03</v>
      </c>
      <c r="S1263" t="str">
        <v>1000001129 AGRONORTE S.R.L.</v>
      </c>
    </row>
    <row r="1264" spans="1:19" x14ac:dyDescent="0.3">
      <c r="A1264" s="2" t="s">
        <v>14</v>
      </c>
      <c r="B1264" s="3" t="s">
        <v>14</v>
      </c>
      <c r="C1264" s="3" t="s">
        <v>1217</v>
      </c>
      <c r="D1264" s="3" t="s">
        <v>14</v>
      </c>
      <c r="E1264" s="3" t="s">
        <v>466</v>
      </c>
      <c r="F1264" s="4">
        <v>46268</v>
      </c>
      <c r="G1264" s="3" t="s">
        <v>17</v>
      </c>
      <c r="H1264" s="5">
        <v>-256105</v>
      </c>
      <c r="I1264" s="3" t="s">
        <v>18</v>
      </c>
      <c r="J1264" s="3" t="s">
        <v>14</v>
      </c>
      <c r="K1264" s="3" t="s">
        <v>14</v>
      </c>
      <c r="L1264" s="3" t="s">
        <v>117</v>
      </c>
      <c r="M1264" s="4">
        <v>46268</v>
      </c>
      <c r="N1264" s="3" t="s">
        <v>432</v>
      </c>
      <c r="O1264" s="3" t="s">
        <v>139</v>
      </c>
      <c r="P1264" t="str">
        <f t="shared" si="19"/>
        <v>4500136739350</v>
      </c>
      <c r="Q1264" s="7" cm="1">
        <f t="array" ref="Q1264:S1264">VLOOKUP(P1264,Hoja1!C:F,{2,3,4},FALSE)</f>
        <v>46265</v>
      </c>
      <c r="R1264" t="str">
        <v>C03</v>
      </c>
      <c r="S1264" t="str">
        <v>1000001129 AGRONORTE S.R.L.</v>
      </c>
    </row>
    <row r="1265" spans="1:19" x14ac:dyDescent="0.3">
      <c r="A1265" s="2" t="s">
        <v>14</v>
      </c>
      <c r="B1265" s="3" t="s">
        <v>14</v>
      </c>
      <c r="C1265" s="3" t="s">
        <v>1217</v>
      </c>
      <c r="D1265" s="3" t="s">
        <v>14</v>
      </c>
      <c r="E1265" s="3" t="s">
        <v>466</v>
      </c>
      <c r="F1265" s="4">
        <v>46268</v>
      </c>
      <c r="G1265" s="3" t="s">
        <v>17</v>
      </c>
      <c r="H1265" s="5">
        <v>-149414.67000000001</v>
      </c>
      <c r="I1265" s="3" t="s">
        <v>18</v>
      </c>
      <c r="J1265" s="3" t="s">
        <v>14</v>
      </c>
      <c r="K1265" s="3" t="s">
        <v>14</v>
      </c>
      <c r="L1265" s="3" t="s">
        <v>117</v>
      </c>
      <c r="M1265" s="4">
        <v>46268</v>
      </c>
      <c r="N1265" s="3" t="s">
        <v>432</v>
      </c>
      <c r="O1265" s="3" t="s">
        <v>135</v>
      </c>
      <c r="P1265" t="str">
        <f t="shared" si="19"/>
        <v>4500136739340</v>
      </c>
      <c r="Q1265" s="7" cm="1">
        <f t="array" ref="Q1265:S1265">VLOOKUP(P1265,Hoja1!C:F,{2,3,4},FALSE)</f>
        <v>46265</v>
      </c>
      <c r="R1265" t="str">
        <v>C03</v>
      </c>
      <c r="S1265" t="str">
        <v>1000001129 AGRONORTE S.R.L.</v>
      </c>
    </row>
    <row r="1266" spans="1:19" x14ac:dyDescent="0.3">
      <c r="A1266" s="2" t="s">
        <v>14</v>
      </c>
      <c r="B1266" s="3" t="s">
        <v>14</v>
      </c>
      <c r="C1266" s="3" t="s">
        <v>1217</v>
      </c>
      <c r="D1266" s="3" t="s">
        <v>14</v>
      </c>
      <c r="E1266" s="3" t="s">
        <v>466</v>
      </c>
      <c r="F1266" s="4">
        <v>46268</v>
      </c>
      <c r="G1266" s="3" t="s">
        <v>17</v>
      </c>
      <c r="H1266" s="5">
        <v>-47243.839999999997</v>
      </c>
      <c r="I1266" s="3" t="s">
        <v>18</v>
      </c>
      <c r="J1266" s="3" t="s">
        <v>14</v>
      </c>
      <c r="K1266" s="3" t="s">
        <v>14</v>
      </c>
      <c r="L1266" s="3" t="s">
        <v>117</v>
      </c>
      <c r="M1266" s="4">
        <v>46268</v>
      </c>
      <c r="N1266" s="3" t="s">
        <v>432</v>
      </c>
      <c r="O1266" s="3" t="s">
        <v>154</v>
      </c>
      <c r="P1266" t="str">
        <f t="shared" si="19"/>
        <v>4500136739330</v>
      </c>
      <c r="Q1266" s="7" cm="1">
        <f t="array" ref="Q1266:S1266">VLOOKUP(P1266,Hoja1!C:F,{2,3,4},FALSE)</f>
        <v>46265</v>
      </c>
      <c r="R1266" t="str">
        <v>C03</v>
      </c>
      <c r="S1266" t="str">
        <v>1000001129 AGRONORTE S.R.L.</v>
      </c>
    </row>
    <row r="1267" spans="1:19" x14ac:dyDescent="0.3">
      <c r="A1267" s="2" t="s">
        <v>14</v>
      </c>
      <c r="B1267" s="3" t="s">
        <v>14</v>
      </c>
      <c r="C1267" s="3" t="s">
        <v>1217</v>
      </c>
      <c r="D1267" s="3" t="s">
        <v>14</v>
      </c>
      <c r="E1267" s="3" t="s">
        <v>466</v>
      </c>
      <c r="F1267" s="4">
        <v>46268</v>
      </c>
      <c r="G1267" s="3" t="s">
        <v>17</v>
      </c>
      <c r="H1267" s="5">
        <v>-113891.4</v>
      </c>
      <c r="I1267" s="3" t="s">
        <v>18</v>
      </c>
      <c r="J1267" s="3" t="s">
        <v>14</v>
      </c>
      <c r="K1267" s="3" t="s">
        <v>14</v>
      </c>
      <c r="L1267" s="3" t="s">
        <v>117</v>
      </c>
      <c r="M1267" s="4">
        <v>46268</v>
      </c>
      <c r="N1267" s="3" t="s">
        <v>432</v>
      </c>
      <c r="O1267" s="3" t="s">
        <v>145</v>
      </c>
      <c r="P1267" t="str">
        <f t="shared" si="19"/>
        <v>4500136739300</v>
      </c>
      <c r="Q1267" s="7" cm="1">
        <f t="array" ref="Q1267:S1267">VLOOKUP(P1267,Hoja1!C:F,{2,3,4},FALSE)</f>
        <v>46265</v>
      </c>
      <c r="R1267" t="str">
        <v>C03</v>
      </c>
      <c r="S1267" t="str">
        <v>1000001129 AGRONORTE S.R.L.</v>
      </c>
    </row>
    <row r="1268" spans="1:19" x14ac:dyDescent="0.3">
      <c r="A1268" s="2" t="s">
        <v>14</v>
      </c>
      <c r="B1268" s="3" t="s">
        <v>14</v>
      </c>
      <c r="C1268" s="3" t="s">
        <v>1217</v>
      </c>
      <c r="D1268" s="3" t="s">
        <v>14</v>
      </c>
      <c r="E1268" s="3" t="s">
        <v>466</v>
      </c>
      <c r="F1268" s="4">
        <v>46268</v>
      </c>
      <c r="G1268" s="3" t="s">
        <v>17</v>
      </c>
      <c r="H1268" s="5">
        <v>-1837.93</v>
      </c>
      <c r="I1268" s="3" t="s">
        <v>18</v>
      </c>
      <c r="J1268" s="3" t="s">
        <v>14</v>
      </c>
      <c r="K1268" s="3" t="s">
        <v>14</v>
      </c>
      <c r="L1268" s="3" t="s">
        <v>117</v>
      </c>
      <c r="M1268" s="4">
        <v>46268</v>
      </c>
      <c r="N1268" s="3" t="s">
        <v>432</v>
      </c>
      <c r="O1268" s="3" t="s">
        <v>143</v>
      </c>
      <c r="P1268" t="str">
        <f t="shared" si="19"/>
        <v>4500136739240</v>
      </c>
      <c r="Q1268" s="7" cm="1">
        <f t="array" ref="Q1268:S1268">VLOOKUP(P1268,Hoja1!C:F,{2,3,4},FALSE)</f>
        <v>46265</v>
      </c>
      <c r="R1268" t="str">
        <v>C03</v>
      </c>
      <c r="S1268" t="str">
        <v>1000001129 AGRONORTE S.R.L.</v>
      </c>
    </row>
    <row r="1269" spans="1:19" x14ac:dyDescent="0.3">
      <c r="A1269" s="2" t="s">
        <v>14</v>
      </c>
      <c r="B1269" s="3" t="s">
        <v>14</v>
      </c>
      <c r="C1269" s="3" t="s">
        <v>1217</v>
      </c>
      <c r="D1269" s="3" t="s">
        <v>14</v>
      </c>
      <c r="E1269" s="3" t="s">
        <v>466</v>
      </c>
      <c r="F1269" s="4">
        <v>46268</v>
      </c>
      <c r="G1269" s="3" t="s">
        <v>17</v>
      </c>
      <c r="H1269" s="5">
        <v>-20156.97</v>
      </c>
      <c r="I1269" s="3" t="s">
        <v>18</v>
      </c>
      <c r="J1269" s="3" t="s">
        <v>14</v>
      </c>
      <c r="K1269" s="3" t="s">
        <v>14</v>
      </c>
      <c r="L1269" s="3" t="s">
        <v>117</v>
      </c>
      <c r="M1269" s="4">
        <v>46268</v>
      </c>
      <c r="N1269" s="3" t="s">
        <v>432</v>
      </c>
      <c r="O1269" s="3" t="s">
        <v>68</v>
      </c>
      <c r="P1269" t="str">
        <f t="shared" si="19"/>
        <v>4500136739150</v>
      </c>
      <c r="Q1269" s="7" cm="1">
        <f t="array" ref="Q1269:S1269">VLOOKUP(P1269,Hoja1!C:F,{2,3,4},FALSE)</f>
        <v>46265</v>
      </c>
      <c r="R1269" t="str">
        <v>C03</v>
      </c>
      <c r="S1269" t="str">
        <v>1000001129 AGRONORTE S.R.L.</v>
      </c>
    </row>
    <row r="1270" spans="1:19" x14ac:dyDescent="0.3">
      <c r="A1270" s="2" t="s">
        <v>14</v>
      </c>
      <c r="B1270" s="3" t="s">
        <v>14</v>
      </c>
      <c r="C1270" s="3" t="s">
        <v>1217</v>
      </c>
      <c r="D1270" s="3" t="s">
        <v>14</v>
      </c>
      <c r="E1270" s="3" t="s">
        <v>466</v>
      </c>
      <c r="F1270" s="4">
        <v>46268</v>
      </c>
      <c r="G1270" s="3" t="s">
        <v>17</v>
      </c>
      <c r="H1270" s="5">
        <v>-336853.4</v>
      </c>
      <c r="I1270" s="3" t="s">
        <v>18</v>
      </c>
      <c r="J1270" s="3" t="s">
        <v>14</v>
      </c>
      <c r="K1270" s="3" t="s">
        <v>14</v>
      </c>
      <c r="L1270" s="3" t="s">
        <v>117</v>
      </c>
      <c r="M1270" s="4">
        <v>46268</v>
      </c>
      <c r="N1270" s="3" t="s">
        <v>432</v>
      </c>
      <c r="O1270" s="3" t="s">
        <v>134</v>
      </c>
      <c r="P1270" t="str">
        <f t="shared" si="19"/>
        <v>450013673970</v>
      </c>
      <c r="Q1270" s="7" cm="1">
        <f t="array" ref="Q1270:S1270">VLOOKUP(P1270,Hoja1!C:F,{2,3,4},FALSE)</f>
        <v>46265</v>
      </c>
      <c r="R1270" t="str">
        <v>C03</v>
      </c>
      <c r="S1270" t="str">
        <v>1000001129 AGRONORTE S.R.L.</v>
      </c>
    </row>
    <row r="1271" spans="1:19" x14ac:dyDescent="0.3">
      <c r="A1271" s="2" t="s">
        <v>14</v>
      </c>
      <c r="B1271" s="3" t="s">
        <v>14</v>
      </c>
      <c r="C1271" s="3" t="s">
        <v>1217</v>
      </c>
      <c r="D1271" s="3" t="s">
        <v>14</v>
      </c>
      <c r="E1271" s="3" t="s">
        <v>466</v>
      </c>
      <c r="F1271" s="4">
        <v>46268</v>
      </c>
      <c r="G1271" s="3" t="s">
        <v>17</v>
      </c>
      <c r="H1271" s="5">
        <v>-635170.53</v>
      </c>
      <c r="I1271" s="3" t="s">
        <v>18</v>
      </c>
      <c r="J1271" s="3" t="s">
        <v>14</v>
      </c>
      <c r="K1271" s="3" t="s">
        <v>14</v>
      </c>
      <c r="L1271" s="3" t="s">
        <v>117</v>
      </c>
      <c r="M1271" s="4">
        <v>46268</v>
      </c>
      <c r="N1271" s="3" t="s">
        <v>432</v>
      </c>
      <c r="O1271" s="3" t="s">
        <v>146</v>
      </c>
      <c r="P1271" t="str">
        <f t="shared" si="19"/>
        <v>4500136739270</v>
      </c>
      <c r="Q1271" s="7" cm="1">
        <f t="array" ref="Q1271:S1271">VLOOKUP(P1271,Hoja1!C:F,{2,3,4},FALSE)</f>
        <v>46265</v>
      </c>
      <c r="R1271" t="str">
        <v>C03</v>
      </c>
      <c r="S1271" t="str">
        <v>1000001129 AGRONORTE S.R.L.</v>
      </c>
    </row>
    <row r="1272" spans="1:19" x14ac:dyDescent="0.3">
      <c r="A1272" s="2" t="s">
        <v>14</v>
      </c>
      <c r="B1272" s="3" t="s">
        <v>14</v>
      </c>
      <c r="C1272" s="3" t="s">
        <v>1217</v>
      </c>
      <c r="D1272" s="3" t="s">
        <v>14</v>
      </c>
      <c r="E1272" s="3" t="s">
        <v>466</v>
      </c>
      <c r="F1272" s="4">
        <v>46268</v>
      </c>
      <c r="G1272" s="3" t="s">
        <v>17</v>
      </c>
      <c r="H1272" s="5">
        <v>-36879.120000000003</v>
      </c>
      <c r="I1272" s="3" t="s">
        <v>18</v>
      </c>
      <c r="J1272" s="3" t="s">
        <v>14</v>
      </c>
      <c r="K1272" s="3" t="s">
        <v>14</v>
      </c>
      <c r="L1272" s="3" t="s">
        <v>117</v>
      </c>
      <c r="M1272" s="4">
        <v>46268</v>
      </c>
      <c r="N1272" s="3" t="s">
        <v>432</v>
      </c>
      <c r="O1272" s="3" t="s">
        <v>126</v>
      </c>
      <c r="P1272" t="str">
        <f t="shared" si="19"/>
        <v>4500136739260</v>
      </c>
      <c r="Q1272" s="7" cm="1">
        <f t="array" ref="Q1272:S1272">VLOOKUP(P1272,Hoja1!C:F,{2,3,4},FALSE)</f>
        <v>46265</v>
      </c>
      <c r="R1272" t="str">
        <v>C03</v>
      </c>
      <c r="S1272" t="str">
        <v>1000001129 AGRONORTE S.R.L.</v>
      </c>
    </row>
    <row r="1273" spans="1:19" x14ac:dyDescent="0.3">
      <c r="A1273" s="2" t="s">
        <v>14</v>
      </c>
      <c r="B1273" s="3" t="s">
        <v>14</v>
      </c>
      <c r="C1273" s="3" t="s">
        <v>1217</v>
      </c>
      <c r="D1273" s="3" t="s">
        <v>14</v>
      </c>
      <c r="E1273" s="3" t="s">
        <v>466</v>
      </c>
      <c r="F1273" s="4">
        <v>46268</v>
      </c>
      <c r="G1273" s="3" t="s">
        <v>17</v>
      </c>
      <c r="H1273" s="5">
        <v>-2314978.29</v>
      </c>
      <c r="I1273" s="3" t="s">
        <v>18</v>
      </c>
      <c r="J1273" s="3" t="s">
        <v>14</v>
      </c>
      <c r="K1273" s="3" t="s">
        <v>14</v>
      </c>
      <c r="L1273" s="3" t="s">
        <v>117</v>
      </c>
      <c r="M1273" s="4">
        <v>46268</v>
      </c>
      <c r="N1273" s="3" t="s">
        <v>432</v>
      </c>
      <c r="O1273" s="3" t="s">
        <v>133</v>
      </c>
      <c r="P1273" t="str">
        <f t="shared" si="19"/>
        <v>4500136739280</v>
      </c>
      <c r="Q1273" s="7" cm="1">
        <f t="array" ref="Q1273:S1273">VLOOKUP(P1273,Hoja1!C:F,{2,3,4},FALSE)</f>
        <v>46265</v>
      </c>
      <c r="R1273" t="str">
        <v>C03</v>
      </c>
      <c r="S1273" t="str">
        <v>1000001129 AGRONORTE S.R.L.</v>
      </c>
    </row>
    <row r="1274" spans="1:19" x14ac:dyDescent="0.3">
      <c r="A1274" s="2" t="s">
        <v>14</v>
      </c>
      <c r="B1274" s="3" t="s">
        <v>14</v>
      </c>
      <c r="C1274" s="3" t="s">
        <v>1217</v>
      </c>
      <c r="D1274" s="3" t="s">
        <v>14</v>
      </c>
      <c r="E1274" s="3" t="s">
        <v>466</v>
      </c>
      <c r="F1274" s="4">
        <v>46268</v>
      </c>
      <c r="G1274" s="3" t="s">
        <v>17</v>
      </c>
      <c r="H1274" s="5">
        <v>-501046.84</v>
      </c>
      <c r="I1274" s="3" t="s">
        <v>18</v>
      </c>
      <c r="J1274" s="3" t="s">
        <v>14</v>
      </c>
      <c r="K1274" s="3" t="s">
        <v>14</v>
      </c>
      <c r="L1274" s="3" t="s">
        <v>117</v>
      </c>
      <c r="M1274" s="4">
        <v>46268</v>
      </c>
      <c r="N1274" s="3" t="s">
        <v>432</v>
      </c>
      <c r="O1274" s="3" t="s">
        <v>35</v>
      </c>
      <c r="P1274" t="str">
        <f t="shared" si="19"/>
        <v>450013673930</v>
      </c>
      <c r="Q1274" s="7" cm="1">
        <f t="array" ref="Q1274:S1274">VLOOKUP(P1274,Hoja1!C:F,{2,3,4},FALSE)</f>
        <v>46265</v>
      </c>
      <c r="R1274" t="str">
        <v>C03</v>
      </c>
      <c r="S1274" t="str">
        <v>1000001129 AGRONORTE S.R.L.</v>
      </c>
    </row>
    <row r="1275" spans="1:19" x14ac:dyDescent="0.3">
      <c r="A1275" s="2" t="s">
        <v>14</v>
      </c>
      <c r="B1275" s="3" t="s">
        <v>14</v>
      </c>
      <c r="C1275" s="3" t="s">
        <v>1217</v>
      </c>
      <c r="D1275" s="3" t="s">
        <v>14</v>
      </c>
      <c r="E1275" s="3" t="s">
        <v>466</v>
      </c>
      <c r="F1275" s="4">
        <v>46268</v>
      </c>
      <c r="G1275" s="3" t="s">
        <v>17</v>
      </c>
      <c r="H1275" s="5">
        <v>-231443.6</v>
      </c>
      <c r="I1275" s="3" t="s">
        <v>18</v>
      </c>
      <c r="J1275" s="3" t="s">
        <v>14</v>
      </c>
      <c r="K1275" s="3" t="s">
        <v>14</v>
      </c>
      <c r="L1275" s="3" t="s">
        <v>117</v>
      </c>
      <c r="M1275" s="4">
        <v>46268</v>
      </c>
      <c r="N1275" s="3" t="s">
        <v>432</v>
      </c>
      <c r="O1275" s="3" t="s">
        <v>129</v>
      </c>
      <c r="P1275" t="str">
        <f t="shared" si="19"/>
        <v>4500136739160</v>
      </c>
      <c r="Q1275" s="7" cm="1">
        <f t="array" ref="Q1275:S1275">VLOOKUP(P1275,Hoja1!C:F,{2,3,4},FALSE)</f>
        <v>46265</v>
      </c>
      <c r="R1275" t="str">
        <v>C03</v>
      </c>
      <c r="S1275" t="str">
        <v>1000001129 AGRONORTE S.R.L.</v>
      </c>
    </row>
    <row r="1276" spans="1:19" x14ac:dyDescent="0.3">
      <c r="A1276" s="2" t="s">
        <v>14</v>
      </c>
      <c r="B1276" s="3" t="s">
        <v>14</v>
      </c>
      <c r="C1276" s="3" t="s">
        <v>1217</v>
      </c>
      <c r="D1276" s="3" t="s">
        <v>14</v>
      </c>
      <c r="E1276" s="3" t="s">
        <v>466</v>
      </c>
      <c r="F1276" s="4">
        <v>46268</v>
      </c>
      <c r="G1276" s="3" t="s">
        <v>17</v>
      </c>
      <c r="H1276" s="5">
        <v>-2022069.5</v>
      </c>
      <c r="I1276" s="3" t="s">
        <v>18</v>
      </c>
      <c r="J1276" s="3" t="s">
        <v>14</v>
      </c>
      <c r="K1276" s="3" t="s">
        <v>14</v>
      </c>
      <c r="L1276" s="3" t="s">
        <v>117</v>
      </c>
      <c r="M1276" s="4">
        <v>46268</v>
      </c>
      <c r="N1276" s="3" t="s">
        <v>432</v>
      </c>
      <c r="O1276" s="3" t="s">
        <v>141</v>
      </c>
      <c r="P1276" t="str">
        <f t="shared" si="19"/>
        <v>450013673960</v>
      </c>
      <c r="Q1276" s="7" cm="1">
        <f t="array" ref="Q1276:S1276">VLOOKUP(P1276,Hoja1!C:F,{2,3,4},FALSE)</f>
        <v>46265</v>
      </c>
      <c r="R1276" t="str">
        <v>C03</v>
      </c>
      <c r="S1276" t="str">
        <v>1000001129 AGRONORTE S.R.L.</v>
      </c>
    </row>
    <row r="1277" spans="1:19" x14ac:dyDescent="0.3">
      <c r="A1277" s="2" t="s">
        <v>14</v>
      </c>
      <c r="B1277" s="3" t="s">
        <v>14</v>
      </c>
      <c r="C1277" s="3" t="s">
        <v>1217</v>
      </c>
      <c r="D1277" s="3" t="s">
        <v>14</v>
      </c>
      <c r="E1277" s="3" t="s">
        <v>466</v>
      </c>
      <c r="F1277" s="4">
        <v>46268</v>
      </c>
      <c r="G1277" s="3" t="s">
        <v>17</v>
      </c>
      <c r="H1277" s="5">
        <v>-18906.580000000002</v>
      </c>
      <c r="I1277" s="3" t="s">
        <v>18</v>
      </c>
      <c r="J1277" s="3" t="s">
        <v>14</v>
      </c>
      <c r="K1277" s="3" t="s">
        <v>14</v>
      </c>
      <c r="L1277" s="3" t="s">
        <v>117</v>
      </c>
      <c r="M1277" s="4">
        <v>46268</v>
      </c>
      <c r="N1277" s="3" t="s">
        <v>432</v>
      </c>
      <c r="O1277" s="3" t="s">
        <v>52</v>
      </c>
      <c r="P1277" t="str">
        <f t="shared" si="19"/>
        <v>450013673980</v>
      </c>
      <c r="Q1277" s="7" cm="1">
        <f t="array" ref="Q1277:S1277">VLOOKUP(P1277,Hoja1!C:F,{2,3,4},FALSE)</f>
        <v>46265</v>
      </c>
      <c r="R1277" t="str">
        <v>C03</v>
      </c>
      <c r="S1277" t="str">
        <v>1000001129 AGRONORTE S.R.L.</v>
      </c>
    </row>
    <row r="1278" spans="1:19" x14ac:dyDescent="0.3">
      <c r="A1278" s="2" t="s">
        <v>14</v>
      </c>
      <c r="B1278" s="3" t="s">
        <v>14</v>
      </c>
      <c r="C1278" s="3" t="s">
        <v>1217</v>
      </c>
      <c r="D1278" s="3" t="s">
        <v>14</v>
      </c>
      <c r="E1278" s="3" t="s">
        <v>466</v>
      </c>
      <c r="F1278" s="4">
        <v>46268</v>
      </c>
      <c r="G1278" s="3" t="s">
        <v>17</v>
      </c>
      <c r="H1278" s="5">
        <v>-130703.94</v>
      </c>
      <c r="I1278" s="3" t="s">
        <v>18</v>
      </c>
      <c r="J1278" s="3" t="s">
        <v>14</v>
      </c>
      <c r="K1278" s="3" t="s">
        <v>14</v>
      </c>
      <c r="L1278" s="3" t="s">
        <v>117</v>
      </c>
      <c r="M1278" s="4">
        <v>46268</v>
      </c>
      <c r="N1278" s="3" t="s">
        <v>432</v>
      </c>
      <c r="O1278" s="3" t="s">
        <v>140</v>
      </c>
      <c r="P1278" t="str">
        <f t="shared" si="19"/>
        <v>4500136739220</v>
      </c>
      <c r="Q1278" s="7" cm="1">
        <f t="array" ref="Q1278:S1278">VLOOKUP(P1278,Hoja1!C:F,{2,3,4},FALSE)</f>
        <v>46265</v>
      </c>
      <c r="R1278" t="str">
        <v>C03</v>
      </c>
      <c r="S1278" t="str">
        <v>1000001129 AGRONORTE S.R.L.</v>
      </c>
    </row>
    <row r="1279" spans="1:19" x14ac:dyDescent="0.3">
      <c r="A1279" s="2" t="s">
        <v>14</v>
      </c>
      <c r="B1279" s="3" t="s">
        <v>14</v>
      </c>
      <c r="C1279" s="3" t="s">
        <v>1217</v>
      </c>
      <c r="D1279" s="3" t="s">
        <v>14</v>
      </c>
      <c r="E1279" s="3" t="s">
        <v>466</v>
      </c>
      <c r="F1279" s="4">
        <v>46268</v>
      </c>
      <c r="G1279" s="3" t="s">
        <v>17</v>
      </c>
      <c r="H1279" s="5">
        <v>-519652.11</v>
      </c>
      <c r="I1279" s="3" t="s">
        <v>18</v>
      </c>
      <c r="J1279" s="3" t="s">
        <v>14</v>
      </c>
      <c r="K1279" s="3" t="s">
        <v>14</v>
      </c>
      <c r="L1279" s="3" t="s">
        <v>117</v>
      </c>
      <c r="M1279" s="4">
        <v>46268</v>
      </c>
      <c r="N1279" s="3" t="s">
        <v>432</v>
      </c>
      <c r="O1279" s="3" t="s">
        <v>137</v>
      </c>
      <c r="P1279" t="str">
        <f t="shared" si="19"/>
        <v>4500136739230</v>
      </c>
      <c r="Q1279" s="7" cm="1">
        <f t="array" ref="Q1279:S1279">VLOOKUP(P1279,Hoja1!C:F,{2,3,4},FALSE)</f>
        <v>46265</v>
      </c>
      <c r="R1279" t="str">
        <v>C03</v>
      </c>
      <c r="S1279" t="str">
        <v>1000001129 AGRONORTE S.R.L.</v>
      </c>
    </row>
    <row r="1280" spans="1:19" x14ac:dyDescent="0.3">
      <c r="A1280" s="2" t="s">
        <v>14</v>
      </c>
      <c r="B1280" s="3" t="s">
        <v>14</v>
      </c>
      <c r="C1280" s="3" t="s">
        <v>1217</v>
      </c>
      <c r="D1280" s="3" t="s">
        <v>14</v>
      </c>
      <c r="E1280" s="3" t="s">
        <v>466</v>
      </c>
      <c r="F1280" s="4">
        <v>46268</v>
      </c>
      <c r="G1280" s="3" t="s">
        <v>17</v>
      </c>
      <c r="H1280" s="5">
        <v>-4233.2700000000004</v>
      </c>
      <c r="I1280" s="3" t="s">
        <v>18</v>
      </c>
      <c r="J1280" s="3" t="s">
        <v>14</v>
      </c>
      <c r="K1280" s="3" t="s">
        <v>14</v>
      </c>
      <c r="L1280" s="3" t="s">
        <v>117</v>
      </c>
      <c r="M1280" s="4">
        <v>46268</v>
      </c>
      <c r="N1280" s="3" t="s">
        <v>432</v>
      </c>
      <c r="O1280" s="3" t="s">
        <v>168</v>
      </c>
      <c r="P1280" t="str">
        <f t="shared" si="19"/>
        <v>4500136739360</v>
      </c>
      <c r="Q1280" s="7" cm="1">
        <f t="array" ref="Q1280:S1280">VLOOKUP(P1280,Hoja1!C:F,{2,3,4},FALSE)</f>
        <v>46265</v>
      </c>
      <c r="R1280" t="str">
        <v>C03</v>
      </c>
      <c r="S1280" t="str">
        <v>1000001129 AGRONORTE S.R.L.</v>
      </c>
    </row>
    <row r="1281" spans="1:19" x14ac:dyDescent="0.3">
      <c r="A1281" s="2" t="s">
        <v>14</v>
      </c>
      <c r="B1281" s="3" t="s">
        <v>14</v>
      </c>
      <c r="C1281" s="3" t="s">
        <v>1217</v>
      </c>
      <c r="D1281" s="3" t="s">
        <v>14</v>
      </c>
      <c r="E1281" s="3" t="s">
        <v>466</v>
      </c>
      <c r="F1281" s="4">
        <v>46268</v>
      </c>
      <c r="G1281" s="3" t="s">
        <v>17</v>
      </c>
      <c r="H1281" s="5">
        <v>-11087.84</v>
      </c>
      <c r="I1281" s="3" t="s">
        <v>18</v>
      </c>
      <c r="J1281" s="3" t="s">
        <v>14</v>
      </c>
      <c r="K1281" s="3" t="s">
        <v>14</v>
      </c>
      <c r="L1281" s="3" t="s">
        <v>117</v>
      </c>
      <c r="M1281" s="4">
        <v>46268</v>
      </c>
      <c r="N1281" s="3" t="s">
        <v>432</v>
      </c>
      <c r="O1281" s="3" t="s">
        <v>162</v>
      </c>
      <c r="P1281" t="str">
        <f t="shared" si="19"/>
        <v>4500136739370</v>
      </c>
      <c r="Q1281" s="7" cm="1">
        <f t="array" ref="Q1281:S1281">VLOOKUP(P1281,Hoja1!C:F,{2,3,4},FALSE)</f>
        <v>46265</v>
      </c>
      <c r="R1281" t="str">
        <v>C03</v>
      </c>
      <c r="S1281" t="str">
        <v>1000001129 AGRONORTE S.R.L.</v>
      </c>
    </row>
    <row r="1282" spans="1:19" x14ac:dyDescent="0.3">
      <c r="A1282" s="2" t="s">
        <v>14</v>
      </c>
      <c r="B1282" s="3" t="s">
        <v>14</v>
      </c>
      <c r="C1282" s="3" t="s">
        <v>1217</v>
      </c>
      <c r="D1282" s="3" t="s">
        <v>14</v>
      </c>
      <c r="E1282" s="3" t="s">
        <v>466</v>
      </c>
      <c r="F1282" s="4">
        <v>46268</v>
      </c>
      <c r="G1282" s="3" t="s">
        <v>17</v>
      </c>
      <c r="H1282" s="5">
        <v>-575678.85</v>
      </c>
      <c r="I1282" s="3" t="s">
        <v>18</v>
      </c>
      <c r="J1282" s="3" t="s">
        <v>14</v>
      </c>
      <c r="K1282" s="3" t="s">
        <v>14</v>
      </c>
      <c r="L1282" s="3" t="s">
        <v>117</v>
      </c>
      <c r="M1282" s="4">
        <v>46268</v>
      </c>
      <c r="N1282" s="3" t="s">
        <v>432</v>
      </c>
      <c r="O1282" s="3" t="s">
        <v>157</v>
      </c>
      <c r="P1282" t="str">
        <f t="shared" si="19"/>
        <v>4500136739410</v>
      </c>
      <c r="Q1282" s="7" cm="1">
        <f t="array" ref="Q1282:S1282">VLOOKUP(P1282,Hoja1!C:F,{2,3,4},FALSE)</f>
        <v>46265</v>
      </c>
      <c r="R1282" t="str">
        <v>C03</v>
      </c>
      <c r="S1282" t="str">
        <v>1000001129 AGRONORTE S.R.L.</v>
      </c>
    </row>
    <row r="1283" spans="1:19" x14ac:dyDescent="0.3">
      <c r="A1283" s="2" t="s">
        <v>14</v>
      </c>
      <c r="B1283" s="3" t="s">
        <v>14</v>
      </c>
      <c r="C1283" s="3" t="s">
        <v>1217</v>
      </c>
      <c r="D1283" s="3" t="s">
        <v>14</v>
      </c>
      <c r="E1283" s="3" t="s">
        <v>466</v>
      </c>
      <c r="F1283" s="4">
        <v>46268</v>
      </c>
      <c r="G1283" s="3" t="s">
        <v>17</v>
      </c>
      <c r="H1283" s="5">
        <v>-12805.25</v>
      </c>
      <c r="I1283" s="3" t="s">
        <v>18</v>
      </c>
      <c r="J1283" s="3" t="s">
        <v>14</v>
      </c>
      <c r="K1283" s="3" t="s">
        <v>14</v>
      </c>
      <c r="L1283" s="3" t="s">
        <v>117</v>
      </c>
      <c r="M1283" s="4">
        <v>46268</v>
      </c>
      <c r="N1283" s="3" t="s">
        <v>432</v>
      </c>
      <c r="O1283" s="3" t="s">
        <v>155</v>
      </c>
      <c r="P1283" t="str">
        <f t="shared" ref="P1283:P1346" si="20">_xlfn.CONCAT(N1283:O1283)</f>
        <v>4500136739420</v>
      </c>
      <c r="Q1283" s="7" cm="1">
        <f t="array" ref="Q1283:S1283">VLOOKUP(P1283,Hoja1!C:F,{2,3,4},FALSE)</f>
        <v>46265</v>
      </c>
      <c r="R1283" t="str">
        <v>C03</v>
      </c>
      <c r="S1283" t="str">
        <v>1000001129 AGRONORTE S.R.L.</v>
      </c>
    </row>
    <row r="1284" spans="1:19" x14ac:dyDescent="0.3">
      <c r="A1284" s="2" t="s">
        <v>14</v>
      </c>
      <c r="B1284" s="3" t="s">
        <v>14</v>
      </c>
      <c r="C1284" s="3" t="s">
        <v>1217</v>
      </c>
      <c r="D1284" s="3" t="s">
        <v>14</v>
      </c>
      <c r="E1284" s="3" t="s">
        <v>466</v>
      </c>
      <c r="F1284" s="4">
        <v>46268</v>
      </c>
      <c r="G1284" s="3" t="s">
        <v>17</v>
      </c>
      <c r="H1284" s="5">
        <v>-388044.27</v>
      </c>
      <c r="I1284" s="3" t="s">
        <v>18</v>
      </c>
      <c r="J1284" s="3" t="s">
        <v>14</v>
      </c>
      <c r="K1284" s="3" t="s">
        <v>14</v>
      </c>
      <c r="L1284" s="3" t="s">
        <v>117</v>
      </c>
      <c r="M1284" s="4">
        <v>46268</v>
      </c>
      <c r="N1284" s="3" t="s">
        <v>432</v>
      </c>
      <c r="O1284" s="3" t="s">
        <v>164</v>
      </c>
      <c r="P1284" t="str">
        <f t="shared" si="20"/>
        <v>4500136739440</v>
      </c>
      <c r="Q1284" s="7" cm="1">
        <f t="array" ref="Q1284:S1284">VLOOKUP(P1284,Hoja1!C:F,{2,3,4},FALSE)</f>
        <v>46265</v>
      </c>
      <c r="R1284" t="str">
        <v>C03</v>
      </c>
      <c r="S1284" t="str">
        <v>1000001129 AGRONORTE S.R.L.</v>
      </c>
    </row>
    <row r="1285" spans="1:19" x14ac:dyDescent="0.3">
      <c r="A1285" s="2" t="s">
        <v>14</v>
      </c>
      <c r="B1285" s="3" t="s">
        <v>14</v>
      </c>
      <c r="C1285" s="3" t="s">
        <v>1218</v>
      </c>
      <c r="D1285" s="3" t="s">
        <v>14</v>
      </c>
      <c r="E1285" s="3" t="s">
        <v>466</v>
      </c>
      <c r="F1285" s="4">
        <v>46268</v>
      </c>
      <c r="G1285" s="3" t="s">
        <v>17</v>
      </c>
      <c r="H1285" s="5">
        <v>-396788.8</v>
      </c>
      <c r="I1285" s="3" t="s">
        <v>18</v>
      </c>
      <c r="J1285" s="3" t="s">
        <v>14</v>
      </c>
      <c r="K1285" s="3" t="s">
        <v>14</v>
      </c>
      <c r="L1285" s="3" t="s">
        <v>1219</v>
      </c>
      <c r="M1285" s="4">
        <v>46269</v>
      </c>
      <c r="N1285" s="3" t="s">
        <v>1220</v>
      </c>
      <c r="O1285" s="3" t="s">
        <v>30</v>
      </c>
      <c r="P1285" t="str">
        <f t="shared" si="20"/>
        <v>450013712610</v>
      </c>
      <c r="Q1285" s="7" cm="1">
        <f t="array" ref="Q1285:S1285">VLOOKUP(P1285,Hoja1!C:F,{2,3,4},FALSE)</f>
        <v>46282</v>
      </c>
      <c r="R1285" t="str">
        <v>EFO</v>
      </c>
      <c r="S1285" t="str">
        <v>1000007438 EMAVE S.A.</v>
      </c>
    </row>
    <row r="1286" spans="1:19" x14ac:dyDescent="0.3">
      <c r="A1286" s="2" t="s">
        <v>14</v>
      </c>
      <c r="B1286" s="3" t="s">
        <v>14</v>
      </c>
      <c r="C1286" s="3" t="s">
        <v>1221</v>
      </c>
      <c r="D1286" s="3" t="s">
        <v>14</v>
      </c>
      <c r="E1286" s="3" t="s">
        <v>466</v>
      </c>
      <c r="F1286" s="4">
        <v>46269</v>
      </c>
      <c r="G1286" s="3" t="s">
        <v>17</v>
      </c>
      <c r="H1286" s="5">
        <v>-11366.46</v>
      </c>
      <c r="I1286" s="3" t="s">
        <v>18</v>
      </c>
      <c r="J1286" s="3" t="s">
        <v>14</v>
      </c>
      <c r="K1286" s="3" t="s">
        <v>14</v>
      </c>
      <c r="L1286" s="3" t="s">
        <v>117</v>
      </c>
      <c r="M1286" s="4">
        <v>46269</v>
      </c>
      <c r="N1286" s="3" t="s">
        <v>415</v>
      </c>
      <c r="O1286" s="3" t="s">
        <v>141</v>
      </c>
      <c r="P1286" t="str">
        <f t="shared" si="20"/>
        <v>450013684060</v>
      </c>
      <c r="Q1286" s="7" cm="1">
        <f t="array" ref="Q1286:S1286">VLOOKUP(P1286,Hoja1!C:F,{2,3,4},FALSE)</f>
        <v>46280</v>
      </c>
      <c r="R1286" t="str">
        <v>C03</v>
      </c>
      <c r="S1286" t="str">
        <v>1000001129 AGRONORTE S.R.L.</v>
      </c>
    </row>
    <row r="1287" spans="1:19" x14ac:dyDescent="0.3">
      <c r="A1287" s="2" t="s">
        <v>14</v>
      </c>
      <c r="B1287" s="3" t="s">
        <v>14</v>
      </c>
      <c r="C1287" s="3" t="s">
        <v>1222</v>
      </c>
      <c r="D1287" s="3" t="s">
        <v>32</v>
      </c>
      <c r="E1287" s="3" t="s">
        <v>466</v>
      </c>
      <c r="F1287" s="4">
        <v>46269</v>
      </c>
      <c r="G1287" s="3" t="s">
        <v>17</v>
      </c>
      <c r="H1287" s="5">
        <v>-201859.91</v>
      </c>
      <c r="I1287" s="3" t="s">
        <v>18</v>
      </c>
      <c r="J1287" s="3" t="s">
        <v>14</v>
      </c>
      <c r="K1287" s="3" t="s">
        <v>14</v>
      </c>
      <c r="L1287" s="3" t="s">
        <v>379</v>
      </c>
      <c r="M1287" s="4">
        <v>46269</v>
      </c>
      <c r="N1287" s="3" t="s">
        <v>380</v>
      </c>
      <c r="O1287" s="3" t="s">
        <v>23</v>
      </c>
      <c r="P1287" t="str">
        <f t="shared" si="20"/>
        <v>450013765340</v>
      </c>
      <c r="Q1287" s="7" cm="1">
        <f t="array" ref="Q1287:S1287">VLOOKUP(P1287,Hoja1!C:F,{2,3,4},FALSE)</f>
        <v>46248</v>
      </c>
      <c r="R1287" t="str">
        <v>C08</v>
      </c>
      <c r="S1287" t="str">
        <v>1000000134 SIPAR ACEROS S.A.</v>
      </c>
    </row>
    <row r="1288" spans="1:19" x14ac:dyDescent="0.3">
      <c r="A1288" s="2" t="s">
        <v>14</v>
      </c>
      <c r="B1288" s="3" t="s">
        <v>14</v>
      </c>
      <c r="C1288" s="3" t="s">
        <v>1223</v>
      </c>
      <c r="D1288" s="3" t="s">
        <v>84</v>
      </c>
      <c r="E1288" s="3" t="s">
        <v>466</v>
      </c>
      <c r="F1288" s="4">
        <v>46269</v>
      </c>
      <c r="G1288" s="3" t="s">
        <v>17</v>
      </c>
      <c r="H1288" s="5">
        <v>-965453.46</v>
      </c>
      <c r="I1288" s="3" t="s">
        <v>18</v>
      </c>
      <c r="J1288" s="3" t="s">
        <v>14</v>
      </c>
      <c r="K1288" s="3" t="s">
        <v>14</v>
      </c>
      <c r="L1288" s="3" t="s">
        <v>412</v>
      </c>
      <c r="M1288" s="4">
        <v>46269</v>
      </c>
      <c r="N1288" s="3" t="s">
        <v>1125</v>
      </c>
      <c r="O1288" s="3" t="s">
        <v>45</v>
      </c>
      <c r="P1288" t="str">
        <f t="shared" si="20"/>
        <v>4500136726100</v>
      </c>
      <c r="Q1288" s="7" cm="1">
        <f t="array" ref="Q1288:S1288">VLOOKUP(P1288,Hoja1!C:F,{2,3,4},FALSE)</f>
        <v>46261</v>
      </c>
      <c r="R1288" t="str">
        <v>C11</v>
      </c>
      <c r="S1288" t="str">
        <v>1000000093 ELECTRICIDAD SERRA S.R.L.</v>
      </c>
    </row>
    <row r="1289" spans="1:19" x14ac:dyDescent="0.3">
      <c r="A1289" s="2" t="s">
        <v>14</v>
      </c>
      <c r="B1289" s="3" t="s">
        <v>14</v>
      </c>
      <c r="C1289" s="3" t="s">
        <v>1224</v>
      </c>
      <c r="D1289" s="3" t="s">
        <v>14</v>
      </c>
      <c r="E1289" s="3" t="s">
        <v>466</v>
      </c>
      <c r="F1289" s="4">
        <v>46265</v>
      </c>
      <c r="G1289" s="3" t="s">
        <v>17</v>
      </c>
      <c r="H1289" s="5">
        <v>-1866625.32</v>
      </c>
      <c r="I1289" s="3" t="s">
        <v>18</v>
      </c>
      <c r="J1289" s="3" t="s">
        <v>14</v>
      </c>
      <c r="K1289" s="3" t="s">
        <v>14</v>
      </c>
      <c r="L1289" s="3" t="s">
        <v>340</v>
      </c>
      <c r="M1289" s="4">
        <v>46269</v>
      </c>
      <c r="N1289" s="3" t="s">
        <v>404</v>
      </c>
      <c r="O1289" s="3" t="s">
        <v>137</v>
      </c>
      <c r="P1289" t="str">
        <f t="shared" si="20"/>
        <v>4500136768230</v>
      </c>
      <c r="Q1289" s="7" cm="1">
        <f t="array" ref="Q1289:S1289">VLOOKUP(P1289,Hoja1!C:F,{2,3,4},FALSE)</f>
        <v>46283</v>
      </c>
      <c r="R1289" t="str">
        <v>C03</v>
      </c>
      <c r="S1289" t="str">
        <v>1000000062 FINNING ARGENTINA S.A.</v>
      </c>
    </row>
    <row r="1290" spans="1:19" x14ac:dyDescent="0.3">
      <c r="A1290" s="2" t="s">
        <v>14</v>
      </c>
      <c r="B1290" s="3" t="s">
        <v>14</v>
      </c>
      <c r="C1290" s="3" t="s">
        <v>1225</v>
      </c>
      <c r="D1290" s="3" t="s">
        <v>14</v>
      </c>
      <c r="E1290" s="3" t="s">
        <v>466</v>
      </c>
      <c r="F1290" s="4">
        <v>46269</v>
      </c>
      <c r="G1290" s="3" t="s">
        <v>17</v>
      </c>
      <c r="H1290" s="5">
        <v>-4420.29</v>
      </c>
      <c r="I1290" s="3" t="s">
        <v>18</v>
      </c>
      <c r="J1290" s="3" t="s">
        <v>14</v>
      </c>
      <c r="K1290" s="3" t="s">
        <v>14</v>
      </c>
      <c r="L1290" s="3" t="s">
        <v>117</v>
      </c>
      <c r="M1290" s="4">
        <v>46269</v>
      </c>
      <c r="N1290" s="3" t="s">
        <v>1216</v>
      </c>
      <c r="O1290" s="3" t="s">
        <v>143</v>
      </c>
      <c r="P1290" t="str">
        <f t="shared" si="20"/>
        <v>4500134641240</v>
      </c>
      <c r="Q1290" s="7" cm="1">
        <f t="array" ref="Q1290:S1290">VLOOKUP(P1290,Hoja1!C:F,{2,3,4},FALSE)</f>
        <v>46290</v>
      </c>
      <c r="R1290" t="str">
        <v>C03</v>
      </c>
      <c r="S1290" t="str">
        <v>1000001129 AGRONORTE S.R.L.</v>
      </c>
    </row>
    <row r="1291" spans="1:19" x14ac:dyDescent="0.3">
      <c r="A1291" s="2" t="s">
        <v>14</v>
      </c>
      <c r="B1291" s="3" t="s">
        <v>14</v>
      </c>
      <c r="C1291" s="3" t="s">
        <v>1226</v>
      </c>
      <c r="D1291" s="3" t="s">
        <v>14</v>
      </c>
      <c r="E1291" s="3" t="s">
        <v>466</v>
      </c>
      <c r="F1291" s="4">
        <v>46269</v>
      </c>
      <c r="G1291" s="3" t="s">
        <v>17</v>
      </c>
      <c r="H1291" s="5">
        <v>-27941.759999999998</v>
      </c>
      <c r="I1291" s="3" t="s">
        <v>18</v>
      </c>
      <c r="J1291" s="3" t="s">
        <v>14</v>
      </c>
      <c r="K1291" s="3" t="s">
        <v>14</v>
      </c>
      <c r="L1291" s="3" t="s">
        <v>47</v>
      </c>
      <c r="M1291" s="4">
        <v>46269</v>
      </c>
      <c r="N1291" s="3" t="s">
        <v>1227</v>
      </c>
      <c r="O1291" s="3" t="s">
        <v>30</v>
      </c>
      <c r="P1291" t="str">
        <f t="shared" si="20"/>
        <v>450013774510</v>
      </c>
      <c r="Q1291" s="7" cm="1">
        <f t="array" ref="Q1291:S1291">VLOOKUP(P1291,Hoja1!C:F,{2,3,4},FALSE)</f>
        <v>46270</v>
      </c>
      <c r="R1291" t="str">
        <v>EFO</v>
      </c>
      <c r="S1291" t="str">
        <v>1000000010 GASES ROSARIO S.R.L.</v>
      </c>
    </row>
    <row r="1292" spans="1:19" x14ac:dyDescent="0.3">
      <c r="A1292" s="2" t="s">
        <v>14</v>
      </c>
      <c r="B1292" s="3" t="s">
        <v>14</v>
      </c>
      <c r="C1292" s="3" t="s">
        <v>1228</v>
      </c>
      <c r="D1292" s="3" t="s">
        <v>14</v>
      </c>
      <c r="E1292" s="3" t="s">
        <v>466</v>
      </c>
      <c r="F1292" s="4">
        <v>46269</v>
      </c>
      <c r="G1292" s="3" t="s">
        <v>17</v>
      </c>
      <c r="H1292" s="5">
        <v>-541260</v>
      </c>
      <c r="I1292" s="3" t="s">
        <v>18</v>
      </c>
      <c r="J1292" s="3" t="s">
        <v>14</v>
      </c>
      <c r="K1292" s="3" t="s">
        <v>14</v>
      </c>
      <c r="L1292" s="3" t="s">
        <v>690</v>
      </c>
      <c r="M1292" s="4">
        <v>46269</v>
      </c>
      <c r="N1292" s="3" t="s">
        <v>1229</v>
      </c>
      <c r="O1292" s="3" t="s">
        <v>30</v>
      </c>
      <c r="P1292" t="str">
        <f t="shared" si="20"/>
        <v>450013753810</v>
      </c>
      <c r="Q1292" s="7" cm="1">
        <f t="array" ref="Q1292:S1292">VLOOKUP(P1292,Hoja1!C:F,{2,3,4},FALSE)</f>
        <v>46272</v>
      </c>
      <c r="R1292" t="str">
        <v>377</v>
      </c>
      <c r="S1292" t="str">
        <v>1000000669 PROSEIND SA</v>
      </c>
    </row>
    <row r="1293" spans="1:19" x14ac:dyDescent="0.3">
      <c r="A1293" s="2" t="s">
        <v>14</v>
      </c>
      <c r="B1293" s="3" t="s">
        <v>14</v>
      </c>
      <c r="C1293" s="3" t="s">
        <v>1228</v>
      </c>
      <c r="D1293" s="3" t="s">
        <v>14</v>
      </c>
      <c r="E1293" s="3" t="s">
        <v>466</v>
      </c>
      <c r="F1293" s="4">
        <v>46269</v>
      </c>
      <c r="G1293" s="3" t="s">
        <v>17</v>
      </c>
      <c r="H1293" s="5">
        <v>-541260</v>
      </c>
      <c r="I1293" s="3" t="s">
        <v>18</v>
      </c>
      <c r="J1293" s="3" t="s">
        <v>14</v>
      </c>
      <c r="K1293" s="3" t="s">
        <v>14</v>
      </c>
      <c r="L1293" s="3" t="s">
        <v>690</v>
      </c>
      <c r="M1293" s="4">
        <v>46269</v>
      </c>
      <c r="N1293" s="3" t="s">
        <v>1229</v>
      </c>
      <c r="O1293" s="3" t="s">
        <v>22</v>
      </c>
      <c r="P1293" t="str">
        <f t="shared" si="20"/>
        <v>450013753820</v>
      </c>
      <c r="Q1293" s="7" cm="1">
        <f t="array" ref="Q1293:S1293">VLOOKUP(P1293,Hoja1!C:F,{2,3,4},FALSE)</f>
        <v>46272</v>
      </c>
      <c r="R1293" t="str">
        <v>377</v>
      </c>
      <c r="S1293" t="str">
        <v>1000000669 PROSEIND SA</v>
      </c>
    </row>
    <row r="1294" spans="1:19" x14ac:dyDescent="0.3">
      <c r="A1294" s="2" t="s">
        <v>14</v>
      </c>
      <c r="B1294" s="3" t="s">
        <v>14</v>
      </c>
      <c r="C1294" s="3" t="s">
        <v>1228</v>
      </c>
      <c r="D1294" s="3" t="s">
        <v>14</v>
      </c>
      <c r="E1294" s="3" t="s">
        <v>466</v>
      </c>
      <c r="F1294" s="4">
        <v>46269</v>
      </c>
      <c r="G1294" s="3" t="s">
        <v>17</v>
      </c>
      <c r="H1294" s="5">
        <v>-541260</v>
      </c>
      <c r="I1294" s="3" t="s">
        <v>18</v>
      </c>
      <c r="J1294" s="3" t="s">
        <v>14</v>
      </c>
      <c r="K1294" s="3" t="s">
        <v>14</v>
      </c>
      <c r="L1294" s="3" t="s">
        <v>690</v>
      </c>
      <c r="M1294" s="4">
        <v>46269</v>
      </c>
      <c r="N1294" s="3" t="s">
        <v>1229</v>
      </c>
      <c r="O1294" s="3" t="s">
        <v>35</v>
      </c>
      <c r="P1294" t="str">
        <f t="shared" si="20"/>
        <v>450013753830</v>
      </c>
      <c r="Q1294" s="7" cm="1">
        <f t="array" ref="Q1294:S1294">VLOOKUP(P1294,Hoja1!C:F,{2,3,4},FALSE)</f>
        <v>46272</v>
      </c>
      <c r="R1294" t="str">
        <v>377</v>
      </c>
      <c r="S1294" t="str">
        <v>1000000669 PROSEIND SA</v>
      </c>
    </row>
    <row r="1295" spans="1:19" x14ac:dyDescent="0.3">
      <c r="A1295" s="2" t="s">
        <v>14</v>
      </c>
      <c r="B1295" s="3" t="s">
        <v>14</v>
      </c>
      <c r="C1295" s="3" t="s">
        <v>1228</v>
      </c>
      <c r="D1295" s="3" t="s">
        <v>14</v>
      </c>
      <c r="E1295" s="3" t="s">
        <v>466</v>
      </c>
      <c r="F1295" s="4">
        <v>46269</v>
      </c>
      <c r="G1295" s="3" t="s">
        <v>17</v>
      </c>
      <c r="H1295" s="5">
        <v>-541260</v>
      </c>
      <c r="I1295" s="3" t="s">
        <v>18</v>
      </c>
      <c r="J1295" s="3" t="s">
        <v>14</v>
      </c>
      <c r="K1295" s="3" t="s">
        <v>14</v>
      </c>
      <c r="L1295" s="3" t="s">
        <v>690</v>
      </c>
      <c r="M1295" s="4">
        <v>46269</v>
      </c>
      <c r="N1295" s="3" t="s">
        <v>1229</v>
      </c>
      <c r="O1295" s="3" t="s">
        <v>23</v>
      </c>
      <c r="P1295" t="str">
        <f t="shared" si="20"/>
        <v>450013753840</v>
      </c>
      <c r="Q1295" s="7" cm="1">
        <f t="array" ref="Q1295:S1295">VLOOKUP(P1295,Hoja1!C:F,{2,3,4},FALSE)</f>
        <v>46272</v>
      </c>
      <c r="R1295" t="str">
        <v>377</v>
      </c>
      <c r="S1295" t="str">
        <v>1000000669 PROSEIND SA</v>
      </c>
    </row>
    <row r="1296" spans="1:19" x14ac:dyDescent="0.3">
      <c r="A1296" s="2" t="s">
        <v>14</v>
      </c>
      <c r="B1296" s="3" t="s">
        <v>14</v>
      </c>
      <c r="C1296" s="3" t="s">
        <v>1228</v>
      </c>
      <c r="D1296" s="3" t="s">
        <v>14</v>
      </c>
      <c r="E1296" s="3" t="s">
        <v>466</v>
      </c>
      <c r="F1296" s="4">
        <v>46269</v>
      </c>
      <c r="G1296" s="3" t="s">
        <v>17</v>
      </c>
      <c r="H1296" s="5">
        <v>-541260</v>
      </c>
      <c r="I1296" s="3" t="s">
        <v>18</v>
      </c>
      <c r="J1296" s="3" t="s">
        <v>14</v>
      </c>
      <c r="K1296" s="3" t="s">
        <v>14</v>
      </c>
      <c r="L1296" s="3" t="s">
        <v>690</v>
      </c>
      <c r="M1296" s="4">
        <v>46269</v>
      </c>
      <c r="N1296" s="3" t="s">
        <v>1229</v>
      </c>
      <c r="O1296" s="3" t="s">
        <v>144</v>
      </c>
      <c r="P1296" t="str">
        <f t="shared" si="20"/>
        <v>450013753850</v>
      </c>
      <c r="Q1296" s="7" cm="1">
        <f t="array" ref="Q1296:S1296">VLOOKUP(P1296,Hoja1!C:F,{2,3,4},FALSE)</f>
        <v>46272</v>
      </c>
      <c r="R1296" t="str">
        <v>377</v>
      </c>
      <c r="S1296" t="str">
        <v>1000000669 PROSEIND SA</v>
      </c>
    </row>
    <row r="1297" spans="1:19" x14ac:dyDescent="0.3">
      <c r="A1297" s="2" t="s">
        <v>14</v>
      </c>
      <c r="B1297" s="3" t="s">
        <v>14</v>
      </c>
      <c r="C1297" s="3" t="s">
        <v>1230</v>
      </c>
      <c r="D1297" s="3" t="s">
        <v>192</v>
      </c>
      <c r="E1297" s="3" t="s">
        <v>466</v>
      </c>
      <c r="F1297" s="4">
        <v>46272</v>
      </c>
      <c r="G1297" s="3" t="s">
        <v>17</v>
      </c>
      <c r="H1297" s="5">
        <v>-91272.73</v>
      </c>
      <c r="I1297" s="3" t="s">
        <v>18</v>
      </c>
      <c r="J1297" s="3" t="s">
        <v>14</v>
      </c>
      <c r="K1297" s="3" t="s">
        <v>14</v>
      </c>
      <c r="L1297" s="3" t="s">
        <v>1231</v>
      </c>
      <c r="M1297" s="4">
        <v>46272</v>
      </c>
      <c r="N1297" s="3" t="s">
        <v>1232</v>
      </c>
      <c r="O1297" s="3" t="s">
        <v>30</v>
      </c>
      <c r="P1297" t="str">
        <f t="shared" si="20"/>
        <v>450012486510</v>
      </c>
      <c r="Q1297" s="7" cm="1">
        <f t="array" ref="Q1297:S1297">VLOOKUP(P1297,Hoja1!C:F,{2,3,4},FALSE)</f>
        <v>46501</v>
      </c>
      <c r="R1297" t="str">
        <v>C25</v>
      </c>
      <c r="S1297" t="str">
        <v>1000003358 DIRECTV ARGENTINA S.A.</v>
      </c>
    </row>
    <row r="1298" spans="1:19" x14ac:dyDescent="0.3">
      <c r="A1298" s="2" t="s">
        <v>14</v>
      </c>
      <c r="B1298" s="3" t="s">
        <v>14</v>
      </c>
      <c r="C1298" s="3" t="s">
        <v>1233</v>
      </c>
      <c r="D1298" s="3" t="s">
        <v>14</v>
      </c>
      <c r="E1298" s="3" t="s">
        <v>466</v>
      </c>
      <c r="F1298" s="4">
        <v>46269</v>
      </c>
      <c r="G1298" s="3" t="s">
        <v>17</v>
      </c>
      <c r="H1298" s="5">
        <v>-3401859</v>
      </c>
      <c r="I1298" s="3" t="s">
        <v>18</v>
      </c>
      <c r="J1298" s="3" t="s">
        <v>14</v>
      </c>
      <c r="K1298" s="3" t="s">
        <v>14</v>
      </c>
      <c r="L1298" s="3" t="s">
        <v>73</v>
      </c>
      <c r="M1298" s="4">
        <v>46269</v>
      </c>
      <c r="N1298" s="3" t="s">
        <v>100</v>
      </c>
      <c r="O1298" s="3" t="s">
        <v>30</v>
      </c>
      <c r="P1298" t="str">
        <f t="shared" si="20"/>
        <v>450013599510</v>
      </c>
      <c r="Q1298" s="7" cm="1">
        <f t="array" ref="Q1298:S1298">VLOOKUP(P1298,Hoja1!C:F,{2,3,4},FALSE)</f>
        <v>46295</v>
      </c>
      <c r="R1298" t="str">
        <v>C21</v>
      </c>
      <c r="S1298" t="str">
        <v>1000000808 GLOBAL OIL S.R.L.</v>
      </c>
    </row>
    <row r="1299" spans="1:19" x14ac:dyDescent="0.3">
      <c r="A1299" s="2" t="s">
        <v>14</v>
      </c>
      <c r="B1299" s="3" t="s">
        <v>14</v>
      </c>
      <c r="C1299" s="3" t="s">
        <v>1233</v>
      </c>
      <c r="D1299" s="3" t="s">
        <v>14</v>
      </c>
      <c r="E1299" s="3" t="s">
        <v>466</v>
      </c>
      <c r="F1299" s="4">
        <v>46269</v>
      </c>
      <c r="G1299" s="3" t="s">
        <v>17</v>
      </c>
      <c r="H1299" s="5">
        <v>-334451.07</v>
      </c>
      <c r="I1299" s="3" t="s">
        <v>18</v>
      </c>
      <c r="J1299" s="3" t="s">
        <v>14</v>
      </c>
      <c r="K1299" s="3" t="s">
        <v>14</v>
      </c>
      <c r="L1299" s="3" t="s">
        <v>73</v>
      </c>
      <c r="M1299" s="4">
        <v>46269</v>
      </c>
      <c r="N1299" s="3" t="s">
        <v>100</v>
      </c>
      <c r="O1299" s="3" t="s">
        <v>30</v>
      </c>
      <c r="P1299" t="str">
        <f t="shared" si="20"/>
        <v>450013599510</v>
      </c>
      <c r="Q1299" s="7" cm="1">
        <f t="array" ref="Q1299:S1299">VLOOKUP(P1299,Hoja1!C:F,{2,3,4},FALSE)</f>
        <v>46295</v>
      </c>
      <c r="R1299" t="str">
        <v>C21</v>
      </c>
      <c r="S1299" t="str">
        <v>1000000808 GLOBAL OIL S.R.L.</v>
      </c>
    </row>
    <row r="1300" spans="1:19" x14ac:dyDescent="0.3">
      <c r="A1300" s="2" t="s">
        <v>14</v>
      </c>
      <c r="B1300" s="3" t="s">
        <v>14</v>
      </c>
      <c r="C1300" s="3" t="s">
        <v>1233</v>
      </c>
      <c r="D1300" s="3" t="s">
        <v>14</v>
      </c>
      <c r="E1300" s="3" t="s">
        <v>466</v>
      </c>
      <c r="F1300" s="4">
        <v>46269</v>
      </c>
      <c r="G1300" s="3" t="s">
        <v>17</v>
      </c>
      <c r="H1300" s="5">
        <v>-70388.649999999994</v>
      </c>
      <c r="I1300" s="3" t="s">
        <v>18</v>
      </c>
      <c r="J1300" s="3" t="s">
        <v>14</v>
      </c>
      <c r="K1300" s="3" t="s">
        <v>14</v>
      </c>
      <c r="L1300" s="3" t="s">
        <v>73</v>
      </c>
      <c r="M1300" s="4">
        <v>46269</v>
      </c>
      <c r="N1300" s="3" t="s">
        <v>100</v>
      </c>
      <c r="O1300" s="3" t="s">
        <v>30</v>
      </c>
      <c r="P1300" t="str">
        <f t="shared" si="20"/>
        <v>450013599510</v>
      </c>
      <c r="Q1300" s="7" cm="1">
        <f t="array" ref="Q1300:S1300">VLOOKUP(P1300,Hoja1!C:F,{2,3,4},FALSE)</f>
        <v>46295</v>
      </c>
      <c r="R1300" t="str">
        <v>C21</v>
      </c>
      <c r="S1300" t="str">
        <v>1000000808 GLOBAL OIL S.R.L.</v>
      </c>
    </row>
    <row r="1301" spans="1:19" x14ac:dyDescent="0.3">
      <c r="A1301" s="2" t="s">
        <v>14</v>
      </c>
      <c r="B1301" s="3" t="s">
        <v>14</v>
      </c>
      <c r="C1301" s="3" t="s">
        <v>1234</v>
      </c>
      <c r="D1301" s="3" t="s">
        <v>14</v>
      </c>
      <c r="E1301" s="3" t="s">
        <v>466</v>
      </c>
      <c r="F1301" s="4">
        <v>46267</v>
      </c>
      <c r="G1301" s="3" t="s">
        <v>17</v>
      </c>
      <c r="H1301" s="5">
        <v>-27016.79</v>
      </c>
      <c r="I1301" s="3" t="s">
        <v>18</v>
      </c>
      <c r="J1301" s="3" t="s">
        <v>14</v>
      </c>
      <c r="K1301" s="3" t="s">
        <v>14</v>
      </c>
      <c r="L1301" s="3" t="s">
        <v>73</v>
      </c>
      <c r="M1301" s="4">
        <v>46267</v>
      </c>
      <c r="N1301" s="3" t="s">
        <v>338</v>
      </c>
      <c r="O1301" s="3" t="s">
        <v>22</v>
      </c>
      <c r="P1301" t="str">
        <f t="shared" si="20"/>
        <v>450013315420</v>
      </c>
      <c r="Q1301" s="7" cm="1">
        <f t="array" ref="Q1301:S1301">VLOOKUP(P1301,Hoja1!C:F,{2,3,4},FALSE)</f>
        <v>46326</v>
      </c>
      <c r="R1301" t="str">
        <v>C21</v>
      </c>
      <c r="S1301" t="str">
        <v>1000000808 GLOBAL OIL S.R.L.</v>
      </c>
    </row>
    <row r="1302" spans="1:19" x14ac:dyDescent="0.3">
      <c r="A1302" s="2" t="s">
        <v>14</v>
      </c>
      <c r="B1302" s="3" t="s">
        <v>14</v>
      </c>
      <c r="C1302" s="3" t="s">
        <v>1234</v>
      </c>
      <c r="D1302" s="3" t="s">
        <v>14</v>
      </c>
      <c r="E1302" s="3" t="s">
        <v>466</v>
      </c>
      <c r="F1302" s="4">
        <v>46267</v>
      </c>
      <c r="G1302" s="3" t="s">
        <v>17</v>
      </c>
      <c r="H1302" s="5">
        <v>-369.39</v>
      </c>
      <c r="I1302" s="3" t="s">
        <v>18</v>
      </c>
      <c r="J1302" s="3" t="s">
        <v>14</v>
      </c>
      <c r="K1302" s="3" t="s">
        <v>14</v>
      </c>
      <c r="L1302" s="3" t="s">
        <v>73</v>
      </c>
      <c r="M1302" s="4">
        <v>46267</v>
      </c>
      <c r="N1302" s="3" t="s">
        <v>338</v>
      </c>
      <c r="O1302" s="3" t="s">
        <v>22</v>
      </c>
      <c r="P1302" t="str">
        <f t="shared" si="20"/>
        <v>450013315420</v>
      </c>
      <c r="Q1302" s="7" cm="1">
        <f t="array" ref="Q1302:S1302">VLOOKUP(P1302,Hoja1!C:F,{2,3,4},FALSE)</f>
        <v>46326</v>
      </c>
      <c r="R1302" t="str">
        <v>C21</v>
      </c>
      <c r="S1302" t="str">
        <v>1000000808 GLOBAL OIL S.R.L.</v>
      </c>
    </row>
    <row r="1303" spans="1:19" x14ac:dyDescent="0.3">
      <c r="A1303" s="2" t="s">
        <v>14</v>
      </c>
      <c r="B1303" s="3" t="s">
        <v>14</v>
      </c>
      <c r="C1303" s="3" t="s">
        <v>1235</v>
      </c>
      <c r="D1303" s="3" t="s">
        <v>14</v>
      </c>
      <c r="E1303" s="3" t="s">
        <v>466</v>
      </c>
      <c r="F1303" s="4">
        <v>46268</v>
      </c>
      <c r="G1303" s="3" t="s">
        <v>17</v>
      </c>
      <c r="H1303" s="5">
        <v>-77013.36</v>
      </c>
      <c r="I1303" s="3" t="s">
        <v>18</v>
      </c>
      <c r="J1303" s="3" t="s">
        <v>14</v>
      </c>
      <c r="K1303" s="3" t="s">
        <v>14</v>
      </c>
      <c r="L1303" s="3" t="s">
        <v>73</v>
      </c>
      <c r="M1303" s="4">
        <v>46268</v>
      </c>
      <c r="N1303" s="3" t="s">
        <v>338</v>
      </c>
      <c r="O1303" s="3" t="s">
        <v>22</v>
      </c>
      <c r="P1303" t="str">
        <f t="shared" si="20"/>
        <v>450013315420</v>
      </c>
      <c r="Q1303" s="7" cm="1">
        <f t="array" ref="Q1303:S1303">VLOOKUP(P1303,Hoja1!C:F,{2,3,4},FALSE)</f>
        <v>46326</v>
      </c>
      <c r="R1303" t="str">
        <v>C21</v>
      </c>
      <c r="S1303" t="str">
        <v>1000000808 GLOBAL OIL S.R.L.</v>
      </c>
    </row>
    <row r="1304" spans="1:19" x14ac:dyDescent="0.3">
      <c r="A1304" s="2" t="s">
        <v>14</v>
      </c>
      <c r="B1304" s="3" t="s">
        <v>14</v>
      </c>
      <c r="C1304" s="3" t="s">
        <v>1235</v>
      </c>
      <c r="D1304" s="3" t="s">
        <v>14</v>
      </c>
      <c r="E1304" s="3" t="s">
        <v>466</v>
      </c>
      <c r="F1304" s="4">
        <v>46268</v>
      </c>
      <c r="G1304" s="3" t="s">
        <v>17</v>
      </c>
      <c r="H1304" s="5">
        <v>-1052.98</v>
      </c>
      <c r="I1304" s="3" t="s">
        <v>18</v>
      </c>
      <c r="J1304" s="3" t="s">
        <v>14</v>
      </c>
      <c r="K1304" s="3" t="s">
        <v>14</v>
      </c>
      <c r="L1304" s="3" t="s">
        <v>73</v>
      </c>
      <c r="M1304" s="4">
        <v>46268</v>
      </c>
      <c r="N1304" s="3" t="s">
        <v>338</v>
      </c>
      <c r="O1304" s="3" t="s">
        <v>22</v>
      </c>
      <c r="P1304" t="str">
        <f t="shared" si="20"/>
        <v>450013315420</v>
      </c>
      <c r="Q1304" s="7" cm="1">
        <f t="array" ref="Q1304:S1304">VLOOKUP(P1304,Hoja1!C:F,{2,3,4},FALSE)</f>
        <v>46326</v>
      </c>
      <c r="R1304" t="str">
        <v>C21</v>
      </c>
      <c r="S1304" t="str">
        <v>1000000808 GLOBAL OIL S.R.L.</v>
      </c>
    </row>
    <row r="1305" spans="1:19" x14ac:dyDescent="0.3">
      <c r="A1305" s="2" t="s">
        <v>14</v>
      </c>
      <c r="B1305" s="3" t="s">
        <v>14</v>
      </c>
      <c r="C1305" s="3" t="s">
        <v>1236</v>
      </c>
      <c r="D1305" s="3" t="s">
        <v>14</v>
      </c>
      <c r="E1305" s="3" t="s">
        <v>466</v>
      </c>
      <c r="F1305" s="4">
        <v>46260</v>
      </c>
      <c r="G1305" s="3" t="s">
        <v>17</v>
      </c>
      <c r="H1305" s="5">
        <v>-51600.75</v>
      </c>
      <c r="I1305" s="3" t="s">
        <v>18</v>
      </c>
      <c r="J1305" s="3" t="s">
        <v>14</v>
      </c>
      <c r="K1305" s="3" t="s">
        <v>14</v>
      </c>
      <c r="L1305" s="3" t="s">
        <v>73</v>
      </c>
      <c r="M1305" s="4">
        <v>46260</v>
      </c>
      <c r="N1305" s="3" t="s">
        <v>338</v>
      </c>
      <c r="O1305" s="3" t="s">
        <v>22</v>
      </c>
      <c r="P1305" t="str">
        <f t="shared" si="20"/>
        <v>450013315420</v>
      </c>
      <c r="Q1305" s="7" cm="1">
        <f t="array" ref="Q1305:S1305">VLOOKUP(P1305,Hoja1!C:F,{2,3,4},FALSE)</f>
        <v>46326</v>
      </c>
      <c r="R1305" t="str">
        <v>C21</v>
      </c>
      <c r="S1305" t="str">
        <v>1000000808 GLOBAL OIL S.R.L.</v>
      </c>
    </row>
    <row r="1306" spans="1:19" x14ac:dyDescent="0.3">
      <c r="A1306" s="2" t="s">
        <v>14</v>
      </c>
      <c r="B1306" s="3" t="s">
        <v>14</v>
      </c>
      <c r="C1306" s="3" t="s">
        <v>1236</v>
      </c>
      <c r="D1306" s="3" t="s">
        <v>14</v>
      </c>
      <c r="E1306" s="3" t="s">
        <v>466</v>
      </c>
      <c r="F1306" s="4">
        <v>46260</v>
      </c>
      <c r="G1306" s="3" t="s">
        <v>17</v>
      </c>
      <c r="H1306" s="5">
        <v>-705.52</v>
      </c>
      <c r="I1306" s="3" t="s">
        <v>18</v>
      </c>
      <c r="J1306" s="3" t="s">
        <v>14</v>
      </c>
      <c r="K1306" s="3" t="s">
        <v>14</v>
      </c>
      <c r="L1306" s="3" t="s">
        <v>73</v>
      </c>
      <c r="M1306" s="4">
        <v>46260</v>
      </c>
      <c r="N1306" s="3" t="s">
        <v>338</v>
      </c>
      <c r="O1306" s="3" t="s">
        <v>22</v>
      </c>
      <c r="P1306" t="str">
        <f t="shared" si="20"/>
        <v>450013315420</v>
      </c>
      <c r="Q1306" s="7" cm="1">
        <f t="array" ref="Q1306:S1306">VLOOKUP(P1306,Hoja1!C:F,{2,3,4},FALSE)</f>
        <v>46326</v>
      </c>
      <c r="R1306" t="str">
        <v>C21</v>
      </c>
      <c r="S1306" t="str">
        <v>1000000808 GLOBAL OIL S.R.L.</v>
      </c>
    </row>
    <row r="1307" spans="1:19" x14ac:dyDescent="0.3">
      <c r="A1307" s="2" t="s">
        <v>14</v>
      </c>
      <c r="B1307" s="3" t="s">
        <v>14</v>
      </c>
      <c r="C1307" s="3" t="s">
        <v>1237</v>
      </c>
      <c r="D1307" s="3" t="s">
        <v>32</v>
      </c>
      <c r="E1307" s="3" t="s">
        <v>466</v>
      </c>
      <c r="F1307" s="4">
        <v>46272</v>
      </c>
      <c r="G1307" s="3" t="s">
        <v>17</v>
      </c>
      <c r="H1307" s="5">
        <v>-360840</v>
      </c>
      <c r="I1307" s="3" t="s">
        <v>18</v>
      </c>
      <c r="J1307" s="3" t="s">
        <v>14</v>
      </c>
      <c r="K1307" s="3" t="s">
        <v>14</v>
      </c>
      <c r="L1307" s="3" t="s">
        <v>1238</v>
      </c>
      <c r="M1307" s="4">
        <v>46272</v>
      </c>
      <c r="N1307" s="3" t="s">
        <v>1239</v>
      </c>
      <c r="O1307" s="3" t="s">
        <v>30</v>
      </c>
      <c r="P1307" t="str">
        <f t="shared" si="20"/>
        <v>450013711610</v>
      </c>
      <c r="Q1307" s="7" cm="1">
        <f t="array" ref="Q1307:S1307">VLOOKUP(P1307,Hoja1!C:F,{2,3,4},FALSE)</f>
        <v>46271</v>
      </c>
      <c r="R1307" t="str">
        <v>C03</v>
      </c>
      <c r="S1307" t="str">
        <v>1000000286 SULLAIR ARGENTINA S.A</v>
      </c>
    </row>
    <row r="1308" spans="1:19" x14ac:dyDescent="0.3">
      <c r="A1308" s="2" t="s">
        <v>14</v>
      </c>
      <c r="B1308" s="3" t="s">
        <v>14</v>
      </c>
      <c r="C1308" s="3" t="s">
        <v>1237</v>
      </c>
      <c r="D1308" s="3" t="s">
        <v>32</v>
      </c>
      <c r="E1308" s="3" t="s">
        <v>466</v>
      </c>
      <c r="F1308" s="4">
        <v>46272</v>
      </c>
      <c r="G1308" s="3" t="s">
        <v>17</v>
      </c>
      <c r="H1308" s="5">
        <v>-149147.20000000001</v>
      </c>
      <c r="I1308" s="3" t="s">
        <v>18</v>
      </c>
      <c r="J1308" s="3" t="s">
        <v>14</v>
      </c>
      <c r="K1308" s="3" t="s">
        <v>14</v>
      </c>
      <c r="L1308" s="3" t="s">
        <v>1238</v>
      </c>
      <c r="M1308" s="4">
        <v>46272</v>
      </c>
      <c r="N1308" s="3" t="s">
        <v>1239</v>
      </c>
      <c r="O1308" s="3" t="s">
        <v>22</v>
      </c>
      <c r="P1308" t="str">
        <f t="shared" si="20"/>
        <v>450013711620</v>
      </c>
      <c r="Q1308" s="7" cm="1">
        <f t="array" ref="Q1308:S1308">VLOOKUP(P1308,Hoja1!C:F,{2,3,4},FALSE)</f>
        <v>46271</v>
      </c>
      <c r="R1308" t="str">
        <v>C03</v>
      </c>
      <c r="S1308" t="str">
        <v>1000000286 SULLAIR ARGENTINA S.A</v>
      </c>
    </row>
    <row r="1309" spans="1:19" x14ac:dyDescent="0.3">
      <c r="A1309" s="2" t="s">
        <v>14</v>
      </c>
      <c r="B1309" s="3" t="s">
        <v>14</v>
      </c>
      <c r="C1309" s="3" t="s">
        <v>1240</v>
      </c>
      <c r="D1309" s="3" t="s">
        <v>14</v>
      </c>
      <c r="E1309" s="3" t="s">
        <v>466</v>
      </c>
      <c r="F1309" s="4">
        <v>46272</v>
      </c>
      <c r="G1309" s="3" t="s">
        <v>17</v>
      </c>
      <c r="H1309" s="5">
        <v>-4049052.99</v>
      </c>
      <c r="I1309" s="3" t="s">
        <v>18</v>
      </c>
      <c r="J1309" s="3" t="s">
        <v>14</v>
      </c>
      <c r="K1309" s="3" t="s">
        <v>14</v>
      </c>
      <c r="L1309" s="3" t="s">
        <v>73</v>
      </c>
      <c r="M1309" s="4">
        <v>46272</v>
      </c>
      <c r="N1309" s="3" t="s">
        <v>100</v>
      </c>
      <c r="O1309" s="3" t="s">
        <v>30</v>
      </c>
      <c r="P1309" t="str">
        <f t="shared" si="20"/>
        <v>450013599510</v>
      </c>
      <c r="Q1309" s="7" cm="1">
        <f t="array" ref="Q1309:S1309">VLOOKUP(P1309,Hoja1!C:F,{2,3,4},FALSE)</f>
        <v>46295</v>
      </c>
      <c r="R1309" t="str">
        <v>C21</v>
      </c>
      <c r="S1309" t="str">
        <v>1000000808 GLOBAL OIL S.R.L.</v>
      </c>
    </row>
    <row r="1310" spans="1:19" x14ac:dyDescent="0.3">
      <c r="A1310" s="2" t="s">
        <v>14</v>
      </c>
      <c r="B1310" s="3" t="s">
        <v>14</v>
      </c>
      <c r="C1310" s="3" t="s">
        <v>1240</v>
      </c>
      <c r="D1310" s="3" t="s">
        <v>14</v>
      </c>
      <c r="E1310" s="3" t="s">
        <v>466</v>
      </c>
      <c r="F1310" s="4">
        <v>46272</v>
      </c>
      <c r="G1310" s="3" t="s">
        <v>17</v>
      </c>
      <c r="H1310" s="5">
        <v>-398079.44</v>
      </c>
      <c r="I1310" s="3" t="s">
        <v>18</v>
      </c>
      <c r="J1310" s="3" t="s">
        <v>14</v>
      </c>
      <c r="K1310" s="3" t="s">
        <v>14</v>
      </c>
      <c r="L1310" s="3" t="s">
        <v>73</v>
      </c>
      <c r="M1310" s="4">
        <v>46272</v>
      </c>
      <c r="N1310" s="3" t="s">
        <v>100</v>
      </c>
      <c r="O1310" s="3" t="s">
        <v>30</v>
      </c>
      <c r="P1310" t="str">
        <f t="shared" si="20"/>
        <v>450013599510</v>
      </c>
      <c r="Q1310" s="7" cm="1">
        <f t="array" ref="Q1310:S1310">VLOOKUP(P1310,Hoja1!C:F,{2,3,4},FALSE)</f>
        <v>46295</v>
      </c>
      <c r="R1310" t="str">
        <v>C21</v>
      </c>
      <c r="S1310" t="str">
        <v>1000000808 GLOBAL OIL S.R.L.</v>
      </c>
    </row>
    <row r="1311" spans="1:19" x14ac:dyDescent="0.3">
      <c r="A1311" s="2" t="s">
        <v>14</v>
      </c>
      <c r="B1311" s="3" t="s">
        <v>14</v>
      </c>
      <c r="C1311" s="3" t="s">
        <v>1240</v>
      </c>
      <c r="D1311" s="3" t="s">
        <v>14</v>
      </c>
      <c r="E1311" s="3" t="s">
        <v>466</v>
      </c>
      <c r="F1311" s="4">
        <v>46272</v>
      </c>
      <c r="G1311" s="3" t="s">
        <v>17</v>
      </c>
      <c r="H1311" s="5">
        <v>-83779.89</v>
      </c>
      <c r="I1311" s="3" t="s">
        <v>18</v>
      </c>
      <c r="J1311" s="3" t="s">
        <v>14</v>
      </c>
      <c r="K1311" s="3" t="s">
        <v>14</v>
      </c>
      <c r="L1311" s="3" t="s">
        <v>73</v>
      </c>
      <c r="M1311" s="4">
        <v>46272</v>
      </c>
      <c r="N1311" s="3" t="s">
        <v>100</v>
      </c>
      <c r="O1311" s="3" t="s">
        <v>30</v>
      </c>
      <c r="P1311" t="str">
        <f t="shared" si="20"/>
        <v>450013599510</v>
      </c>
      <c r="Q1311" s="7" cm="1">
        <f t="array" ref="Q1311:S1311">VLOOKUP(P1311,Hoja1!C:F,{2,3,4},FALSE)</f>
        <v>46295</v>
      </c>
      <c r="R1311" t="str">
        <v>C21</v>
      </c>
      <c r="S1311" t="str">
        <v>1000000808 GLOBAL OIL S.R.L.</v>
      </c>
    </row>
    <row r="1312" spans="1:19" x14ac:dyDescent="0.3">
      <c r="A1312" s="2" t="s">
        <v>14</v>
      </c>
      <c r="B1312" s="3" t="s">
        <v>14</v>
      </c>
      <c r="C1312" s="3" t="s">
        <v>1241</v>
      </c>
      <c r="D1312" s="3" t="s">
        <v>32</v>
      </c>
      <c r="E1312" s="3" t="s">
        <v>466</v>
      </c>
      <c r="F1312" s="4">
        <v>46266</v>
      </c>
      <c r="G1312" s="3" t="s">
        <v>17</v>
      </c>
      <c r="H1312" s="5">
        <v>-2705125</v>
      </c>
      <c r="I1312" s="3" t="s">
        <v>18</v>
      </c>
      <c r="J1312" s="3" t="s">
        <v>14</v>
      </c>
      <c r="K1312" s="3" t="s">
        <v>14</v>
      </c>
      <c r="L1312" s="3" t="s">
        <v>1242</v>
      </c>
      <c r="M1312" s="4">
        <v>46266</v>
      </c>
      <c r="N1312" s="3" t="s">
        <v>1243</v>
      </c>
      <c r="O1312" s="3" t="s">
        <v>30</v>
      </c>
      <c r="P1312" t="str">
        <f t="shared" si="20"/>
        <v>450012249610</v>
      </c>
      <c r="Q1312" s="7" cm="1">
        <f t="array" ref="Q1312:S1312">VLOOKUP(P1312,Hoja1!C:F,{2,3,4},FALSE)</f>
        <v>46326</v>
      </c>
      <c r="R1312" t="str">
        <v>C18</v>
      </c>
      <c r="S1312" t="str">
        <v>1000000226 CONFLUENCIA HORMIGON</v>
      </c>
    </row>
    <row r="1313" spans="1:19" x14ac:dyDescent="0.3">
      <c r="A1313" s="2" t="s">
        <v>14</v>
      </c>
      <c r="B1313" s="3" t="s">
        <v>14</v>
      </c>
      <c r="C1313" s="3" t="s">
        <v>1244</v>
      </c>
      <c r="D1313" s="3" t="s">
        <v>32</v>
      </c>
      <c r="E1313" s="3" t="s">
        <v>466</v>
      </c>
      <c r="F1313" s="4">
        <v>46266</v>
      </c>
      <c r="G1313" s="3" t="s">
        <v>17</v>
      </c>
      <c r="H1313" s="5">
        <v>-280000</v>
      </c>
      <c r="I1313" s="3" t="s">
        <v>18</v>
      </c>
      <c r="J1313" s="3" t="s">
        <v>14</v>
      </c>
      <c r="K1313" s="3" t="s">
        <v>14</v>
      </c>
      <c r="L1313" s="3" t="s">
        <v>1242</v>
      </c>
      <c r="M1313" s="4">
        <v>46266</v>
      </c>
      <c r="N1313" s="3" t="s">
        <v>1245</v>
      </c>
      <c r="O1313" s="3" t="s">
        <v>30</v>
      </c>
      <c r="P1313" t="str">
        <f t="shared" si="20"/>
        <v>450012563110</v>
      </c>
      <c r="Q1313" s="7" cm="1">
        <f t="array" ref="Q1313:S1313">VLOOKUP(P1313,Hoja1!C:F,{2,3,4},FALSE)</f>
        <v>46325</v>
      </c>
      <c r="R1313" t="str">
        <v>C18</v>
      </c>
      <c r="S1313" t="str">
        <v>1000000226 CONFLUENCIA HORMIGON</v>
      </c>
    </row>
    <row r="1314" spans="1:19" x14ac:dyDescent="0.3">
      <c r="A1314" s="2" t="s">
        <v>14</v>
      </c>
      <c r="B1314" s="3" t="s">
        <v>14</v>
      </c>
      <c r="C1314" s="3" t="s">
        <v>1246</v>
      </c>
      <c r="D1314" s="3" t="s">
        <v>14</v>
      </c>
      <c r="E1314" s="3" t="s">
        <v>466</v>
      </c>
      <c r="F1314" s="4">
        <v>46272</v>
      </c>
      <c r="G1314" s="3" t="s">
        <v>17</v>
      </c>
      <c r="H1314" s="5">
        <v>-10977.48</v>
      </c>
      <c r="I1314" s="3" t="s">
        <v>18</v>
      </c>
      <c r="J1314" s="3" t="s">
        <v>14</v>
      </c>
      <c r="K1314" s="3" t="s">
        <v>14</v>
      </c>
      <c r="L1314" s="3" t="s">
        <v>1247</v>
      </c>
      <c r="M1314" s="4">
        <v>46272</v>
      </c>
      <c r="N1314" s="3" t="s">
        <v>1248</v>
      </c>
      <c r="O1314" s="3" t="s">
        <v>30</v>
      </c>
      <c r="P1314" t="str">
        <f t="shared" si="20"/>
        <v>450013468510</v>
      </c>
      <c r="Q1314" s="7" cm="1">
        <f t="array" ref="Q1314:S1314">VLOOKUP(P1314,Hoja1!C:F,{2,3,4},FALSE)</f>
        <v>46274</v>
      </c>
      <c r="R1314" t="str">
        <v>C42</v>
      </c>
      <c r="S1314" t="str">
        <v>1000000045 LA CASA DE FILTRO DE L.VENTURA</v>
      </c>
    </row>
    <row r="1315" spans="1:19" x14ac:dyDescent="0.3">
      <c r="A1315" s="2" t="s">
        <v>14</v>
      </c>
      <c r="B1315" s="3" t="s">
        <v>14</v>
      </c>
      <c r="C1315" s="3" t="s">
        <v>1249</v>
      </c>
      <c r="D1315" s="3" t="s">
        <v>14</v>
      </c>
      <c r="E1315" s="3" t="s">
        <v>466</v>
      </c>
      <c r="F1315" s="4">
        <v>46266</v>
      </c>
      <c r="G1315" s="3" t="s">
        <v>17</v>
      </c>
      <c r="H1315" s="5">
        <v>-876705.89</v>
      </c>
      <c r="I1315" s="3" t="s">
        <v>18</v>
      </c>
      <c r="J1315" s="3" t="s">
        <v>14</v>
      </c>
      <c r="K1315" s="3" t="s">
        <v>14</v>
      </c>
      <c r="L1315" s="3" t="s">
        <v>589</v>
      </c>
      <c r="M1315" s="4">
        <v>46272</v>
      </c>
      <c r="N1315" s="3" t="s">
        <v>590</v>
      </c>
      <c r="O1315" s="3" t="s">
        <v>142</v>
      </c>
      <c r="P1315" t="str">
        <f t="shared" si="20"/>
        <v>4500111808130</v>
      </c>
      <c r="Q1315" s="7" cm="1">
        <f t="array" ref="Q1315:S1315">VLOOKUP(P1315,Hoja1!C:F,{2,3,4},FALSE)</f>
        <v>46274</v>
      </c>
      <c r="R1315" t="str">
        <v>C03</v>
      </c>
      <c r="S1315" t="str">
        <v>1000001123 HAULOTTE ARGENTINA S.A.</v>
      </c>
    </row>
    <row r="1316" spans="1:19" x14ac:dyDescent="0.3">
      <c r="A1316" s="2" t="s">
        <v>14</v>
      </c>
      <c r="B1316" s="3" t="s">
        <v>14</v>
      </c>
      <c r="C1316" s="3" t="s">
        <v>1249</v>
      </c>
      <c r="D1316" s="3" t="s">
        <v>14</v>
      </c>
      <c r="E1316" s="3" t="s">
        <v>466</v>
      </c>
      <c r="F1316" s="4">
        <v>46266</v>
      </c>
      <c r="G1316" s="3" t="s">
        <v>17</v>
      </c>
      <c r="H1316" s="5">
        <v>-38955.69</v>
      </c>
      <c r="I1316" s="3" t="s">
        <v>18</v>
      </c>
      <c r="J1316" s="3" t="s">
        <v>14</v>
      </c>
      <c r="K1316" s="3" t="s">
        <v>14</v>
      </c>
      <c r="L1316" s="3" t="s">
        <v>589</v>
      </c>
      <c r="M1316" s="4">
        <v>46272</v>
      </c>
      <c r="N1316" s="3" t="s">
        <v>590</v>
      </c>
      <c r="O1316" s="3" t="s">
        <v>131</v>
      </c>
      <c r="P1316" t="str">
        <f t="shared" si="20"/>
        <v>4500111808140</v>
      </c>
      <c r="Q1316" s="7" cm="1">
        <f t="array" ref="Q1316:S1316">VLOOKUP(P1316,Hoja1!C:F,{2,3,4},FALSE)</f>
        <v>46274</v>
      </c>
      <c r="R1316" t="str">
        <v>C03</v>
      </c>
      <c r="S1316" t="str">
        <v>1000001123 HAULOTTE ARGENTINA S.A.</v>
      </c>
    </row>
    <row r="1317" spans="1:19" x14ac:dyDescent="0.3">
      <c r="A1317" s="2" t="s">
        <v>14</v>
      </c>
      <c r="B1317" s="3" t="s">
        <v>14</v>
      </c>
      <c r="C1317" s="3" t="s">
        <v>1249</v>
      </c>
      <c r="D1317" s="3" t="s">
        <v>14</v>
      </c>
      <c r="E1317" s="3" t="s">
        <v>466</v>
      </c>
      <c r="F1317" s="4">
        <v>46266</v>
      </c>
      <c r="G1317" s="3" t="s">
        <v>17</v>
      </c>
      <c r="H1317" s="5">
        <v>-1148433.44</v>
      </c>
      <c r="I1317" s="3" t="s">
        <v>18</v>
      </c>
      <c r="J1317" s="3" t="s">
        <v>14</v>
      </c>
      <c r="K1317" s="3" t="s">
        <v>14</v>
      </c>
      <c r="L1317" s="3" t="s">
        <v>589</v>
      </c>
      <c r="M1317" s="4">
        <v>46272</v>
      </c>
      <c r="N1317" s="3" t="s">
        <v>590</v>
      </c>
      <c r="O1317" s="3" t="s">
        <v>68</v>
      </c>
      <c r="P1317" t="str">
        <f t="shared" si="20"/>
        <v>4500111808150</v>
      </c>
      <c r="Q1317" s="7" cm="1">
        <f t="array" ref="Q1317:S1317">VLOOKUP(P1317,Hoja1!C:F,{2,3,4},FALSE)</f>
        <v>46274</v>
      </c>
      <c r="R1317" t="str">
        <v>C03</v>
      </c>
      <c r="S1317" t="str">
        <v>1000001123 HAULOTTE ARGENTINA S.A.</v>
      </c>
    </row>
    <row r="1318" spans="1:19" x14ac:dyDescent="0.3">
      <c r="A1318" s="2" t="s">
        <v>14</v>
      </c>
      <c r="B1318" s="3" t="s">
        <v>14</v>
      </c>
      <c r="C1318" s="3" t="s">
        <v>1249</v>
      </c>
      <c r="D1318" s="3" t="s">
        <v>14</v>
      </c>
      <c r="E1318" s="3" t="s">
        <v>466</v>
      </c>
      <c r="F1318" s="4">
        <v>46266</v>
      </c>
      <c r="G1318" s="3" t="s">
        <v>17</v>
      </c>
      <c r="H1318" s="5">
        <v>-3071951.2</v>
      </c>
      <c r="I1318" s="3" t="s">
        <v>18</v>
      </c>
      <c r="J1318" s="3" t="s">
        <v>14</v>
      </c>
      <c r="K1318" s="3" t="s">
        <v>14</v>
      </c>
      <c r="L1318" s="3" t="s">
        <v>589</v>
      </c>
      <c r="M1318" s="4">
        <v>46272</v>
      </c>
      <c r="N1318" s="3" t="s">
        <v>1250</v>
      </c>
      <c r="O1318" s="3" t="s">
        <v>30</v>
      </c>
      <c r="P1318" t="str">
        <f t="shared" si="20"/>
        <v>450011554610</v>
      </c>
      <c r="Q1318" s="7" cm="1">
        <f t="array" ref="Q1318:S1318">VLOOKUP(P1318,Hoja1!C:F,{2,3,4},FALSE)</f>
        <v>46273</v>
      </c>
      <c r="R1318" t="str">
        <v>C03</v>
      </c>
      <c r="S1318" t="str">
        <v>1000001123 HAULOTTE ARGENTINA S.A.</v>
      </c>
    </row>
    <row r="1319" spans="1:19" x14ac:dyDescent="0.3">
      <c r="A1319" s="2" t="s">
        <v>14</v>
      </c>
      <c r="B1319" s="3" t="s">
        <v>14</v>
      </c>
      <c r="C1319" s="3" t="s">
        <v>1249</v>
      </c>
      <c r="D1319" s="3" t="s">
        <v>14</v>
      </c>
      <c r="E1319" s="3" t="s">
        <v>466</v>
      </c>
      <c r="F1319" s="4">
        <v>46266</v>
      </c>
      <c r="G1319" s="3" t="s">
        <v>17</v>
      </c>
      <c r="H1319" s="5">
        <v>-2039422.58</v>
      </c>
      <c r="I1319" s="3" t="s">
        <v>18</v>
      </c>
      <c r="J1319" s="3" t="s">
        <v>14</v>
      </c>
      <c r="K1319" s="3" t="s">
        <v>14</v>
      </c>
      <c r="L1319" s="3" t="s">
        <v>589</v>
      </c>
      <c r="M1319" s="4">
        <v>46272</v>
      </c>
      <c r="N1319" s="3" t="s">
        <v>1251</v>
      </c>
      <c r="O1319" s="3" t="s">
        <v>22</v>
      </c>
      <c r="P1319" t="str">
        <f t="shared" si="20"/>
        <v>450011650820</v>
      </c>
      <c r="Q1319" s="7" cm="1">
        <f t="array" ref="Q1319:S1319">VLOOKUP(P1319,Hoja1!C:F,{2,3,4},FALSE)</f>
        <v>46273</v>
      </c>
      <c r="R1319" t="str">
        <v>C03</v>
      </c>
      <c r="S1319" t="str">
        <v>1000001123 HAULOTTE ARGENTINA S.A.</v>
      </c>
    </row>
    <row r="1320" spans="1:19" x14ac:dyDescent="0.3">
      <c r="A1320" s="2" t="s">
        <v>14</v>
      </c>
      <c r="B1320" s="3" t="s">
        <v>14</v>
      </c>
      <c r="C1320" s="3" t="s">
        <v>1249</v>
      </c>
      <c r="D1320" s="3" t="s">
        <v>14</v>
      </c>
      <c r="E1320" s="3" t="s">
        <v>466</v>
      </c>
      <c r="F1320" s="4">
        <v>46266</v>
      </c>
      <c r="G1320" s="3" t="s">
        <v>17</v>
      </c>
      <c r="H1320" s="5">
        <v>-902490.91</v>
      </c>
      <c r="I1320" s="3" t="s">
        <v>18</v>
      </c>
      <c r="J1320" s="3" t="s">
        <v>14</v>
      </c>
      <c r="K1320" s="3" t="s">
        <v>14</v>
      </c>
      <c r="L1320" s="3" t="s">
        <v>589</v>
      </c>
      <c r="M1320" s="4">
        <v>46272</v>
      </c>
      <c r="N1320" s="3" t="s">
        <v>1251</v>
      </c>
      <c r="O1320" s="3" t="s">
        <v>23</v>
      </c>
      <c r="P1320" t="str">
        <f t="shared" si="20"/>
        <v>450011650840</v>
      </c>
      <c r="Q1320" s="7" cm="1">
        <f t="array" ref="Q1320:S1320">VLOOKUP(P1320,Hoja1!C:F,{2,3,4},FALSE)</f>
        <v>46273</v>
      </c>
      <c r="R1320" t="str">
        <v>C03</v>
      </c>
      <c r="S1320" t="str">
        <v>1000001123 HAULOTTE ARGENTINA S.A.</v>
      </c>
    </row>
    <row r="1321" spans="1:19" x14ac:dyDescent="0.3">
      <c r="A1321" s="2" t="s">
        <v>14</v>
      </c>
      <c r="B1321" s="3" t="s">
        <v>14</v>
      </c>
      <c r="C1321" s="3" t="s">
        <v>1249</v>
      </c>
      <c r="D1321" s="3" t="s">
        <v>14</v>
      </c>
      <c r="E1321" s="3" t="s">
        <v>466</v>
      </c>
      <c r="F1321" s="4">
        <v>46266</v>
      </c>
      <c r="G1321" s="3" t="s">
        <v>17</v>
      </c>
      <c r="H1321" s="5">
        <v>-2039422.58</v>
      </c>
      <c r="I1321" s="3" t="s">
        <v>18</v>
      </c>
      <c r="J1321" s="3" t="s">
        <v>14</v>
      </c>
      <c r="K1321" s="3" t="s">
        <v>14</v>
      </c>
      <c r="L1321" s="3" t="s">
        <v>589</v>
      </c>
      <c r="M1321" s="4">
        <v>46272</v>
      </c>
      <c r="N1321" s="3" t="s">
        <v>1252</v>
      </c>
      <c r="O1321" s="3" t="s">
        <v>30</v>
      </c>
      <c r="P1321" t="str">
        <f t="shared" si="20"/>
        <v>450011681010</v>
      </c>
      <c r="Q1321" s="7" cm="1">
        <f t="array" ref="Q1321:S1321">VLOOKUP(P1321,Hoja1!C:F,{2,3,4},FALSE)</f>
        <v>46273</v>
      </c>
      <c r="R1321" t="str">
        <v>C03</v>
      </c>
      <c r="S1321" t="str">
        <v>1000001123 HAULOTTE ARGENTINA S.A.</v>
      </c>
    </row>
    <row r="1322" spans="1:19" x14ac:dyDescent="0.3">
      <c r="A1322" s="2" t="s">
        <v>14</v>
      </c>
      <c r="B1322" s="3" t="s">
        <v>14</v>
      </c>
      <c r="C1322" s="3" t="s">
        <v>1249</v>
      </c>
      <c r="D1322" s="3" t="s">
        <v>14</v>
      </c>
      <c r="E1322" s="3" t="s">
        <v>466</v>
      </c>
      <c r="F1322" s="4">
        <v>46266</v>
      </c>
      <c r="G1322" s="3" t="s">
        <v>17</v>
      </c>
      <c r="H1322" s="5">
        <v>-229238.65</v>
      </c>
      <c r="I1322" s="3" t="s">
        <v>18</v>
      </c>
      <c r="J1322" s="3" t="s">
        <v>14</v>
      </c>
      <c r="K1322" s="3" t="s">
        <v>14</v>
      </c>
      <c r="L1322" s="3" t="s">
        <v>589</v>
      </c>
      <c r="M1322" s="4">
        <v>46272</v>
      </c>
      <c r="N1322" s="3" t="s">
        <v>1253</v>
      </c>
      <c r="O1322" s="3" t="s">
        <v>30</v>
      </c>
      <c r="P1322" t="str">
        <f t="shared" si="20"/>
        <v>450012638210</v>
      </c>
      <c r="Q1322" s="7" cm="1">
        <f t="array" ref="Q1322:S1322">VLOOKUP(P1322,Hoja1!C:F,{2,3,4},FALSE)</f>
        <v>46273</v>
      </c>
      <c r="R1322" t="str">
        <v>C03</v>
      </c>
      <c r="S1322" t="str">
        <v>1000001123 HAULOTTE ARGENTINA S.A.</v>
      </c>
    </row>
    <row r="1323" spans="1:19" x14ac:dyDescent="0.3">
      <c r="A1323" s="2" t="s">
        <v>14</v>
      </c>
      <c r="B1323" s="3" t="s">
        <v>14</v>
      </c>
      <c r="C1323" s="3" t="s">
        <v>1254</v>
      </c>
      <c r="D1323" s="3" t="s">
        <v>14</v>
      </c>
      <c r="E1323" s="3" t="s">
        <v>466</v>
      </c>
      <c r="F1323" s="4">
        <v>46266</v>
      </c>
      <c r="G1323" s="3" t="s">
        <v>17</v>
      </c>
      <c r="H1323" s="5">
        <v>-300805.25</v>
      </c>
      <c r="I1323" s="3" t="s">
        <v>18</v>
      </c>
      <c r="J1323" s="3" t="s">
        <v>14</v>
      </c>
      <c r="K1323" s="3" t="s">
        <v>14</v>
      </c>
      <c r="L1323" s="3" t="s">
        <v>589</v>
      </c>
      <c r="M1323" s="4">
        <v>46272</v>
      </c>
      <c r="N1323" s="3" t="s">
        <v>1250</v>
      </c>
      <c r="O1323" s="3" t="s">
        <v>22</v>
      </c>
      <c r="P1323" t="str">
        <f t="shared" si="20"/>
        <v>450011554620</v>
      </c>
      <c r="Q1323" s="7" cm="1">
        <f t="array" ref="Q1323:S1323">VLOOKUP(P1323,Hoja1!C:F,{2,3,4},FALSE)</f>
        <v>46273</v>
      </c>
      <c r="R1323" t="str">
        <v>C03</v>
      </c>
      <c r="S1323" t="str">
        <v>1000001123 HAULOTTE ARGENTINA S.A.</v>
      </c>
    </row>
    <row r="1324" spans="1:19" x14ac:dyDescent="0.3">
      <c r="A1324" s="2" t="s">
        <v>14</v>
      </c>
      <c r="B1324" s="3" t="s">
        <v>14</v>
      </c>
      <c r="C1324" s="3" t="s">
        <v>1255</v>
      </c>
      <c r="D1324" s="3" t="s">
        <v>14</v>
      </c>
      <c r="E1324" s="3" t="s">
        <v>466</v>
      </c>
      <c r="F1324" s="4">
        <v>46272</v>
      </c>
      <c r="G1324" s="3" t="s">
        <v>17</v>
      </c>
      <c r="H1324" s="5">
        <v>-321944.46000000002</v>
      </c>
      <c r="I1324" s="3" t="s">
        <v>18</v>
      </c>
      <c r="J1324" s="3" t="s">
        <v>14</v>
      </c>
      <c r="K1324" s="3" t="s">
        <v>14</v>
      </c>
      <c r="L1324" s="3" t="s">
        <v>589</v>
      </c>
      <c r="M1324" s="4">
        <v>46272</v>
      </c>
      <c r="N1324" s="3" t="s">
        <v>1256</v>
      </c>
      <c r="O1324" s="3" t="s">
        <v>30</v>
      </c>
      <c r="P1324" t="str">
        <f t="shared" si="20"/>
        <v>450013637510</v>
      </c>
      <c r="Q1324" s="7" cm="1">
        <f t="array" ref="Q1324:S1324">VLOOKUP(P1324,Hoja1!C:F,{2,3,4},FALSE)</f>
        <v>46265</v>
      </c>
      <c r="R1324" t="str">
        <v>C29</v>
      </c>
      <c r="S1324" t="str">
        <v>1000001123 HAULOTTE ARGENTINA S.A.</v>
      </c>
    </row>
    <row r="1325" spans="1:19" x14ac:dyDescent="0.3">
      <c r="A1325" s="2" t="s">
        <v>14</v>
      </c>
      <c r="B1325" s="3" t="s">
        <v>14</v>
      </c>
      <c r="C1325" s="3" t="s">
        <v>1257</v>
      </c>
      <c r="D1325" s="3" t="s">
        <v>32</v>
      </c>
      <c r="E1325" s="3" t="s">
        <v>466</v>
      </c>
      <c r="F1325" s="4">
        <v>46272</v>
      </c>
      <c r="G1325" s="3" t="s">
        <v>17</v>
      </c>
      <c r="H1325" s="5">
        <v>-180000</v>
      </c>
      <c r="I1325" s="3" t="s">
        <v>18</v>
      </c>
      <c r="J1325" s="3" t="s">
        <v>14</v>
      </c>
      <c r="K1325" s="3" t="s">
        <v>14</v>
      </c>
      <c r="L1325" s="3" t="s">
        <v>1258</v>
      </c>
      <c r="M1325" s="4">
        <v>46272</v>
      </c>
      <c r="N1325" s="3" t="s">
        <v>1259</v>
      </c>
      <c r="O1325" s="3" t="s">
        <v>30</v>
      </c>
      <c r="P1325" t="str">
        <f t="shared" si="20"/>
        <v>450013778710</v>
      </c>
      <c r="Q1325" s="7" cm="1">
        <f t="array" ref="Q1325:S1325">VLOOKUP(P1325,Hoja1!C:F,{2,3,4},FALSE)</f>
        <v>46275</v>
      </c>
      <c r="R1325" t="str">
        <v>374</v>
      </c>
      <c r="S1325" t="str">
        <v>1000011987 MOLINA SOTO MATIAS FABIAN</v>
      </c>
    </row>
    <row r="1326" spans="1:19" x14ac:dyDescent="0.3">
      <c r="A1326" s="2" t="s">
        <v>14</v>
      </c>
      <c r="B1326" s="3" t="s">
        <v>14</v>
      </c>
      <c r="C1326" s="3" t="s">
        <v>1260</v>
      </c>
      <c r="D1326" s="3" t="s">
        <v>14</v>
      </c>
      <c r="E1326" s="3" t="s">
        <v>466</v>
      </c>
      <c r="F1326" s="4">
        <v>46272</v>
      </c>
      <c r="G1326" s="3" t="s">
        <v>17</v>
      </c>
      <c r="H1326" s="5">
        <v>-384827.52</v>
      </c>
      <c r="I1326" s="3" t="s">
        <v>18</v>
      </c>
      <c r="J1326" s="3" t="s">
        <v>14</v>
      </c>
      <c r="K1326" s="3" t="s">
        <v>14</v>
      </c>
      <c r="L1326" s="3" t="s">
        <v>1261</v>
      </c>
      <c r="M1326" s="4">
        <v>46273</v>
      </c>
      <c r="N1326" s="3" t="s">
        <v>1262</v>
      </c>
      <c r="O1326" s="3" t="s">
        <v>30</v>
      </c>
      <c r="P1326" t="str">
        <f t="shared" si="20"/>
        <v>450013569210</v>
      </c>
      <c r="Q1326" s="7" cm="1">
        <f t="array" ref="Q1326:S1326">VLOOKUP(P1326,Hoja1!C:F,{2,3,4},FALSE)</f>
        <v>46274</v>
      </c>
      <c r="R1326" t="str">
        <v>C03</v>
      </c>
      <c r="S1326" t="str">
        <v>1000009607 ELEVA MUNDO S.R.L.</v>
      </c>
    </row>
    <row r="1327" spans="1:19" x14ac:dyDescent="0.3">
      <c r="A1327" s="2" t="s">
        <v>14</v>
      </c>
      <c r="B1327" s="3" t="s">
        <v>14</v>
      </c>
      <c r="C1327" s="3" t="s">
        <v>1260</v>
      </c>
      <c r="D1327" s="3" t="s">
        <v>14</v>
      </c>
      <c r="E1327" s="3" t="s">
        <v>466</v>
      </c>
      <c r="F1327" s="4">
        <v>46272</v>
      </c>
      <c r="G1327" s="3" t="s">
        <v>17</v>
      </c>
      <c r="H1327" s="5">
        <v>-184667.78</v>
      </c>
      <c r="I1327" s="3" t="s">
        <v>18</v>
      </c>
      <c r="J1327" s="3" t="s">
        <v>14</v>
      </c>
      <c r="K1327" s="3" t="s">
        <v>14</v>
      </c>
      <c r="L1327" s="3" t="s">
        <v>1261</v>
      </c>
      <c r="M1327" s="4">
        <v>46273</v>
      </c>
      <c r="N1327" s="3" t="s">
        <v>1262</v>
      </c>
      <c r="O1327" s="3" t="s">
        <v>22</v>
      </c>
      <c r="P1327" t="str">
        <f t="shared" si="20"/>
        <v>450013569220</v>
      </c>
      <c r="Q1327" s="7" cm="1">
        <f t="array" ref="Q1327:S1327">VLOOKUP(P1327,Hoja1!C:F,{2,3,4},FALSE)</f>
        <v>46274</v>
      </c>
      <c r="R1327" t="str">
        <v>C03</v>
      </c>
      <c r="S1327" t="str">
        <v>1000009607 ELEVA MUNDO S.R.L.</v>
      </c>
    </row>
    <row r="1328" spans="1:19" x14ac:dyDescent="0.3">
      <c r="A1328" s="2" t="s">
        <v>14</v>
      </c>
      <c r="B1328" s="3" t="s">
        <v>14</v>
      </c>
      <c r="C1328" s="3" t="s">
        <v>1263</v>
      </c>
      <c r="D1328" s="3" t="s">
        <v>14</v>
      </c>
      <c r="E1328" s="3" t="s">
        <v>466</v>
      </c>
      <c r="F1328" s="4">
        <v>46267</v>
      </c>
      <c r="G1328" s="3" t="s">
        <v>17</v>
      </c>
      <c r="H1328" s="5">
        <v>-184682.85</v>
      </c>
      <c r="I1328" s="3" t="s">
        <v>18</v>
      </c>
      <c r="J1328" s="3" t="s">
        <v>14</v>
      </c>
      <c r="K1328" s="3" t="s">
        <v>14</v>
      </c>
      <c r="L1328" s="3" t="s">
        <v>589</v>
      </c>
      <c r="M1328" s="4">
        <v>46273</v>
      </c>
      <c r="N1328" s="3" t="s">
        <v>751</v>
      </c>
      <c r="O1328" s="3" t="s">
        <v>142</v>
      </c>
      <c r="P1328" t="str">
        <f t="shared" si="20"/>
        <v>4500119057130</v>
      </c>
      <c r="Q1328" s="7" cm="1">
        <f t="array" ref="Q1328:S1328">VLOOKUP(P1328,Hoja1!C:F,{2,3,4},FALSE)</f>
        <v>46307</v>
      </c>
      <c r="R1328" t="str">
        <v>C03</v>
      </c>
      <c r="S1328" t="str">
        <v>1000001123 HAULOTTE ARGENTINA S.A.</v>
      </c>
    </row>
    <row r="1329" spans="1:19" x14ac:dyDescent="0.3">
      <c r="A1329" s="2" t="s">
        <v>14</v>
      </c>
      <c r="B1329" s="3" t="s">
        <v>14</v>
      </c>
      <c r="C1329" s="3" t="s">
        <v>1263</v>
      </c>
      <c r="D1329" s="3" t="s">
        <v>14</v>
      </c>
      <c r="E1329" s="3" t="s">
        <v>466</v>
      </c>
      <c r="F1329" s="4">
        <v>46267</v>
      </c>
      <c r="G1329" s="3" t="s">
        <v>17</v>
      </c>
      <c r="H1329" s="5">
        <v>-387540.12</v>
      </c>
      <c r="I1329" s="3" t="s">
        <v>18</v>
      </c>
      <c r="J1329" s="3" t="s">
        <v>14</v>
      </c>
      <c r="K1329" s="3" t="s">
        <v>14</v>
      </c>
      <c r="L1329" s="3" t="s">
        <v>589</v>
      </c>
      <c r="M1329" s="4">
        <v>46273</v>
      </c>
      <c r="N1329" s="3" t="s">
        <v>751</v>
      </c>
      <c r="O1329" s="3" t="s">
        <v>170</v>
      </c>
      <c r="P1329" t="str">
        <f t="shared" si="20"/>
        <v>4500119057460</v>
      </c>
      <c r="Q1329" s="7" cm="1">
        <f t="array" ref="Q1329:S1329">VLOOKUP(P1329,Hoja1!C:F,{2,3,4},FALSE)</f>
        <v>46307</v>
      </c>
      <c r="R1329" t="str">
        <v>C03</v>
      </c>
      <c r="S1329" t="str">
        <v>1000001123 HAULOTTE ARGENTINA S.A.</v>
      </c>
    </row>
    <row r="1330" spans="1:19" x14ac:dyDescent="0.3">
      <c r="A1330" s="2" t="s">
        <v>14</v>
      </c>
      <c r="B1330" s="3" t="s">
        <v>14</v>
      </c>
      <c r="C1330" s="3" t="s">
        <v>1264</v>
      </c>
      <c r="D1330" s="3" t="s">
        <v>84</v>
      </c>
      <c r="E1330" s="3" t="s">
        <v>466</v>
      </c>
      <c r="F1330" s="4">
        <v>46273</v>
      </c>
      <c r="G1330" s="3" t="s">
        <v>17</v>
      </c>
      <c r="H1330" s="5">
        <v>-3315400</v>
      </c>
      <c r="I1330" s="3" t="s">
        <v>18</v>
      </c>
      <c r="J1330" s="3" t="s">
        <v>14</v>
      </c>
      <c r="K1330" s="3" t="s">
        <v>14</v>
      </c>
      <c r="L1330" s="3" t="s">
        <v>123</v>
      </c>
      <c r="M1330" s="4">
        <v>46273</v>
      </c>
      <c r="N1330" s="3" t="s">
        <v>124</v>
      </c>
      <c r="O1330" s="3" t="s">
        <v>35</v>
      </c>
      <c r="P1330" t="str">
        <f t="shared" si="20"/>
        <v>450013115030</v>
      </c>
      <c r="Q1330" s="7" cm="1">
        <f t="array" ref="Q1330:S1330">VLOOKUP(P1330,Hoja1!C:F,{2,3,4},FALSE)</f>
        <v>46296</v>
      </c>
      <c r="R1330" t="str">
        <v>C26</v>
      </c>
      <c r="S1330" t="str">
        <v>1000000958 NIC SA</v>
      </c>
    </row>
    <row r="1331" spans="1:19" x14ac:dyDescent="0.3">
      <c r="A1331" s="2" t="s">
        <v>14</v>
      </c>
      <c r="B1331" s="3" t="s">
        <v>14</v>
      </c>
      <c r="C1331" s="3" t="s">
        <v>1264</v>
      </c>
      <c r="D1331" s="3" t="s">
        <v>84</v>
      </c>
      <c r="E1331" s="3" t="s">
        <v>466</v>
      </c>
      <c r="F1331" s="4">
        <v>46273</v>
      </c>
      <c r="G1331" s="3" t="s">
        <v>17</v>
      </c>
      <c r="H1331" s="5">
        <v>-5253402</v>
      </c>
      <c r="I1331" s="3" t="s">
        <v>18</v>
      </c>
      <c r="J1331" s="3" t="s">
        <v>14</v>
      </c>
      <c r="K1331" s="3" t="s">
        <v>14</v>
      </c>
      <c r="L1331" s="3" t="s">
        <v>123</v>
      </c>
      <c r="M1331" s="4">
        <v>46273</v>
      </c>
      <c r="N1331" s="3" t="s">
        <v>124</v>
      </c>
      <c r="O1331" s="3" t="s">
        <v>144</v>
      </c>
      <c r="P1331" t="str">
        <f t="shared" si="20"/>
        <v>450013115050</v>
      </c>
      <c r="Q1331" s="7" cm="1">
        <f t="array" ref="Q1331:S1331">VLOOKUP(P1331,Hoja1!C:F,{2,3,4},FALSE)</f>
        <v>46296</v>
      </c>
      <c r="R1331" t="str">
        <v>C26</v>
      </c>
      <c r="S1331" t="str">
        <v>1000000958 NIC SA</v>
      </c>
    </row>
    <row r="1332" spans="1:19" x14ac:dyDescent="0.3">
      <c r="A1332" s="2" t="s">
        <v>14</v>
      </c>
      <c r="B1332" s="3" t="s">
        <v>14</v>
      </c>
      <c r="C1332" s="3" t="s">
        <v>1265</v>
      </c>
      <c r="D1332" s="3" t="s">
        <v>32</v>
      </c>
      <c r="E1332" s="3" t="s">
        <v>466</v>
      </c>
      <c r="F1332" s="4">
        <v>46273</v>
      </c>
      <c r="G1332" s="3" t="s">
        <v>17</v>
      </c>
      <c r="H1332" s="5">
        <v>-32114.17</v>
      </c>
      <c r="I1332" s="3" t="s">
        <v>18</v>
      </c>
      <c r="J1332" s="3" t="s">
        <v>14</v>
      </c>
      <c r="K1332" s="3" t="s">
        <v>14</v>
      </c>
      <c r="L1332" s="3" t="s">
        <v>1266</v>
      </c>
      <c r="M1332" s="4">
        <v>46273</v>
      </c>
      <c r="N1332" s="3" t="s">
        <v>1267</v>
      </c>
      <c r="O1332" s="3" t="s">
        <v>35</v>
      </c>
      <c r="P1332" t="str">
        <f t="shared" si="20"/>
        <v>450013792630</v>
      </c>
      <c r="Q1332" s="7" cm="1">
        <f t="array" ref="Q1332:S1332">VLOOKUP(P1332,Hoja1!C:F,{2,3,4},FALSE)</f>
        <v>46280</v>
      </c>
      <c r="R1332" t="str">
        <v>377</v>
      </c>
      <c r="S1332" t="str">
        <v>1000010264 LABORATORIO TECNOPLUS S. A. S.</v>
      </c>
    </row>
    <row r="1333" spans="1:19" x14ac:dyDescent="0.3">
      <c r="A1333" s="2" t="s">
        <v>14</v>
      </c>
      <c r="B1333" s="3" t="s">
        <v>14</v>
      </c>
      <c r="C1333" s="3" t="s">
        <v>1268</v>
      </c>
      <c r="D1333" s="3" t="s">
        <v>32</v>
      </c>
      <c r="E1333" s="3" t="s">
        <v>466</v>
      </c>
      <c r="F1333" s="4">
        <v>46273</v>
      </c>
      <c r="G1333" s="3" t="s">
        <v>17</v>
      </c>
      <c r="H1333" s="5">
        <v>-64228.34</v>
      </c>
      <c r="I1333" s="3" t="s">
        <v>18</v>
      </c>
      <c r="J1333" s="3" t="s">
        <v>14</v>
      </c>
      <c r="K1333" s="3" t="s">
        <v>14</v>
      </c>
      <c r="L1333" s="3" t="s">
        <v>1266</v>
      </c>
      <c r="M1333" s="4">
        <v>46273</v>
      </c>
      <c r="N1333" s="3" t="s">
        <v>1269</v>
      </c>
      <c r="O1333" s="3" t="s">
        <v>141</v>
      </c>
      <c r="P1333" t="str">
        <f t="shared" si="20"/>
        <v>450013791960</v>
      </c>
      <c r="Q1333" s="7" cm="1">
        <f t="array" ref="Q1333:S1333">VLOOKUP(P1333,Hoja1!C:F,{2,3,4},FALSE)</f>
        <v>46279</v>
      </c>
      <c r="R1333" t="str">
        <v>377</v>
      </c>
      <c r="S1333" t="str">
        <v>1000010264 LABORATORIO TECNOPLUS S. A. S.</v>
      </c>
    </row>
    <row r="1334" spans="1:19" x14ac:dyDescent="0.3">
      <c r="A1334" s="2" t="s">
        <v>14</v>
      </c>
      <c r="B1334" s="3" t="s">
        <v>14</v>
      </c>
      <c r="C1334" s="3" t="s">
        <v>1270</v>
      </c>
      <c r="D1334" s="3" t="s">
        <v>14</v>
      </c>
      <c r="E1334" s="3" t="s">
        <v>466</v>
      </c>
      <c r="F1334" s="4">
        <v>46273</v>
      </c>
      <c r="G1334" s="3" t="s">
        <v>17</v>
      </c>
      <c r="H1334" s="5">
        <v>-92108</v>
      </c>
      <c r="I1334" s="3" t="s">
        <v>18</v>
      </c>
      <c r="J1334" s="3" t="s">
        <v>14</v>
      </c>
      <c r="K1334" s="3" t="s">
        <v>14</v>
      </c>
      <c r="L1334" s="3" t="s">
        <v>991</v>
      </c>
      <c r="M1334" s="4">
        <v>46273</v>
      </c>
      <c r="N1334" s="3" t="s">
        <v>1271</v>
      </c>
      <c r="O1334" s="3" t="s">
        <v>30</v>
      </c>
      <c r="P1334" t="str">
        <f t="shared" si="20"/>
        <v>450013793310</v>
      </c>
      <c r="Q1334" s="7" cm="1">
        <f t="array" ref="Q1334:S1334">VLOOKUP(P1334,Hoja1!C:F,{2,3,4},FALSE)</f>
        <v>46302</v>
      </c>
      <c r="R1334" t="str">
        <v>C03</v>
      </c>
      <c r="S1334" t="str">
        <v>1000008805 SAKURA MOTORS S. A.</v>
      </c>
    </row>
    <row r="1335" spans="1:19" x14ac:dyDescent="0.3">
      <c r="A1335" s="2" t="s">
        <v>14</v>
      </c>
      <c r="B1335" s="3" t="s">
        <v>14</v>
      </c>
      <c r="C1335" s="3" t="s">
        <v>1272</v>
      </c>
      <c r="D1335" s="3" t="s">
        <v>32</v>
      </c>
      <c r="E1335" s="3" t="s">
        <v>466</v>
      </c>
      <c r="F1335" s="4">
        <v>46273</v>
      </c>
      <c r="G1335" s="3" t="s">
        <v>17</v>
      </c>
      <c r="H1335" s="5">
        <v>-609991.99</v>
      </c>
      <c r="I1335" s="3" t="s">
        <v>18</v>
      </c>
      <c r="J1335" s="3" t="s">
        <v>14</v>
      </c>
      <c r="K1335" s="3" t="s">
        <v>14</v>
      </c>
      <c r="L1335" s="3" t="s">
        <v>892</v>
      </c>
      <c r="M1335" s="4">
        <v>46273</v>
      </c>
      <c r="N1335" s="3" t="s">
        <v>1273</v>
      </c>
      <c r="O1335" s="3" t="s">
        <v>22</v>
      </c>
      <c r="P1335" t="str">
        <f t="shared" si="20"/>
        <v>450013761820</v>
      </c>
      <c r="Q1335" s="7" cm="1">
        <f t="array" ref="Q1335:S1335">VLOOKUP(P1335,Hoja1!C:F,{2,3,4},FALSE)</f>
        <v>46281</v>
      </c>
      <c r="R1335" t="str">
        <v>C27</v>
      </c>
      <c r="S1335" t="str">
        <v>1000000894 FORTIN REPUBLICA SA</v>
      </c>
    </row>
    <row r="1336" spans="1:19" x14ac:dyDescent="0.3">
      <c r="A1336" s="2" t="s">
        <v>14</v>
      </c>
      <c r="B1336" s="3" t="s">
        <v>14</v>
      </c>
      <c r="C1336" s="3" t="s">
        <v>1274</v>
      </c>
      <c r="D1336" s="3" t="s">
        <v>32</v>
      </c>
      <c r="E1336" s="3" t="s">
        <v>466</v>
      </c>
      <c r="F1336" s="4">
        <v>46273</v>
      </c>
      <c r="G1336" s="3" t="s">
        <v>17</v>
      </c>
      <c r="H1336" s="5">
        <v>-39405.519999999997</v>
      </c>
      <c r="I1336" s="3" t="s">
        <v>18</v>
      </c>
      <c r="J1336" s="3" t="s">
        <v>14</v>
      </c>
      <c r="K1336" s="3" t="s">
        <v>14</v>
      </c>
      <c r="L1336" s="3" t="s">
        <v>892</v>
      </c>
      <c r="M1336" s="4">
        <v>46273</v>
      </c>
      <c r="N1336" s="3" t="s">
        <v>1275</v>
      </c>
      <c r="O1336" s="3" t="s">
        <v>136</v>
      </c>
      <c r="P1336" t="str">
        <f t="shared" si="20"/>
        <v>4500137593210</v>
      </c>
      <c r="Q1336" s="7" cm="1">
        <f t="array" ref="Q1336:S1336">VLOOKUP(P1336,Hoja1!C:F,{2,3,4},FALSE)</f>
        <v>46275</v>
      </c>
      <c r="R1336" t="str">
        <v>C27</v>
      </c>
      <c r="S1336" t="str">
        <v>1000000894 FORTIN REPUBLICA SA</v>
      </c>
    </row>
    <row r="1337" spans="1:19" x14ac:dyDescent="0.3">
      <c r="A1337" s="2" t="s">
        <v>14</v>
      </c>
      <c r="B1337" s="3" t="s">
        <v>14</v>
      </c>
      <c r="C1337" s="3" t="s">
        <v>1274</v>
      </c>
      <c r="D1337" s="3" t="s">
        <v>32</v>
      </c>
      <c r="E1337" s="3" t="s">
        <v>466</v>
      </c>
      <c r="F1337" s="4">
        <v>46273</v>
      </c>
      <c r="G1337" s="3" t="s">
        <v>17</v>
      </c>
      <c r="H1337" s="5">
        <v>-76588.84</v>
      </c>
      <c r="I1337" s="3" t="s">
        <v>18</v>
      </c>
      <c r="J1337" s="3" t="s">
        <v>14</v>
      </c>
      <c r="K1337" s="3" t="s">
        <v>14</v>
      </c>
      <c r="L1337" s="3" t="s">
        <v>892</v>
      </c>
      <c r="M1337" s="4">
        <v>46273</v>
      </c>
      <c r="N1337" s="3" t="s">
        <v>1275</v>
      </c>
      <c r="O1337" s="3" t="s">
        <v>126</v>
      </c>
      <c r="P1337" t="str">
        <f t="shared" si="20"/>
        <v>4500137593260</v>
      </c>
      <c r="Q1337" s="7" cm="1">
        <f t="array" ref="Q1337:S1337">VLOOKUP(P1337,Hoja1!C:F,{2,3,4},FALSE)</f>
        <v>46275</v>
      </c>
      <c r="R1337" t="str">
        <v>C27</v>
      </c>
      <c r="S1337" t="str">
        <v>1000000894 FORTIN REPUBLICA SA</v>
      </c>
    </row>
    <row r="1338" spans="1:19" x14ac:dyDescent="0.3">
      <c r="A1338" s="2" t="s">
        <v>14</v>
      </c>
      <c r="B1338" s="3" t="s">
        <v>14</v>
      </c>
      <c r="C1338" s="3" t="s">
        <v>1274</v>
      </c>
      <c r="D1338" s="3" t="s">
        <v>32</v>
      </c>
      <c r="E1338" s="3" t="s">
        <v>466</v>
      </c>
      <c r="F1338" s="4">
        <v>46273</v>
      </c>
      <c r="G1338" s="3" t="s">
        <v>17</v>
      </c>
      <c r="H1338" s="5">
        <v>-29410.47</v>
      </c>
      <c r="I1338" s="3" t="s">
        <v>18</v>
      </c>
      <c r="J1338" s="3" t="s">
        <v>14</v>
      </c>
      <c r="K1338" s="3" t="s">
        <v>14</v>
      </c>
      <c r="L1338" s="3" t="s">
        <v>892</v>
      </c>
      <c r="M1338" s="4">
        <v>46273</v>
      </c>
      <c r="N1338" s="3" t="s">
        <v>1275</v>
      </c>
      <c r="O1338" s="3" t="s">
        <v>146</v>
      </c>
      <c r="P1338" t="str">
        <f t="shared" si="20"/>
        <v>4500137593270</v>
      </c>
      <c r="Q1338" s="7" cm="1">
        <f t="array" ref="Q1338:S1338">VLOOKUP(P1338,Hoja1!C:F,{2,3,4},FALSE)</f>
        <v>46275</v>
      </c>
      <c r="R1338" t="str">
        <v>C27</v>
      </c>
      <c r="S1338" t="str">
        <v>1000000894 FORTIN REPUBLICA SA</v>
      </c>
    </row>
    <row r="1339" spans="1:19" x14ac:dyDescent="0.3">
      <c r="A1339" s="2" t="s">
        <v>14</v>
      </c>
      <c r="B1339" s="3" t="s">
        <v>14</v>
      </c>
      <c r="C1339" s="3" t="s">
        <v>1274</v>
      </c>
      <c r="D1339" s="3" t="s">
        <v>32</v>
      </c>
      <c r="E1339" s="3" t="s">
        <v>466</v>
      </c>
      <c r="F1339" s="4">
        <v>46273</v>
      </c>
      <c r="G1339" s="3" t="s">
        <v>17</v>
      </c>
      <c r="H1339" s="5">
        <v>-39231.21</v>
      </c>
      <c r="I1339" s="3" t="s">
        <v>18</v>
      </c>
      <c r="J1339" s="3" t="s">
        <v>14</v>
      </c>
      <c r="K1339" s="3" t="s">
        <v>14</v>
      </c>
      <c r="L1339" s="3" t="s">
        <v>892</v>
      </c>
      <c r="M1339" s="4">
        <v>46273</v>
      </c>
      <c r="N1339" s="3" t="s">
        <v>1275</v>
      </c>
      <c r="O1339" s="3" t="s">
        <v>133</v>
      </c>
      <c r="P1339" t="str">
        <f t="shared" si="20"/>
        <v>4500137593280</v>
      </c>
      <c r="Q1339" s="7" cm="1">
        <f t="array" ref="Q1339:S1339">VLOOKUP(P1339,Hoja1!C:F,{2,3,4},FALSE)</f>
        <v>46275</v>
      </c>
      <c r="R1339" t="str">
        <v>C27</v>
      </c>
      <c r="S1339" t="str">
        <v>1000000894 FORTIN REPUBLICA SA</v>
      </c>
    </row>
    <row r="1340" spans="1:19" x14ac:dyDescent="0.3">
      <c r="A1340" s="2" t="s">
        <v>14</v>
      </c>
      <c r="B1340" s="3" t="s">
        <v>14</v>
      </c>
      <c r="C1340" s="3" t="s">
        <v>1274</v>
      </c>
      <c r="D1340" s="3" t="s">
        <v>32</v>
      </c>
      <c r="E1340" s="3" t="s">
        <v>466</v>
      </c>
      <c r="F1340" s="4">
        <v>46273</v>
      </c>
      <c r="G1340" s="3" t="s">
        <v>17</v>
      </c>
      <c r="H1340" s="5">
        <v>-12997.49</v>
      </c>
      <c r="I1340" s="3" t="s">
        <v>18</v>
      </c>
      <c r="J1340" s="3" t="s">
        <v>14</v>
      </c>
      <c r="K1340" s="3" t="s">
        <v>14</v>
      </c>
      <c r="L1340" s="3" t="s">
        <v>892</v>
      </c>
      <c r="M1340" s="4">
        <v>46273</v>
      </c>
      <c r="N1340" s="3" t="s">
        <v>1275</v>
      </c>
      <c r="O1340" s="3" t="s">
        <v>173</v>
      </c>
      <c r="P1340" t="str">
        <f t="shared" si="20"/>
        <v>4500137593290</v>
      </c>
      <c r="Q1340" s="7" cm="1">
        <f t="array" ref="Q1340:S1340">VLOOKUP(P1340,Hoja1!C:F,{2,3,4},FALSE)</f>
        <v>46275</v>
      </c>
      <c r="R1340" t="str">
        <v>C27</v>
      </c>
      <c r="S1340" t="str">
        <v>1000000894 FORTIN REPUBLICA SA</v>
      </c>
    </row>
    <row r="1341" spans="1:19" x14ac:dyDescent="0.3">
      <c r="A1341" s="2" t="s">
        <v>14</v>
      </c>
      <c r="B1341" s="3" t="s">
        <v>14</v>
      </c>
      <c r="C1341" s="3" t="s">
        <v>1274</v>
      </c>
      <c r="D1341" s="3" t="s">
        <v>32</v>
      </c>
      <c r="E1341" s="3" t="s">
        <v>466</v>
      </c>
      <c r="F1341" s="4">
        <v>46273</v>
      </c>
      <c r="G1341" s="3" t="s">
        <v>17</v>
      </c>
      <c r="H1341" s="5">
        <v>-5617.56</v>
      </c>
      <c r="I1341" s="3" t="s">
        <v>18</v>
      </c>
      <c r="J1341" s="3" t="s">
        <v>14</v>
      </c>
      <c r="K1341" s="3" t="s">
        <v>14</v>
      </c>
      <c r="L1341" s="3" t="s">
        <v>892</v>
      </c>
      <c r="M1341" s="4">
        <v>46273</v>
      </c>
      <c r="N1341" s="3" t="s">
        <v>1275</v>
      </c>
      <c r="O1341" s="3" t="s">
        <v>145</v>
      </c>
      <c r="P1341" t="str">
        <f t="shared" si="20"/>
        <v>4500137593300</v>
      </c>
      <c r="Q1341" s="7" cm="1">
        <f t="array" ref="Q1341:S1341">VLOOKUP(P1341,Hoja1!C:F,{2,3,4},FALSE)</f>
        <v>46275</v>
      </c>
      <c r="R1341" t="str">
        <v>C27</v>
      </c>
      <c r="S1341" t="str">
        <v>1000000894 FORTIN REPUBLICA SA</v>
      </c>
    </row>
    <row r="1342" spans="1:19" x14ac:dyDescent="0.3">
      <c r="A1342" s="2" t="s">
        <v>14</v>
      </c>
      <c r="B1342" s="3" t="s">
        <v>14</v>
      </c>
      <c r="C1342" s="3" t="s">
        <v>1274</v>
      </c>
      <c r="D1342" s="3" t="s">
        <v>32</v>
      </c>
      <c r="E1342" s="3" t="s">
        <v>466</v>
      </c>
      <c r="F1342" s="4">
        <v>46273</v>
      </c>
      <c r="G1342" s="3" t="s">
        <v>17</v>
      </c>
      <c r="H1342" s="5">
        <v>-4818.9799999999996</v>
      </c>
      <c r="I1342" s="3" t="s">
        <v>18</v>
      </c>
      <c r="J1342" s="3" t="s">
        <v>14</v>
      </c>
      <c r="K1342" s="3" t="s">
        <v>14</v>
      </c>
      <c r="L1342" s="3" t="s">
        <v>892</v>
      </c>
      <c r="M1342" s="4">
        <v>46273</v>
      </c>
      <c r="N1342" s="3" t="s">
        <v>1275</v>
      </c>
      <c r="O1342" s="3" t="s">
        <v>147</v>
      </c>
      <c r="P1342" t="str">
        <f t="shared" si="20"/>
        <v>4500137593310</v>
      </c>
      <c r="Q1342" s="7" cm="1">
        <f t="array" ref="Q1342:S1342">VLOOKUP(P1342,Hoja1!C:F,{2,3,4},FALSE)</f>
        <v>46275</v>
      </c>
      <c r="R1342" t="str">
        <v>C27</v>
      </c>
      <c r="S1342" t="str">
        <v>1000000894 FORTIN REPUBLICA SA</v>
      </c>
    </row>
    <row r="1343" spans="1:19" x14ac:dyDescent="0.3">
      <c r="A1343" s="2" t="s">
        <v>14</v>
      </c>
      <c r="B1343" s="3" t="s">
        <v>14</v>
      </c>
      <c r="C1343" s="3" t="s">
        <v>1274</v>
      </c>
      <c r="D1343" s="3" t="s">
        <v>32</v>
      </c>
      <c r="E1343" s="3" t="s">
        <v>466</v>
      </c>
      <c r="F1343" s="4">
        <v>46273</v>
      </c>
      <c r="G1343" s="3" t="s">
        <v>17</v>
      </c>
      <c r="H1343" s="5">
        <v>-195647.48</v>
      </c>
      <c r="I1343" s="3" t="s">
        <v>18</v>
      </c>
      <c r="J1343" s="3" t="s">
        <v>14</v>
      </c>
      <c r="K1343" s="3" t="s">
        <v>14</v>
      </c>
      <c r="L1343" s="3" t="s">
        <v>892</v>
      </c>
      <c r="M1343" s="4">
        <v>46273</v>
      </c>
      <c r="N1343" s="3" t="s">
        <v>1275</v>
      </c>
      <c r="O1343" s="3" t="s">
        <v>135</v>
      </c>
      <c r="P1343" t="str">
        <f t="shared" si="20"/>
        <v>4500137593340</v>
      </c>
      <c r="Q1343" s="7" cm="1">
        <f t="array" ref="Q1343:S1343">VLOOKUP(P1343,Hoja1!C:F,{2,3,4},FALSE)</f>
        <v>46275</v>
      </c>
      <c r="R1343" t="str">
        <v>C27</v>
      </c>
      <c r="S1343" t="str">
        <v>1000000894 FORTIN REPUBLICA SA</v>
      </c>
    </row>
    <row r="1344" spans="1:19" x14ac:dyDescent="0.3">
      <c r="A1344" s="2" t="s">
        <v>14</v>
      </c>
      <c r="B1344" s="3" t="s">
        <v>14</v>
      </c>
      <c r="C1344" s="3" t="s">
        <v>1274</v>
      </c>
      <c r="D1344" s="3" t="s">
        <v>32</v>
      </c>
      <c r="E1344" s="3" t="s">
        <v>466</v>
      </c>
      <c r="F1344" s="4">
        <v>46273</v>
      </c>
      <c r="G1344" s="3" t="s">
        <v>17</v>
      </c>
      <c r="H1344" s="5">
        <v>-69516.86</v>
      </c>
      <c r="I1344" s="3" t="s">
        <v>18</v>
      </c>
      <c r="J1344" s="3" t="s">
        <v>14</v>
      </c>
      <c r="K1344" s="3" t="s">
        <v>14</v>
      </c>
      <c r="L1344" s="3" t="s">
        <v>892</v>
      </c>
      <c r="M1344" s="4">
        <v>46273</v>
      </c>
      <c r="N1344" s="3" t="s">
        <v>1275</v>
      </c>
      <c r="O1344" s="3" t="s">
        <v>139</v>
      </c>
      <c r="P1344" t="str">
        <f t="shared" si="20"/>
        <v>4500137593350</v>
      </c>
      <c r="Q1344" s="7" cm="1">
        <f t="array" ref="Q1344:S1344">VLOOKUP(P1344,Hoja1!C:F,{2,3,4},FALSE)</f>
        <v>46275</v>
      </c>
      <c r="R1344" t="str">
        <v>C27</v>
      </c>
      <c r="S1344" t="str">
        <v>1000000894 FORTIN REPUBLICA SA</v>
      </c>
    </row>
    <row r="1345" spans="1:19" x14ac:dyDescent="0.3">
      <c r="A1345" s="2" t="s">
        <v>14</v>
      </c>
      <c r="B1345" s="3" t="s">
        <v>14</v>
      </c>
      <c r="C1345" s="3" t="s">
        <v>1274</v>
      </c>
      <c r="D1345" s="3" t="s">
        <v>32</v>
      </c>
      <c r="E1345" s="3" t="s">
        <v>466</v>
      </c>
      <c r="F1345" s="4">
        <v>46273</v>
      </c>
      <c r="G1345" s="3" t="s">
        <v>17</v>
      </c>
      <c r="H1345" s="5">
        <v>-3664.38</v>
      </c>
      <c r="I1345" s="3" t="s">
        <v>18</v>
      </c>
      <c r="J1345" s="3" t="s">
        <v>14</v>
      </c>
      <c r="K1345" s="3" t="s">
        <v>14</v>
      </c>
      <c r="L1345" s="3" t="s">
        <v>892</v>
      </c>
      <c r="M1345" s="4">
        <v>46273</v>
      </c>
      <c r="N1345" s="3" t="s">
        <v>1275</v>
      </c>
      <c r="O1345" s="3" t="s">
        <v>158</v>
      </c>
      <c r="P1345" t="str">
        <f t="shared" si="20"/>
        <v>4500137593390</v>
      </c>
      <c r="Q1345" s="7" cm="1">
        <f t="array" ref="Q1345:S1345">VLOOKUP(P1345,Hoja1!C:F,{2,3,4},FALSE)</f>
        <v>46275</v>
      </c>
      <c r="R1345" t="str">
        <v>C27</v>
      </c>
      <c r="S1345" t="str">
        <v>1000000894 FORTIN REPUBLICA SA</v>
      </c>
    </row>
    <row r="1346" spans="1:19" x14ac:dyDescent="0.3">
      <c r="A1346" s="2" t="s">
        <v>14</v>
      </c>
      <c r="B1346" s="3" t="s">
        <v>14</v>
      </c>
      <c r="C1346" s="3" t="s">
        <v>1276</v>
      </c>
      <c r="D1346" s="3" t="s">
        <v>32</v>
      </c>
      <c r="E1346" s="3" t="s">
        <v>466</v>
      </c>
      <c r="F1346" s="4">
        <v>46273</v>
      </c>
      <c r="G1346" s="3" t="s">
        <v>17</v>
      </c>
      <c r="H1346" s="5">
        <v>-20937.47</v>
      </c>
      <c r="I1346" s="3" t="s">
        <v>18</v>
      </c>
      <c r="J1346" s="3" t="s">
        <v>14</v>
      </c>
      <c r="K1346" s="3" t="s">
        <v>14</v>
      </c>
      <c r="L1346" s="3" t="s">
        <v>892</v>
      </c>
      <c r="M1346" s="4">
        <v>46273</v>
      </c>
      <c r="N1346" s="3" t="s">
        <v>1275</v>
      </c>
      <c r="O1346" s="3" t="s">
        <v>132</v>
      </c>
      <c r="P1346" t="str">
        <f t="shared" si="20"/>
        <v>4500137593120</v>
      </c>
      <c r="Q1346" s="7" cm="1">
        <f t="array" ref="Q1346:S1346">VLOOKUP(P1346,Hoja1!C:F,{2,3,4},FALSE)</f>
        <v>46275</v>
      </c>
      <c r="R1346" t="str">
        <v>C27</v>
      </c>
      <c r="S1346" t="str">
        <v>1000000894 FORTIN REPUBLICA SA</v>
      </c>
    </row>
    <row r="1347" spans="1:19" x14ac:dyDescent="0.3">
      <c r="A1347" s="2" t="s">
        <v>14</v>
      </c>
      <c r="B1347" s="3" t="s">
        <v>14</v>
      </c>
      <c r="C1347" s="3" t="s">
        <v>1276</v>
      </c>
      <c r="D1347" s="3" t="s">
        <v>32</v>
      </c>
      <c r="E1347" s="3" t="s">
        <v>466</v>
      </c>
      <c r="F1347" s="4">
        <v>46273</v>
      </c>
      <c r="G1347" s="3" t="s">
        <v>17</v>
      </c>
      <c r="H1347" s="5">
        <v>-16458.169999999998</v>
      </c>
      <c r="I1347" s="3" t="s">
        <v>18</v>
      </c>
      <c r="J1347" s="3" t="s">
        <v>14</v>
      </c>
      <c r="K1347" s="3" t="s">
        <v>14</v>
      </c>
      <c r="L1347" s="3" t="s">
        <v>892</v>
      </c>
      <c r="M1347" s="4">
        <v>46273</v>
      </c>
      <c r="N1347" s="3" t="s">
        <v>1275</v>
      </c>
      <c r="O1347" s="3" t="s">
        <v>68</v>
      </c>
      <c r="P1347" t="str">
        <f t="shared" ref="P1347:P1410" si="21">_xlfn.CONCAT(N1347:O1347)</f>
        <v>4500137593150</v>
      </c>
      <c r="Q1347" s="7" cm="1">
        <f t="array" ref="Q1347:S1347">VLOOKUP(P1347,Hoja1!C:F,{2,3,4},FALSE)</f>
        <v>46275</v>
      </c>
      <c r="R1347" t="str">
        <v>C27</v>
      </c>
      <c r="S1347" t="str">
        <v>1000000894 FORTIN REPUBLICA SA</v>
      </c>
    </row>
    <row r="1348" spans="1:19" x14ac:dyDescent="0.3">
      <c r="A1348" s="2" t="s">
        <v>14</v>
      </c>
      <c r="B1348" s="3" t="s">
        <v>14</v>
      </c>
      <c r="C1348" s="3" t="s">
        <v>1276</v>
      </c>
      <c r="D1348" s="3" t="s">
        <v>32</v>
      </c>
      <c r="E1348" s="3" t="s">
        <v>466</v>
      </c>
      <c r="F1348" s="4">
        <v>46273</v>
      </c>
      <c r="G1348" s="3" t="s">
        <v>17</v>
      </c>
      <c r="H1348" s="5">
        <v>-23728</v>
      </c>
      <c r="I1348" s="3" t="s">
        <v>18</v>
      </c>
      <c r="J1348" s="3" t="s">
        <v>14</v>
      </c>
      <c r="K1348" s="3" t="s">
        <v>14</v>
      </c>
      <c r="L1348" s="3" t="s">
        <v>892</v>
      </c>
      <c r="M1348" s="4">
        <v>46273</v>
      </c>
      <c r="N1348" s="3" t="s">
        <v>1275</v>
      </c>
      <c r="O1348" s="3" t="s">
        <v>129</v>
      </c>
      <c r="P1348" t="str">
        <f t="shared" si="21"/>
        <v>4500137593160</v>
      </c>
      <c r="Q1348" s="7" cm="1">
        <f t="array" ref="Q1348:S1348">VLOOKUP(P1348,Hoja1!C:F,{2,3,4},FALSE)</f>
        <v>46275</v>
      </c>
      <c r="R1348" t="str">
        <v>C27</v>
      </c>
      <c r="S1348" t="str">
        <v>1000000894 FORTIN REPUBLICA SA</v>
      </c>
    </row>
    <row r="1349" spans="1:19" x14ac:dyDescent="0.3">
      <c r="A1349" s="2" t="s">
        <v>14</v>
      </c>
      <c r="B1349" s="3" t="s">
        <v>14</v>
      </c>
      <c r="C1349" s="3" t="s">
        <v>1276</v>
      </c>
      <c r="D1349" s="3" t="s">
        <v>32</v>
      </c>
      <c r="E1349" s="3" t="s">
        <v>466</v>
      </c>
      <c r="F1349" s="4">
        <v>46273</v>
      </c>
      <c r="G1349" s="3" t="s">
        <v>17</v>
      </c>
      <c r="H1349" s="5">
        <v>-65086.75</v>
      </c>
      <c r="I1349" s="3" t="s">
        <v>18</v>
      </c>
      <c r="J1349" s="3" t="s">
        <v>14</v>
      </c>
      <c r="K1349" s="3" t="s">
        <v>14</v>
      </c>
      <c r="L1349" s="3" t="s">
        <v>892</v>
      </c>
      <c r="M1349" s="4">
        <v>46273</v>
      </c>
      <c r="N1349" s="3" t="s">
        <v>1275</v>
      </c>
      <c r="O1349" s="3" t="s">
        <v>127</v>
      </c>
      <c r="P1349" t="str">
        <f t="shared" si="21"/>
        <v>4500137593190</v>
      </c>
      <c r="Q1349" s="7" cm="1">
        <f t="array" ref="Q1349:S1349">VLOOKUP(P1349,Hoja1!C:F,{2,3,4},FALSE)</f>
        <v>46275</v>
      </c>
      <c r="R1349" t="str">
        <v>C27</v>
      </c>
      <c r="S1349" t="str">
        <v>1000000894 FORTIN REPUBLICA SA</v>
      </c>
    </row>
    <row r="1350" spans="1:19" x14ac:dyDescent="0.3">
      <c r="A1350" s="2" t="s">
        <v>14</v>
      </c>
      <c r="B1350" s="3" t="s">
        <v>14</v>
      </c>
      <c r="C1350" s="3" t="s">
        <v>1276</v>
      </c>
      <c r="D1350" s="3" t="s">
        <v>32</v>
      </c>
      <c r="E1350" s="3" t="s">
        <v>466</v>
      </c>
      <c r="F1350" s="4">
        <v>46273</v>
      </c>
      <c r="G1350" s="3" t="s">
        <v>17</v>
      </c>
      <c r="H1350" s="5">
        <v>-7328.76</v>
      </c>
      <c r="I1350" s="3" t="s">
        <v>18</v>
      </c>
      <c r="J1350" s="3" t="s">
        <v>14</v>
      </c>
      <c r="K1350" s="3" t="s">
        <v>14</v>
      </c>
      <c r="L1350" s="3" t="s">
        <v>892</v>
      </c>
      <c r="M1350" s="4">
        <v>46273</v>
      </c>
      <c r="N1350" s="3" t="s">
        <v>1275</v>
      </c>
      <c r="O1350" s="3" t="s">
        <v>137</v>
      </c>
      <c r="P1350" t="str">
        <f t="shared" si="21"/>
        <v>4500137593230</v>
      </c>
      <c r="Q1350" s="7" cm="1">
        <f t="array" ref="Q1350:S1350">VLOOKUP(P1350,Hoja1!C:F,{2,3,4},FALSE)</f>
        <v>46275</v>
      </c>
      <c r="R1350" t="str">
        <v>C27</v>
      </c>
      <c r="S1350" t="str">
        <v>1000000894 FORTIN REPUBLICA SA</v>
      </c>
    </row>
    <row r="1351" spans="1:19" x14ac:dyDescent="0.3">
      <c r="A1351" s="2" t="s">
        <v>14</v>
      </c>
      <c r="B1351" s="3" t="s">
        <v>14</v>
      </c>
      <c r="C1351" s="3" t="s">
        <v>1276</v>
      </c>
      <c r="D1351" s="3" t="s">
        <v>32</v>
      </c>
      <c r="E1351" s="3" t="s">
        <v>466</v>
      </c>
      <c r="F1351" s="4">
        <v>46273</v>
      </c>
      <c r="G1351" s="3" t="s">
        <v>17</v>
      </c>
      <c r="H1351" s="5">
        <v>-117870.78</v>
      </c>
      <c r="I1351" s="3" t="s">
        <v>18</v>
      </c>
      <c r="J1351" s="3" t="s">
        <v>14</v>
      </c>
      <c r="K1351" s="3" t="s">
        <v>14</v>
      </c>
      <c r="L1351" s="3" t="s">
        <v>892</v>
      </c>
      <c r="M1351" s="4">
        <v>46273</v>
      </c>
      <c r="N1351" s="3" t="s">
        <v>1275</v>
      </c>
      <c r="O1351" s="3" t="s">
        <v>143</v>
      </c>
      <c r="P1351" t="str">
        <f t="shared" si="21"/>
        <v>4500137593240</v>
      </c>
      <c r="Q1351" s="7" cm="1">
        <f t="array" ref="Q1351:S1351">VLOOKUP(P1351,Hoja1!C:F,{2,3,4},FALSE)</f>
        <v>46275</v>
      </c>
      <c r="R1351" t="str">
        <v>C27</v>
      </c>
      <c r="S1351" t="str">
        <v>1000000894 FORTIN REPUBLICA SA</v>
      </c>
    </row>
    <row r="1352" spans="1:19" x14ac:dyDescent="0.3">
      <c r="A1352" s="2" t="s">
        <v>14</v>
      </c>
      <c r="B1352" s="3" t="s">
        <v>14</v>
      </c>
      <c r="C1352" s="3" t="s">
        <v>1276</v>
      </c>
      <c r="D1352" s="3" t="s">
        <v>32</v>
      </c>
      <c r="E1352" s="3" t="s">
        <v>466</v>
      </c>
      <c r="F1352" s="4">
        <v>46273</v>
      </c>
      <c r="G1352" s="3" t="s">
        <v>17</v>
      </c>
      <c r="H1352" s="5">
        <v>-10537.76</v>
      </c>
      <c r="I1352" s="3" t="s">
        <v>18</v>
      </c>
      <c r="J1352" s="3" t="s">
        <v>14</v>
      </c>
      <c r="K1352" s="3" t="s">
        <v>14</v>
      </c>
      <c r="L1352" s="3" t="s">
        <v>892</v>
      </c>
      <c r="M1352" s="4">
        <v>46273</v>
      </c>
      <c r="N1352" s="3" t="s">
        <v>1275</v>
      </c>
      <c r="O1352" s="3" t="s">
        <v>168</v>
      </c>
      <c r="P1352" t="str">
        <f t="shared" si="21"/>
        <v>4500137593360</v>
      </c>
      <c r="Q1352" s="7" cm="1">
        <f t="array" ref="Q1352:S1352">VLOOKUP(P1352,Hoja1!C:F,{2,3,4},FALSE)</f>
        <v>46275</v>
      </c>
      <c r="R1352" t="str">
        <v>C27</v>
      </c>
      <c r="S1352" t="str">
        <v>1000000894 FORTIN REPUBLICA SA</v>
      </c>
    </row>
    <row r="1353" spans="1:19" x14ac:dyDescent="0.3">
      <c r="A1353" s="2" t="s">
        <v>14</v>
      </c>
      <c r="B1353" s="3" t="s">
        <v>14</v>
      </c>
      <c r="C1353" s="3" t="s">
        <v>1276</v>
      </c>
      <c r="D1353" s="3" t="s">
        <v>32</v>
      </c>
      <c r="E1353" s="3" t="s">
        <v>466</v>
      </c>
      <c r="F1353" s="4">
        <v>46273</v>
      </c>
      <c r="G1353" s="3" t="s">
        <v>17</v>
      </c>
      <c r="H1353" s="5">
        <v>-3664.38</v>
      </c>
      <c r="I1353" s="3" t="s">
        <v>18</v>
      </c>
      <c r="J1353" s="3" t="s">
        <v>14</v>
      </c>
      <c r="K1353" s="3" t="s">
        <v>14</v>
      </c>
      <c r="L1353" s="3" t="s">
        <v>892</v>
      </c>
      <c r="M1353" s="4">
        <v>46273</v>
      </c>
      <c r="N1353" s="3" t="s">
        <v>1275</v>
      </c>
      <c r="O1353" s="3" t="s">
        <v>178</v>
      </c>
      <c r="P1353" t="str">
        <f t="shared" si="21"/>
        <v>4500137593400</v>
      </c>
      <c r="Q1353" s="7" cm="1">
        <f t="array" ref="Q1353:S1353">VLOOKUP(P1353,Hoja1!C:F,{2,3,4},FALSE)</f>
        <v>46275</v>
      </c>
      <c r="R1353" t="str">
        <v>C27</v>
      </c>
      <c r="S1353" t="str">
        <v>1000000894 FORTIN REPUBLICA SA</v>
      </c>
    </row>
    <row r="1354" spans="1:19" x14ac:dyDescent="0.3">
      <c r="A1354" s="2" t="s">
        <v>14</v>
      </c>
      <c r="B1354" s="3" t="s">
        <v>14</v>
      </c>
      <c r="C1354" s="3" t="s">
        <v>1276</v>
      </c>
      <c r="D1354" s="3" t="s">
        <v>32</v>
      </c>
      <c r="E1354" s="3" t="s">
        <v>466</v>
      </c>
      <c r="F1354" s="4">
        <v>46273</v>
      </c>
      <c r="G1354" s="3" t="s">
        <v>17</v>
      </c>
      <c r="H1354" s="5">
        <v>-3664.38</v>
      </c>
      <c r="I1354" s="3" t="s">
        <v>18</v>
      </c>
      <c r="J1354" s="3" t="s">
        <v>14</v>
      </c>
      <c r="K1354" s="3" t="s">
        <v>14</v>
      </c>
      <c r="L1354" s="3" t="s">
        <v>892</v>
      </c>
      <c r="M1354" s="4">
        <v>46273</v>
      </c>
      <c r="N1354" s="3" t="s">
        <v>1275</v>
      </c>
      <c r="O1354" s="3" t="s">
        <v>157</v>
      </c>
      <c r="P1354" t="str">
        <f t="shared" si="21"/>
        <v>4500137593410</v>
      </c>
      <c r="Q1354" s="7" cm="1">
        <f t="array" ref="Q1354:S1354">VLOOKUP(P1354,Hoja1!C:F,{2,3,4},FALSE)</f>
        <v>46275</v>
      </c>
      <c r="R1354" t="str">
        <v>C27</v>
      </c>
      <c r="S1354" t="str">
        <v>1000000894 FORTIN REPUBLICA SA</v>
      </c>
    </row>
    <row r="1355" spans="1:19" x14ac:dyDescent="0.3">
      <c r="A1355" s="2" t="s">
        <v>14</v>
      </c>
      <c r="B1355" s="3" t="s">
        <v>14</v>
      </c>
      <c r="C1355" s="3" t="s">
        <v>1277</v>
      </c>
      <c r="D1355" s="3" t="s">
        <v>14</v>
      </c>
      <c r="E1355" s="3" t="s">
        <v>466</v>
      </c>
      <c r="F1355" s="4">
        <v>46273</v>
      </c>
      <c r="G1355" s="3" t="s">
        <v>17</v>
      </c>
      <c r="H1355" s="5">
        <v>-1172958.3799999999</v>
      </c>
      <c r="I1355" s="3" t="s">
        <v>18</v>
      </c>
      <c r="J1355" s="3" t="s">
        <v>14</v>
      </c>
      <c r="K1355" s="3" t="s">
        <v>14</v>
      </c>
      <c r="L1355" s="3" t="s">
        <v>232</v>
      </c>
      <c r="M1355" s="4">
        <v>46273</v>
      </c>
      <c r="N1355" s="3" t="s">
        <v>1278</v>
      </c>
      <c r="O1355" s="3" t="s">
        <v>30</v>
      </c>
      <c r="P1355" t="str">
        <f t="shared" si="21"/>
        <v>450013781910</v>
      </c>
      <c r="Q1355" s="7" cm="1">
        <f t="array" ref="Q1355:S1355">VLOOKUP(P1355,Hoja1!C:F,{2,3,4},FALSE)</f>
        <v>46280</v>
      </c>
      <c r="R1355" t="str">
        <v>C42</v>
      </c>
      <c r="S1355" t="str">
        <v>1000000572 GRUAS SAN BLAS S.A</v>
      </c>
    </row>
    <row r="1356" spans="1:19" x14ac:dyDescent="0.3">
      <c r="A1356" s="2" t="s">
        <v>14</v>
      </c>
      <c r="B1356" s="3" t="s">
        <v>14</v>
      </c>
      <c r="C1356" s="3" t="s">
        <v>1277</v>
      </c>
      <c r="D1356" s="3" t="s">
        <v>14</v>
      </c>
      <c r="E1356" s="3" t="s">
        <v>466</v>
      </c>
      <c r="F1356" s="4">
        <v>46273</v>
      </c>
      <c r="G1356" s="3" t="s">
        <v>17</v>
      </c>
      <c r="H1356" s="5">
        <v>-1172958.3799999999</v>
      </c>
      <c r="I1356" s="3" t="s">
        <v>18</v>
      </c>
      <c r="J1356" s="3" t="s">
        <v>14</v>
      </c>
      <c r="K1356" s="3" t="s">
        <v>14</v>
      </c>
      <c r="L1356" s="3" t="s">
        <v>232</v>
      </c>
      <c r="M1356" s="4">
        <v>46273</v>
      </c>
      <c r="N1356" s="3" t="s">
        <v>1278</v>
      </c>
      <c r="O1356" s="3" t="s">
        <v>22</v>
      </c>
      <c r="P1356" t="str">
        <f t="shared" si="21"/>
        <v>450013781920</v>
      </c>
      <c r="Q1356" s="7" cm="1">
        <f t="array" ref="Q1356:S1356">VLOOKUP(P1356,Hoja1!C:F,{2,3,4},FALSE)</f>
        <v>46280</v>
      </c>
      <c r="R1356" t="str">
        <v>C42</v>
      </c>
      <c r="S1356" t="str">
        <v>1000000572 GRUAS SAN BLAS S.A</v>
      </c>
    </row>
    <row r="1357" spans="1:19" x14ac:dyDescent="0.3">
      <c r="A1357" s="2" t="s">
        <v>14</v>
      </c>
      <c r="B1357" s="3" t="s">
        <v>14</v>
      </c>
      <c r="C1357" s="3" t="s">
        <v>1279</v>
      </c>
      <c r="D1357" s="3" t="s">
        <v>14</v>
      </c>
      <c r="E1357" s="3" t="s">
        <v>466</v>
      </c>
      <c r="F1357" s="4">
        <v>46273</v>
      </c>
      <c r="G1357" s="3" t="s">
        <v>17</v>
      </c>
      <c r="H1357" s="5">
        <v>-41457.57</v>
      </c>
      <c r="I1357" s="3" t="s">
        <v>18</v>
      </c>
      <c r="J1357" s="3" t="s">
        <v>14</v>
      </c>
      <c r="K1357" s="3" t="s">
        <v>14</v>
      </c>
      <c r="L1357" s="3" t="s">
        <v>232</v>
      </c>
      <c r="M1357" s="4">
        <v>46273</v>
      </c>
      <c r="N1357" s="3" t="s">
        <v>1280</v>
      </c>
      <c r="O1357" s="3" t="s">
        <v>30</v>
      </c>
      <c r="P1357" t="str">
        <f t="shared" si="21"/>
        <v>450013796010</v>
      </c>
      <c r="Q1357" s="7" cm="1">
        <f t="array" ref="Q1357:S1357">VLOOKUP(P1357,Hoja1!C:F,{2,3,4},FALSE)</f>
        <v>46285</v>
      </c>
      <c r="R1357" t="str">
        <v>C42</v>
      </c>
      <c r="S1357" t="str">
        <v>1000000572 GRUAS SAN BLAS S.A</v>
      </c>
    </row>
    <row r="1358" spans="1:19" x14ac:dyDescent="0.3">
      <c r="A1358" s="2" t="s">
        <v>14</v>
      </c>
      <c r="B1358" s="3" t="s">
        <v>14</v>
      </c>
      <c r="C1358" s="3" t="s">
        <v>1281</v>
      </c>
      <c r="D1358" s="3" t="s">
        <v>14</v>
      </c>
      <c r="E1358" s="3" t="s">
        <v>466</v>
      </c>
      <c r="F1358" s="4">
        <v>46273</v>
      </c>
      <c r="G1358" s="3" t="s">
        <v>17</v>
      </c>
      <c r="H1358" s="5">
        <v>-841570</v>
      </c>
      <c r="I1358" s="3" t="s">
        <v>18</v>
      </c>
      <c r="J1358" s="3" t="s">
        <v>14</v>
      </c>
      <c r="K1358" s="3" t="s">
        <v>14</v>
      </c>
      <c r="L1358" s="3" t="s">
        <v>1087</v>
      </c>
      <c r="M1358" s="4">
        <v>46273</v>
      </c>
      <c r="N1358" s="3" t="s">
        <v>1282</v>
      </c>
      <c r="O1358" s="3" t="s">
        <v>30</v>
      </c>
      <c r="P1358" t="str">
        <f t="shared" si="21"/>
        <v>450013735210</v>
      </c>
      <c r="Q1358" s="7" cm="1">
        <f t="array" ref="Q1358:S1358">VLOOKUP(P1358,Hoja1!C:F,{2,3,4},FALSE)</f>
        <v>46280</v>
      </c>
      <c r="R1358" t="str">
        <v>C38</v>
      </c>
      <c r="S1358" t="str">
        <v>1000000326 CABRERA ADRIAN ALFREDO RAMON</v>
      </c>
    </row>
    <row r="1359" spans="1:19" x14ac:dyDescent="0.3">
      <c r="A1359" s="2" t="s">
        <v>14</v>
      </c>
      <c r="B1359" s="3" t="s">
        <v>14</v>
      </c>
      <c r="C1359" s="3" t="s">
        <v>1283</v>
      </c>
      <c r="D1359" s="3" t="s">
        <v>14</v>
      </c>
      <c r="E1359" s="3" t="s">
        <v>466</v>
      </c>
      <c r="F1359" s="4">
        <v>46273</v>
      </c>
      <c r="G1359" s="3" t="s">
        <v>17</v>
      </c>
      <c r="H1359" s="5">
        <v>-250000</v>
      </c>
      <c r="I1359" s="3" t="s">
        <v>18</v>
      </c>
      <c r="J1359" s="3" t="s">
        <v>14</v>
      </c>
      <c r="K1359" s="3" t="s">
        <v>14</v>
      </c>
      <c r="L1359" s="3" t="s">
        <v>912</v>
      </c>
      <c r="M1359" s="4">
        <v>46273</v>
      </c>
      <c r="N1359" s="3" t="s">
        <v>1284</v>
      </c>
      <c r="O1359" s="3" t="s">
        <v>30</v>
      </c>
      <c r="P1359" t="str">
        <f t="shared" si="21"/>
        <v>450013768910</v>
      </c>
      <c r="Q1359" s="7" cm="1">
        <f t="array" ref="Q1359:S1359">VLOOKUP(P1359,Hoja1!C:F,{2,3,4},FALSE)</f>
        <v>46280</v>
      </c>
      <c r="R1359" t="str">
        <v>C38</v>
      </c>
      <c r="S1359" t="str">
        <v>1000009217 PITTACOLO WALTER Y PITTACOLO JUAN</v>
      </c>
    </row>
    <row r="1360" spans="1:19" x14ac:dyDescent="0.3">
      <c r="A1360" s="2" t="s">
        <v>14</v>
      </c>
      <c r="B1360" s="3" t="s">
        <v>14</v>
      </c>
      <c r="C1360" s="3" t="s">
        <v>1285</v>
      </c>
      <c r="D1360" s="3" t="s">
        <v>32</v>
      </c>
      <c r="E1360" s="3" t="s">
        <v>466</v>
      </c>
      <c r="F1360" s="4">
        <v>46273</v>
      </c>
      <c r="G1360" s="3" t="s">
        <v>17</v>
      </c>
      <c r="H1360" s="5">
        <v>-580000</v>
      </c>
      <c r="I1360" s="3" t="s">
        <v>18</v>
      </c>
      <c r="J1360" s="3" t="s">
        <v>14</v>
      </c>
      <c r="K1360" s="3" t="s">
        <v>14</v>
      </c>
      <c r="L1360" s="3" t="s">
        <v>1286</v>
      </c>
      <c r="M1360" s="4">
        <v>46273</v>
      </c>
      <c r="N1360" s="3" t="s">
        <v>1287</v>
      </c>
      <c r="O1360" s="3" t="s">
        <v>30</v>
      </c>
      <c r="P1360" t="str">
        <f t="shared" si="21"/>
        <v>450013034610</v>
      </c>
      <c r="Q1360" s="7" cm="1">
        <f t="array" ref="Q1360:S1360">VLOOKUP(P1360,Hoja1!C:F,{2,3,4},FALSE)</f>
        <v>46419</v>
      </c>
      <c r="R1360" t="str">
        <v>C24</v>
      </c>
      <c r="S1360" t="str">
        <v>1000002283 TECNICA Y SISTEMAS SRL</v>
      </c>
    </row>
    <row r="1361" spans="1:19" x14ac:dyDescent="0.3">
      <c r="A1361" s="2" t="s">
        <v>14</v>
      </c>
      <c r="B1361" s="3" t="s">
        <v>14</v>
      </c>
      <c r="C1361" s="3" t="s">
        <v>1288</v>
      </c>
      <c r="D1361" s="3" t="s">
        <v>14</v>
      </c>
      <c r="E1361" s="3" t="s">
        <v>466</v>
      </c>
      <c r="F1361" s="4">
        <v>46267</v>
      </c>
      <c r="G1361" s="3" t="s">
        <v>17</v>
      </c>
      <c r="H1361" s="5">
        <v>-140603.1</v>
      </c>
      <c r="I1361" s="3" t="s">
        <v>18</v>
      </c>
      <c r="J1361" s="3" t="s">
        <v>14</v>
      </c>
      <c r="K1361" s="3" t="s">
        <v>14</v>
      </c>
      <c r="L1361" s="3" t="s">
        <v>1289</v>
      </c>
      <c r="M1361" s="4">
        <v>46273</v>
      </c>
      <c r="N1361" s="3" t="s">
        <v>1290</v>
      </c>
      <c r="O1361" s="3" t="s">
        <v>30</v>
      </c>
      <c r="P1361" t="str">
        <f t="shared" si="21"/>
        <v>450013701710</v>
      </c>
      <c r="Q1361" s="7" cm="1">
        <f t="array" ref="Q1361:S1361">VLOOKUP(P1361,Hoja1!C:F,{2,3,4},FALSE)</f>
        <v>46272</v>
      </c>
      <c r="R1361" t="str">
        <v>F07</v>
      </c>
      <c r="S1361" t="str">
        <v>1000000907 SERVICIOS VIALES DE STA. FE SA</v>
      </c>
    </row>
    <row r="1362" spans="1:19" x14ac:dyDescent="0.3">
      <c r="A1362" s="2" t="s">
        <v>14</v>
      </c>
      <c r="B1362" s="3" t="s">
        <v>14</v>
      </c>
      <c r="C1362" s="3" t="s">
        <v>1288</v>
      </c>
      <c r="D1362" s="3" t="s">
        <v>14</v>
      </c>
      <c r="E1362" s="3" t="s">
        <v>466</v>
      </c>
      <c r="F1362" s="4">
        <v>46267</v>
      </c>
      <c r="G1362" s="3" t="s">
        <v>17</v>
      </c>
      <c r="H1362" s="5">
        <v>-82598.67</v>
      </c>
      <c r="I1362" s="3" t="s">
        <v>18</v>
      </c>
      <c r="J1362" s="3" t="s">
        <v>14</v>
      </c>
      <c r="K1362" s="3" t="s">
        <v>14</v>
      </c>
      <c r="L1362" s="3" t="s">
        <v>1289</v>
      </c>
      <c r="M1362" s="4">
        <v>46273</v>
      </c>
      <c r="N1362" s="3" t="s">
        <v>1290</v>
      </c>
      <c r="O1362" s="3" t="s">
        <v>22</v>
      </c>
      <c r="P1362" t="str">
        <f t="shared" si="21"/>
        <v>450013701720</v>
      </c>
      <c r="Q1362" s="7" cm="1">
        <f t="array" ref="Q1362:S1362">VLOOKUP(P1362,Hoja1!C:F,{2,3,4},FALSE)</f>
        <v>46272</v>
      </c>
      <c r="R1362" t="str">
        <v>F07</v>
      </c>
      <c r="S1362" t="str">
        <v>1000000907 SERVICIOS VIALES DE STA. FE SA</v>
      </c>
    </row>
    <row r="1363" spans="1:19" x14ac:dyDescent="0.3">
      <c r="A1363" s="2" t="s">
        <v>14</v>
      </c>
      <c r="B1363" s="3" t="s">
        <v>14</v>
      </c>
      <c r="C1363" s="3" t="s">
        <v>1288</v>
      </c>
      <c r="D1363" s="3" t="s">
        <v>14</v>
      </c>
      <c r="E1363" s="3" t="s">
        <v>466</v>
      </c>
      <c r="F1363" s="4">
        <v>46267</v>
      </c>
      <c r="G1363" s="3" t="s">
        <v>17</v>
      </c>
      <c r="H1363" s="5">
        <v>-380276.38</v>
      </c>
      <c r="I1363" s="3" t="s">
        <v>18</v>
      </c>
      <c r="J1363" s="3" t="s">
        <v>14</v>
      </c>
      <c r="K1363" s="3" t="s">
        <v>14</v>
      </c>
      <c r="L1363" s="3" t="s">
        <v>1289</v>
      </c>
      <c r="M1363" s="4">
        <v>46273</v>
      </c>
      <c r="N1363" s="3" t="s">
        <v>1290</v>
      </c>
      <c r="O1363" s="3" t="s">
        <v>35</v>
      </c>
      <c r="P1363" t="str">
        <f t="shared" si="21"/>
        <v>450013701730</v>
      </c>
      <c r="Q1363" s="7" cm="1">
        <f t="array" ref="Q1363:S1363">VLOOKUP(P1363,Hoja1!C:F,{2,3,4},FALSE)</f>
        <v>46272</v>
      </c>
      <c r="R1363" t="str">
        <v>F07</v>
      </c>
      <c r="S1363" t="str">
        <v>1000000907 SERVICIOS VIALES DE STA. FE SA</v>
      </c>
    </row>
    <row r="1364" spans="1:19" x14ac:dyDescent="0.3">
      <c r="A1364" s="2" t="s">
        <v>14</v>
      </c>
      <c r="B1364" s="3" t="s">
        <v>14</v>
      </c>
      <c r="C1364" s="3" t="s">
        <v>1288</v>
      </c>
      <c r="D1364" s="3" t="s">
        <v>14</v>
      </c>
      <c r="E1364" s="3" t="s">
        <v>466</v>
      </c>
      <c r="F1364" s="4">
        <v>46267</v>
      </c>
      <c r="G1364" s="3" t="s">
        <v>17</v>
      </c>
      <c r="H1364" s="5">
        <v>-196151.12</v>
      </c>
      <c r="I1364" s="3" t="s">
        <v>18</v>
      </c>
      <c r="J1364" s="3" t="s">
        <v>14</v>
      </c>
      <c r="K1364" s="3" t="s">
        <v>14</v>
      </c>
      <c r="L1364" s="3" t="s">
        <v>1289</v>
      </c>
      <c r="M1364" s="4">
        <v>46273</v>
      </c>
      <c r="N1364" s="3" t="s">
        <v>1290</v>
      </c>
      <c r="O1364" s="3" t="s">
        <v>23</v>
      </c>
      <c r="P1364" t="str">
        <f t="shared" si="21"/>
        <v>450013701740</v>
      </c>
      <c r="Q1364" s="7" cm="1">
        <f t="array" ref="Q1364:S1364">VLOOKUP(P1364,Hoja1!C:F,{2,3,4},FALSE)</f>
        <v>46272</v>
      </c>
      <c r="R1364" t="str">
        <v>F07</v>
      </c>
      <c r="S1364" t="str">
        <v>1000000907 SERVICIOS VIALES DE STA. FE SA</v>
      </c>
    </row>
    <row r="1365" spans="1:19" x14ac:dyDescent="0.3">
      <c r="A1365" s="2" t="s">
        <v>14</v>
      </c>
      <c r="B1365" s="3" t="s">
        <v>14</v>
      </c>
      <c r="C1365" s="3" t="s">
        <v>1288</v>
      </c>
      <c r="D1365" s="3" t="s">
        <v>14</v>
      </c>
      <c r="E1365" s="3" t="s">
        <v>466</v>
      </c>
      <c r="F1365" s="4">
        <v>46267</v>
      </c>
      <c r="G1365" s="3" t="s">
        <v>17</v>
      </c>
      <c r="H1365" s="5">
        <v>-1218334.1499999999</v>
      </c>
      <c r="I1365" s="3" t="s">
        <v>18</v>
      </c>
      <c r="J1365" s="3" t="s">
        <v>14</v>
      </c>
      <c r="K1365" s="3" t="s">
        <v>14</v>
      </c>
      <c r="L1365" s="3" t="s">
        <v>1289</v>
      </c>
      <c r="M1365" s="4">
        <v>46273</v>
      </c>
      <c r="N1365" s="3" t="s">
        <v>1290</v>
      </c>
      <c r="O1365" s="3" t="s">
        <v>144</v>
      </c>
      <c r="P1365" t="str">
        <f t="shared" si="21"/>
        <v>450013701750</v>
      </c>
      <c r="Q1365" s="7" cm="1">
        <f t="array" ref="Q1365:S1365">VLOOKUP(P1365,Hoja1!C:F,{2,3,4},FALSE)</f>
        <v>46272</v>
      </c>
      <c r="R1365" t="str">
        <v>F07</v>
      </c>
      <c r="S1365" t="str">
        <v>1000000907 SERVICIOS VIALES DE STA. FE SA</v>
      </c>
    </row>
    <row r="1366" spans="1:19" x14ac:dyDescent="0.3">
      <c r="A1366" s="2" t="s">
        <v>14</v>
      </c>
      <c r="B1366" s="3" t="s">
        <v>14</v>
      </c>
      <c r="C1366" s="3" t="s">
        <v>1288</v>
      </c>
      <c r="D1366" s="3" t="s">
        <v>14</v>
      </c>
      <c r="E1366" s="3" t="s">
        <v>466</v>
      </c>
      <c r="F1366" s="4">
        <v>46267</v>
      </c>
      <c r="G1366" s="3" t="s">
        <v>17</v>
      </c>
      <c r="H1366" s="5">
        <v>-226170.56</v>
      </c>
      <c r="I1366" s="3" t="s">
        <v>18</v>
      </c>
      <c r="J1366" s="3" t="s">
        <v>14</v>
      </c>
      <c r="K1366" s="3" t="s">
        <v>14</v>
      </c>
      <c r="L1366" s="3" t="s">
        <v>1289</v>
      </c>
      <c r="M1366" s="4">
        <v>46273</v>
      </c>
      <c r="N1366" s="3" t="s">
        <v>1290</v>
      </c>
      <c r="O1366" s="3" t="s">
        <v>141</v>
      </c>
      <c r="P1366" t="str">
        <f t="shared" si="21"/>
        <v>450013701760</v>
      </c>
      <c r="Q1366" s="7" cm="1">
        <f t="array" ref="Q1366:S1366">VLOOKUP(P1366,Hoja1!C:F,{2,3,4},FALSE)</f>
        <v>46272</v>
      </c>
      <c r="R1366" t="str">
        <v>F07</v>
      </c>
      <c r="S1366" t="str">
        <v>1000000907 SERVICIOS VIALES DE STA. FE SA</v>
      </c>
    </row>
    <row r="1367" spans="1:19" x14ac:dyDescent="0.3">
      <c r="A1367" s="2" t="s">
        <v>14</v>
      </c>
      <c r="B1367" s="3" t="s">
        <v>14</v>
      </c>
      <c r="C1367" s="3" t="s">
        <v>1288</v>
      </c>
      <c r="D1367" s="3" t="s">
        <v>14</v>
      </c>
      <c r="E1367" s="3" t="s">
        <v>466</v>
      </c>
      <c r="F1367" s="4">
        <v>46267</v>
      </c>
      <c r="G1367" s="3" t="s">
        <v>17</v>
      </c>
      <c r="H1367" s="5">
        <v>-96674.05</v>
      </c>
      <c r="I1367" s="3" t="s">
        <v>18</v>
      </c>
      <c r="J1367" s="3" t="s">
        <v>14</v>
      </c>
      <c r="K1367" s="3" t="s">
        <v>14</v>
      </c>
      <c r="L1367" s="3" t="s">
        <v>1289</v>
      </c>
      <c r="M1367" s="4">
        <v>46273</v>
      </c>
      <c r="N1367" s="3" t="s">
        <v>1290</v>
      </c>
      <c r="O1367" s="3" t="s">
        <v>134</v>
      </c>
      <c r="P1367" t="str">
        <f t="shared" si="21"/>
        <v>450013701770</v>
      </c>
      <c r="Q1367" s="7" cm="1">
        <f t="array" ref="Q1367:S1367">VLOOKUP(P1367,Hoja1!C:F,{2,3,4},FALSE)</f>
        <v>46272</v>
      </c>
      <c r="R1367" t="str">
        <v>F07</v>
      </c>
      <c r="S1367" t="str">
        <v>1000000907 SERVICIOS VIALES DE STA. FE SA</v>
      </c>
    </row>
    <row r="1368" spans="1:19" x14ac:dyDescent="0.3">
      <c r="A1368" s="2" t="s">
        <v>14</v>
      </c>
      <c r="B1368" s="3" t="s">
        <v>14</v>
      </c>
      <c r="C1368" s="3" t="s">
        <v>1288</v>
      </c>
      <c r="D1368" s="3" t="s">
        <v>14</v>
      </c>
      <c r="E1368" s="3" t="s">
        <v>466</v>
      </c>
      <c r="F1368" s="4">
        <v>46267</v>
      </c>
      <c r="G1368" s="3" t="s">
        <v>17</v>
      </c>
      <c r="H1368" s="5">
        <v>-308980.21000000002</v>
      </c>
      <c r="I1368" s="3" t="s">
        <v>18</v>
      </c>
      <c r="J1368" s="3" t="s">
        <v>14</v>
      </c>
      <c r="K1368" s="3" t="s">
        <v>14</v>
      </c>
      <c r="L1368" s="3" t="s">
        <v>1289</v>
      </c>
      <c r="M1368" s="4">
        <v>46273</v>
      </c>
      <c r="N1368" s="3" t="s">
        <v>1290</v>
      </c>
      <c r="O1368" s="3" t="s">
        <v>52</v>
      </c>
      <c r="P1368" t="str">
        <f t="shared" si="21"/>
        <v>450013701780</v>
      </c>
      <c r="Q1368" s="7" cm="1">
        <f t="array" ref="Q1368:S1368">VLOOKUP(P1368,Hoja1!C:F,{2,3,4},FALSE)</f>
        <v>46272</v>
      </c>
      <c r="R1368" t="str">
        <v>F07</v>
      </c>
      <c r="S1368" t="str">
        <v>1000000907 SERVICIOS VIALES DE STA. FE SA</v>
      </c>
    </row>
    <row r="1369" spans="1:19" x14ac:dyDescent="0.3">
      <c r="A1369" s="2" t="s">
        <v>14</v>
      </c>
      <c r="B1369" s="3" t="s">
        <v>14</v>
      </c>
      <c r="C1369" s="3" t="s">
        <v>1288</v>
      </c>
      <c r="D1369" s="3" t="s">
        <v>14</v>
      </c>
      <c r="E1369" s="3" t="s">
        <v>466</v>
      </c>
      <c r="F1369" s="4">
        <v>46267</v>
      </c>
      <c r="G1369" s="3" t="s">
        <v>17</v>
      </c>
      <c r="H1369" s="5">
        <v>-385309.76</v>
      </c>
      <c r="I1369" s="3" t="s">
        <v>18</v>
      </c>
      <c r="J1369" s="3" t="s">
        <v>14</v>
      </c>
      <c r="K1369" s="3" t="s">
        <v>14</v>
      </c>
      <c r="L1369" s="3" t="s">
        <v>1289</v>
      </c>
      <c r="M1369" s="4">
        <v>46273</v>
      </c>
      <c r="N1369" s="3" t="s">
        <v>1290</v>
      </c>
      <c r="O1369" s="3" t="s">
        <v>138</v>
      </c>
      <c r="P1369" t="str">
        <f t="shared" si="21"/>
        <v>450013701790</v>
      </c>
      <c r="Q1369" s="7" cm="1">
        <f t="array" ref="Q1369:S1369">VLOOKUP(P1369,Hoja1!C:F,{2,3,4},FALSE)</f>
        <v>46272</v>
      </c>
      <c r="R1369" t="str">
        <v>F07</v>
      </c>
      <c r="S1369" t="str">
        <v>1000000907 SERVICIOS VIALES DE STA. FE SA</v>
      </c>
    </row>
    <row r="1370" spans="1:19" x14ac:dyDescent="0.3">
      <c r="A1370" s="2" t="s">
        <v>14</v>
      </c>
      <c r="B1370" s="3" t="s">
        <v>14</v>
      </c>
      <c r="C1370" s="3" t="s">
        <v>1288</v>
      </c>
      <c r="D1370" s="3" t="s">
        <v>14</v>
      </c>
      <c r="E1370" s="3" t="s">
        <v>466</v>
      </c>
      <c r="F1370" s="4">
        <v>46267</v>
      </c>
      <c r="G1370" s="3" t="s">
        <v>17</v>
      </c>
      <c r="H1370" s="5">
        <v>-1513329.4</v>
      </c>
      <c r="I1370" s="3" t="s">
        <v>18</v>
      </c>
      <c r="J1370" s="3" t="s">
        <v>14</v>
      </c>
      <c r="K1370" s="3" t="s">
        <v>14</v>
      </c>
      <c r="L1370" s="3" t="s">
        <v>1289</v>
      </c>
      <c r="M1370" s="4">
        <v>46273</v>
      </c>
      <c r="N1370" s="3" t="s">
        <v>1290</v>
      </c>
      <c r="O1370" s="3" t="s">
        <v>45</v>
      </c>
      <c r="P1370" t="str">
        <f t="shared" si="21"/>
        <v>4500137017100</v>
      </c>
      <c r="Q1370" s="7" cm="1">
        <f t="array" ref="Q1370:S1370">VLOOKUP(P1370,Hoja1!C:F,{2,3,4},FALSE)</f>
        <v>46272</v>
      </c>
      <c r="R1370" t="str">
        <v>F07</v>
      </c>
      <c r="S1370" t="str">
        <v>1000000907 SERVICIOS VIALES DE STA. FE SA</v>
      </c>
    </row>
    <row r="1371" spans="1:19" x14ac:dyDescent="0.3">
      <c r="A1371" s="2" t="s">
        <v>14</v>
      </c>
      <c r="B1371" s="3" t="s">
        <v>14</v>
      </c>
      <c r="C1371" s="3" t="s">
        <v>1288</v>
      </c>
      <c r="D1371" s="3" t="s">
        <v>14</v>
      </c>
      <c r="E1371" s="3" t="s">
        <v>466</v>
      </c>
      <c r="F1371" s="4">
        <v>46267</v>
      </c>
      <c r="G1371" s="3" t="s">
        <v>17</v>
      </c>
      <c r="H1371" s="5">
        <v>-520276.68</v>
      </c>
      <c r="I1371" s="3" t="s">
        <v>18</v>
      </c>
      <c r="J1371" s="3" t="s">
        <v>14</v>
      </c>
      <c r="K1371" s="3" t="s">
        <v>14</v>
      </c>
      <c r="L1371" s="3" t="s">
        <v>1289</v>
      </c>
      <c r="M1371" s="4">
        <v>46273</v>
      </c>
      <c r="N1371" s="3" t="s">
        <v>1290</v>
      </c>
      <c r="O1371" s="3" t="s">
        <v>156</v>
      </c>
      <c r="P1371" t="str">
        <f t="shared" si="21"/>
        <v>4500137017110</v>
      </c>
      <c r="Q1371" s="7" cm="1">
        <f t="array" ref="Q1371:S1371">VLOOKUP(P1371,Hoja1!C:F,{2,3,4},FALSE)</f>
        <v>46272</v>
      </c>
      <c r="R1371" t="str">
        <v>F07</v>
      </c>
      <c r="S1371" t="str">
        <v>1000000907 SERVICIOS VIALES DE STA. FE SA</v>
      </c>
    </row>
    <row r="1372" spans="1:19" x14ac:dyDescent="0.3">
      <c r="A1372" s="2" t="s">
        <v>14</v>
      </c>
      <c r="B1372" s="3" t="s">
        <v>14</v>
      </c>
      <c r="C1372" s="3" t="s">
        <v>1291</v>
      </c>
      <c r="D1372" s="3" t="s">
        <v>14</v>
      </c>
      <c r="E1372" s="3" t="s">
        <v>466</v>
      </c>
      <c r="F1372" s="4">
        <v>46273</v>
      </c>
      <c r="G1372" s="3" t="s">
        <v>17</v>
      </c>
      <c r="H1372" s="5">
        <v>-54592.41</v>
      </c>
      <c r="I1372" s="3" t="s">
        <v>18</v>
      </c>
      <c r="J1372" s="3" t="s">
        <v>14</v>
      </c>
      <c r="K1372" s="3" t="s">
        <v>14</v>
      </c>
      <c r="L1372" s="3" t="s">
        <v>892</v>
      </c>
      <c r="M1372" s="4">
        <v>46273</v>
      </c>
      <c r="N1372" s="3" t="s">
        <v>1292</v>
      </c>
      <c r="O1372" s="3" t="s">
        <v>35</v>
      </c>
      <c r="P1372" t="str">
        <f t="shared" si="21"/>
        <v>450013638630</v>
      </c>
      <c r="Q1372" s="7" cm="1">
        <f t="array" ref="Q1372:S1372">VLOOKUP(P1372,Hoja1!C:F,{2,3,4},FALSE)</f>
        <v>46269</v>
      </c>
      <c r="R1372" t="str">
        <v>C27</v>
      </c>
      <c r="S1372" t="str">
        <v>1000000894 FORTIN REPUBLICA SA</v>
      </c>
    </row>
    <row r="1373" spans="1:19" x14ac:dyDescent="0.3">
      <c r="A1373" s="2" t="s">
        <v>14</v>
      </c>
      <c r="B1373" s="3" t="s">
        <v>14</v>
      </c>
      <c r="C1373" s="3" t="s">
        <v>1291</v>
      </c>
      <c r="D1373" s="3" t="s">
        <v>14</v>
      </c>
      <c r="E1373" s="3" t="s">
        <v>466</v>
      </c>
      <c r="F1373" s="4">
        <v>46273</v>
      </c>
      <c r="G1373" s="3" t="s">
        <v>17</v>
      </c>
      <c r="H1373" s="5">
        <v>-32785.440000000002</v>
      </c>
      <c r="I1373" s="3" t="s">
        <v>18</v>
      </c>
      <c r="J1373" s="3" t="s">
        <v>14</v>
      </c>
      <c r="K1373" s="3" t="s">
        <v>14</v>
      </c>
      <c r="L1373" s="3" t="s">
        <v>892</v>
      </c>
      <c r="M1373" s="4">
        <v>46273</v>
      </c>
      <c r="N1373" s="3" t="s">
        <v>1292</v>
      </c>
      <c r="O1373" s="3" t="s">
        <v>23</v>
      </c>
      <c r="P1373" t="str">
        <f t="shared" si="21"/>
        <v>450013638640</v>
      </c>
      <c r="Q1373" s="7" cm="1">
        <f t="array" ref="Q1373:S1373">VLOOKUP(P1373,Hoja1!C:F,{2,3,4},FALSE)</f>
        <v>46269</v>
      </c>
      <c r="R1373" t="str">
        <v>C27</v>
      </c>
      <c r="S1373" t="str">
        <v>1000000894 FORTIN REPUBLICA SA</v>
      </c>
    </row>
    <row r="1374" spans="1:19" x14ac:dyDescent="0.3">
      <c r="A1374" s="2" t="s">
        <v>14</v>
      </c>
      <c r="B1374" s="3" t="s">
        <v>14</v>
      </c>
      <c r="C1374" s="3" t="s">
        <v>1291</v>
      </c>
      <c r="D1374" s="3" t="s">
        <v>14</v>
      </c>
      <c r="E1374" s="3" t="s">
        <v>466</v>
      </c>
      <c r="F1374" s="4">
        <v>46273</v>
      </c>
      <c r="G1374" s="3" t="s">
        <v>17</v>
      </c>
      <c r="H1374" s="5">
        <v>-322255.25</v>
      </c>
      <c r="I1374" s="3" t="s">
        <v>18</v>
      </c>
      <c r="J1374" s="3" t="s">
        <v>14</v>
      </c>
      <c r="K1374" s="3" t="s">
        <v>14</v>
      </c>
      <c r="L1374" s="3" t="s">
        <v>892</v>
      </c>
      <c r="M1374" s="4">
        <v>46273</v>
      </c>
      <c r="N1374" s="3" t="s">
        <v>1292</v>
      </c>
      <c r="O1374" s="3" t="s">
        <v>141</v>
      </c>
      <c r="P1374" t="str">
        <f t="shared" si="21"/>
        <v>450013638660</v>
      </c>
      <c r="Q1374" s="7" cm="1">
        <f t="array" ref="Q1374:S1374">VLOOKUP(P1374,Hoja1!C:F,{2,3,4},FALSE)</f>
        <v>46269</v>
      </c>
      <c r="R1374" t="str">
        <v>C27</v>
      </c>
      <c r="S1374" t="str">
        <v>1000000894 FORTIN REPUBLICA SA</v>
      </c>
    </row>
    <row r="1375" spans="1:19" x14ac:dyDescent="0.3">
      <c r="A1375" s="2" t="s">
        <v>14</v>
      </c>
      <c r="B1375" s="3" t="s">
        <v>14</v>
      </c>
      <c r="C1375" s="3" t="s">
        <v>1291</v>
      </c>
      <c r="D1375" s="3" t="s">
        <v>14</v>
      </c>
      <c r="E1375" s="3" t="s">
        <v>466</v>
      </c>
      <c r="F1375" s="4">
        <v>46273</v>
      </c>
      <c r="G1375" s="3" t="s">
        <v>17</v>
      </c>
      <c r="H1375" s="5">
        <v>-29517.18</v>
      </c>
      <c r="I1375" s="3" t="s">
        <v>18</v>
      </c>
      <c r="J1375" s="3" t="s">
        <v>14</v>
      </c>
      <c r="K1375" s="3" t="s">
        <v>14</v>
      </c>
      <c r="L1375" s="3" t="s">
        <v>892</v>
      </c>
      <c r="M1375" s="4">
        <v>46273</v>
      </c>
      <c r="N1375" s="3" t="s">
        <v>1292</v>
      </c>
      <c r="O1375" s="3" t="s">
        <v>134</v>
      </c>
      <c r="P1375" t="str">
        <f t="shared" si="21"/>
        <v>450013638670</v>
      </c>
      <c r="Q1375" s="7" cm="1">
        <f t="array" ref="Q1375:S1375">VLOOKUP(P1375,Hoja1!C:F,{2,3,4},FALSE)</f>
        <v>46269</v>
      </c>
      <c r="R1375" t="str">
        <v>C27</v>
      </c>
      <c r="S1375" t="str">
        <v>1000000894 FORTIN REPUBLICA SA</v>
      </c>
    </row>
    <row r="1376" spans="1:19" x14ac:dyDescent="0.3">
      <c r="A1376" s="2" t="s">
        <v>14</v>
      </c>
      <c r="B1376" s="3" t="s">
        <v>14</v>
      </c>
      <c r="C1376" s="3" t="s">
        <v>1291</v>
      </c>
      <c r="D1376" s="3" t="s">
        <v>14</v>
      </c>
      <c r="E1376" s="3" t="s">
        <v>466</v>
      </c>
      <c r="F1376" s="4">
        <v>46273</v>
      </c>
      <c r="G1376" s="3" t="s">
        <v>17</v>
      </c>
      <c r="H1376" s="5">
        <v>-11362.24</v>
      </c>
      <c r="I1376" s="3" t="s">
        <v>18</v>
      </c>
      <c r="J1376" s="3" t="s">
        <v>14</v>
      </c>
      <c r="K1376" s="3" t="s">
        <v>14</v>
      </c>
      <c r="L1376" s="3" t="s">
        <v>892</v>
      </c>
      <c r="M1376" s="4">
        <v>46273</v>
      </c>
      <c r="N1376" s="3" t="s">
        <v>1292</v>
      </c>
      <c r="O1376" s="3" t="s">
        <v>52</v>
      </c>
      <c r="P1376" t="str">
        <f t="shared" si="21"/>
        <v>450013638680</v>
      </c>
      <c r="Q1376" s="7" cm="1">
        <f t="array" ref="Q1376:S1376">VLOOKUP(P1376,Hoja1!C:F,{2,3,4},FALSE)</f>
        <v>46269</v>
      </c>
      <c r="R1376" t="str">
        <v>C27</v>
      </c>
      <c r="S1376" t="str">
        <v>1000000894 FORTIN REPUBLICA SA</v>
      </c>
    </row>
    <row r="1377" spans="1:19" x14ac:dyDescent="0.3">
      <c r="A1377" s="2" t="s">
        <v>14</v>
      </c>
      <c r="B1377" s="3" t="s">
        <v>14</v>
      </c>
      <c r="C1377" s="3" t="s">
        <v>1291</v>
      </c>
      <c r="D1377" s="3" t="s">
        <v>14</v>
      </c>
      <c r="E1377" s="3" t="s">
        <v>466</v>
      </c>
      <c r="F1377" s="4">
        <v>46273</v>
      </c>
      <c r="G1377" s="3" t="s">
        <v>17</v>
      </c>
      <c r="H1377" s="5">
        <v>-7282.18</v>
      </c>
      <c r="I1377" s="3" t="s">
        <v>18</v>
      </c>
      <c r="J1377" s="3" t="s">
        <v>14</v>
      </c>
      <c r="K1377" s="3" t="s">
        <v>14</v>
      </c>
      <c r="L1377" s="3" t="s">
        <v>892</v>
      </c>
      <c r="M1377" s="4">
        <v>46273</v>
      </c>
      <c r="N1377" s="3" t="s">
        <v>1292</v>
      </c>
      <c r="O1377" s="3" t="s">
        <v>138</v>
      </c>
      <c r="P1377" t="str">
        <f t="shared" si="21"/>
        <v>450013638690</v>
      </c>
      <c r="Q1377" s="7" cm="1">
        <f t="array" ref="Q1377:S1377">VLOOKUP(P1377,Hoja1!C:F,{2,3,4},FALSE)</f>
        <v>46269</v>
      </c>
      <c r="R1377" t="str">
        <v>C27</v>
      </c>
      <c r="S1377" t="str">
        <v>1000000894 FORTIN REPUBLICA SA</v>
      </c>
    </row>
    <row r="1378" spans="1:19" x14ac:dyDescent="0.3">
      <c r="A1378" s="2" t="s">
        <v>14</v>
      </c>
      <c r="B1378" s="3" t="s">
        <v>14</v>
      </c>
      <c r="C1378" s="3" t="s">
        <v>1291</v>
      </c>
      <c r="D1378" s="3" t="s">
        <v>14</v>
      </c>
      <c r="E1378" s="3" t="s">
        <v>466</v>
      </c>
      <c r="F1378" s="4">
        <v>46273</v>
      </c>
      <c r="G1378" s="3" t="s">
        <v>17</v>
      </c>
      <c r="H1378" s="5">
        <v>-15104.86</v>
      </c>
      <c r="I1378" s="3" t="s">
        <v>18</v>
      </c>
      <c r="J1378" s="3" t="s">
        <v>14</v>
      </c>
      <c r="K1378" s="3" t="s">
        <v>14</v>
      </c>
      <c r="L1378" s="3" t="s">
        <v>892</v>
      </c>
      <c r="M1378" s="4">
        <v>46273</v>
      </c>
      <c r="N1378" s="3" t="s">
        <v>1292</v>
      </c>
      <c r="O1378" s="3" t="s">
        <v>45</v>
      </c>
      <c r="P1378" t="str">
        <f t="shared" si="21"/>
        <v>4500136386100</v>
      </c>
      <c r="Q1378" s="7" cm="1">
        <f t="array" ref="Q1378:S1378">VLOOKUP(P1378,Hoja1!C:F,{2,3,4},FALSE)</f>
        <v>46269</v>
      </c>
      <c r="R1378" t="str">
        <v>C27</v>
      </c>
      <c r="S1378" t="str">
        <v>1000000894 FORTIN REPUBLICA SA</v>
      </c>
    </row>
    <row r="1379" spans="1:19" x14ac:dyDescent="0.3">
      <c r="A1379" s="2" t="s">
        <v>14</v>
      </c>
      <c r="B1379" s="3" t="s">
        <v>14</v>
      </c>
      <c r="C1379" s="3" t="s">
        <v>1291</v>
      </c>
      <c r="D1379" s="3" t="s">
        <v>14</v>
      </c>
      <c r="E1379" s="3" t="s">
        <v>466</v>
      </c>
      <c r="F1379" s="4">
        <v>46273</v>
      </c>
      <c r="G1379" s="3" t="s">
        <v>17</v>
      </c>
      <c r="H1379" s="5">
        <v>-27651.08</v>
      </c>
      <c r="I1379" s="3" t="s">
        <v>18</v>
      </c>
      <c r="J1379" s="3" t="s">
        <v>14</v>
      </c>
      <c r="K1379" s="3" t="s">
        <v>14</v>
      </c>
      <c r="L1379" s="3" t="s">
        <v>892</v>
      </c>
      <c r="M1379" s="4">
        <v>46273</v>
      </c>
      <c r="N1379" s="3" t="s">
        <v>1292</v>
      </c>
      <c r="O1379" s="3" t="s">
        <v>156</v>
      </c>
      <c r="P1379" t="str">
        <f t="shared" si="21"/>
        <v>4500136386110</v>
      </c>
      <c r="Q1379" s="7" cm="1">
        <f t="array" ref="Q1379:S1379">VLOOKUP(P1379,Hoja1!C:F,{2,3,4},FALSE)</f>
        <v>46269</v>
      </c>
      <c r="R1379" t="str">
        <v>C27</v>
      </c>
      <c r="S1379" t="str">
        <v>1000000894 FORTIN REPUBLICA SA</v>
      </c>
    </row>
    <row r="1380" spans="1:19" x14ac:dyDescent="0.3">
      <c r="A1380" s="2" t="s">
        <v>14</v>
      </c>
      <c r="B1380" s="3" t="s">
        <v>14</v>
      </c>
      <c r="C1380" s="3" t="s">
        <v>1291</v>
      </c>
      <c r="D1380" s="3" t="s">
        <v>14</v>
      </c>
      <c r="E1380" s="3" t="s">
        <v>466</v>
      </c>
      <c r="F1380" s="4">
        <v>46273</v>
      </c>
      <c r="G1380" s="3" t="s">
        <v>17</v>
      </c>
      <c r="H1380" s="5">
        <v>-232168.02</v>
      </c>
      <c r="I1380" s="3" t="s">
        <v>18</v>
      </c>
      <c r="J1380" s="3" t="s">
        <v>14</v>
      </c>
      <c r="K1380" s="3" t="s">
        <v>14</v>
      </c>
      <c r="L1380" s="3" t="s">
        <v>892</v>
      </c>
      <c r="M1380" s="4">
        <v>46273</v>
      </c>
      <c r="N1380" s="3" t="s">
        <v>1292</v>
      </c>
      <c r="O1380" s="3" t="s">
        <v>131</v>
      </c>
      <c r="P1380" t="str">
        <f t="shared" si="21"/>
        <v>4500136386140</v>
      </c>
      <c r="Q1380" s="7" cm="1">
        <f t="array" ref="Q1380:S1380">VLOOKUP(P1380,Hoja1!C:F,{2,3,4},FALSE)</f>
        <v>46269</v>
      </c>
      <c r="R1380" t="str">
        <v>C27</v>
      </c>
      <c r="S1380" t="str">
        <v>1000000894 FORTIN REPUBLICA SA</v>
      </c>
    </row>
    <row r="1381" spans="1:19" x14ac:dyDescent="0.3">
      <c r="A1381" s="2" t="s">
        <v>14</v>
      </c>
      <c r="B1381" s="3" t="s">
        <v>14</v>
      </c>
      <c r="C1381" s="3" t="s">
        <v>1291</v>
      </c>
      <c r="D1381" s="3" t="s">
        <v>14</v>
      </c>
      <c r="E1381" s="3" t="s">
        <v>466</v>
      </c>
      <c r="F1381" s="4">
        <v>46273</v>
      </c>
      <c r="G1381" s="3" t="s">
        <v>17</v>
      </c>
      <c r="H1381" s="5">
        <v>-95837.52</v>
      </c>
      <c r="I1381" s="3" t="s">
        <v>18</v>
      </c>
      <c r="J1381" s="3" t="s">
        <v>14</v>
      </c>
      <c r="K1381" s="3" t="s">
        <v>14</v>
      </c>
      <c r="L1381" s="3" t="s">
        <v>892</v>
      </c>
      <c r="M1381" s="4">
        <v>46273</v>
      </c>
      <c r="N1381" s="3" t="s">
        <v>1292</v>
      </c>
      <c r="O1381" s="3" t="s">
        <v>53</v>
      </c>
      <c r="P1381" t="str">
        <f t="shared" si="21"/>
        <v>4500136386170</v>
      </c>
      <c r="Q1381" s="7" cm="1">
        <f t="array" ref="Q1381:S1381">VLOOKUP(P1381,Hoja1!C:F,{2,3,4},FALSE)</f>
        <v>46269</v>
      </c>
      <c r="R1381" t="str">
        <v>C27</v>
      </c>
      <c r="S1381" t="str">
        <v>1000000894 FORTIN REPUBLICA SA</v>
      </c>
    </row>
    <row r="1382" spans="1:19" x14ac:dyDescent="0.3">
      <c r="A1382" s="2" t="s">
        <v>14</v>
      </c>
      <c r="B1382" s="3" t="s">
        <v>14</v>
      </c>
      <c r="C1382" s="3" t="s">
        <v>1291</v>
      </c>
      <c r="D1382" s="3" t="s">
        <v>14</v>
      </c>
      <c r="E1382" s="3" t="s">
        <v>466</v>
      </c>
      <c r="F1382" s="4">
        <v>46273</v>
      </c>
      <c r="G1382" s="3" t="s">
        <v>17</v>
      </c>
      <c r="H1382" s="5">
        <v>-35297.78</v>
      </c>
      <c r="I1382" s="3" t="s">
        <v>18</v>
      </c>
      <c r="J1382" s="3" t="s">
        <v>14</v>
      </c>
      <c r="K1382" s="3" t="s">
        <v>14</v>
      </c>
      <c r="L1382" s="3" t="s">
        <v>892</v>
      </c>
      <c r="M1382" s="4">
        <v>46273</v>
      </c>
      <c r="N1382" s="3" t="s">
        <v>1292</v>
      </c>
      <c r="O1382" s="3" t="s">
        <v>130</v>
      </c>
      <c r="P1382" t="str">
        <f t="shared" si="21"/>
        <v>4500136386180</v>
      </c>
      <c r="Q1382" s="7" cm="1">
        <f t="array" ref="Q1382:S1382">VLOOKUP(P1382,Hoja1!C:F,{2,3,4},FALSE)</f>
        <v>46269</v>
      </c>
      <c r="R1382" t="str">
        <v>C27</v>
      </c>
      <c r="S1382" t="str">
        <v>1000000894 FORTIN REPUBLICA SA</v>
      </c>
    </row>
    <row r="1383" spans="1:19" x14ac:dyDescent="0.3">
      <c r="A1383" s="2" t="s">
        <v>14</v>
      </c>
      <c r="B1383" s="3" t="s">
        <v>14</v>
      </c>
      <c r="C1383" s="3" t="s">
        <v>1291</v>
      </c>
      <c r="D1383" s="3" t="s">
        <v>14</v>
      </c>
      <c r="E1383" s="3" t="s">
        <v>466</v>
      </c>
      <c r="F1383" s="4">
        <v>46273</v>
      </c>
      <c r="G1383" s="3" t="s">
        <v>17</v>
      </c>
      <c r="H1383" s="5">
        <v>-31119.06</v>
      </c>
      <c r="I1383" s="3" t="s">
        <v>18</v>
      </c>
      <c r="J1383" s="3" t="s">
        <v>14</v>
      </c>
      <c r="K1383" s="3" t="s">
        <v>14</v>
      </c>
      <c r="L1383" s="3" t="s">
        <v>892</v>
      </c>
      <c r="M1383" s="4">
        <v>46273</v>
      </c>
      <c r="N1383" s="3" t="s">
        <v>1292</v>
      </c>
      <c r="O1383" s="3" t="s">
        <v>161</v>
      </c>
      <c r="P1383" t="str">
        <f t="shared" si="21"/>
        <v>4500136386200</v>
      </c>
      <c r="Q1383" s="7" cm="1">
        <f t="array" ref="Q1383:S1383">VLOOKUP(P1383,Hoja1!C:F,{2,3,4},FALSE)</f>
        <v>46269</v>
      </c>
      <c r="R1383" t="str">
        <v>C27</v>
      </c>
      <c r="S1383" t="str">
        <v>1000000894 FORTIN REPUBLICA SA</v>
      </c>
    </row>
    <row r="1384" spans="1:19" x14ac:dyDescent="0.3">
      <c r="A1384" s="2" t="s">
        <v>14</v>
      </c>
      <c r="B1384" s="3" t="s">
        <v>14</v>
      </c>
      <c r="C1384" s="3" t="s">
        <v>1293</v>
      </c>
      <c r="D1384" s="3" t="s">
        <v>14</v>
      </c>
      <c r="E1384" s="3" t="s">
        <v>466</v>
      </c>
      <c r="F1384" s="4">
        <v>46273</v>
      </c>
      <c r="G1384" s="3" t="s">
        <v>17</v>
      </c>
      <c r="H1384" s="5">
        <v>-512396.69</v>
      </c>
      <c r="I1384" s="3" t="s">
        <v>18</v>
      </c>
      <c r="J1384" s="3" t="s">
        <v>14</v>
      </c>
      <c r="K1384" s="3" t="s">
        <v>14</v>
      </c>
      <c r="L1384" s="3" t="s">
        <v>994</v>
      </c>
      <c r="M1384" s="4">
        <v>46273</v>
      </c>
      <c r="N1384" s="3" t="s">
        <v>1294</v>
      </c>
      <c r="O1384" s="3" t="s">
        <v>30</v>
      </c>
      <c r="P1384" t="str">
        <f t="shared" si="21"/>
        <v>450013754210</v>
      </c>
      <c r="Q1384" s="7" cm="1">
        <f t="array" ref="Q1384:S1384">VLOOKUP(P1384,Hoja1!C:F,{2,3,4},FALSE)</f>
        <v>46274</v>
      </c>
      <c r="R1384" t="str">
        <v>C38</v>
      </c>
      <c r="S1384" t="str">
        <v>1000012776 TURBOLAR S.A.</v>
      </c>
    </row>
    <row r="1385" spans="1:19" x14ac:dyDescent="0.3">
      <c r="A1385" s="2" t="s">
        <v>14</v>
      </c>
      <c r="B1385" s="3" t="s">
        <v>14</v>
      </c>
      <c r="C1385" s="3" t="s">
        <v>1295</v>
      </c>
      <c r="D1385" s="3" t="s">
        <v>32</v>
      </c>
      <c r="E1385" s="3" t="s">
        <v>466</v>
      </c>
      <c r="F1385" s="4">
        <v>46273</v>
      </c>
      <c r="G1385" s="3" t="s">
        <v>17</v>
      </c>
      <c r="H1385" s="5">
        <v>-118182.04</v>
      </c>
      <c r="I1385" s="3" t="s">
        <v>18</v>
      </c>
      <c r="J1385" s="3" t="s">
        <v>14</v>
      </c>
      <c r="K1385" s="3" t="s">
        <v>14</v>
      </c>
      <c r="L1385" s="3" t="s">
        <v>892</v>
      </c>
      <c r="M1385" s="4">
        <v>46273</v>
      </c>
      <c r="N1385" s="3" t="s">
        <v>1275</v>
      </c>
      <c r="O1385" s="3" t="s">
        <v>142</v>
      </c>
      <c r="P1385" t="str">
        <f t="shared" si="21"/>
        <v>4500137593130</v>
      </c>
      <c r="Q1385" s="7" cm="1">
        <f t="array" ref="Q1385:S1385">VLOOKUP(P1385,Hoja1!C:F,{2,3,4},FALSE)</f>
        <v>46275</v>
      </c>
      <c r="R1385" t="str">
        <v>C27</v>
      </c>
      <c r="S1385" t="str">
        <v>1000000894 FORTIN REPUBLICA SA</v>
      </c>
    </row>
    <row r="1386" spans="1:19" x14ac:dyDescent="0.3">
      <c r="A1386" s="2" t="s">
        <v>14</v>
      </c>
      <c r="B1386" s="3" t="s">
        <v>14</v>
      </c>
      <c r="C1386" s="3" t="s">
        <v>1296</v>
      </c>
      <c r="D1386" s="3" t="s">
        <v>14</v>
      </c>
      <c r="E1386" s="3" t="s">
        <v>466</v>
      </c>
      <c r="F1386" s="4">
        <v>46274</v>
      </c>
      <c r="G1386" s="3" t="s">
        <v>17</v>
      </c>
      <c r="H1386" s="5">
        <v>-37200</v>
      </c>
      <c r="I1386" s="3" t="s">
        <v>18</v>
      </c>
      <c r="J1386" s="3" t="s">
        <v>14</v>
      </c>
      <c r="K1386" s="3" t="s">
        <v>14</v>
      </c>
      <c r="L1386" s="3" t="s">
        <v>198</v>
      </c>
      <c r="M1386" s="4">
        <v>46274</v>
      </c>
      <c r="N1386" s="3" t="s">
        <v>1297</v>
      </c>
      <c r="O1386" s="3" t="s">
        <v>30</v>
      </c>
      <c r="P1386" t="str">
        <f t="shared" si="21"/>
        <v>450013805610</v>
      </c>
      <c r="Q1386" s="7" cm="1">
        <f t="array" ref="Q1386:S1386">VLOOKUP(P1386,Hoja1!C:F,{2,3,4},FALSE)</f>
        <v>46285</v>
      </c>
      <c r="R1386" t="str">
        <v>C42</v>
      </c>
      <c r="S1386" t="str">
        <v>1000000929 ANTINORO FRANCISCO ERNESTO</v>
      </c>
    </row>
    <row r="1387" spans="1:19" x14ac:dyDescent="0.3">
      <c r="A1387" s="2" t="s">
        <v>14</v>
      </c>
      <c r="B1387" s="3" t="s">
        <v>14</v>
      </c>
      <c r="C1387" s="3" t="s">
        <v>1298</v>
      </c>
      <c r="D1387" s="3" t="s">
        <v>14</v>
      </c>
      <c r="E1387" s="3" t="s">
        <v>466</v>
      </c>
      <c r="F1387" s="4">
        <v>46268</v>
      </c>
      <c r="G1387" s="3" t="s">
        <v>17</v>
      </c>
      <c r="H1387" s="5">
        <v>-6000</v>
      </c>
      <c r="I1387" s="3" t="s">
        <v>18</v>
      </c>
      <c r="J1387" s="3" t="s">
        <v>14</v>
      </c>
      <c r="K1387" s="3" t="s">
        <v>14</v>
      </c>
      <c r="L1387" s="3" t="s">
        <v>1164</v>
      </c>
      <c r="M1387" s="4">
        <v>46274</v>
      </c>
      <c r="N1387" s="3" t="s">
        <v>1165</v>
      </c>
      <c r="O1387" s="3" t="s">
        <v>162</v>
      </c>
      <c r="P1387" t="str">
        <f t="shared" si="21"/>
        <v>4500136752370</v>
      </c>
      <c r="Q1387" s="7" cm="1">
        <f t="array" ref="Q1387:S1387">VLOOKUP(P1387,Hoja1!C:F,{2,3,4},FALSE)</f>
        <v>46262</v>
      </c>
      <c r="R1387" t="str">
        <v>C27</v>
      </c>
      <c r="S1387" t="str">
        <v>1000013253 PIAZZA MARCOS LUCIANO</v>
      </c>
    </row>
    <row r="1388" spans="1:19" x14ac:dyDescent="0.3">
      <c r="A1388" s="2" t="s">
        <v>14</v>
      </c>
      <c r="B1388" s="3" t="s">
        <v>14</v>
      </c>
      <c r="C1388" s="3" t="s">
        <v>1299</v>
      </c>
      <c r="D1388" s="3" t="s">
        <v>14</v>
      </c>
      <c r="E1388" s="3" t="s">
        <v>466</v>
      </c>
      <c r="F1388" s="4">
        <v>46273</v>
      </c>
      <c r="G1388" s="3" t="s">
        <v>17</v>
      </c>
      <c r="H1388" s="5">
        <v>-1766324.81</v>
      </c>
      <c r="I1388" s="3" t="s">
        <v>18</v>
      </c>
      <c r="J1388" s="3" t="s">
        <v>14</v>
      </c>
      <c r="K1388" s="3" t="s">
        <v>14</v>
      </c>
      <c r="L1388" s="3" t="s">
        <v>1211</v>
      </c>
      <c r="M1388" s="4">
        <v>46274</v>
      </c>
      <c r="N1388" s="3" t="s">
        <v>1300</v>
      </c>
      <c r="O1388" s="3" t="s">
        <v>35</v>
      </c>
      <c r="P1388" t="str">
        <f t="shared" si="21"/>
        <v>450013343930</v>
      </c>
      <c r="Q1388" s="7" cm="1">
        <f t="array" ref="Q1388:S1388">VLOOKUP(P1388,Hoja1!C:F,{2,3,4},FALSE)</f>
        <v>46270</v>
      </c>
      <c r="R1388" t="str">
        <v>C29</v>
      </c>
      <c r="S1388" t="str">
        <v>1000000012 IGARRETA MAQUINAS S.A.</v>
      </c>
    </row>
    <row r="1389" spans="1:19" x14ac:dyDescent="0.3">
      <c r="A1389" s="2" t="s">
        <v>14</v>
      </c>
      <c r="B1389" s="3" t="s">
        <v>14</v>
      </c>
      <c r="C1389" s="3" t="s">
        <v>1301</v>
      </c>
      <c r="D1389" s="3" t="s">
        <v>14</v>
      </c>
      <c r="E1389" s="3" t="s">
        <v>466</v>
      </c>
      <c r="F1389" s="4">
        <v>46273</v>
      </c>
      <c r="G1389" s="3" t="s">
        <v>17</v>
      </c>
      <c r="H1389" s="5">
        <v>-2554021.58</v>
      </c>
      <c r="I1389" s="3" t="s">
        <v>18</v>
      </c>
      <c r="J1389" s="3" t="s">
        <v>14</v>
      </c>
      <c r="K1389" s="3" t="s">
        <v>14</v>
      </c>
      <c r="L1389" s="3" t="s">
        <v>1211</v>
      </c>
      <c r="M1389" s="4">
        <v>46274</v>
      </c>
      <c r="N1389" s="3" t="s">
        <v>1302</v>
      </c>
      <c r="O1389" s="3" t="s">
        <v>30</v>
      </c>
      <c r="P1389" t="str">
        <f t="shared" si="21"/>
        <v>450013534610</v>
      </c>
      <c r="Q1389" s="7" cm="1">
        <f t="array" ref="Q1389:S1389">VLOOKUP(P1389,Hoja1!C:F,{2,3,4},FALSE)</f>
        <v>46264</v>
      </c>
      <c r="R1389" t="str">
        <v>C03</v>
      </c>
      <c r="S1389" t="str">
        <v>1000000012 IGARRETA MAQUINAS S.A.</v>
      </c>
    </row>
    <row r="1390" spans="1:19" x14ac:dyDescent="0.3">
      <c r="A1390" s="2" t="s">
        <v>14</v>
      </c>
      <c r="B1390" s="3" t="s">
        <v>14</v>
      </c>
      <c r="C1390" s="3" t="s">
        <v>1303</v>
      </c>
      <c r="D1390" s="3" t="s">
        <v>14</v>
      </c>
      <c r="E1390" s="3" t="s">
        <v>466</v>
      </c>
      <c r="F1390" s="4">
        <v>46273</v>
      </c>
      <c r="G1390" s="3" t="s">
        <v>17</v>
      </c>
      <c r="H1390" s="5">
        <v>-525591</v>
      </c>
      <c r="I1390" s="3" t="s">
        <v>18</v>
      </c>
      <c r="J1390" s="3" t="s">
        <v>14</v>
      </c>
      <c r="K1390" s="3" t="s">
        <v>14</v>
      </c>
      <c r="L1390" s="3" t="s">
        <v>73</v>
      </c>
      <c r="M1390" s="4">
        <v>46273</v>
      </c>
      <c r="N1390" s="3" t="s">
        <v>402</v>
      </c>
      <c r="O1390" s="3" t="s">
        <v>30</v>
      </c>
      <c r="P1390" t="str">
        <f t="shared" si="21"/>
        <v>450013790610</v>
      </c>
      <c r="Q1390" s="7" cm="1">
        <f t="array" ref="Q1390:S1390">VLOOKUP(P1390,Hoja1!C:F,{2,3,4},FALSE)</f>
        <v>46295</v>
      </c>
      <c r="R1390" t="str">
        <v>C21</v>
      </c>
      <c r="S1390" t="str">
        <v>1000000808 GLOBAL OIL S.R.L.</v>
      </c>
    </row>
    <row r="1391" spans="1:19" x14ac:dyDescent="0.3">
      <c r="A1391" s="2" t="s">
        <v>14</v>
      </c>
      <c r="B1391" s="3" t="s">
        <v>14</v>
      </c>
      <c r="C1391" s="3" t="s">
        <v>1303</v>
      </c>
      <c r="D1391" s="3" t="s">
        <v>14</v>
      </c>
      <c r="E1391" s="3" t="s">
        <v>466</v>
      </c>
      <c r="F1391" s="4">
        <v>46273</v>
      </c>
      <c r="G1391" s="3" t="s">
        <v>17</v>
      </c>
      <c r="H1391" s="5">
        <v>-110616</v>
      </c>
      <c r="I1391" s="3" t="s">
        <v>18</v>
      </c>
      <c r="J1391" s="3" t="s">
        <v>14</v>
      </c>
      <c r="K1391" s="3" t="s">
        <v>14</v>
      </c>
      <c r="L1391" s="3" t="s">
        <v>73</v>
      </c>
      <c r="M1391" s="4">
        <v>46273</v>
      </c>
      <c r="N1391" s="3" t="s">
        <v>402</v>
      </c>
      <c r="O1391" s="3" t="s">
        <v>30</v>
      </c>
      <c r="P1391" t="str">
        <f t="shared" si="21"/>
        <v>450013790610</v>
      </c>
      <c r="Q1391" s="7" cm="1">
        <f t="array" ref="Q1391:S1391">VLOOKUP(P1391,Hoja1!C:F,{2,3,4},FALSE)</f>
        <v>46295</v>
      </c>
      <c r="R1391" t="str">
        <v>C21</v>
      </c>
      <c r="S1391" t="str">
        <v>1000000808 GLOBAL OIL S.R.L.</v>
      </c>
    </row>
    <row r="1392" spans="1:19" x14ac:dyDescent="0.3">
      <c r="A1392" s="2" t="s">
        <v>14</v>
      </c>
      <c r="B1392" s="3" t="s">
        <v>14</v>
      </c>
      <c r="C1392" s="3" t="s">
        <v>1304</v>
      </c>
      <c r="D1392" s="3" t="s">
        <v>14</v>
      </c>
      <c r="E1392" s="3" t="s">
        <v>466</v>
      </c>
      <c r="F1392" s="4">
        <v>46274</v>
      </c>
      <c r="G1392" s="3" t="s">
        <v>17</v>
      </c>
      <c r="H1392" s="5">
        <v>-157024.79999999999</v>
      </c>
      <c r="I1392" s="3" t="s">
        <v>18</v>
      </c>
      <c r="J1392" s="3" t="s">
        <v>14</v>
      </c>
      <c r="K1392" s="3" t="s">
        <v>14</v>
      </c>
      <c r="L1392" s="3" t="s">
        <v>915</v>
      </c>
      <c r="M1392" s="4">
        <v>46274</v>
      </c>
      <c r="N1392" s="3" t="s">
        <v>1305</v>
      </c>
      <c r="O1392" s="3" t="s">
        <v>30</v>
      </c>
      <c r="P1392" t="str">
        <f t="shared" si="21"/>
        <v>450013593510</v>
      </c>
      <c r="Q1392" s="7" cm="1">
        <f t="array" ref="Q1392:S1392">VLOOKUP(P1392,Hoja1!C:F,{2,3,4},FALSE)</f>
        <v>46269</v>
      </c>
      <c r="R1392" t="str">
        <v>EFO</v>
      </c>
      <c r="S1392" t="str">
        <v>1000013162 MADRYN REPUESTOS Y SERVICIOS SAS</v>
      </c>
    </row>
    <row r="1393" spans="1:19" x14ac:dyDescent="0.3">
      <c r="A1393" s="2" t="s">
        <v>14</v>
      </c>
      <c r="B1393" s="3" t="s">
        <v>14</v>
      </c>
      <c r="C1393" s="3" t="s">
        <v>1306</v>
      </c>
      <c r="D1393" s="3" t="s">
        <v>14</v>
      </c>
      <c r="E1393" s="3" t="s">
        <v>466</v>
      </c>
      <c r="F1393" s="4">
        <v>46274</v>
      </c>
      <c r="G1393" s="3" t="s">
        <v>17</v>
      </c>
      <c r="H1393" s="5">
        <v>-470000</v>
      </c>
      <c r="I1393" s="3" t="s">
        <v>18</v>
      </c>
      <c r="J1393" s="3" t="s">
        <v>14</v>
      </c>
      <c r="K1393" s="3" t="s">
        <v>14</v>
      </c>
      <c r="L1393" s="3" t="s">
        <v>1307</v>
      </c>
      <c r="M1393" s="4">
        <v>46274</v>
      </c>
      <c r="N1393" s="3" t="s">
        <v>1308</v>
      </c>
      <c r="O1393" s="3" t="s">
        <v>30</v>
      </c>
      <c r="P1393" t="str">
        <f t="shared" si="21"/>
        <v>450012735110</v>
      </c>
      <c r="Q1393" s="7" cm="1">
        <f t="array" ref="Q1393:S1393">VLOOKUP(P1393,Hoja1!C:F,{2,3,4},FALSE)</f>
        <v>46123</v>
      </c>
      <c r="R1393" t="str">
        <v>EFO</v>
      </c>
      <c r="S1393" t="str">
        <v>1000012055 HR INDUSTRIAL SAS</v>
      </c>
    </row>
    <row r="1394" spans="1:19" x14ac:dyDescent="0.3">
      <c r="A1394" s="2" t="s">
        <v>14</v>
      </c>
      <c r="B1394" s="3" t="s">
        <v>14</v>
      </c>
      <c r="C1394" s="3" t="s">
        <v>1309</v>
      </c>
      <c r="D1394" s="3" t="s">
        <v>14</v>
      </c>
      <c r="E1394" s="3" t="s">
        <v>466</v>
      </c>
      <c r="F1394" s="4">
        <v>46267</v>
      </c>
      <c r="G1394" s="3" t="s">
        <v>17</v>
      </c>
      <c r="H1394" s="5">
        <v>-458280</v>
      </c>
      <c r="I1394" s="3" t="s">
        <v>18</v>
      </c>
      <c r="J1394" s="3" t="s">
        <v>14</v>
      </c>
      <c r="K1394" s="3" t="s">
        <v>14</v>
      </c>
      <c r="L1394" s="3" t="s">
        <v>269</v>
      </c>
      <c r="M1394" s="4">
        <v>46274</v>
      </c>
      <c r="N1394" s="3" t="s">
        <v>1310</v>
      </c>
      <c r="O1394" s="3" t="s">
        <v>30</v>
      </c>
      <c r="P1394" t="str">
        <f t="shared" si="21"/>
        <v>450013753510</v>
      </c>
      <c r="Q1394" s="7" cm="1">
        <f t="array" ref="Q1394:S1394">VLOOKUP(P1394,Hoja1!C:F,{2,3,4},FALSE)</f>
        <v>46270</v>
      </c>
      <c r="R1394" t="str">
        <v>G04</v>
      </c>
      <c r="S1394" t="str">
        <v>1000000190 FERNANDEZ INSUA S.A.</v>
      </c>
    </row>
    <row r="1395" spans="1:19" x14ac:dyDescent="0.3">
      <c r="A1395" s="2" t="s">
        <v>14</v>
      </c>
      <c r="B1395" s="3" t="s">
        <v>14</v>
      </c>
      <c r="C1395" s="3" t="s">
        <v>1309</v>
      </c>
      <c r="D1395" s="3" t="s">
        <v>14</v>
      </c>
      <c r="E1395" s="3" t="s">
        <v>466</v>
      </c>
      <c r="F1395" s="4">
        <v>46267</v>
      </c>
      <c r="G1395" s="3" t="s">
        <v>17</v>
      </c>
      <c r="H1395" s="5">
        <v>-30150</v>
      </c>
      <c r="I1395" s="3" t="s">
        <v>18</v>
      </c>
      <c r="J1395" s="3" t="s">
        <v>14</v>
      </c>
      <c r="K1395" s="3" t="s">
        <v>14</v>
      </c>
      <c r="L1395" s="3" t="s">
        <v>269</v>
      </c>
      <c r="M1395" s="4">
        <v>46274</v>
      </c>
      <c r="N1395" s="3" t="s">
        <v>1310</v>
      </c>
      <c r="O1395" s="3" t="s">
        <v>22</v>
      </c>
      <c r="P1395" t="str">
        <f t="shared" si="21"/>
        <v>450013753520</v>
      </c>
      <c r="Q1395" s="7" cm="1">
        <f t="array" ref="Q1395:S1395">VLOOKUP(P1395,Hoja1!C:F,{2,3,4},FALSE)</f>
        <v>46270</v>
      </c>
      <c r="R1395" t="str">
        <v>G04</v>
      </c>
      <c r="S1395" t="str">
        <v>1000000190 FERNANDEZ INSUA S.A.</v>
      </c>
    </row>
    <row r="1396" spans="1:19" x14ac:dyDescent="0.3">
      <c r="A1396" s="2" t="s">
        <v>14</v>
      </c>
      <c r="B1396" s="3" t="s">
        <v>14</v>
      </c>
      <c r="C1396" s="3" t="s">
        <v>1309</v>
      </c>
      <c r="D1396" s="3" t="s">
        <v>14</v>
      </c>
      <c r="E1396" s="3" t="s">
        <v>466</v>
      </c>
      <c r="F1396" s="4">
        <v>46267</v>
      </c>
      <c r="G1396" s="3" t="s">
        <v>17</v>
      </c>
      <c r="H1396" s="5">
        <v>-229140</v>
      </c>
      <c r="I1396" s="3" t="s">
        <v>18</v>
      </c>
      <c r="J1396" s="3" t="s">
        <v>14</v>
      </c>
      <c r="K1396" s="3" t="s">
        <v>14</v>
      </c>
      <c r="L1396" s="3" t="s">
        <v>269</v>
      </c>
      <c r="M1396" s="4">
        <v>46274</v>
      </c>
      <c r="N1396" s="3" t="s">
        <v>1310</v>
      </c>
      <c r="O1396" s="3" t="s">
        <v>35</v>
      </c>
      <c r="P1396" t="str">
        <f t="shared" si="21"/>
        <v>450013753530</v>
      </c>
      <c r="Q1396" s="7" cm="1">
        <f t="array" ref="Q1396:S1396">VLOOKUP(P1396,Hoja1!C:F,{2,3,4},FALSE)</f>
        <v>46270</v>
      </c>
      <c r="R1396" t="str">
        <v>G04</v>
      </c>
      <c r="S1396" t="str">
        <v>1000000190 FERNANDEZ INSUA S.A.</v>
      </c>
    </row>
    <row r="1397" spans="1:19" x14ac:dyDescent="0.3">
      <c r="A1397" s="2" t="s">
        <v>14</v>
      </c>
      <c r="B1397" s="3" t="s">
        <v>14</v>
      </c>
      <c r="C1397" s="3" t="s">
        <v>1311</v>
      </c>
      <c r="D1397" s="3" t="s">
        <v>14</v>
      </c>
      <c r="E1397" s="3" t="s">
        <v>466</v>
      </c>
      <c r="F1397" s="4">
        <v>46274</v>
      </c>
      <c r="G1397" s="3" t="s">
        <v>17</v>
      </c>
      <c r="H1397" s="5">
        <v>-565102.98</v>
      </c>
      <c r="I1397" s="3" t="s">
        <v>18</v>
      </c>
      <c r="J1397" s="3" t="s">
        <v>14</v>
      </c>
      <c r="K1397" s="3" t="s">
        <v>14</v>
      </c>
      <c r="L1397" s="3" t="s">
        <v>575</v>
      </c>
      <c r="M1397" s="4">
        <v>46274</v>
      </c>
      <c r="N1397" s="3" t="s">
        <v>1312</v>
      </c>
      <c r="O1397" s="3" t="s">
        <v>53</v>
      </c>
      <c r="P1397" t="str">
        <f t="shared" si="21"/>
        <v>4500136796170</v>
      </c>
      <c r="Q1397" s="7" cm="1">
        <f t="array" ref="Q1397:S1397">VLOOKUP(P1397,Hoja1!C:F,{2,3,4},FALSE)</f>
        <v>46266</v>
      </c>
      <c r="R1397" t="str">
        <v>C27</v>
      </c>
      <c r="S1397" t="str">
        <v>1000000001 FERRETERA SAN LUIS</v>
      </c>
    </row>
    <row r="1398" spans="1:19" x14ac:dyDescent="0.3">
      <c r="A1398" s="2" t="s">
        <v>14</v>
      </c>
      <c r="B1398" s="3" t="s">
        <v>14</v>
      </c>
      <c r="C1398" s="3" t="s">
        <v>1313</v>
      </c>
      <c r="D1398" s="3" t="s">
        <v>14</v>
      </c>
      <c r="E1398" s="3" t="s">
        <v>466</v>
      </c>
      <c r="F1398" s="4">
        <v>46274</v>
      </c>
      <c r="G1398" s="3" t="s">
        <v>17</v>
      </c>
      <c r="H1398" s="5">
        <v>-397000</v>
      </c>
      <c r="I1398" s="3" t="s">
        <v>18</v>
      </c>
      <c r="J1398" s="3" t="s">
        <v>14</v>
      </c>
      <c r="K1398" s="3" t="s">
        <v>14</v>
      </c>
      <c r="L1398" s="3" t="s">
        <v>184</v>
      </c>
      <c r="M1398" s="4">
        <v>46274</v>
      </c>
      <c r="N1398" s="3" t="s">
        <v>1314</v>
      </c>
      <c r="O1398" s="3" t="s">
        <v>30</v>
      </c>
      <c r="P1398" t="str">
        <f t="shared" si="21"/>
        <v>450013738210</v>
      </c>
      <c r="Q1398" s="7" cm="1">
        <f t="array" ref="Q1398:S1398">VLOOKUP(P1398,Hoja1!C:F,{2,3,4},FALSE)</f>
        <v>46275</v>
      </c>
      <c r="R1398" t="str">
        <v>C42</v>
      </c>
      <c r="S1398" t="str">
        <v>1000009436 CAMICO REPUESTOS PESADOS S.R.L.</v>
      </c>
    </row>
    <row r="1399" spans="1:19" x14ac:dyDescent="0.3">
      <c r="A1399" s="2" t="s">
        <v>14</v>
      </c>
      <c r="B1399" s="3" t="s">
        <v>14</v>
      </c>
      <c r="C1399" s="3" t="s">
        <v>1315</v>
      </c>
      <c r="D1399" s="3" t="s">
        <v>14</v>
      </c>
      <c r="E1399" s="3" t="s">
        <v>466</v>
      </c>
      <c r="F1399" s="4">
        <v>46274</v>
      </c>
      <c r="G1399" s="3" t="s">
        <v>17</v>
      </c>
      <c r="H1399" s="5">
        <v>-9917.36</v>
      </c>
      <c r="I1399" s="3" t="s">
        <v>18</v>
      </c>
      <c r="J1399" s="3" t="s">
        <v>14</v>
      </c>
      <c r="K1399" s="3" t="s">
        <v>14</v>
      </c>
      <c r="L1399" s="3" t="s">
        <v>184</v>
      </c>
      <c r="M1399" s="4">
        <v>46274</v>
      </c>
      <c r="N1399" s="3" t="s">
        <v>1316</v>
      </c>
      <c r="O1399" s="3" t="s">
        <v>22</v>
      </c>
      <c r="P1399" t="str">
        <f t="shared" si="21"/>
        <v>450013813820</v>
      </c>
      <c r="Q1399" s="7" cm="1">
        <f t="array" ref="Q1399:S1399">VLOOKUP(P1399,Hoja1!C:F,{2,3,4},FALSE)</f>
        <v>46285</v>
      </c>
      <c r="R1399" t="str">
        <v>C38</v>
      </c>
      <c r="S1399" t="str">
        <v>1000009436 CAMICO REPUESTOS PESADOS S.R.L.</v>
      </c>
    </row>
    <row r="1400" spans="1:19" x14ac:dyDescent="0.3">
      <c r="A1400" s="2" t="s">
        <v>14</v>
      </c>
      <c r="B1400" s="3" t="s">
        <v>14</v>
      </c>
      <c r="C1400" s="3" t="s">
        <v>1315</v>
      </c>
      <c r="D1400" s="3" t="s">
        <v>14</v>
      </c>
      <c r="E1400" s="3" t="s">
        <v>466</v>
      </c>
      <c r="F1400" s="4">
        <v>46274</v>
      </c>
      <c r="G1400" s="3" t="s">
        <v>17</v>
      </c>
      <c r="H1400" s="5">
        <v>-7024.79</v>
      </c>
      <c r="I1400" s="3" t="s">
        <v>18</v>
      </c>
      <c r="J1400" s="3" t="s">
        <v>14</v>
      </c>
      <c r="K1400" s="3" t="s">
        <v>14</v>
      </c>
      <c r="L1400" s="3" t="s">
        <v>184</v>
      </c>
      <c r="M1400" s="4">
        <v>46274</v>
      </c>
      <c r="N1400" s="3" t="s">
        <v>1316</v>
      </c>
      <c r="O1400" s="3" t="s">
        <v>35</v>
      </c>
      <c r="P1400" t="str">
        <f t="shared" si="21"/>
        <v>450013813830</v>
      </c>
      <c r="Q1400" s="7" cm="1">
        <f t="array" ref="Q1400:S1400">VLOOKUP(P1400,Hoja1!C:F,{2,3,4},FALSE)</f>
        <v>46285</v>
      </c>
      <c r="R1400" t="str">
        <v>C38</v>
      </c>
      <c r="S1400" t="str">
        <v>1000009436 CAMICO REPUESTOS PESADOS S.R.L.</v>
      </c>
    </row>
    <row r="1401" spans="1:19" x14ac:dyDescent="0.3">
      <c r="A1401" s="2" t="s">
        <v>14</v>
      </c>
      <c r="B1401" s="3" t="s">
        <v>14</v>
      </c>
      <c r="C1401" s="3" t="s">
        <v>1317</v>
      </c>
      <c r="D1401" s="3" t="s">
        <v>14</v>
      </c>
      <c r="E1401" s="3" t="s">
        <v>466</v>
      </c>
      <c r="F1401" s="4">
        <v>46274</v>
      </c>
      <c r="G1401" s="3" t="s">
        <v>17</v>
      </c>
      <c r="H1401" s="5">
        <v>-4680000</v>
      </c>
      <c r="I1401" s="3" t="s">
        <v>18</v>
      </c>
      <c r="J1401" s="3" t="s">
        <v>14</v>
      </c>
      <c r="K1401" s="3" t="s">
        <v>14</v>
      </c>
      <c r="L1401" s="3" t="s">
        <v>1318</v>
      </c>
      <c r="M1401" s="4">
        <v>46274</v>
      </c>
      <c r="N1401" s="3" t="s">
        <v>1319</v>
      </c>
      <c r="O1401" s="3" t="s">
        <v>30</v>
      </c>
      <c r="P1401" t="str">
        <f t="shared" si="21"/>
        <v>450013003210</v>
      </c>
      <c r="Q1401" s="7" cm="1">
        <f t="array" ref="Q1401:S1401">VLOOKUP(P1401,Hoja1!C:F,{2,3,4},FALSE)</f>
        <v>46386</v>
      </c>
      <c r="R1401" t="str">
        <v>C24</v>
      </c>
      <c r="S1401" t="str">
        <v>1000013247 INTEGRA ECODINAMICA S.A</v>
      </c>
    </row>
    <row r="1402" spans="1:19" x14ac:dyDescent="0.3">
      <c r="A1402" s="2" t="s">
        <v>14</v>
      </c>
      <c r="B1402" s="3" t="s">
        <v>14</v>
      </c>
      <c r="C1402" s="3" t="s">
        <v>1317</v>
      </c>
      <c r="D1402" s="3" t="s">
        <v>14</v>
      </c>
      <c r="E1402" s="3" t="s">
        <v>466</v>
      </c>
      <c r="F1402" s="4">
        <v>46274</v>
      </c>
      <c r="G1402" s="3" t="s">
        <v>17</v>
      </c>
      <c r="H1402" s="5">
        <v>-522500</v>
      </c>
      <c r="I1402" s="3" t="s">
        <v>18</v>
      </c>
      <c r="J1402" s="3" t="s">
        <v>14</v>
      </c>
      <c r="K1402" s="3" t="s">
        <v>14</v>
      </c>
      <c r="L1402" s="3" t="s">
        <v>1318</v>
      </c>
      <c r="M1402" s="4">
        <v>46274</v>
      </c>
      <c r="N1402" s="3" t="s">
        <v>1319</v>
      </c>
      <c r="O1402" s="3" t="s">
        <v>22</v>
      </c>
      <c r="P1402" t="str">
        <f t="shared" si="21"/>
        <v>450013003220</v>
      </c>
      <c r="Q1402" s="7" cm="1">
        <f t="array" ref="Q1402:S1402">VLOOKUP(P1402,Hoja1!C:F,{2,3,4},FALSE)</f>
        <v>46265</v>
      </c>
      <c r="R1402" t="str">
        <v>C24</v>
      </c>
      <c r="S1402" t="str">
        <v>1000013247 INTEGRA ECODINAMICA S.A</v>
      </c>
    </row>
    <row r="1403" spans="1:19" x14ac:dyDescent="0.3">
      <c r="A1403" s="2" t="s">
        <v>14</v>
      </c>
      <c r="B1403" s="3" t="s">
        <v>14</v>
      </c>
      <c r="C1403" s="3" t="s">
        <v>1317</v>
      </c>
      <c r="D1403" s="3" t="s">
        <v>14</v>
      </c>
      <c r="E1403" s="3" t="s">
        <v>466</v>
      </c>
      <c r="F1403" s="4">
        <v>46274</v>
      </c>
      <c r="G1403" s="3" t="s">
        <v>17</v>
      </c>
      <c r="H1403" s="5">
        <v>-6270000</v>
      </c>
      <c r="I1403" s="3" t="s">
        <v>18</v>
      </c>
      <c r="J1403" s="3" t="s">
        <v>14</v>
      </c>
      <c r="K1403" s="3" t="s">
        <v>14</v>
      </c>
      <c r="L1403" s="3" t="s">
        <v>1318</v>
      </c>
      <c r="M1403" s="4">
        <v>46274</v>
      </c>
      <c r="N1403" s="3" t="s">
        <v>1319</v>
      </c>
      <c r="O1403" s="3" t="s">
        <v>35</v>
      </c>
      <c r="P1403" t="str">
        <f t="shared" si="21"/>
        <v>450013003230</v>
      </c>
      <c r="Q1403" s="7" cm="1">
        <f t="array" ref="Q1403:S1403">VLOOKUP(P1403,Hoja1!C:F,{2,3,4},FALSE)</f>
        <v>46386</v>
      </c>
      <c r="R1403" t="str">
        <v>C24</v>
      </c>
      <c r="S1403" t="str">
        <v>1000013247 INTEGRA ECODINAMICA S.A</v>
      </c>
    </row>
    <row r="1404" spans="1:19" x14ac:dyDescent="0.3">
      <c r="A1404" s="2" t="s">
        <v>14</v>
      </c>
      <c r="B1404" s="3" t="s">
        <v>14</v>
      </c>
      <c r="C1404" s="3" t="s">
        <v>1320</v>
      </c>
      <c r="D1404" s="3" t="s">
        <v>14</v>
      </c>
      <c r="E1404" s="3" t="s">
        <v>466</v>
      </c>
      <c r="F1404" s="4">
        <v>46274</v>
      </c>
      <c r="G1404" s="3" t="s">
        <v>17</v>
      </c>
      <c r="H1404" s="5">
        <v>-541518</v>
      </c>
      <c r="I1404" s="3" t="s">
        <v>18</v>
      </c>
      <c r="J1404" s="3" t="s">
        <v>14</v>
      </c>
      <c r="K1404" s="3" t="s">
        <v>14</v>
      </c>
      <c r="L1404" s="3" t="s">
        <v>73</v>
      </c>
      <c r="M1404" s="4">
        <v>46274</v>
      </c>
      <c r="N1404" s="3" t="s">
        <v>402</v>
      </c>
      <c r="O1404" s="3" t="s">
        <v>30</v>
      </c>
      <c r="P1404" t="str">
        <f t="shared" si="21"/>
        <v>450013790610</v>
      </c>
      <c r="Q1404" s="7" cm="1">
        <f t="array" ref="Q1404:S1404">VLOOKUP(P1404,Hoja1!C:F,{2,3,4},FALSE)</f>
        <v>46295</v>
      </c>
      <c r="R1404" t="str">
        <v>C21</v>
      </c>
      <c r="S1404" t="str">
        <v>1000000808 GLOBAL OIL S.R.L.</v>
      </c>
    </row>
    <row r="1405" spans="1:19" x14ac:dyDescent="0.3">
      <c r="A1405" s="2" t="s">
        <v>14</v>
      </c>
      <c r="B1405" s="3" t="s">
        <v>14</v>
      </c>
      <c r="C1405" s="3" t="s">
        <v>1320</v>
      </c>
      <c r="D1405" s="3" t="s">
        <v>14</v>
      </c>
      <c r="E1405" s="3" t="s">
        <v>466</v>
      </c>
      <c r="F1405" s="4">
        <v>46274</v>
      </c>
      <c r="G1405" s="3" t="s">
        <v>17</v>
      </c>
      <c r="H1405" s="5">
        <v>-113968</v>
      </c>
      <c r="I1405" s="3" t="s">
        <v>18</v>
      </c>
      <c r="J1405" s="3" t="s">
        <v>14</v>
      </c>
      <c r="K1405" s="3" t="s">
        <v>14</v>
      </c>
      <c r="L1405" s="3" t="s">
        <v>73</v>
      </c>
      <c r="M1405" s="4">
        <v>46274</v>
      </c>
      <c r="N1405" s="3" t="s">
        <v>402</v>
      </c>
      <c r="O1405" s="3" t="s">
        <v>30</v>
      </c>
      <c r="P1405" t="str">
        <f t="shared" si="21"/>
        <v>450013790610</v>
      </c>
      <c r="Q1405" s="7" cm="1">
        <f t="array" ref="Q1405:S1405">VLOOKUP(P1405,Hoja1!C:F,{2,3,4},FALSE)</f>
        <v>46295</v>
      </c>
      <c r="R1405" t="str">
        <v>C21</v>
      </c>
      <c r="S1405" t="str">
        <v>1000000808 GLOBAL OIL S.R.L.</v>
      </c>
    </row>
    <row r="1406" spans="1:19" x14ac:dyDescent="0.3">
      <c r="A1406" s="2" t="s">
        <v>14</v>
      </c>
      <c r="B1406" s="3" t="s">
        <v>14</v>
      </c>
      <c r="C1406" s="3" t="s">
        <v>1321</v>
      </c>
      <c r="D1406" s="3" t="s">
        <v>14</v>
      </c>
      <c r="E1406" s="3" t="s">
        <v>466</v>
      </c>
      <c r="F1406" s="4">
        <v>46273</v>
      </c>
      <c r="G1406" s="3" t="s">
        <v>17</v>
      </c>
      <c r="H1406" s="5">
        <v>-2164947.21</v>
      </c>
      <c r="I1406" s="3" t="s">
        <v>18</v>
      </c>
      <c r="J1406" s="3" t="s">
        <v>14</v>
      </c>
      <c r="K1406" s="3" t="s">
        <v>14</v>
      </c>
      <c r="L1406" s="3" t="s">
        <v>1238</v>
      </c>
      <c r="M1406" s="4">
        <v>46275</v>
      </c>
      <c r="N1406" s="3" t="s">
        <v>1322</v>
      </c>
      <c r="O1406" s="3" t="s">
        <v>30</v>
      </c>
      <c r="P1406" t="str">
        <f t="shared" si="21"/>
        <v>450013759810</v>
      </c>
      <c r="Q1406" s="7" cm="1">
        <f t="array" ref="Q1406:S1406">VLOOKUP(P1406,Hoja1!C:F,{2,3,4},FALSE)</f>
        <v>46287</v>
      </c>
      <c r="R1406" t="str">
        <v>F04</v>
      </c>
      <c r="S1406" t="str">
        <v>1000000286 SULLAIR ARGENTINA S.A</v>
      </c>
    </row>
    <row r="1407" spans="1:19" x14ac:dyDescent="0.3">
      <c r="A1407" s="2" t="s">
        <v>14</v>
      </c>
      <c r="B1407" s="3" t="s">
        <v>14</v>
      </c>
      <c r="C1407" s="3" t="s">
        <v>1323</v>
      </c>
      <c r="D1407" s="3" t="s">
        <v>14</v>
      </c>
      <c r="E1407" s="3" t="s">
        <v>466</v>
      </c>
      <c r="F1407" s="4">
        <v>46273</v>
      </c>
      <c r="G1407" s="3" t="s">
        <v>17</v>
      </c>
      <c r="H1407" s="5">
        <v>-1410009.6</v>
      </c>
      <c r="I1407" s="3" t="s">
        <v>18</v>
      </c>
      <c r="J1407" s="3" t="s">
        <v>14</v>
      </c>
      <c r="K1407" s="3" t="s">
        <v>14</v>
      </c>
      <c r="L1407" s="3" t="s">
        <v>1238</v>
      </c>
      <c r="M1407" s="4">
        <v>46275</v>
      </c>
      <c r="N1407" s="3" t="s">
        <v>1324</v>
      </c>
      <c r="O1407" s="3" t="s">
        <v>30</v>
      </c>
      <c r="P1407" t="str">
        <f t="shared" si="21"/>
        <v>450013762310</v>
      </c>
      <c r="Q1407" s="7" cm="1">
        <f t="array" ref="Q1407:S1407">VLOOKUP(P1407,Hoja1!C:F,{2,3,4},FALSE)</f>
        <v>46288</v>
      </c>
      <c r="R1407" t="str">
        <v>C03</v>
      </c>
      <c r="S1407" t="str">
        <v>1000000286 SULLAIR ARGENTINA S.A</v>
      </c>
    </row>
    <row r="1408" spans="1:19" x14ac:dyDescent="0.3">
      <c r="A1408" s="2" t="s">
        <v>14</v>
      </c>
      <c r="B1408" s="3" t="s">
        <v>14</v>
      </c>
      <c r="C1408" s="3" t="s">
        <v>1325</v>
      </c>
      <c r="D1408" s="3" t="s">
        <v>14</v>
      </c>
      <c r="E1408" s="3" t="s">
        <v>466</v>
      </c>
      <c r="F1408" s="4">
        <v>46273</v>
      </c>
      <c r="G1408" s="3" t="s">
        <v>17</v>
      </c>
      <c r="H1408" s="5">
        <v>-617935.5</v>
      </c>
      <c r="I1408" s="3" t="s">
        <v>18</v>
      </c>
      <c r="J1408" s="3" t="s">
        <v>14</v>
      </c>
      <c r="K1408" s="3" t="s">
        <v>14</v>
      </c>
      <c r="L1408" s="3" t="s">
        <v>1238</v>
      </c>
      <c r="M1408" s="4">
        <v>46275</v>
      </c>
      <c r="N1408" s="3" t="s">
        <v>1326</v>
      </c>
      <c r="O1408" s="3" t="s">
        <v>35</v>
      </c>
      <c r="P1408" t="str">
        <f t="shared" si="21"/>
        <v>450013577030</v>
      </c>
      <c r="Q1408" s="7" cm="1">
        <f t="array" ref="Q1408:S1408">VLOOKUP(P1408,Hoja1!C:F,{2,3,4},FALSE)</f>
        <v>46280</v>
      </c>
      <c r="R1408" t="str">
        <v>C29</v>
      </c>
      <c r="S1408" t="str">
        <v>1000000286 SULLAIR ARGENTINA S.A</v>
      </c>
    </row>
    <row r="1409" spans="1:19" x14ac:dyDescent="0.3">
      <c r="A1409" s="2" t="s">
        <v>14</v>
      </c>
      <c r="B1409" s="3" t="s">
        <v>14</v>
      </c>
      <c r="C1409" s="3" t="s">
        <v>1327</v>
      </c>
      <c r="D1409" s="3" t="s">
        <v>14</v>
      </c>
      <c r="E1409" s="3" t="s">
        <v>466</v>
      </c>
      <c r="F1409" s="4">
        <v>46269</v>
      </c>
      <c r="G1409" s="3" t="s">
        <v>17</v>
      </c>
      <c r="H1409" s="5">
        <v>-36216</v>
      </c>
      <c r="I1409" s="3" t="s">
        <v>18</v>
      </c>
      <c r="J1409" s="3" t="s">
        <v>14</v>
      </c>
      <c r="K1409" s="3" t="s">
        <v>14</v>
      </c>
      <c r="L1409" s="3" t="s">
        <v>269</v>
      </c>
      <c r="M1409" s="4">
        <v>46275</v>
      </c>
      <c r="N1409" s="3" t="s">
        <v>459</v>
      </c>
      <c r="O1409" s="3" t="s">
        <v>132</v>
      </c>
      <c r="P1409" t="str">
        <f t="shared" si="21"/>
        <v>4500137125120</v>
      </c>
      <c r="Q1409" s="7" cm="1">
        <f t="array" ref="Q1409:S1409">VLOOKUP(P1409,Hoja1!C:F,{2,3,4},FALSE)</f>
        <v>46295</v>
      </c>
      <c r="R1409" t="str">
        <v>C03</v>
      </c>
      <c r="S1409" t="str">
        <v>1000000190 FERNANDEZ INSUA S.A.</v>
      </c>
    </row>
    <row r="1410" spans="1:19" x14ac:dyDescent="0.3">
      <c r="A1410" s="2" t="s">
        <v>14</v>
      </c>
      <c r="B1410" s="3" t="s">
        <v>14</v>
      </c>
      <c r="C1410" s="3" t="s">
        <v>1327</v>
      </c>
      <c r="D1410" s="3" t="s">
        <v>14</v>
      </c>
      <c r="E1410" s="3" t="s">
        <v>466</v>
      </c>
      <c r="F1410" s="4">
        <v>46269</v>
      </c>
      <c r="G1410" s="3" t="s">
        <v>17</v>
      </c>
      <c r="H1410" s="5">
        <v>-36216</v>
      </c>
      <c r="I1410" s="3" t="s">
        <v>18</v>
      </c>
      <c r="J1410" s="3" t="s">
        <v>14</v>
      </c>
      <c r="K1410" s="3" t="s">
        <v>14</v>
      </c>
      <c r="L1410" s="3" t="s">
        <v>269</v>
      </c>
      <c r="M1410" s="4">
        <v>46275</v>
      </c>
      <c r="N1410" s="3" t="s">
        <v>459</v>
      </c>
      <c r="O1410" s="3" t="s">
        <v>138</v>
      </c>
      <c r="P1410" t="str">
        <f t="shared" si="21"/>
        <v>450013712590</v>
      </c>
      <c r="Q1410" s="7" cm="1">
        <f t="array" ref="Q1410:S1410">VLOOKUP(P1410,Hoja1!C:F,{2,3,4},FALSE)</f>
        <v>46295</v>
      </c>
      <c r="R1410" t="str">
        <v>C03</v>
      </c>
      <c r="S1410" t="str">
        <v>1000000190 FERNANDEZ INSUA S.A.</v>
      </c>
    </row>
    <row r="1411" spans="1:19" x14ac:dyDescent="0.3">
      <c r="A1411" s="2" t="s">
        <v>14</v>
      </c>
      <c r="B1411" s="3" t="s">
        <v>14</v>
      </c>
      <c r="C1411" s="3" t="s">
        <v>1327</v>
      </c>
      <c r="D1411" s="3" t="s">
        <v>14</v>
      </c>
      <c r="E1411" s="3" t="s">
        <v>466</v>
      </c>
      <c r="F1411" s="4">
        <v>46269</v>
      </c>
      <c r="G1411" s="3" t="s">
        <v>17</v>
      </c>
      <c r="H1411" s="5">
        <v>-52815</v>
      </c>
      <c r="I1411" s="3" t="s">
        <v>18</v>
      </c>
      <c r="J1411" s="3" t="s">
        <v>14</v>
      </c>
      <c r="K1411" s="3" t="s">
        <v>14</v>
      </c>
      <c r="L1411" s="3" t="s">
        <v>269</v>
      </c>
      <c r="M1411" s="4">
        <v>46275</v>
      </c>
      <c r="N1411" s="3" t="s">
        <v>459</v>
      </c>
      <c r="O1411" s="3" t="s">
        <v>127</v>
      </c>
      <c r="P1411" t="str">
        <f t="shared" ref="P1411:P1474" si="22">_xlfn.CONCAT(N1411:O1411)</f>
        <v>4500137125190</v>
      </c>
      <c r="Q1411" s="7" cm="1">
        <f t="array" ref="Q1411:S1411">VLOOKUP(P1411,Hoja1!C:F,{2,3,4},FALSE)</f>
        <v>46295</v>
      </c>
      <c r="R1411" t="str">
        <v>C03</v>
      </c>
      <c r="S1411" t="str">
        <v>1000000190 FERNANDEZ INSUA S.A.</v>
      </c>
    </row>
    <row r="1412" spans="1:19" x14ac:dyDescent="0.3">
      <c r="A1412" s="2" t="s">
        <v>14</v>
      </c>
      <c r="B1412" s="3" t="s">
        <v>14</v>
      </c>
      <c r="C1412" s="3" t="s">
        <v>1328</v>
      </c>
      <c r="D1412" s="3" t="s">
        <v>14</v>
      </c>
      <c r="E1412" s="3" t="s">
        <v>466</v>
      </c>
      <c r="F1412" s="4">
        <v>46273</v>
      </c>
      <c r="G1412" s="3" t="s">
        <v>17</v>
      </c>
      <c r="H1412" s="5">
        <v>-48348.36</v>
      </c>
      <c r="I1412" s="3" t="s">
        <v>18</v>
      </c>
      <c r="J1412" s="3" t="s">
        <v>14</v>
      </c>
      <c r="K1412" s="3" t="s">
        <v>14</v>
      </c>
      <c r="L1412" s="3" t="s">
        <v>232</v>
      </c>
      <c r="M1412" s="4">
        <v>46275</v>
      </c>
      <c r="N1412" s="3" t="s">
        <v>1329</v>
      </c>
      <c r="O1412" s="3" t="s">
        <v>22</v>
      </c>
      <c r="P1412" t="str">
        <f t="shared" si="22"/>
        <v>450013554420</v>
      </c>
      <c r="Q1412" s="7" cm="1">
        <f t="array" ref="Q1412:S1412">VLOOKUP(P1412,Hoja1!C:F,{2,3,4},FALSE)</f>
        <v>46290</v>
      </c>
      <c r="R1412" t="str">
        <v>C03</v>
      </c>
      <c r="S1412" t="str">
        <v>1000000572 GRUAS SAN BLAS S.A</v>
      </c>
    </row>
    <row r="1413" spans="1:19" x14ac:dyDescent="0.3">
      <c r="A1413" s="2" t="s">
        <v>14</v>
      </c>
      <c r="B1413" s="3" t="s">
        <v>14</v>
      </c>
      <c r="C1413" s="3" t="s">
        <v>1330</v>
      </c>
      <c r="D1413" s="3" t="s">
        <v>14</v>
      </c>
      <c r="E1413" s="3" t="s">
        <v>466</v>
      </c>
      <c r="F1413" s="4">
        <v>46261</v>
      </c>
      <c r="G1413" s="3" t="s">
        <v>17</v>
      </c>
      <c r="H1413" s="5">
        <v>-1790247.42</v>
      </c>
      <c r="I1413" s="3" t="s">
        <v>18</v>
      </c>
      <c r="J1413" s="3" t="s">
        <v>14</v>
      </c>
      <c r="K1413" s="3" t="s">
        <v>14</v>
      </c>
      <c r="L1413" s="3" t="s">
        <v>399</v>
      </c>
      <c r="M1413" s="4">
        <v>46275</v>
      </c>
      <c r="N1413" s="3" t="s">
        <v>400</v>
      </c>
      <c r="O1413" s="3" t="s">
        <v>144</v>
      </c>
      <c r="P1413" t="str">
        <f t="shared" si="22"/>
        <v>450013021250</v>
      </c>
      <c r="Q1413" s="7" cm="1">
        <f t="array" ref="Q1413:S1413">VLOOKUP(P1413,Hoja1!C:F,{2,3,4},FALSE)</f>
        <v>46304</v>
      </c>
      <c r="R1413" t="str">
        <v>G04</v>
      </c>
      <c r="S1413" t="str">
        <v>1000000561 ESCANDINAVIA DEL PLATA SA</v>
      </c>
    </row>
    <row r="1414" spans="1:19" x14ac:dyDescent="0.3">
      <c r="A1414" s="2" t="s">
        <v>14</v>
      </c>
      <c r="B1414" s="3" t="s">
        <v>14</v>
      </c>
      <c r="C1414" s="3" t="s">
        <v>1331</v>
      </c>
      <c r="D1414" s="3" t="s">
        <v>32</v>
      </c>
      <c r="E1414" s="3" t="s">
        <v>466</v>
      </c>
      <c r="F1414" s="4">
        <v>46275</v>
      </c>
      <c r="G1414" s="3" t="s">
        <v>17</v>
      </c>
      <c r="H1414" s="5">
        <v>-73037.72</v>
      </c>
      <c r="I1414" s="3" t="s">
        <v>18</v>
      </c>
      <c r="J1414" s="3" t="s">
        <v>14</v>
      </c>
      <c r="K1414" s="3" t="s">
        <v>14</v>
      </c>
      <c r="L1414" s="3" t="s">
        <v>892</v>
      </c>
      <c r="M1414" s="4">
        <v>46275</v>
      </c>
      <c r="N1414" s="3" t="s">
        <v>1275</v>
      </c>
      <c r="O1414" s="3" t="s">
        <v>23</v>
      </c>
      <c r="P1414" t="str">
        <f t="shared" si="22"/>
        <v>450013759340</v>
      </c>
      <c r="Q1414" s="7" cm="1">
        <f t="array" ref="Q1414:S1414">VLOOKUP(P1414,Hoja1!C:F,{2,3,4},FALSE)</f>
        <v>46275</v>
      </c>
      <c r="R1414" t="str">
        <v>C27</v>
      </c>
      <c r="S1414" t="str">
        <v>1000000894 FORTIN REPUBLICA SA</v>
      </c>
    </row>
    <row r="1415" spans="1:19" x14ac:dyDescent="0.3">
      <c r="A1415" s="2" t="s">
        <v>14</v>
      </c>
      <c r="B1415" s="3" t="s">
        <v>14</v>
      </c>
      <c r="C1415" s="3" t="s">
        <v>1331</v>
      </c>
      <c r="D1415" s="3" t="s">
        <v>14</v>
      </c>
      <c r="E1415" s="3" t="s">
        <v>466</v>
      </c>
      <c r="F1415" s="4">
        <v>46275</v>
      </c>
      <c r="G1415" s="3" t="s">
        <v>17</v>
      </c>
      <c r="H1415" s="5">
        <v>-48096</v>
      </c>
      <c r="I1415" s="3" t="s">
        <v>18</v>
      </c>
      <c r="J1415" s="3" t="s">
        <v>14</v>
      </c>
      <c r="K1415" s="3" t="s">
        <v>14</v>
      </c>
      <c r="L1415" s="3" t="s">
        <v>892</v>
      </c>
      <c r="M1415" s="4">
        <v>46275</v>
      </c>
      <c r="N1415" s="3" t="s">
        <v>1275</v>
      </c>
      <c r="O1415" s="3" t="s">
        <v>138</v>
      </c>
      <c r="P1415" t="str">
        <f t="shared" si="22"/>
        <v>450013759390</v>
      </c>
      <c r="Q1415" s="7" cm="1">
        <f t="array" ref="Q1415:S1415">VLOOKUP(P1415,Hoja1!C:F,{2,3,4},FALSE)</f>
        <v>46275</v>
      </c>
      <c r="R1415" t="str">
        <v>C27</v>
      </c>
      <c r="S1415" t="str">
        <v>1000000894 FORTIN REPUBLICA SA</v>
      </c>
    </row>
    <row r="1416" spans="1:19" x14ac:dyDescent="0.3">
      <c r="A1416" s="2" t="s">
        <v>14</v>
      </c>
      <c r="B1416" s="3" t="s">
        <v>14</v>
      </c>
      <c r="C1416" s="3" t="s">
        <v>1332</v>
      </c>
      <c r="D1416" s="3" t="s">
        <v>14</v>
      </c>
      <c r="E1416" s="3" t="s">
        <v>466</v>
      </c>
      <c r="F1416" s="4">
        <v>46275</v>
      </c>
      <c r="G1416" s="3" t="s">
        <v>17</v>
      </c>
      <c r="H1416" s="5">
        <v>-100200</v>
      </c>
      <c r="I1416" s="3" t="s">
        <v>18</v>
      </c>
      <c r="J1416" s="3" t="s">
        <v>14</v>
      </c>
      <c r="K1416" s="3" t="s">
        <v>14</v>
      </c>
      <c r="L1416" s="3" t="s">
        <v>892</v>
      </c>
      <c r="M1416" s="4">
        <v>46275</v>
      </c>
      <c r="N1416" s="3" t="s">
        <v>1275</v>
      </c>
      <c r="O1416" s="3" t="s">
        <v>138</v>
      </c>
      <c r="P1416" t="str">
        <f t="shared" si="22"/>
        <v>450013759390</v>
      </c>
      <c r="Q1416" s="7" cm="1">
        <f t="array" ref="Q1416:S1416">VLOOKUP(P1416,Hoja1!C:F,{2,3,4},FALSE)</f>
        <v>46275</v>
      </c>
      <c r="R1416" t="str">
        <v>C27</v>
      </c>
      <c r="S1416" t="str">
        <v>1000000894 FORTIN REPUBLICA SA</v>
      </c>
    </row>
    <row r="1417" spans="1:19" x14ac:dyDescent="0.3">
      <c r="A1417" s="2" t="s">
        <v>14</v>
      </c>
      <c r="B1417" s="3" t="s">
        <v>14</v>
      </c>
      <c r="C1417" s="3" t="s">
        <v>1332</v>
      </c>
      <c r="D1417" s="3" t="s">
        <v>32</v>
      </c>
      <c r="E1417" s="3" t="s">
        <v>466</v>
      </c>
      <c r="F1417" s="4">
        <v>46275</v>
      </c>
      <c r="G1417" s="3" t="s">
        <v>17</v>
      </c>
      <c r="H1417" s="5">
        <v>-53678.46</v>
      </c>
      <c r="I1417" s="3" t="s">
        <v>18</v>
      </c>
      <c r="J1417" s="3" t="s">
        <v>14</v>
      </c>
      <c r="K1417" s="3" t="s">
        <v>14</v>
      </c>
      <c r="L1417" s="3" t="s">
        <v>892</v>
      </c>
      <c r="M1417" s="4">
        <v>46275</v>
      </c>
      <c r="N1417" s="3" t="s">
        <v>1275</v>
      </c>
      <c r="O1417" s="3" t="s">
        <v>130</v>
      </c>
      <c r="P1417" t="str">
        <f t="shared" si="22"/>
        <v>4500137593180</v>
      </c>
      <c r="Q1417" s="7" cm="1">
        <f t="array" ref="Q1417:S1417">VLOOKUP(P1417,Hoja1!C:F,{2,3,4},FALSE)</f>
        <v>46275</v>
      </c>
      <c r="R1417" t="str">
        <v>C27</v>
      </c>
      <c r="S1417" t="str">
        <v>1000000894 FORTIN REPUBLICA SA</v>
      </c>
    </row>
    <row r="1418" spans="1:19" x14ac:dyDescent="0.3">
      <c r="A1418" s="2" t="s">
        <v>14</v>
      </c>
      <c r="B1418" s="3" t="s">
        <v>14</v>
      </c>
      <c r="C1418" s="3" t="s">
        <v>1332</v>
      </c>
      <c r="D1418" s="3" t="s">
        <v>32</v>
      </c>
      <c r="E1418" s="3" t="s">
        <v>466</v>
      </c>
      <c r="F1418" s="4">
        <v>46275</v>
      </c>
      <c r="G1418" s="3" t="s">
        <v>17</v>
      </c>
      <c r="H1418" s="5">
        <v>-206895.89</v>
      </c>
      <c r="I1418" s="3" t="s">
        <v>18</v>
      </c>
      <c r="J1418" s="3" t="s">
        <v>14</v>
      </c>
      <c r="K1418" s="3" t="s">
        <v>14</v>
      </c>
      <c r="L1418" s="3" t="s">
        <v>892</v>
      </c>
      <c r="M1418" s="4">
        <v>46275</v>
      </c>
      <c r="N1418" s="3" t="s">
        <v>1275</v>
      </c>
      <c r="O1418" s="3" t="s">
        <v>161</v>
      </c>
      <c r="P1418" t="str">
        <f t="shared" si="22"/>
        <v>4500137593200</v>
      </c>
      <c r="Q1418" s="7" cm="1">
        <f t="array" ref="Q1418:S1418">VLOOKUP(P1418,Hoja1!C:F,{2,3,4},FALSE)</f>
        <v>46275</v>
      </c>
      <c r="R1418" t="str">
        <v>C27</v>
      </c>
      <c r="S1418" t="str">
        <v>1000000894 FORTIN REPUBLICA SA</v>
      </c>
    </row>
    <row r="1419" spans="1:19" x14ac:dyDescent="0.3">
      <c r="A1419" s="2" t="s">
        <v>14</v>
      </c>
      <c r="B1419" s="3" t="s">
        <v>14</v>
      </c>
      <c r="C1419" s="3" t="s">
        <v>1332</v>
      </c>
      <c r="D1419" s="3" t="s">
        <v>14</v>
      </c>
      <c r="E1419" s="3" t="s">
        <v>466</v>
      </c>
      <c r="F1419" s="4">
        <v>46275</v>
      </c>
      <c r="G1419" s="3" t="s">
        <v>17</v>
      </c>
      <c r="H1419" s="5">
        <v>-107095.7</v>
      </c>
      <c r="I1419" s="3" t="s">
        <v>18</v>
      </c>
      <c r="J1419" s="3" t="s">
        <v>14</v>
      </c>
      <c r="K1419" s="3" t="s">
        <v>14</v>
      </c>
      <c r="L1419" s="3" t="s">
        <v>892</v>
      </c>
      <c r="M1419" s="4">
        <v>46275</v>
      </c>
      <c r="N1419" s="3" t="s">
        <v>1275</v>
      </c>
      <c r="O1419" s="3" t="s">
        <v>171</v>
      </c>
      <c r="P1419" t="str">
        <f t="shared" si="22"/>
        <v>4500137593470</v>
      </c>
      <c r="Q1419" s="7" cm="1">
        <f t="array" ref="Q1419:S1419">VLOOKUP(P1419,Hoja1!C:F,{2,3,4},FALSE)</f>
        <v>46275</v>
      </c>
      <c r="R1419" t="str">
        <v>C27</v>
      </c>
      <c r="S1419" t="str">
        <v>1000000894 FORTIN REPUBLICA SA</v>
      </c>
    </row>
    <row r="1420" spans="1:19" x14ac:dyDescent="0.3">
      <c r="A1420" s="2" t="s">
        <v>14</v>
      </c>
      <c r="B1420" s="3" t="s">
        <v>14</v>
      </c>
      <c r="C1420" s="3" t="s">
        <v>1333</v>
      </c>
      <c r="D1420" s="3" t="s">
        <v>14</v>
      </c>
      <c r="E1420" s="3" t="s">
        <v>466</v>
      </c>
      <c r="F1420" s="4">
        <v>46275</v>
      </c>
      <c r="G1420" s="3" t="s">
        <v>17</v>
      </c>
      <c r="H1420" s="5">
        <v>-578512.39</v>
      </c>
      <c r="I1420" s="3" t="s">
        <v>18</v>
      </c>
      <c r="J1420" s="3" t="s">
        <v>14</v>
      </c>
      <c r="K1420" s="3" t="s">
        <v>14</v>
      </c>
      <c r="L1420" s="3" t="s">
        <v>994</v>
      </c>
      <c r="M1420" s="4">
        <v>46275</v>
      </c>
      <c r="N1420" s="3" t="s">
        <v>1334</v>
      </c>
      <c r="O1420" s="3" t="s">
        <v>30</v>
      </c>
      <c r="P1420" t="str">
        <f t="shared" si="22"/>
        <v>450013813210</v>
      </c>
      <c r="Q1420" s="7" cm="1">
        <f t="array" ref="Q1420:S1420">VLOOKUP(P1420,Hoja1!C:F,{2,3,4},FALSE)</f>
        <v>46275</v>
      </c>
      <c r="R1420" t="str">
        <v>C38</v>
      </c>
      <c r="S1420" t="str">
        <v>1000012776 TURBOLAR S.A.</v>
      </c>
    </row>
    <row r="1421" spans="1:19" x14ac:dyDescent="0.3">
      <c r="A1421" s="2" t="s">
        <v>14</v>
      </c>
      <c r="B1421" s="3" t="s">
        <v>14</v>
      </c>
      <c r="C1421" s="3" t="s">
        <v>1335</v>
      </c>
      <c r="D1421" s="3" t="s">
        <v>14</v>
      </c>
      <c r="E1421" s="3" t="s">
        <v>466</v>
      </c>
      <c r="F1421" s="4">
        <v>46275</v>
      </c>
      <c r="G1421" s="3" t="s">
        <v>17</v>
      </c>
      <c r="H1421" s="5">
        <v>-652892.56000000006</v>
      </c>
      <c r="I1421" s="3" t="s">
        <v>18</v>
      </c>
      <c r="J1421" s="3" t="s">
        <v>14</v>
      </c>
      <c r="K1421" s="3" t="s">
        <v>14</v>
      </c>
      <c r="L1421" s="3" t="s">
        <v>994</v>
      </c>
      <c r="M1421" s="4">
        <v>46275</v>
      </c>
      <c r="N1421" s="3" t="s">
        <v>1336</v>
      </c>
      <c r="O1421" s="3" t="s">
        <v>30</v>
      </c>
      <c r="P1421" t="str">
        <f t="shared" si="22"/>
        <v>450013715110</v>
      </c>
      <c r="Q1421" s="7" cm="1">
        <f t="array" ref="Q1421:S1421">VLOOKUP(P1421,Hoja1!C:F,{2,3,4},FALSE)</f>
        <v>46267</v>
      </c>
      <c r="R1421" t="str">
        <v>C38</v>
      </c>
      <c r="S1421" t="str">
        <v>1000012776 TURBOLAR S.A.</v>
      </c>
    </row>
    <row r="1422" spans="1:19" x14ac:dyDescent="0.3">
      <c r="A1422" s="2" t="s">
        <v>14</v>
      </c>
      <c r="B1422" s="3" t="s">
        <v>14</v>
      </c>
      <c r="C1422" s="3" t="s">
        <v>1337</v>
      </c>
      <c r="D1422" s="3" t="s">
        <v>14</v>
      </c>
      <c r="E1422" s="3" t="s">
        <v>466</v>
      </c>
      <c r="F1422" s="4">
        <v>46275</v>
      </c>
      <c r="G1422" s="3" t="s">
        <v>17</v>
      </c>
      <c r="H1422" s="5">
        <v>-15278.85</v>
      </c>
      <c r="I1422" s="3" t="s">
        <v>18</v>
      </c>
      <c r="J1422" s="3" t="s">
        <v>14</v>
      </c>
      <c r="K1422" s="3" t="s">
        <v>14</v>
      </c>
      <c r="L1422" s="3" t="s">
        <v>892</v>
      </c>
      <c r="M1422" s="4">
        <v>46275</v>
      </c>
      <c r="N1422" s="3" t="s">
        <v>1338</v>
      </c>
      <c r="O1422" s="3" t="s">
        <v>144</v>
      </c>
      <c r="P1422" t="str">
        <f t="shared" si="22"/>
        <v>450013807250</v>
      </c>
      <c r="Q1422" s="7" cm="1">
        <f t="array" ref="Q1422:S1422">VLOOKUP(P1422,Hoja1!C:F,{2,3,4},FALSE)</f>
        <v>46284</v>
      </c>
      <c r="R1422" t="str">
        <v>C27</v>
      </c>
      <c r="S1422" t="str">
        <v>1000000894 FORTIN REPUBLICA SA</v>
      </c>
    </row>
    <row r="1423" spans="1:19" x14ac:dyDescent="0.3">
      <c r="A1423" s="2" t="s">
        <v>14</v>
      </c>
      <c r="B1423" s="3" t="s">
        <v>14</v>
      </c>
      <c r="C1423" s="3" t="s">
        <v>1339</v>
      </c>
      <c r="D1423" s="3" t="s">
        <v>14</v>
      </c>
      <c r="E1423" s="3" t="s">
        <v>466</v>
      </c>
      <c r="F1423" s="4">
        <v>46275</v>
      </c>
      <c r="G1423" s="3" t="s">
        <v>17</v>
      </c>
      <c r="H1423" s="5">
        <v>-291200</v>
      </c>
      <c r="I1423" s="3" t="s">
        <v>18</v>
      </c>
      <c r="J1423" s="3" t="s">
        <v>14</v>
      </c>
      <c r="K1423" s="3" t="s">
        <v>14</v>
      </c>
      <c r="L1423" s="3" t="s">
        <v>1028</v>
      </c>
      <c r="M1423" s="4">
        <v>46275</v>
      </c>
      <c r="N1423" s="3" t="s">
        <v>1340</v>
      </c>
      <c r="O1423" s="3" t="s">
        <v>30</v>
      </c>
      <c r="P1423" t="str">
        <f t="shared" si="22"/>
        <v>450013807110</v>
      </c>
      <c r="Q1423" s="7" cm="1">
        <f t="array" ref="Q1423:S1423">VLOOKUP(P1423,Hoja1!C:F,{2,3,4},FALSE)</f>
        <v>46282</v>
      </c>
      <c r="R1423" t="str">
        <v>C38</v>
      </c>
      <c r="S1423" t="str">
        <v>1000012593 PASARON FABIO ALEXIS</v>
      </c>
    </row>
    <row r="1424" spans="1:19" x14ac:dyDescent="0.3">
      <c r="A1424" s="2" t="s">
        <v>14</v>
      </c>
      <c r="B1424" s="3" t="s">
        <v>14</v>
      </c>
      <c r="C1424" s="3" t="s">
        <v>1341</v>
      </c>
      <c r="D1424" s="3" t="s">
        <v>14</v>
      </c>
      <c r="E1424" s="3" t="s">
        <v>466</v>
      </c>
      <c r="F1424" s="4">
        <v>46275</v>
      </c>
      <c r="G1424" s="3" t="s">
        <v>17</v>
      </c>
      <c r="H1424" s="5">
        <v>-449395.29</v>
      </c>
      <c r="I1424" s="3" t="s">
        <v>18</v>
      </c>
      <c r="J1424" s="3" t="s">
        <v>14</v>
      </c>
      <c r="K1424" s="3" t="s">
        <v>14</v>
      </c>
      <c r="L1424" s="3" t="s">
        <v>232</v>
      </c>
      <c r="M1424" s="4">
        <v>46275</v>
      </c>
      <c r="N1424" s="3" t="s">
        <v>1187</v>
      </c>
      <c r="O1424" s="3" t="s">
        <v>30</v>
      </c>
      <c r="P1424" t="str">
        <f t="shared" si="22"/>
        <v>450013638510</v>
      </c>
      <c r="Q1424" s="7" cm="1">
        <f t="array" ref="Q1424:S1424">VLOOKUP(P1424,Hoja1!C:F,{2,3,4},FALSE)</f>
        <v>46310</v>
      </c>
      <c r="R1424" t="str">
        <v>C03</v>
      </c>
      <c r="S1424" t="str">
        <v>1000000572 GRUAS SAN BLAS S.A</v>
      </c>
    </row>
    <row r="1425" spans="1:19" x14ac:dyDescent="0.3">
      <c r="A1425" s="2" t="s">
        <v>14</v>
      </c>
      <c r="B1425" s="3" t="s">
        <v>14</v>
      </c>
      <c r="C1425" s="3" t="s">
        <v>1342</v>
      </c>
      <c r="D1425" s="3" t="s">
        <v>14</v>
      </c>
      <c r="E1425" s="3" t="s">
        <v>466</v>
      </c>
      <c r="F1425" s="4">
        <v>46275</v>
      </c>
      <c r="G1425" s="3" t="s">
        <v>17</v>
      </c>
      <c r="H1425" s="5">
        <v>-300050</v>
      </c>
      <c r="I1425" s="3" t="s">
        <v>18</v>
      </c>
      <c r="J1425" s="3" t="s">
        <v>14</v>
      </c>
      <c r="K1425" s="3" t="s">
        <v>14</v>
      </c>
      <c r="L1425" s="3" t="s">
        <v>1028</v>
      </c>
      <c r="M1425" s="4">
        <v>46275</v>
      </c>
      <c r="N1425" s="3" t="s">
        <v>1343</v>
      </c>
      <c r="O1425" s="3" t="s">
        <v>30</v>
      </c>
      <c r="P1425" t="str">
        <f t="shared" si="22"/>
        <v>450013807810</v>
      </c>
      <c r="Q1425" s="7" cm="1">
        <f t="array" ref="Q1425:S1425">VLOOKUP(P1425,Hoja1!C:F,{2,3,4},FALSE)</f>
        <v>46282</v>
      </c>
      <c r="R1425" t="str">
        <v>C38</v>
      </c>
      <c r="S1425" t="str">
        <v>1000012593 PASARON FABIO ALEXIS</v>
      </c>
    </row>
    <row r="1426" spans="1:19" x14ac:dyDescent="0.3">
      <c r="A1426" s="2" t="s">
        <v>14</v>
      </c>
      <c r="B1426" s="3" t="s">
        <v>14</v>
      </c>
      <c r="C1426" s="3" t="s">
        <v>1344</v>
      </c>
      <c r="D1426" s="3" t="s">
        <v>14</v>
      </c>
      <c r="E1426" s="3" t="s">
        <v>466</v>
      </c>
      <c r="F1426" s="4">
        <v>46275</v>
      </c>
      <c r="G1426" s="3" t="s">
        <v>17</v>
      </c>
      <c r="H1426" s="5">
        <v>-2397439.15</v>
      </c>
      <c r="I1426" s="3" t="s">
        <v>18</v>
      </c>
      <c r="J1426" s="3" t="s">
        <v>14</v>
      </c>
      <c r="K1426" s="3" t="s">
        <v>14</v>
      </c>
      <c r="L1426" s="3" t="s">
        <v>965</v>
      </c>
      <c r="M1426" s="4">
        <v>46275</v>
      </c>
      <c r="N1426" s="3" t="s">
        <v>1345</v>
      </c>
      <c r="O1426" s="3" t="s">
        <v>30</v>
      </c>
      <c r="P1426" t="str">
        <f t="shared" si="22"/>
        <v>450013765110</v>
      </c>
      <c r="Q1426" s="7" cm="1">
        <f t="array" ref="Q1426:S1426">VLOOKUP(P1426,Hoja1!C:F,{2,3,4},FALSE)</f>
        <v>46280</v>
      </c>
      <c r="R1426" t="str">
        <v>C38</v>
      </c>
      <c r="S1426" t="str">
        <v>1000001060 PIRLES GUSTAVO JOSE</v>
      </c>
    </row>
    <row r="1427" spans="1:19" x14ac:dyDescent="0.3">
      <c r="A1427" s="2" t="s">
        <v>14</v>
      </c>
      <c r="B1427" s="3" t="s">
        <v>14</v>
      </c>
      <c r="C1427" s="3" t="s">
        <v>1346</v>
      </c>
      <c r="D1427" s="3" t="s">
        <v>14</v>
      </c>
      <c r="E1427" s="3" t="s">
        <v>466</v>
      </c>
      <c r="F1427" s="4">
        <v>46275</v>
      </c>
      <c r="G1427" s="3" t="s">
        <v>17</v>
      </c>
      <c r="H1427" s="5">
        <v>-99173.55</v>
      </c>
      <c r="I1427" s="3" t="s">
        <v>18</v>
      </c>
      <c r="J1427" s="3" t="s">
        <v>14</v>
      </c>
      <c r="K1427" s="3" t="s">
        <v>14</v>
      </c>
      <c r="L1427" s="3" t="s">
        <v>915</v>
      </c>
      <c r="M1427" s="4">
        <v>46275</v>
      </c>
      <c r="N1427" s="3" t="s">
        <v>1347</v>
      </c>
      <c r="O1427" s="3" t="s">
        <v>30</v>
      </c>
      <c r="P1427" t="str">
        <f t="shared" si="22"/>
        <v>450013336410</v>
      </c>
      <c r="Q1427" s="7" cm="1">
        <f t="array" ref="Q1427:S1427">VLOOKUP(P1427,Hoja1!C:F,{2,3,4},FALSE)</f>
        <v>46235</v>
      </c>
      <c r="R1427" t="str">
        <v>EFO</v>
      </c>
      <c r="S1427" t="str">
        <v>1000013162 MADRYN REPUESTOS Y SERVICIOS SAS</v>
      </c>
    </row>
    <row r="1428" spans="1:19" x14ac:dyDescent="0.3">
      <c r="A1428" s="2" t="s">
        <v>14</v>
      </c>
      <c r="B1428" s="3" t="s">
        <v>14</v>
      </c>
      <c r="C1428" s="3" t="s">
        <v>1348</v>
      </c>
      <c r="D1428" s="3" t="s">
        <v>14</v>
      </c>
      <c r="E1428" s="3" t="s">
        <v>466</v>
      </c>
      <c r="F1428" s="4">
        <v>46275</v>
      </c>
      <c r="G1428" s="3" t="s">
        <v>17</v>
      </c>
      <c r="H1428" s="5">
        <v>-247933.88</v>
      </c>
      <c r="I1428" s="3" t="s">
        <v>18</v>
      </c>
      <c r="J1428" s="3" t="s">
        <v>14</v>
      </c>
      <c r="K1428" s="3" t="s">
        <v>14</v>
      </c>
      <c r="L1428" s="3" t="s">
        <v>915</v>
      </c>
      <c r="M1428" s="4">
        <v>46275</v>
      </c>
      <c r="N1428" s="3" t="s">
        <v>1349</v>
      </c>
      <c r="O1428" s="3" t="s">
        <v>30</v>
      </c>
      <c r="P1428" t="str">
        <f t="shared" si="22"/>
        <v>450013368410</v>
      </c>
      <c r="Q1428" s="7" cm="1">
        <f t="array" ref="Q1428:S1428">VLOOKUP(P1428,Hoja1!C:F,{2,3,4},FALSE)</f>
        <v>46245</v>
      </c>
      <c r="R1428" t="str">
        <v>EFO</v>
      </c>
      <c r="S1428" t="str">
        <v>1000013162 MADRYN REPUESTOS Y SERVICIOS SAS</v>
      </c>
    </row>
    <row r="1429" spans="1:19" x14ac:dyDescent="0.3">
      <c r="A1429" s="2" t="s">
        <v>14</v>
      </c>
      <c r="B1429" s="3" t="s">
        <v>14</v>
      </c>
      <c r="C1429" s="3" t="s">
        <v>1350</v>
      </c>
      <c r="D1429" s="3" t="s">
        <v>14</v>
      </c>
      <c r="E1429" s="3" t="s">
        <v>466</v>
      </c>
      <c r="F1429" s="4">
        <v>46275</v>
      </c>
      <c r="G1429" s="3" t="s">
        <v>17</v>
      </c>
      <c r="H1429" s="5">
        <v>-257344.88</v>
      </c>
      <c r="I1429" s="3" t="s">
        <v>18</v>
      </c>
      <c r="J1429" s="3" t="s">
        <v>14</v>
      </c>
      <c r="K1429" s="3" t="s">
        <v>14</v>
      </c>
      <c r="L1429" s="3" t="s">
        <v>892</v>
      </c>
      <c r="M1429" s="4">
        <v>46275</v>
      </c>
      <c r="N1429" s="3" t="s">
        <v>1292</v>
      </c>
      <c r="O1429" s="3" t="s">
        <v>144</v>
      </c>
      <c r="P1429" t="str">
        <f t="shared" si="22"/>
        <v>450013638650</v>
      </c>
      <c r="Q1429" s="7" cm="1">
        <f t="array" ref="Q1429:S1429">VLOOKUP(P1429,Hoja1!C:F,{2,3,4},FALSE)</f>
        <v>46269</v>
      </c>
      <c r="R1429" t="str">
        <v>C27</v>
      </c>
      <c r="S1429" t="str">
        <v>1000000894 FORTIN REPUBLICA SA</v>
      </c>
    </row>
    <row r="1430" spans="1:19" x14ac:dyDescent="0.3">
      <c r="A1430" s="2" t="s">
        <v>14</v>
      </c>
      <c r="B1430" s="3" t="s">
        <v>14</v>
      </c>
      <c r="C1430" s="3" t="s">
        <v>1351</v>
      </c>
      <c r="D1430" s="3" t="s">
        <v>14</v>
      </c>
      <c r="E1430" s="3" t="s">
        <v>466</v>
      </c>
      <c r="F1430" s="4">
        <v>46275</v>
      </c>
      <c r="G1430" s="3" t="s">
        <v>17</v>
      </c>
      <c r="H1430" s="5">
        <v>-55561.25</v>
      </c>
      <c r="I1430" s="3" t="s">
        <v>18</v>
      </c>
      <c r="J1430" s="3" t="s">
        <v>14</v>
      </c>
      <c r="K1430" s="3" t="s">
        <v>14</v>
      </c>
      <c r="L1430" s="3" t="s">
        <v>892</v>
      </c>
      <c r="M1430" s="4">
        <v>46275</v>
      </c>
      <c r="N1430" s="3" t="s">
        <v>1292</v>
      </c>
      <c r="O1430" s="3" t="s">
        <v>141</v>
      </c>
      <c r="P1430" t="str">
        <f t="shared" si="22"/>
        <v>450013638660</v>
      </c>
      <c r="Q1430" s="7" cm="1">
        <f t="array" ref="Q1430:S1430">VLOOKUP(P1430,Hoja1!C:F,{2,3,4},FALSE)</f>
        <v>46269</v>
      </c>
      <c r="R1430" t="str">
        <v>C27</v>
      </c>
      <c r="S1430" t="str">
        <v>1000000894 FORTIN REPUBLICA SA</v>
      </c>
    </row>
    <row r="1431" spans="1:19" x14ac:dyDescent="0.3">
      <c r="A1431" s="2" t="s">
        <v>14</v>
      </c>
      <c r="B1431" s="3" t="s">
        <v>14</v>
      </c>
      <c r="C1431" s="3" t="s">
        <v>1351</v>
      </c>
      <c r="D1431" s="3" t="s">
        <v>14</v>
      </c>
      <c r="E1431" s="3" t="s">
        <v>466</v>
      </c>
      <c r="F1431" s="4">
        <v>46275</v>
      </c>
      <c r="G1431" s="3" t="s">
        <v>17</v>
      </c>
      <c r="H1431" s="5">
        <v>-116084.01</v>
      </c>
      <c r="I1431" s="3" t="s">
        <v>18</v>
      </c>
      <c r="J1431" s="3" t="s">
        <v>14</v>
      </c>
      <c r="K1431" s="3" t="s">
        <v>14</v>
      </c>
      <c r="L1431" s="3" t="s">
        <v>892</v>
      </c>
      <c r="M1431" s="4">
        <v>46275</v>
      </c>
      <c r="N1431" s="3" t="s">
        <v>1292</v>
      </c>
      <c r="O1431" s="3" t="s">
        <v>131</v>
      </c>
      <c r="P1431" t="str">
        <f t="shared" si="22"/>
        <v>4500136386140</v>
      </c>
      <c r="Q1431" s="7" cm="1">
        <f t="array" ref="Q1431:S1431">VLOOKUP(P1431,Hoja1!C:F,{2,3,4},FALSE)</f>
        <v>46269</v>
      </c>
      <c r="R1431" t="str">
        <v>C27</v>
      </c>
      <c r="S1431" t="str">
        <v>1000000894 FORTIN REPUBLICA SA</v>
      </c>
    </row>
    <row r="1432" spans="1:19" x14ac:dyDescent="0.3">
      <c r="A1432" s="2" t="s">
        <v>14</v>
      </c>
      <c r="B1432" s="3" t="s">
        <v>14</v>
      </c>
      <c r="C1432" s="3" t="s">
        <v>1352</v>
      </c>
      <c r="D1432" s="3" t="s">
        <v>14</v>
      </c>
      <c r="E1432" s="3" t="s">
        <v>466</v>
      </c>
      <c r="F1432" s="4">
        <v>46272</v>
      </c>
      <c r="G1432" s="3" t="s">
        <v>17</v>
      </c>
      <c r="H1432" s="5">
        <v>-1597963</v>
      </c>
      <c r="I1432" s="3" t="s">
        <v>18</v>
      </c>
      <c r="J1432" s="3" t="s">
        <v>14</v>
      </c>
      <c r="K1432" s="3" t="s">
        <v>14</v>
      </c>
      <c r="L1432" s="3" t="s">
        <v>408</v>
      </c>
      <c r="M1432" s="4">
        <v>46276</v>
      </c>
      <c r="N1432" s="3" t="s">
        <v>409</v>
      </c>
      <c r="O1432" s="3" t="s">
        <v>22</v>
      </c>
      <c r="P1432" t="str">
        <f t="shared" si="22"/>
        <v>450013784120</v>
      </c>
      <c r="Q1432" s="7" cm="1">
        <f t="array" ref="Q1432:S1432">VLOOKUP(P1432,Hoja1!C:F,{2,3,4},FALSE)</f>
        <v>46282</v>
      </c>
      <c r="R1432" t="str">
        <v>C27</v>
      </c>
      <c r="S1432" t="str">
        <v>1000001306 JAR COMPUTACION SRL</v>
      </c>
    </row>
    <row r="1433" spans="1:19" x14ac:dyDescent="0.3">
      <c r="A1433" s="2" t="s">
        <v>14</v>
      </c>
      <c r="B1433" s="3" t="s">
        <v>14</v>
      </c>
      <c r="C1433" s="3" t="s">
        <v>1353</v>
      </c>
      <c r="D1433" s="3" t="s">
        <v>25</v>
      </c>
      <c r="E1433" s="3" t="s">
        <v>466</v>
      </c>
      <c r="F1433" s="4">
        <v>46272</v>
      </c>
      <c r="G1433" s="3" t="s">
        <v>17</v>
      </c>
      <c r="H1433" s="5">
        <v>-533174.72</v>
      </c>
      <c r="I1433" s="3" t="s">
        <v>18</v>
      </c>
      <c r="J1433" s="3" t="s">
        <v>14</v>
      </c>
      <c r="K1433" s="3" t="s">
        <v>14</v>
      </c>
      <c r="L1433" s="3" t="s">
        <v>442</v>
      </c>
      <c r="M1433" s="4">
        <v>46276</v>
      </c>
      <c r="N1433" s="3" t="s">
        <v>1354</v>
      </c>
      <c r="O1433" s="3" t="s">
        <v>30</v>
      </c>
      <c r="P1433" t="str">
        <f t="shared" si="22"/>
        <v>450013758610</v>
      </c>
      <c r="Q1433" s="7" cm="1">
        <f t="array" ref="Q1433:S1433">VLOOKUP(P1433,Hoja1!C:F,{2,3,4},FALSE)</f>
        <v>46281</v>
      </c>
      <c r="R1433" t="str">
        <v>C03</v>
      </c>
      <c r="S1433" t="str">
        <v>1000010923 PROVIARG SRL</v>
      </c>
    </row>
    <row r="1434" spans="1:19" x14ac:dyDescent="0.3">
      <c r="A1434" s="2" t="s">
        <v>14</v>
      </c>
      <c r="B1434" s="3" t="s">
        <v>14</v>
      </c>
      <c r="C1434" s="3" t="s">
        <v>1355</v>
      </c>
      <c r="D1434" s="3" t="s">
        <v>14</v>
      </c>
      <c r="E1434" s="3" t="s">
        <v>466</v>
      </c>
      <c r="F1434" s="4">
        <v>46272</v>
      </c>
      <c r="G1434" s="3" t="s">
        <v>17</v>
      </c>
      <c r="H1434" s="5">
        <v>-280581</v>
      </c>
      <c r="I1434" s="3" t="s">
        <v>18</v>
      </c>
      <c r="J1434" s="3" t="s">
        <v>14</v>
      </c>
      <c r="K1434" s="3" t="s">
        <v>14</v>
      </c>
      <c r="L1434" s="3" t="s">
        <v>1238</v>
      </c>
      <c r="M1434" s="4">
        <v>46276</v>
      </c>
      <c r="N1434" s="3" t="s">
        <v>1326</v>
      </c>
      <c r="O1434" s="3" t="s">
        <v>30</v>
      </c>
      <c r="P1434" t="str">
        <f t="shared" si="22"/>
        <v>450013577010</v>
      </c>
      <c r="Q1434" s="7" cm="1">
        <f t="array" ref="Q1434:S1434">VLOOKUP(P1434,Hoja1!C:F,{2,3,4},FALSE)</f>
        <v>46280</v>
      </c>
      <c r="R1434" t="str">
        <v>C29</v>
      </c>
      <c r="S1434" t="str">
        <v>1000000286 SULLAIR ARGENTINA S.A</v>
      </c>
    </row>
    <row r="1435" spans="1:19" x14ac:dyDescent="0.3">
      <c r="A1435" s="2" t="s">
        <v>14</v>
      </c>
      <c r="B1435" s="3" t="s">
        <v>14</v>
      </c>
      <c r="C1435" s="3" t="s">
        <v>1355</v>
      </c>
      <c r="D1435" s="3" t="s">
        <v>14</v>
      </c>
      <c r="E1435" s="3" t="s">
        <v>466</v>
      </c>
      <c r="F1435" s="4">
        <v>46272</v>
      </c>
      <c r="G1435" s="3" t="s">
        <v>17</v>
      </c>
      <c r="H1435" s="5">
        <v>-588315</v>
      </c>
      <c r="I1435" s="3" t="s">
        <v>18</v>
      </c>
      <c r="J1435" s="3" t="s">
        <v>14</v>
      </c>
      <c r="K1435" s="3" t="s">
        <v>14</v>
      </c>
      <c r="L1435" s="3" t="s">
        <v>1238</v>
      </c>
      <c r="M1435" s="4">
        <v>46276</v>
      </c>
      <c r="N1435" s="3" t="s">
        <v>1326</v>
      </c>
      <c r="O1435" s="3" t="s">
        <v>22</v>
      </c>
      <c r="P1435" t="str">
        <f t="shared" si="22"/>
        <v>450013577020</v>
      </c>
      <c r="Q1435" s="7" cm="1">
        <f t="array" ref="Q1435:S1435">VLOOKUP(P1435,Hoja1!C:F,{2,3,4},FALSE)</f>
        <v>46280</v>
      </c>
      <c r="R1435" t="str">
        <v>C29</v>
      </c>
      <c r="S1435" t="str">
        <v>1000000286 SULLAIR ARGENTINA S.A</v>
      </c>
    </row>
    <row r="1436" spans="1:19" x14ac:dyDescent="0.3">
      <c r="A1436" s="2" t="s">
        <v>14</v>
      </c>
      <c r="B1436" s="3" t="s">
        <v>14</v>
      </c>
      <c r="C1436" s="3" t="s">
        <v>1355</v>
      </c>
      <c r="D1436" s="3" t="s">
        <v>14</v>
      </c>
      <c r="E1436" s="3" t="s">
        <v>466</v>
      </c>
      <c r="F1436" s="4">
        <v>46272</v>
      </c>
      <c r="G1436" s="3" t="s">
        <v>17</v>
      </c>
      <c r="H1436" s="5">
        <v>-205910.25</v>
      </c>
      <c r="I1436" s="3" t="s">
        <v>18</v>
      </c>
      <c r="J1436" s="3" t="s">
        <v>14</v>
      </c>
      <c r="K1436" s="3" t="s">
        <v>14</v>
      </c>
      <c r="L1436" s="3" t="s">
        <v>1238</v>
      </c>
      <c r="M1436" s="4">
        <v>46276</v>
      </c>
      <c r="N1436" s="3" t="s">
        <v>1326</v>
      </c>
      <c r="O1436" s="3" t="s">
        <v>35</v>
      </c>
      <c r="P1436" t="str">
        <f t="shared" si="22"/>
        <v>450013577030</v>
      </c>
      <c r="Q1436" s="7" cm="1">
        <f t="array" ref="Q1436:S1436">VLOOKUP(P1436,Hoja1!C:F,{2,3,4},FALSE)</f>
        <v>46280</v>
      </c>
      <c r="R1436" t="str">
        <v>C29</v>
      </c>
      <c r="S1436" t="str">
        <v>1000000286 SULLAIR ARGENTINA S.A</v>
      </c>
    </row>
    <row r="1437" spans="1:19" x14ac:dyDescent="0.3">
      <c r="A1437" s="2" t="s">
        <v>14</v>
      </c>
      <c r="B1437" s="3" t="s">
        <v>14</v>
      </c>
      <c r="C1437" s="3" t="s">
        <v>1356</v>
      </c>
      <c r="D1437" s="3" t="s">
        <v>14</v>
      </c>
      <c r="E1437" s="3" t="s">
        <v>466</v>
      </c>
      <c r="F1437" s="4">
        <v>46272</v>
      </c>
      <c r="G1437" s="3" t="s">
        <v>17</v>
      </c>
      <c r="H1437" s="5">
        <v>-291</v>
      </c>
      <c r="I1437" s="3" t="s">
        <v>18</v>
      </c>
      <c r="J1437" s="3" t="s">
        <v>14</v>
      </c>
      <c r="K1437" s="3" t="s">
        <v>14</v>
      </c>
      <c r="L1437" s="3" t="s">
        <v>1357</v>
      </c>
      <c r="M1437" s="4">
        <v>46276</v>
      </c>
      <c r="N1437" s="3" t="s">
        <v>1358</v>
      </c>
      <c r="O1437" s="3" t="s">
        <v>30</v>
      </c>
      <c r="P1437" t="str">
        <f t="shared" si="22"/>
        <v>450013747210</v>
      </c>
      <c r="Q1437" s="7" cm="1">
        <f t="array" ref="Q1437:S1437">VLOOKUP(P1437,Hoja1!C:F,{2,3,4},FALSE)</f>
        <v>46272</v>
      </c>
      <c r="R1437" t="str">
        <v>C27</v>
      </c>
      <c r="S1437" t="str">
        <v>1000000592 WARDES SA ARGENTINA</v>
      </c>
    </row>
    <row r="1438" spans="1:19" x14ac:dyDescent="0.3">
      <c r="A1438" s="2" t="s">
        <v>14</v>
      </c>
      <c r="B1438" s="3" t="s">
        <v>14</v>
      </c>
      <c r="C1438" s="3" t="s">
        <v>1356</v>
      </c>
      <c r="D1438" s="3" t="s">
        <v>14</v>
      </c>
      <c r="E1438" s="3" t="s">
        <v>466</v>
      </c>
      <c r="F1438" s="4">
        <v>46272</v>
      </c>
      <c r="G1438" s="3" t="s">
        <v>17</v>
      </c>
      <c r="H1438" s="5">
        <v>-220</v>
      </c>
      <c r="I1438" s="3" t="s">
        <v>18</v>
      </c>
      <c r="J1438" s="3" t="s">
        <v>14</v>
      </c>
      <c r="K1438" s="3" t="s">
        <v>14</v>
      </c>
      <c r="L1438" s="3" t="s">
        <v>1357</v>
      </c>
      <c r="M1438" s="4">
        <v>46276</v>
      </c>
      <c r="N1438" s="3" t="s">
        <v>1358</v>
      </c>
      <c r="O1438" s="3" t="s">
        <v>22</v>
      </c>
      <c r="P1438" t="str">
        <f t="shared" si="22"/>
        <v>450013747220</v>
      </c>
      <c r="Q1438" s="7" cm="1">
        <f t="array" ref="Q1438:S1438">VLOOKUP(P1438,Hoja1!C:F,{2,3,4},FALSE)</f>
        <v>46272</v>
      </c>
      <c r="R1438" t="str">
        <v>C27</v>
      </c>
      <c r="S1438" t="str">
        <v>1000000592 WARDES SA ARGENTINA</v>
      </c>
    </row>
    <row r="1439" spans="1:19" x14ac:dyDescent="0.3">
      <c r="A1439" s="2" t="s">
        <v>14</v>
      </c>
      <c r="B1439" s="3" t="s">
        <v>14</v>
      </c>
      <c r="C1439" s="3" t="s">
        <v>1356</v>
      </c>
      <c r="D1439" s="3" t="s">
        <v>14</v>
      </c>
      <c r="E1439" s="3" t="s">
        <v>466</v>
      </c>
      <c r="F1439" s="4">
        <v>46272</v>
      </c>
      <c r="G1439" s="3" t="s">
        <v>17</v>
      </c>
      <c r="H1439" s="5">
        <v>-34</v>
      </c>
      <c r="I1439" s="3" t="s">
        <v>18</v>
      </c>
      <c r="J1439" s="3" t="s">
        <v>14</v>
      </c>
      <c r="K1439" s="3" t="s">
        <v>14</v>
      </c>
      <c r="L1439" s="3" t="s">
        <v>1357</v>
      </c>
      <c r="M1439" s="4">
        <v>46276</v>
      </c>
      <c r="N1439" s="3" t="s">
        <v>1358</v>
      </c>
      <c r="O1439" s="3" t="s">
        <v>35</v>
      </c>
      <c r="P1439" t="str">
        <f t="shared" si="22"/>
        <v>450013747230</v>
      </c>
      <c r="Q1439" s="7" cm="1">
        <f t="array" ref="Q1439:S1439">VLOOKUP(P1439,Hoja1!C:F,{2,3,4},FALSE)</f>
        <v>46272</v>
      </c>
      <c r="R1439" t="str">
        <v>C27</v>
      </c>
      <c r="S1439" t="str">
        <v>1000000592 WARDES SA ARGENTINA</v>
      </c>
    </row>
    <row r="1440" spans="1:19" x14ac:dyDescent="0.3">
      <c r="A1440" s="2" t="s">
        <v>14</v>
      </c>
      <c r="B1440" s="3" t="s">
        <v>14</v>
      </c>
      <c r="C1440" s="3" t="s">
        <v>1359</v>
      </c>
      <c r="D1440" s="3" t="s">
        <v>32</v>
      </c>
      <c r="E1440" s="3" t="s">
        <v>466</v>
      </c>
      <c r="F1440" s="4">
        <v>46276</v>
      </c>
      <c r="G1440" s="3" t="s">
        <v>17</v>
      </c>
      <c r="H1440" s="5">
        <v>-970000</v>
      </c>
      <c r="I1440" s="3" t="s">
        <v>18</v>
      </c>
      <c r="J1440" s="3" t="s">
        <v>14</v>
      </c>
      <c r="K1440" s="3" t="s">
        <v>14</v>
      </c>
      <c r="L1440" s="3" t="s">
        <v>1360</v>
      </c>
      <c r="M1440" s="4">
        <v>46276</v>
      </c>
      <c r="N1440" s="3" t="s">
        <v>1361</v>
      </c>
      <c r="O1440" s="3" t="s">
        <v>35</v>
      </c>
      <c r="P1440" t="str">
        <f t="shared" si="22"/>
        <v>450012082730</v>
      </c>
      <c r="Q1440" s="7" cm="1">
        <f t="array" ref="Q1440:S1440">VLOOKUP(P1440,Hoja1!C:F,{2,3,4},FALSE)</f>
        <v>46326</v>
      </c>
      <c r="R1440" t="str">
        <v>C25</v>
      </c>
      <c r="S1440" t="str">
        <v>1000002365 FABRICIO MUÑOZ</v>
      </c>
    </row>
    <row r="1441" spans="1:19" x14ac:dyDescent="0.3">
      <c r="A1441" s="2" t="s">
        <v>14</v>
      </c>
      <c r="B1441" s="3" t="s">
        <v>14</v>
      </c>
      <c r="C1441" s="3" t="s">
        <v>1362</v>
      </c>
      <c r="D1441" s="3" t="s">
        <v>84</v>
      </c>
      <c r="E1441" s="3" t="s">
        <v>466</v>
      </c>
      <c r="F1441" s="4">
        <v>46276</v>
      </c>
      <c r="G1441" s="3" t="s">
        <v>17</v>
      </c>
      <c r="H1441" s="5">
        <v>-1103225.99</v>
      </c>
      <c r="I1441" s="3" t="s">
        <v>18</v>
      </c>
      <c r="J1441" s="3" t="s">
        <v>14</v>
      </c>
      <c r="K1441" s="3" t="s">
        <v>14</v>
      </c>
      <c r="L1441" s="3" t="s">
        <v>94</v>
      </c>
      <c r="M1441" s="4">
        <v>46276</v>
      </c>
      <c r="N1441" s="3" t="s">
        <v>1363</v>
      </c>
      <c r="O1441" s="3" t="s">
        <v>30</v>
      </c>
      <c r="P1441" t="str">
        <f t="shared" si="22"/>
        <v>450013476110</v>
      </c>
      <c r="Q1441" s="7" cm="1">
        <f t="array" ref="Q1441:S1441">VLOOKUP(P1441,Hoja1!C:F,{2,3,4},FALSE)</f>
        <v>46305</v>
      </c>
      <c r="R1441" t="str">
        <v>C26</v>
      </c>
      <c r="S1441" t="str">
        <v>1000003158 EMILIA MASSARELLI SRL</v>
      </c>
    </row>
    <row r="1442" spans="1:19" x14ac:dyDescent="0.3">
      <c r="A1442" s="2" t="s">
        <v>14</v>
      </c>
      <c r="B1442" s="3" t="s">
        <v>14</v>
      </c>
      <c r="C1442" s="3" t="s">
        <v>1364</v>
      </c>
      <c r="D1442" s="3" t="s">
        <v>14</v>
      </c>
      <c r="E1442" s="3" t="s">
        <v>466</v>
      </c>
      <c r="F1442" s="4">
        <v>46274</v>
      </c>
      <c r="G1442" s="3" t="s">
        <v>17</v>
      </c>
      <c r="H1442" s="5">
        <v>-538987.05000000005</v>
      </c>
      <c r="I1442" s="3" t="s">
        <v>18</v>
      </c>
      <c r="J1442" s="3" t="s">
        <v>14</v>
      </c>
      <c r="K1442" s="3" t="s">
        <v>14</v>
      </c>
      <c r="L1442" s="3" t="s">
        <v>1155</v>
      </c>
      <c r="M1442" s="4">
        <v>46276</v>
      </c>
      <c r="N1442" s="3" t="s">
        <v>1365</v>
      </c>
      <c r="O1442" s="3" t="s">
        <v>30</v>
      </c>
      <c r="P1442" t="str">
        <f t="shared" si="22"/>
        <v>450013685310</v>
      </c>
      <c r="Q1442" s="7" cm="1">
        <f t="array" ref="Q1442:S1442">VLOOKUP(P1442,Hoja1!C:F,{2,3,4},FALSE)</f>
        <v>46280</v>
      </c>
      <c r="R1442" t="str">
        <v>C29</v>
      </c>
      <c r="S1442" t="str">
        <v>1000000077 HUGO SANCHEZ S.A.</v>
      </c>
    </row>
    <row r="1443" spans="1:19" x14ac:dyDescent="0.3">
      <c r="A1443" s="2" t="s">
        <v>14</v>
      </c>
      <c r="B1443" s="3" t="s">
        <v>14</v>
      </c>
      <c r="C1443" s="3" t="s">
        <v>1366</v>
      </c>
      <c r="D1443" s="3" t="s">
        <v>14</v>
      </c>
      <c r="E1443" s="3" t="s">
        <v>466</v>
      </c>
      <c r="F1443" s="4">
        <v>46272</v>
      </c>
      <c r="G1443" s="3" t="s">
        <v>17</v>
      </c>
      <c r="H1443" s="5">
        <v>-761279.61</v>
      </c>
      <c r="I1443" s="3" t="s">
        <v>18</v>
      </c>
      <c r="J1443" s="3" t="s">
        <v>14</v>
      </c>
      <c r="K1443" s="3" t="s">
        <v>14</v>
      </c>
      <c r="L1443" s="3" t="s">
        <v>399</v>
      </c>
      <c r="M1443" s="4">
        <v>46276</v>
      </c>
      <c r="N1443" s="3" t="s">
        <v>1367</v>
      </c>
      <c r="O1443" s="3" t="s">
        <v>30</v>
      </c>
      <c r="P1443" t="str">
        <f t="shared" si="22"/>
        <v>450013757910</v>
      </c>
      <c r="Q1443" s="7" cm="1">
        <f t="array" ref="Q1443:S1443">VLOOKUP(P1443,Hoja1!C:F,{2,3,4},FALSE)</f>
        <v>46282</v>
      </c>
      <c r="R1443" t="str">
        <v>C29</v>
      </c>
      <c r="S1443" t="str">
        <v>1000000561 ESCANDINAVIA DEL PLATA SA</v>
      </c>
    </row>
    <row r="1444" spans="1:19" x14ac:dyDescent="0.3">
      <c r="A1444" s="2" t="s">
        <v>14</v>
      </c>
      <c r="B1444" s="3" t="s">
        <v>14</v>
      </c>
      <c r="C1444" s="3" t="s">
        <v>1368</v>
      </c>
      <c r="D1444" s="3" t="s">
        <v>14</v>
      </c>
      <c r="E1444" s="3" t="s">
        <v>466</v>
      </c>
      <c r="F1444" s="4">
        <v>46272</v>
      </c>
      <c r="G1444" s="3" t="s">
        <v>17</v>
      </c>
      <c r="H1444" s="5">
        <v>-253428</v>
      </c>
      <c r="I1444" s="3" t="s">
        <v>18</v>
      </c>
      <c r="J1444" s="3" t="s">
        <v>14</v>
      </c>
      <c r="K1444" s="3" t="s">
        <v>14</v>
      </c>
      <c r="L1444" s="3" t="s">
        <v>269</v>
      </c>
      <c r="M1444" s="4">
        <v>46276</v>
      </c>
      <c r="N1444" s="3" t="s">
        <v>1369</v>
      </c>
      <c r="O1444" s="3" t="s">
        <v>35</v>
      </c>
      <c r="P1444" t="str">
        <f t="shared" si="22"/>
        <v>450013628930</v>
      </c>
      <c r="Q1444" s="7" cm="1">
        <f t="array" ref="Q1444:S1444">VLOOKUP(P1444,Hoja1!C:F,{2,3,4},FALSE)</f>
        <v>46275</v>
      </c>
      <c r="R1444" t="str">
        <v>C03</v>
      </c>
      <c r="S1444" t="str">
        <v>1000000190 FERNANDEZ INSUA S.A.</v>
      </c>
    </row>
    <row r="1445" spans="1:19" x14ac:dyDescent="0.3">
      <c r="A1445" s="2" t="s">
        <v>14</v>
      </c>
      <c r="B1445" s="3" t="s">
        <v>14</v>
      </c>
      <c r="C1445" s="3" t="s">
        <v>1370</v>
      </c>
      <c r="D1445" s="3" t="s">
        <v>14</v>
      </c>
      <c r="E1445" s="3" t="s">
        <v>466</v>
      </c>
      <c r="F1445" s="4">
        <v>46272</v>
      </c>
      <c r="G1445" s="3" t="s">
        <v>17</v>
      </c>
      <c r="H1445" s="5">
        <v>-54584.639999999999</v>
      </c>
      <c r="I1445" s="3" t="s">
        <v>18</v>
      </c>
      <c r="J1445" s="3" t="s">
        <v>14</v>
      </c>
      <c r="K1445" s="3" t="s">
        <v>14</v>
      </c>
      <c r="L1445" s="3" t="s">
        <v>1056</v>
      </c>
      <c r="M1445" s="4">
        <v>46276</v>
      </c>
      <c r="N1445" s="3" t="s">
        <v>1131</v>
      </c>
      <c r="O1445" s="3" t="s">
        <v>179</v>
      </c>
      <c r="P1445" t="str">
        <f t="shared" si="22"/>
        <v>4500135589660</v>
      </c>
      <c r="Q1445" s="7" cm="1">
        <f t="array" ref="Q1445:S1445">VLOOKUP(P1445,Hoja1!C:F,{2,3,4},FALSE)</f>
        <v>46255</v>
      </c>
      <c r="R1445" t="str">
        <v>C27</v>
      </c>
      <c r="S1445" t="str">
        <v>1000007373 ANGIULLI SERGIO RAUL</v>
      </c>
    </row>
    <row r="1446" spans="1:19" x14ac:dyDescent="0.3">
      <c r="A1446" s="2" t="s">
        <v>14</v>
      </c>
      <c r="B1446" s="3" t="s">
        <v>14</v>
      </c>
      <c r="C1446" s="3" t="s">
        <v>1371</v>
      </c>
      <c r="D1446" s="3" t="s">
        <v>84</v>
      </c>
      <c r="E1446" s="3" t="s">
        <v>466</v>
      </c>
      <c r="F1446" s="4">
        <v>46276</v>
      </c>
      <c r="G1446" s="3" t="s">
        <v>17</v>
      </c>
      <c r="H1446" s="5">
        <v>-5530782.4000000004</v>
      </c>
      <c r="I1446" s="3" t="s">
        <v>18</v>
      </c>
      <c r="J1446" s="3" t="s">
        <v>14</v>
      </c>
      <c r="K1446" s="3" t="s">
        <v>14</v>
      </c>
      <c r="L1446" s="3" t="s">
        <v>91</v>
      </c>
      <c r="M1446" s="4">
        <v>46276</v>
      </c>
      <c r="N1446" s="3" t="s">
        <v>92</v>
      </c>
      <c r="O1446" s="3" t="s">
        <v>30</v>
      </c>
      <c r="P1446" t="str">
        <f t="shared" si="22"/>
        <v>450013262610</v>
      </c>
      <c r="Q1446" s="7" cm="1">
        <f t="array" ref="Q1446:S1446">VLOOKUP(P1446,Hoja1!C:F,{2,3,4},FALSE)</f>
        <v>46317</v>
      </c>
      <c r="R1446" t="str">
        <v>C19</v>
      </c>
      <c r="S1446" t="str">
        <v>1000000015 MADETEC S.A.</v>
      </c>
    </row>
    <row r="1447" spans="1:19" x14ac:dyDescent="0.3">
      <c r="A1447" s="2" t="s">
        <v>14</v>
      </c>
      <c r="B1447" s="3" t="s">
        <v>14</v>
      </c>
      <c r="C1447" s="3" t="s">
        <v>1372</v>
      </c>
      <c r="D1447" s="3" t="s">
        <v>14</v>
      </c>
      <c r="E1447" s="3" t="s">
        <v>466</v>
      </c>
      <c r="F1447" s="4">
        <v>46275</v>
      </c>
      <c r="G1447" s="3" t="s">
        <v>17</v>
      </c>
      <c r="H1447" s="5">
        <v>-537217.71</v>
      </c>
      <c r="I1447" s="3" t="s">
        <v>18</v>
      </c>
      <c r="J1447" s="3" t="s">
        <v>14</v>
      </c>
      <c r="K1447" s="3" t="s">
        <v>14</v>
      </c>
      <c r="L1447" s="3" t="s">
        <v>73</v>
      </c>
      <c r="M1447" s="4">
        <v>46275</v>
      </c>
      <c r="N1447" s="3" t="s">
        <v>402</v>
      </c>
      <c r="O1447" s="3" t="s">
        <v>30</v>
      </c>
      <c r="P1447" t="str">
        <f t="shared" si="22"/>
        <v>450013790610</v>
      </c>
      <c r="Q1447" s="7" cm="1">
        <f t="array" ref="Q1447:S1447">VLOOKUP(P1447,Hoja1!C:F,{2,3,4},FALSE)</f>
        <v>46295</v>
      </c>
      <c r="R1447" t="str">
        <v>C21</v>
      </c>
      <c r="S1447" t="str">
        <v>1000000808 GLOBAL OIL S.R.L.</v>
      </c>
    </row>
    <row r="1448" spans="1:19" x14ac:dyDescent="0.3">
      <c r="A1448" s="2" t="s">
        <v>14</v>
      </c>
      <c r="B1448" s="3" t="s">
        <v>14</v>
      </c>
      <c r="C1448" s="3" t="s">
        <v>1372</v>
      </c>
      <c r="D1448" s="3" t="s">
        <v>14</v>
      </c>
      <c r="E1448" s="3" t="s">
        <v>466</v>
      </c>
      <c r="F1448" s="4">
        <v>46275</v>
      </c>
      <c r="G1448" s="3" t="s">
        <v>17</v>
      </c>
      <c r="H1448" s="5">
        <v>-113062.96</v>
      </c>
      <c r="I1448" s="3" t="s">
        <v>18</v>
      </c>
      <c r="J1448" s="3" t="s">
        <v>14</v>
      </c>
      <c r="K1448" s="3" t="s">
        <v>14</v>
      </c>
      <c r="L1448" s="3" t="s">
        <v>73</v>
      </c>
      <c r="M1448" s="4">
        <v>46275</v>
      </c>
      <c r="N1448" s="3" t="s">
        <v>402</v>
      </c>
      <c r="O1448" s="3" t="s">
        <v>30</v>
      </c>
      <c r="P1448" t="str">
        <f t="shared" si="22"/>
        <v>450013790610</v>
      </c>
      <c r="Q1448" s="7" cm="1">
        <f t="array" ref="Q1448:S1448">VLOOKUP(P1448,Hoja1!C:F,{2,3,4},FALSE)</f>
        <v>46295</v>
      </c>
      <c r="R1448" t="str">
        <v>C21</v>
      </c>
      <c r="S1448" t="str">
        <v>1000000808 GLOBAL OIL S.R.L.</v>
      </c>
    </row>
    <row r="1449" spans="1:19" x14ac:dyDescent="0.3">
      <c r="A1449" s="2" t="s">
        <v>14</v>
      </c>
      <c r="B1449" s="3" t="s">
        <v>14</v>
      </c>
      <c r="C1449" s="3" t="s">
        <v>1373</v>
      </c>
      <c r="D1449" s="3" t="s">
        <v>14</v>
      </c>
      <c r="E1449" s="3" t="s">
        <v>466</v>
      </c>
      <c r="F1449" s="4">
        <v>46276</v>
      </c>
      <c r="G1449" s="3" t="s">
        <v>17</v>
      </c>
      <c r="H1449" s="5">
        <v>-240000</v>
      </c>
      <c r="I1449" s="3" t="s">
        <v>18</v>
      </c>
      <c r="J1449" s="3" t="s">
        <v>14</v>
      </c>
      <c r="K1449" s="3" t="s">
        <v>14</v>
      </c>
      <c r="L1449" s="3" t="s">
        <v>753</v>
      </c>
      <c r="M1449" s="4">
        <v>46276</v>
      </c>
      <c r="N1449" s="3" t="s">
        <v>1374</v>
      </c>
      <c r="O1449" s="3" t="s">
        <v>30</v>
      </c>
      <c r="P1449" t="str">
        <f t="shared" si="22"/>
        <v>450013734110</v>
      </c>
      <c r="Q1449" s="7" cm="1">
        <f t="array" ref="Q1449:S1449">VLOOKUP(P1449,Hoja1!C:F,{2,3,4},FALSE)</f>
        <v>46265</v>
      </c>
      <c r="R1449" t="str">
        <v>EFO</v>
      </c>
      <c r="S1449" t="str">
        <v>1000000772 SASSIA DANIEL EDUARDO</v>
      </c>
    </row>
    <row r="1450" spans="1:19" x14ac:dyDescent="0.3">
      <c r="A1450" s="2" t="s">
        <v>14</v>
      </c>
      <c r="B1450" s="3" t="s">
        <v>14</v>
      </c>
      <c r="C1450" s="3" t="s">
        <v>1375</v>
      </c>
      <c r="D1450" s="3" t="s">
        <v>14</v>
      </c>
      <c r="E1450" s="3" t="s">
        <v>466</v>
      </c>
      <c r="F1450" s="4">
        <v>46276</v>
      </c>
      <c r="G1450" s="3" t="s">
        <v>17</v>
      </c>
      <c r="H1450" s="5">
        <v>-240000</v>
      </c>
      <c r="I1450" s="3" t="s">
        <v>18</v>
      </c>
      <c r="J1450" s="3" t="s">
        <v>14</v>
      </c>
      <c r="K1450" s="3" t="s">
        <v>14</v>
      </c>
      <c r="L1450" s="3" t="s">
        <v>753</v>
      </c>
      <c r="M1450" s="4">
        <v>46276</v>
      </c>
      <c r="N1450" s="3" t="s">
        <v>1374</v>
      </c>
      <c r="O1450" s="3" t="s">
        <v>22</v>
      </c>
      <c r="P1450" t="str">
        <f t="shared" si="22"/>
        <v>450013734120</v>
      </c>
      <c r="Q1450" s="7" cm="1">
        <f t="array" ref="Q1450:S1450">VLOOKUP(P1450,Hoja1!C:F,{2,3,4},FALSE)</f>
        <v>46265</v>
      </c>
      <c r="R1450" t="str">
        <v>EFO</v>
      </c>
      <c r="S1450" t="str">
        <v>1000000772 SASSIA DANIEL EDUARDO</v>
      </c>
    </row>
    <row r="1451" spans="1:19" x14ac:dyDescent="0.3">
      <c r="A1451" s="2" t="s">
        <v>14</v>
      </c>
      <c r="B1451" s="3" t="s">
        <v>14</v>
      </c>
      <c r="C1451" s="3" t="s">
        <v>1376</v>
      </c>
      <c r="D1451" s="3" t="s">
        <v>14</v>
      </c>
      <c r="E1451" s="3" t="s">
        <v>466</v>
      </c>
      <c r="F1451" s="4">
        <v>46276</v>
      </c>
      <c r="G1451" s="3" t="s">
        <v>17</v>
      </c>
      <c r="H1451" s="5">
        <v>-240000</v>
      </c>
      <c r="I1451" s="3" t="s">
        <v>18</v>
      </c>
      <c r="J1451" s="3" t="s">
        <v>14</v>
      </c>
      <c r="K1451" s="3" t="s">
        <v>14</v>
      </c>
      <c r="L1451" s="3" t="s">
        <v>753</v>
      </c>
      <c r="M1451" s="4">
        <v>46276</v>
      </c>
      <c r="N1451" s="3" t="s">
        <v>1374</v>
      </c>
      <c r="O1451" s="3" t="s">
        <v>35</v>
      </c>
      <c r="P1451" t="str">
        <f t="shared" si="22"/>
        <v>450013734130</v>
      </c>
      <c r="Q1451" s="7" cm="1">
        <f t="array" ref="Q1451:S1451">VLOOKUP(P1451,Hoja1!C:F,{2,3,4},FALSE)</f>
        <v>46265</v>
      </c>
      <c r="R1451" t="str">
        <v>EFO</v>
      </c>
      <c r="S1451" t="str">
        <v>1000000772 SASSIA DANIEL EDUARDO</v>
      </c>
    </row>
    <row r="1452" spans="1:19" x14ac:dyDescent="0.3">
      <c r="A1452" s="2" t="s">
        <v>14</v>
      </c>
      <c r="B1452" s="3" t="s">
        <v>14</v>
      </c>
      <c r="C1452" s="3" t="s">
        <v>1377</v>
      </c>
      <c r="D1452" s="3" t="s">
        <v>14</v>
      </c>
      <c r="E1452" s="3" t="s">
        <v>466</v>
      </c>
      <c r="F1452" s="4">
        <v>46276</v>
      </c>
      <c r="G1452" s="3" t="s">
        <v>17</v>
      </c>
      <c r="H1452" s="5">
        <v>-240000</v>
      </c>
      <c r="I1452" s="3" t="s">
        <v>18</v>
      </c>
      <c r="J1452" s="3" t="s">
        <v>14</v>
      </c>
      <c r="K1452" s="3" t="s">
        <v>14</v>
      </c>
      <c r="L1452" s="3" t="s">
        <v>753</v>
      </c>
      <c r="M1452" s="4">
        <v>46276</v>
      </c>
      <c r="N1452" s="3" t="s">
        <v>1374</v>
      </c>
      <c r="O1452" s="3" t="s">
        <v>23</v>
      </c>
      <c r="P1452" t="str">
        <f t="shared" si="22"/>
        <v>450013734140</v>
      </c>
      <c r="Q1452" s="7" cm="1">
        <f t="array" ref="Q1452:S1452">VLOOKUP(P1452,Hoja1!C:F,{2,3,4},FALSE)</f>
        <v>46265</v>
      </c>
      <c r="R1452" t="str">
        <v>EFO</v>
      </c>
      <c r="S1452" t="str">
        <v>1000000772 SASSIA DANIEL EDUARDO</v>
      </c>
    </row>
    <row r="1453" spans="1:19" x14ac:dyDescent="0.3">
      <c r="A1453" s="2" t="s">
        <v>14</v>
      </c>
      <c r="B1453" s="3" t="s">
        <v>14</v>
      </c>
      <c r="C1453" s="3" t="s">
        <v>1378</v>
      </c>
      <c r="D1453" s="3" t="s">
        <v>32</v>
      </c>
      <c r="E1453" s="3" t="s">
        <v>466</v>
      </c>
      <c r="F1453" s="4">
        <v>46276</v>
      </c>
      <c r="G1453" s="3" t="s">
        <v>17</v>
      </c>
      <c r="H1453" s="5">
        <v>-19308800</v>
      </c>
      <c r="I1453" s="3" t="s">
        <v>18</v>
      </c>
      <c r="J1453" s="3" t="s">
        <v>14</v>
      </c>
      <c r="K1453" s="3" t="s">
        <v>14</v>
      </c>
      <c r="L1453" s="3" t="s">
        <v>1379</v>
      </c>
      <c r="M1453" s="4">
        <v>46276</v>
      </c>
      <c r="N1453" s="3" t="s">
        <v>1380</v>
      </c>
      <c r="O1453" s="3" t="s">
        <v>30</v>
      </c>
      <c r="P1453" t="str">
        <f t="shared" si="22"/>
        <v>450013653910</v>
      </c>
      <c r="Q1453" s="7" cm="1">
        <f t="array" ref="Q1453:S1453">VLOOKUP(P1453,Hoja1!C:F,{2,3,4},FALSE)</f>
        <v>46331</v>
      </c>
      <c r="R1453" t="str">
        <v>C04</v>
      </c>
      <c r="S1453" t="str">
        <v>1000013097 BESTNOR SAS</v>
      </c>
    </row>
    <row r="1454" spans="1:19" x14ac:dyDescent="0.3">
      <c r="A1454" s="2" t="s">
        <v>14</v>
      </c>
      <c r="B1454" s="3" t="s">
        <v>14</v>
      </c>
      <c r="C1454" s="3" t="s">
        <v>1381</v>
      </c>
      <c r="D1454" s="3" t="s">
        <v>32</v>
      </c>
      <c r="E1454" s="3" t="s">
        <v>466</v>
      </c>
      <c r="F1454" s="4">
        <v>46276</v>
      </c>
      <c r="G1454" s="3" t="s">
        <v>17</v>
      </c>
      <c r="H1454" s="5">
        <v>-4525500</v>
      </c>
      <c r="I1454" s="3" t="s">
        <v>18</v>
      </c>
      <c r="J1454" s="3" t="s">
        <v>14</v>
      </c>
      <c r="K1454" s="3" t="s">
        <v>14</v>
      </c>
      <c r="L1454" s="3" t="s">
        <v>1238</v>
      </c>
      <c r="M1454" s="4">
        <v>46276</v>
      </c>
      <c r="N1454" s="3" t="s">
        <v>1382</v>
      </c>
      <c r="O1454" s="3" t="s">
        <v>30</v>
      </c>
      <c r="P1454" t="str">
        <f t="shared" si="22"/>
        <v>450013056210</v>
      </c>
      <c r="Q1454" s="7" cm="1">
        <f t="array" ref="Q1454:S1454">VLOOKUP(P1454,Hoja1!C:F,{2,3,4},FALSE)</f>
        <v>46305</v>
      </c>
      <c r="R1454" t="str">
        <v>C04</v>
      </c>
      <c r="S1454" t="str">
        <v>1000000286 SULLAIR ARGENTINA S.A</v>
      </c>
    </row>
    <row r="1455" spans="1:19" x14ac:dyDescent="0.3">
      <c r="A1455" s="2" t="s">
        <v>14</v>
      </c>
      <c r="B1455" s="3" t="s">
        <v>14</v>
      </c>
      <c r="C1455" s="3" t="s">
        <v>1383</v>
      </c>
      <c r="D1455" s="3" t="s">
        <v>32</v>
      </c>
      <c r="E1455" s="3" t="s">
        <v>466</v>
      </c>
      <c r="F1455" s="4">
        <v>46276</v>
      </c>
      <c r="G1455" s="3" t="s">
        <v>17</v>
      </c>
      <c r="H1455" s="5">
        <v>-2896320</v>
      </c>
      <c r="I1455" s="3" t="s">
        <v>18</v>
      </c>
      <c r="J1455" s="3" t="s">
        <v>14</v>
      </c>
      <c r="K1455" s="3" t="s">
        <v>14</v>
      </c>
      <c r="L1455" s="3" t="s">
        <v>232</v>
      </c>
      <c r="M1455" s="4">
        <v>46276</v>
      </c>
      <c r="N1455" s="3" t="s">
        <v>1384</v>
      </c>
      <c r="O1455" s="3" t="s">
        <v>30</v>
      </c>
      <c r="P1455" t="str">
        <f t="shared" si="22"/>
        <v>450012156210</v>
      </c>
      <c r="Q1455" s="7" cm="1">
        <f t="array" ref="Q1455:S1455">VLOOKUP(P1455,Hoja1!C:F,{2,3,4},FALSE)</f>
        <v>46387</v>
      </c>
      <c r="R1455" t="str">
        <v>C04</v>
      </c>
      <c r="S1455" t="str">
        <v>1000000572 GRUAS SAN BLAS S.A</v>
      </c>
    </row>
    <row r="1456" spans="1:19" x14ac:dyDescent="0.3">
      <c r="A1456" s="2" t="s">
        <v>14</v>
      </c>
      <c r="B1456" s="3" t="s">
        <v>14</v>
      </c>
      <c r="C1456" s="3" t="s">
        <v>1385</v>
      </c>
      <c r="D1456" s="3" t="s">
        <v>32</v>
      </c>
      <c r="E1456" s="3" t="s">
        <v>466</v>
      </c>
      <c r="F1456" s="4">
        <v>46276</v>
      </c>
      <c r="G1456" s="3" t="s">
        <v>17</v>
      </c>
      <c r="H1456" s="5">
        <v>-41600</v>
      </c>
      <c r="I1456" s="3" t="s">
        <v>18</v>
      </c>
      <c r="J1456" s="3" t="s">
        <v>14</v>
      </c>
      <c r="K1456" s="3" t="s">
        <v>14</v>
      </c>
      <c r="L1456" s="3" t="s">
        <v>1386</v>
      </c>
      <c r="M1456" s="4">
        <v>46276</v>
      </c>
      <c r="N1456" s="3" t="s">
        <v>1387</v>
      </c>
      <c r="O1456" s="3" t="s">
        <v>30</v>
      </c>
      <c r="P1456" t="str">
        <f t="shared" si="22"/>
        <v>450013825210</v>
      </c>
      <c r="Q1456" s="7" cm="1">
        <f t="array" ref="Q1456:S1456">VLOOKUP(P1456,Hoja1!C:F,{2,3,4},FALSE)</f>
        <v>46281</v>
      </c>
      <c r="R1456" t="str">
        <v>374</v>
      </c>
      <c r="S1456" t="str">
        <v>1000011491 OLIVERA NOELIA ELISABETH</v>
      </c>
    </row>
    <row r="1457" spans="1:19" x14ac:dyDescent="0.3">
      <c r="A1457" s="2" t="s">
        <v>14</v>
      </c>
      <c r="B1457" s="3" t="s">
        <v>14</v>
      </c>
      <c r="C1457" s="3" t="s">
        <v>1388</v>
      </c>
      <c r="D1457" s="3" t="s">
        <v>14</v>
      </c>
      <c r="E1457" s="3" t="s">
        <v>466</v>
      </c>
      <c r="F1457" s="4">
        <v>46276</v>
      </c>
      <c r="G1457" s="3" t="s">
        <v>17</v>
      </c>
      <c r="H1457" s="5">
        <v>-160310.70000000001</v>
      </c>
      <c r="I1457" s="3" t="s">
        <v>18</v>
      </c>
      <c r="J1457" s="3" t="s">
        <v>14</v>
      </c>
      <c r="K1457" s="3" t="s">
        <v>14</v>
      </c>
      <c r="L1457" s="3" t="s">
        <v>438</v>
      </c>
      <c r="M1457" s="4">
        <v>46276</v>
      </c>
      <c r="N1457" s="3" t="s">
        <v>1389</v>
      </c>
      <c r="O1457" s="3" t="s">
        <v>30</v>
      </c>
      <c r="P1457" t="str">
        <f t="shared" si="22"/>
        <v>450013833110</v>
      </c>
      <c r="Q1457" s="7" cm="1">
        <f t="array" ref="Q1457:S1457">VLOOKUP(P1457,Hoja1!C:F,{2,3,4},FALSE)</f>
        <v>46279</v>
      </c>
      <c r="R1457" t="str">
        <v>EFO</v>
      </c>
      <c r="S1457" t="str">
        <v>1000010268 YEMA REPUESTOS SRL</v>
      </c>
    </row>
    <row r="1458" spans="1:19" x14ac:dyDescent="0.3">
      <c r="A1458" s="2" t="s">
        <v>14</v>
      </c>
      <c r="B1458" s="3" t="s">
        <v>14</v>
      </c>
      <c r="C1458" s="3" t="s">
        <v>1390</v>
      </c>
      <c r="D1458" s="3" t="s">
        <v>14</v>
      </c>
      <c r="E1458" s="3" t="s">
        <v>466</v>
      </c>
      <c r="F1458" s="4">
        <v>46276</v>
      </c>
      <c r="G1458" s="3" t="s">
        <v>17</v>
      </c>
      <c r="H1458" s="5">
        <v>-1128820</v>
      </c>
      <c r="I1458" s="3" t="s">
        <v>18</v>
      </c>
      <c r="J1458" s="3" t="s">
        <v>14</v>
      </c>
      <c r="K1458" s="3" t="s">
        <v>14</v>
      </c>
      <c r="L1458" s="3" t="s">
        <v>1087</v>
      </c>
      <c r="M1458" s="4">
        <v>46276</v>
      </c>
      <c r="N1458" s="3" t="s">
        <v>1391</v>
      </c>
      <c r="O1458" s="3" t="s">
        <v>30</v>
      </c>
      <c r="P1458" t="str">
        <f t="shared" si="22"/>
        <v>450013836310</v>
      </c>
      <c r="Q1458" s="7" cm="1">
        <f t="array" ref="Q1458:S1458">VLOOKUP(P1458,Hoja1!C:F,{2,3,4},FALSE)</f>
        <v>46280</v>
      </c>
      <c r="R1458" t="str">
        <v>C38</v>
      </c>
      <c r="S1458" t="str">
        <v>1000000326 CABRERA ADRIAN ALFREDO RAMON</v>
      </c>
    </row>
    <row r="1459" spans="1:19" x14ac:dyDescent="0.3">
      <c r="A1459" s="2" t="s">
        <v>14</v>
      </c>
      <c r="B1459" s="3" t="s">
        <v>14</v>
      </c>
      <c r="C1459" s="3" t="s">
        <v>1392</v>
      </c>
      <c r="D1459" s="3" t="s">
        <v>14</v>
      </c>
      <c r="E1459" s="3" t="s">
        <v>466</v>
      </c>
      <c r="F1459" s="4">
        <v>46276</v>
      </c>
      <c r="G1459" s="3" t="s">
        <v>17</v>
      </c>
      <c r="H1459" s="5">
        <v>-196917.77</v>
      </c>
      <c r="I1459" s="3" t="s">
        <v>18</v>
      </c>
      <c r="J1459" s="3" t="s">
        <v>14</v>
      </c>
      <c r="K1459" s="3" t="s">
        <v>14</v>
      </c>
      <c r="L1459" s="3" t="s">
        <v>949</v>
      </c>
      <c r="M1459" s="4">
        <v>46276</v>
      </c>
      <c r="N1459" s="3" t="s">
        <v>1393</v>
      </c>
      <c r="O1459" s="3" t="s">
        <v>30</v>
      </c>
      <c r="P1459" t="str">
        <f t="shared" si="22"/>
        <v>450013822110</v>
      </c>
      <c r="Q1459" s="7" cm="1">
        <f t="array" ref="Q1459:S1459">VLOOKUP(P1459,Hoja1!C:F,{2,3,4},FALSE)</f>
        <v>46293</v>
      </c>
      <c r="R1459" t="str">
        <v>EFO</v>
      </c>
      <c r="S1459" t="str">
        <v>1000003117 SALDAÑA CARLOS ALBERTO</v>
      </c>
    </row>
    <row r="1460" spans="1:19" x14ac:dyDescent="0.3">
      <c r="A1460" s="2" t="s">
        <v>14</v>
      </c>
      <c r="B1460" s="3" t="s">
        <v>14</v>
      </c>
      <c r="C1460" s="3" t="s">
        <v>1394</v>
      </c>
      <c r="D1460" s="3" t="s">
        <v>14</v>
      </c>
      <c r="E1460" s="3" t="s">
        <v>466</v>
      </c>
      <c r="F1460" s="4">
        <v>46276</v>
      </c>
      <c r="G1460" s="3" t="s">
        <v>17</v>
      </c>
      <c r="H1460" s="5">
        <v>-117962.8</v>
      </c>
      <c r="I1460" s="3" t="s">
        <v>18</v>
      </c>
      <c r="J1460" s="3" t="s">
        <v>14</v>
      </c>
      <c r="K1460" s="3" t="s">
        <v>14</v>
      </c>
      <c r="L1460" s="3" t="s">
        <v>949</v>
      </c>
      <c r="M1460" s="4">
        <v>46276</v>
      </c>
      <c r="N1460" s="3" t="s">
        <v>1395</v>
      </c>
      <c r="O1460" s="3" t="s">
        <v>30</v>
      </c>
      <c r="P1460" t="str">
        <f t="shared" si="22"/>
        <v>450013824410</v>
      </c>
      <c r="Q1460" s="7" cm="1">
        <f t="array" ref="Q1460:S1460">VLOOKUP(P1460,Hoja1!C:F,{2,3,4},FALSE)</f>
        <v>46294</v>
      </c>
      <c r="R1460" t="str">
        <v>EFO</v>
      </c>
      <c r="S1460" t="str">
        <v>1000003117 SALDAÑA CARLOS ALBERTO</v>
      </c>
    </row>
    <row r="1461" spans="1:19" x14ac:dyDescent="0.3">
      <c r="A1461" s="2" t="s">
        <v>14</v>
      </c>
      <c r="B1461" s="3" t="s">
        <v>14</v>
      </c>
      <c r="C1461" s="3" t="s">
        <v>1394</v>
      </c>
      <c r="D1461" s="3" t="s">
        <v>14</v>
      </c>
      <c r="E1461" s="3" t="s">
        <v>466</v>
      </c>
      <c r="F1461" s="4">
        <v>46276</v>
      </c>
      <c r="G1461" s="3" t="s">
        <v>17</v>
      </c>
      <c r="H1461" s="5">
        <v>-117962.8</v>
      </c>
      <c r="I1461" s="3" t="s">
        <v>18</v>
      </c>
      <c r="J1461" s="3" t="s">
        <v>14</v>
      </c>
      <c r="K1461" s="3" t="s">
        <v>14</v>
      </c>
      <c r="L1461" s="3" t="s">
        <v>949</v>
      </c>
      <c r="M1461" s="4">
        <v>46276</v>
      </c>
      <c r="N1461" s="3" t="s">
        <v>1395</v>
      </c>
      <c r="O1461" s="3" t="s">
        <v>22</v>
      </c>
      <c r="P1461" t="str">
        <f t="shared" si="22"/>
        <v>450013824420</v>
      </c>
      <c r="Q1461" s="7" cm="1">
        <f t="array" ref="Q1461:S1461">VLOOKUP(P1461,Hoja1!C:F,{2,3,4},FALSE)</f>
        <v>46294</v>
      </c>
      <c r="R1461" t="str">
        <v>EFO</v>
      </c>
      <c r="S1461" t="str">
        <v>1000003117 SALDAÑA CARLOS ALBERTO</v>
      </c>
    </row>
    <row r="1462" spans="1:19" x14ac:dyDescent="0.3">
      <c r="A1462" s="2" t="s">
        <v>14</v>
      </c>
      <c r="B1462" s="3" t="s">
        <v>14</v>
      </c>
      <c r="C1462" s="3" t="s">
        <v>1396</v>
      </c>
      <c r="D1462" s="3" t="s">
        <v>32</v>
      </c>
      <c r="E1462" s="3" t="s">
        <v>466</v>
      </c>
      <c r="F1462" s="4">
        <v>46277</v>
      </c>
      <c r="G1462" s="3" t="s">
        <v>17</v>
      </c>
      <c r="H1462" s="5">
        <v>-88175.47</v>
      </c>
      <c r="I1462" s="3" t="s">
        <v>18</v>
      </c>
      <c r="J1462" s="3" t="s">
        <v>14</v>
      </c>
      <c r="K1462" s="3" t="s">
        <v>14</v>
      </c>
      <c r="L1462" s="3" t="s">
        <v>1397</v>
      </c>
      <c r="M1462" s="4">
        <v>46277</v>
      </c>
      <c r="N1462" s="3" t="s">
        <v>1398</v>
      </c>
      <c r="O1462" s="3" t="s">
        <v>30</v>
      </c>
      <c r="P1462" t="str">
        <f t="shared" si="22"/>
        <v>450013767410</v>
      </c>
      <c r="Q1462" s="7" cm="1">
        <f t="array" ref="Q1462:S1462">VLOOKUP(P1462,Hoja1!C:F,{2,3,4},FALSE)</f>
        <v>46286</v>
      </c>
      <c r="R1462" t="str">
        <v>374</v>
      </c>
      <c r="S1462" t="str">
        <v>1000001808 GRUPO AUSTRAL CHUBUT SRL</v>
      </c>
    </row>
    <row r="1463" spans="1:19" x14ac:dyDescent="0.3">
      <c r="A1463" s="2" t="s">
        <v>14</v>
      </c>
      <c r="B1463" s="3" t="s">
        <v>14</v>
      </c>
      <c r="C1463" s="3" t="s">
        <v>1399</v>
      </c>
      <c r="D1463" s="3" t="s">
        <v>14</v>
      </c>
      <c r="E1463" s="3" t="s">
        <v>466</v>
      </c>
      <c r="F1463" s="4">
        <v>46274</v>
      </c>
      <c r="G1463" s="3" t="s">
        <v>17</v>
      </c>
      <c r="H1463" s="5">
        <v>-654240</v>
      </c>
      <c r="I1463" s="3" t="s">
        <v>18</v>
      </c>
      <c r="J1463" s="3" t="s">
        <v>14</v>
      </c>
      <c r="K1463" s="3" t="s">
        <v>14</v>
      </c>
      <c r="L1463" s="3" t="s">
        <v>1400</v>
      </c>
      <c r="M1463" s="4">
        <v>46279</v>
      </c>
      <c r="N1463" s="3" t="s">
        <v>1401</v>
      </c>
      <c r="O1463" s="3" t="s">
        <v>30</v>
      </c>
      <c r="P1463" t="str">
        <f t="shared" si="22"/>
        <v>450013776310</v>
      </c>
      <c r="Q1463" s="7" cm="1">
        <f t="array" ref="Q1463:S1463">VLOOKUP(P1463,Hoja1!C:F,{2,3,4},FALSE)</f>
        <v>46281</v>
      </c>
      <c r="R1463" t="str">
        <v>F07</v>
      </c>
      <c r="S1463" t="str">
        <v>1000001871 ROMAGNOLI SILVANA LORENA</v>
      </c>
    </row>
    <row r="1464" spans="1:19" x14ac:dyDescent="0.3">
      <c r="A1464" s="2" t="s">
        <v>14</v>
      </c>
      <c r="B1464" s="3" t="s">
        <v>14</v>
      </c>
      <c r="C1464" s="3" t="s">
        <v>1402</v>
      </c>
      <c r="D1464" s="3" t="s">
        <v>14</v>
      </c>
      <c r="E1464" s="3" t="s">
        <v>466</v>
      </c>
      <c r="F1464" s="4">
        <v>46274</v>
      </c>
      <c r="G1464" s="3" t="s">
        <v>17</v>
      </c>
      <c r="H1464" s="5">
        <v>-87303.33</v>
      </c>
      <c r="I1464" s="3" t="s">
        <v>18</v>
      </c>
      <c r="J1464" s="3" t="s">
        <v>14</v>
      </c>
      <c r="K1464" s="3" t="s">
        <v>14</v>
      </c>
      <c r="L1464" s="3" t="s">
        <v>442</v>
      </c>
      <c r="M1464" s="4">
        <v>46279</v>
      </c>
      <c r="N1464" s="3" t="s">
        <v>1403</v>
      </c>
      <c r="O1464" s="3" t="s">
        <v>30</v>
      </c>
      <c r="P1464" t="str">
        <f t="shared" si="22"/>
        <v>450013788310</v>
      </c>
      <c r="Q1464" s="7" cm="1">
        <f t="array" ref="Q1464:S1464">VLOOKUP(P1464,Hoja1!C:F,{2,3,4},FALSE)</f>
        <v>46293</v>
      </c>
      <c r="R1464" t="str">
        <v>C29</v>
      </c>
      <c r="S1464" t="str">
        <v>1000010923 PROVIARG SRL</v>
      </c>
    </row>
    <row r="1465" spans="1:19" x14ac:dyDescent="0.3">
      <c r="A1465" s="2" t="s">
        <v>14</v>
      </c>
      <c r="B1465" s="3" t="s">
        <v>14</v>
      </c>
      <c r="C1465" s="3" t="s">
        <v>1404</v>
      </c>
      <c r="D1465" s="3" t="s">
        <v>32</v>
      </c>
      <c r="E1465" s="3" t="s">
        <v>466</v>
      </c>
      <c r="F1465" s="4">
        <v>46279</v>
      </c>
      <c r="G1465" s="3" t="s">
        <v>17</v>
      </c>
      <c r="H1465" s="5">
        <v>-530611.19999999995</v>
      </c>
      <c r="I1465" s="3" t="s">
        <v>18</v>
      </c>
      <c r="J1465" s="3" t="s">
        <v>14</v>
      </c>
      <c r="K1465" s="3" t="s">
        <v>14</v>
      </c>
      <c r="L1465" s="3" t="s">
        <v>597</v>
      </c>
      <c r="M1465" s="4">
        <v>46279</v>
      </c>
      <c r="N1465" s="3" t="s">
        <v>1405</v>
      </c>
      <c r="O1465" s="3" t="s">
        <v>134</v>
      </c>
      <c r="P1465" t="str">
        <f t="shared" si="22"/>
        <v>450013431170</v>
      </c>
      <c r="Q1465" s="7" cm="1">
        <f t="array" ref="Q1465:S1465">VLOOKUP(P1465,Hoja1!C:F,{2,3,4},FALSE)</f>
        <v>46240</v>
      </c>
      <c r="R1465" t="str">
        <v>C11</v>
      </c>
      <c r="S1465" t="str">
        <v>1000009527 ELECTRICIDAD PANAMERICANA S.A.</v>
      </c>
    </row>
    <row r="1466" spans="1:19" x14ac:dyDescent="0.3">
      <c r="A1466" s="2" t="s">
        <v>14</v>
      </c>
      <c r="B1466" s="3" t="s">
        <v>14</v>
      </c>
      <c r="C1466" s="3" t="s">
        <v>1406</v>
      </c>
      <c r="D1466" s="3" t="s">
        <v>14</v>
      </c>
      <c r="E1466" s="3" t="s">
        <v>466</v>
      </c>
      <c r="F1466" s="4">
        <v>46279</v>
      </c>
      <c r="G1466" s="3" t="s">
        <v>17</v>
      </c>
      <c r="H1466" s="5">
        <v>-1364383.68</v>
      </c>
      <c r="I1466" s="3" t="s">
        <v>18</v>
      </c>
      <c r="J1466" s="3" t="s">
        <v>14</v>
      </c>
      <c r="K1466" s="3" t="s">
        <v>14</v>
      </c>
      <c r="L1466" s="3" t="s">
        <v>1211</v>
      </c>
      <c r="M1466" s="4">
        <v>46279</v>
      </c>
      <c r="N1466" s="3" t="s">
        <v>1407</v>
      </c>
      <c r="O1466" s="3" t="s">
        <v>22</v>
      </c>
      <c r="P1466" t="str">
        <f t="shared" si="22"/>
        <v>450013819620</v>
      </c>
      <c r="Q1466" s="7" cm="1">
        <f t="array" ref="Q1466:S1466">VLOOKUP(P1466,Hoja1!C:F,{2,3,4},FALSE)</f>
        <v>46281</v>
      </c>
      <c r="R1466" t="str">
        <v>F06</v>
      </c>
      <c r="S1466" t="str">
        <v>1000000012 IGARRETA MAQUINAS S.A.</v>
      </c>
    </row>
    <row r="1467" spans="1:19" x14ac:dyDescent="0.3">
      <c r="A1467" s="2" t="s">
        <v>14</v>
      </c>
      <c r="B1467" s="3" t="s">
        <v>14</v>
      </c>
      <c r="C1467" s="3" t="s">
        <v>1406</v>
      </c>
      <c r="D1467" s="3" t="s">
        <v>14</v>
      </c>
      <c r="E1467" s="3" t="s">
        <v>466</v>
      </c>
      <c r="F1467" s="4">
        <v>46279</v>
      </c>
      <c r="G1467" s="3" t="s">
        <v>17</v>
      </c>
      <c r="H1467" s="5">
        <v>-421872</v>
      </c>
      <c r="I1467" s="3" t="s">
        <v>18</v>
      </c>
      <c r="J1467" s="3" t="s">
        <v>14</v>
      </c>
      <c r="K1467" s="3" t="s">
        <v>14</v>
      </c>
      <c r="L1467" s="3" t="s">
        <v>1211</v>
      </c>
      <c r="M1467" s="4">
        <v>46279</v>
      </c>
      <c r="N1467" s="3" t="s">
        <v>1407</v>
      </c>
      <c r="O1467" s="3" t="s">
        <v>35</v>
      </c>
      <c r="P1467" t="str">
        <f t="shared" si="22"/>
        <v>450013819630</v>
      </c>
      <c r="Q1467" s="7" cm="1">
        <f t="array" ref="Q1467:S1467">VLOOKUP(P1467,Hoja1!C:F,{2,3,4},FALSE)</f>
        <v>46341</v>
      </c>
      <c r="R1467" t="str">
        <v>F06</v>
      </c>
      <c r="S1467" t="str">
        <v>1000000012 IGARRETA MAQUINAS S.A.</v>
      </c>
    </row>
    <row r="1468" spans="1:19" x14ac:dyDescent="0.3">
      <c r="A1468" s="2" t="s">
        <v>14</v>
      </c>
      <c r="B1468" s="3" t="s">
        <v>14</v>
      </c>
      <c r="C1468" s="3" t="s">
        <v>1408</v>
      </c>
      <c r="D1468" s="3" t="s">
        <v>14</v>
      </c>
      <c r="E1468" s="3" t="s">
        <v>466</v>
      </c>
      <c r="F1468" s="4">
        <v>46277</v>
      </c>
      <c r="G1468" s="3" t="s">
        <v>17</v>
      </c>
      <c r="H1468" s="5">
        <v>-477810</v>
      </c>
      <c r="I1468" s="3" t="s">
        <v>18</v>
      </c>
      <c r="J1468" s="3" t="s">
        <v>14</v>
      </c>
      <c r="K1468" s="3" t="s">
        <v>14</v>
      </c>
      <c r="L1468" s="3" t="s">
        <v>73</v>
      </c>
      <c r="M1468" s="4">
        <v>46277</v>
      </c>
      <c r="N1468" s="3" t="s">
        <v>402</v>
      </c>
      <c r="O1468" s="3" t="s">
        <v>30</v>
      </c>
      <c r="P1468" t="str">
        <f t="shared" si="22"/>
        <v>450013790610</v>
      </c>
      <c r="Q1468" s="7" cm="1">
        <f t="array" ref="Q1468:S1468">VLOOKUP(P1468,Hoja1!C:F,{2,3,4},FALSE)</f>
        <v>46295</v>
      </c>
      <c r="R1468" t="str">
        <v>C21</v>
      </c>
      <c r="S1468" t="str">
        <v>1000000808 GLOBAL OIL S.R.L.</v>
      </c>
    </row>
    <row r="1469" spans="1:19" x14ac:dyDescent="0.3">
      <c r="A1469" s="2" t="s">
        <v>14</v>
      </c>
      <c r="B1469" s="3" t="s">
        <v>14</v>
      </c>
      <c r="C1469" s="3" t="s">
        <v>1408</v>
      </c>
      <c r="D1469" s="3" t="s">
        <v>14</v>
      </c>
      <c r="E1469" s="3" t="s">
        <v>466</v>
      </c>
      <c r="F1469" s="4">
        <v>46277</v>
      </c>
      <c r="G1469" s="3" t="s">
        <v>17</v>
      </c>
      <c r="H1469" s="5">
        <v>-100560</v>
      </c>
      <c r="I1469" s="3" t="s">
        <v>18</v>
      </c>
      <c r="J1469" s="3" t="s">
        <v>14</v>
      </c>
      <c r="K1469" s="3" t="s">
        <v>14</v>
      </c>
      <c r="L1469" s="3" t="s">
        <v>73</v>
      </c>
      <c r="M1469" s="4">
        <v>46277</v>
      </c>
      <c r="N1469" s="3" t="s">
        <v>402</v>
      </c>
      <c r="O1469" s="3" t="s">
        <v>30</v>
      </c>
      <c r="P1469" t="str">
        <f t="shared" si="22"/>
        <v>450013790610</v>
      </c>
      <c r="Q1469" s="7" cm="1">
        <f t="array" ref="Q1469:S1469">VLOOKUP(P1469,Hoja1!C:F,{2,3,4},FALSE)</f>
        <v>46295</v>
      </c>
      <c r="R1469" t="str">
        <v>C21</v>
      </c>
      <c r="S1469" t="str">
        <v>1000000808 GLOBAL OIL S.R.L.</v>
      </c>
    </row>
    <row r="1470" spans="1:19" x14ac:dyDescent="0.3">
      <c r="A1470" s="2" t="s">
        <v>14</v>
      </c>
      <c r="B1470" s="3" t="s">
        <v>14</v>
      </c>
      <c r="C1470" s="3" t="s">
        <v>1409</v>
      </c>
      <c r="D1470" s="3" t="s">
        <v>14</v>
      </c>
      <c r="E1470" s="3" t="s">
        <v>466</v>
      </c>
      <c r="F1470" s="4">
        <v>46273</v>
      </c>
      <c r="G1470" s="3" t="s">
        <v>17</v>
      </c>
      <c r="H1470" s="5">
        <v>-56483.65</v>
      </c>
      <c r="I1470" s="3" t="s">
        <v>18</v>
      </c>
      <c r="J1470" s="3" t="s">
        <v>14</v>
      </c>
      <c r="K1470" s="3" t="s">
        <v>14</v>
      </c>
      <c r="L1470" s="3" t="s">
        <v>73</v>
      </c>
      <c r="M1470" s="4">
        <v>46273</v>
      </c>
      <c r="N1470" s="3" t="s">
        <v>338</v>
      </c>
      <c r="O1470" s="3" t="s">
        <v>22</v>
      </c>
      <c r="P1470" t="str">
        <f t="shared" si="22"/>
        <v>450013315420</v>
      </c>
      <c r="Q1470" s="7" cm="1">
        <f t="array" ref="Q1470:S1470">VLOOKUP(P1470,Hoja1!C:F,{2,3,4},FALSE)</f>
        <v>46326</v>
      </c>
      <c r="R1470" t="str">
        <v>C21</v>
      </c>
      <c r="S1470" t="str">
        <v>1000000808 GLOBAL OIL S.R.L.</v>
      </c>
    </row>
    <row r="1471" spans="1:19" x14ac:dyDescent="0.3">
      <c r="A1471" s="2" t="s">
        <v>14</v>
      </c>
      <c r="B1471" s="3" t="s">
        <v>14</v>
      </c>
      <c r="C1471" s="3" t="s">
        <v>1409</v>
      </c>
      <c r="D1471" s="3" t="s">
        <v>14</v>
      </c>
      <c r="E1471" s="3" t="s">
        <v>466</v>
      </c>
      <c r="F1471" s="4">
        <v>46273</v>
      </c>
      <c r="G1471" s="3" t="s">
        <v>17</v>
      </c>
      <c r="H1471" s="5">
        <v>-772.28</v>
      </c>
      <c r="I1471" s="3" t="s">
        <v>18</v>
      </c>
      <c r="J1471" s="3" t="s">
        <v>14</v>
      </c>
      <c r="K1471" s="3" t="s">
        <v>14</v>
      </c>
      <c r="L1471" s="3" t="s">
        <v>73</v>
      </c>
      <c r="M1471" s="4">
        <v>46273</v>
      </c>
      <c r="N1471" s="3" t="s">
        <v>338</v>
      </c>
      <c r="O1471" s="3" t="s">
        <v>22</v>
      </c>
      <c r="P1471" t="str">
        <f t="shared" si="22"/>
        <v>450013315420</v>
      </c>
      <c r="Q1471" s="7" cm="1">
        <f t="array" ref="Q1471:S1471">VLOOKUP(P1471,Hoja1!C:F,{2,3,4},FALSE)</f>
        <v>46326</v>
      </c>
      <c r="R1471" t="str">
        <v>C21</v>
      </c>
      <c r="S1471" t="str">
        <v>1000000808 GLOBAL OIL S.R.L.</v>
      </c>
    </row>
    <row r="1472" spans="1:19" x14ac:dyDescent="0.3">
      <c r="A1472" s="2" t="s">
        <v>14</v>
      </c>
      <c r="B1472" s="3" t="s">
        <v>14</v>
      </c>
      <c r="C1472" s="3" t="s">
        <v>1410</v>
      </c>
      <c r="D1472" s="3" t="s">
        <v>14</v>
      </c>
      <c r="E1472" s="3" t="s">
        <v>466</v>
      </c>
      <c r="F1472" s="4">
        <v>46274</v>
      </c>
      <c r="G1472" s="3" t="s">
        <v>17</v>
      </c>
      <c r="H1472" s="5">
        <v>-63344.12</v>
      </c>
      <c r="I1472" s="3" t="s">
        <v>18</v>
      </c>
      <c r="J1472" s="3" t="s">
        <v>14</v>
      </c>
      <c r="K1472" s="3" t="s">
        <v>14</v>
      </c>
      <c r="L1472" s="3" t="s">
        <v>73</v>
      </c>
      <c r="M1472" s="4">
        <v>46274</v>
      </c>
      <c r="N1472" s="3" t="s">
        <v>338</v>
      </c>
      <c r="O1472" s="3" t="s">
        <v>22</v>
      </c>
      <c r="P1472" t="str">
        <f t="shared" si="22"/>
        <v>450013315420</v>
      </c>
      <c r="Q1472" s="7" cm="1">
        <f t="array" ref="Q1472:S1472">VLOOKUP(P1472,Hoja1!C:F,{2,3,4},FALSE)</f>
        <v>46326</v>
      </c>
      <c r="R1472" t="str">
        <v>C21</v>
      </c>
      <c r="S1472" t="str">
        <v>1000000808 GLOBAL OIL S.R.L.</v>
      </c>
    </row>
    <row r="1473" spans="1:19" x14ac:dyDescent="0.3">
      <c r="A1473" s="2" t="s">
        <v>14</v>
      </c>
      <c r="B1473" s="3" t="s">
        <v>14</v>
      </c>
      <c r="C1473" s="3" t="s">
        <v>1410</v>
      </c>
      <c r="D1473" s="3" t="s">
        <v>14</v>
      </c>
      <c r="E1473" s="3" t="s">
        <v>466</v>
      </c>
      <c r="F1473" s="4">
        <v>46274</v>
      </c>
      <c r="G1473" s="3" t="s">
        <v>17</v>
      </c>
      <c r="H1473" s="5">
        <v>-866.09</v>
      </c>
      <c r="I1473" s="3" t="s">
        <v>18</v>
      </c>
      <c r="J1473" s="3" t="s">
        <v>14</v>
      </c>
      <c r="K1473" s="3" t="s">
        <v>14</v>
      </c>
      <c r="L1473" s="3" t="s">
        <v>73</v>
      </c>
      <c r="M1473" s="4">
        <v>46274</v>
      </c>
      <c r="N1473" s="3" t="s">
        <v>338</v>
      </c>
      <c r="O1473" s="3" t="s">
        <v>22</v>
      </c>
      <c r="P1473" t="str">
        <f t="shared" si="22"/>
        <v>450013315420</v>
      </c>
      <c r="Q1473" s="7" cm="1">
        <f t="array" ref="Q1473:S1473">VLOOKUP(P1473,Hoja1!C:F,{2,3,4},FALSE)</f>
        <v>46326</v>
      </c>
      <c r="R1473" t="str">
        <v>C21</v>
      </c>
      <c r="S1473" t="str">
        <v>1000000808 GLOBAL OIL S.R.L.</v>
      </c>
    </row>
    <row r="1474" spans="1:19" x14ac:dyDescent="0.3">
      <c r="A1474" s="2" t="s">
        <v>14</v>
      </c>
      <c r="B1474" s="3" t="s">
        <v>14</v>
      </c>
      <c r="C1474" s="3" t="s">
        <v>1411</v>
      </c>
      <c r="D1474" s="3" t="s">
        <v>14</v>
      </c>
      <c r="E1474" s="3" t="s">
        <v>466</v>
      </c>
      <c r="F1474" s="4">
        <v>46279</v>
      </c>
      <c r="G1474" s="3" t="s">
        <v>17</v>
      </c>
      <c r="H1474" s="5">
        <v>-145105.92000000001</v>
      </c>
      <c r="I1474" s="3" t="s">
        <v>18</v>
      </c>
      <c r="J1474" s="3" t="s">
        <v>14</v>
      </c>
      <c r="K1474" s="3" t="s">
        <v>14</v>
      </c>
      <c r="L1474" s="3" t="s">
        <v>399</v>
      </c>
      <c r="M1474" s="4">
        <v>46279</v>
      </c>
      <c r="N1474" s="3" t="s">
        <v>1412</v>
      </c>
      <c r="O1474" s="3" t="s">
        <v>30</v>
      </c>
      <c r="P1474" t="str">
        <f t="shared" si="22"/>
        <v>450013623110</v>
      </c>
      <c r="Q1474" s="7" cm="1">
        <f t="array" ref="Q1474:S1474">VLOOKUP(P1474,Hoja1!C:F,{2,3,4},FALSE)</f>
        <v>46262</v>
      </c>
      <c r="R1474" t="str">
        <v>C29</v>
      </c>
      <c r="S1474" t="str">
        <v>1000000561 ESCANDINAVIA DEL PLATA SA</v>
      </c>
    </row>
    <row r="1475" spans="1:19" x14ac:dyDescent="0.3">
      <c r="A1475" s="2" t="s">
        <v>14</v>
      </c>
      <c r="B1475" s="3" t="s">
        <v>14</v>
      </c>
      <c r="C1475" s="3" t="s">
        <v>1413</v>
      </c>
      <c r="D1475" s="3" t="s">
        <v>14</v>
      </c>
      <c r="E1475" s="3" t="s">
        <v>466</v>
      </c>
      <c r="F1475" s="4">
        <v>46279</v>
      </c>
      <c r="G1475" s="3" t="s">
        <v>17</v>
      </c>
      <c r="H1475" s="5">
        <v>-72628.160000000003</v>
      </c>
      <c r="I1475" s="3" t="s">
        <v>18</v>
      </c>
      <c r="J1475" s="3" t="s">
        <v>14</v>
      </c>
      <c r="K1475" s="3" t="s">
        <v>14</v>
      </c>
      <c r="L1475" s="3" t="s">
        <v>399</v>
      </c>
      <c r="M1475" s="4">
        <v>46279</v>
      </c>
      <c r="N1475" s="3" t="s">
        <v>1414</v>
      </c>
      <c r="O1475" s="3" t="s">
        <v>30</v>
      </c>
      <c r="P1475" t="str">
        <f t="shared" ref="P1475:P1538" si="23">_xlfn.CONCAT(N1475:O1475)</f>
        <v>450013572810</v>
      </c>
      <c r="Q1475" s="7" cm="1">
        <f t="array" ref="Q1475:S1475">VLOOKUP(P1475,Hoja1!C:F,{2,3,4},FALSE)</f>
        <v>46295</v>
      </c>
      <c r="R1475" t="str">
        <v>C03</v>
      </c>
      <c r="S1475" t="str">
        <v>1000000561 ESCANDINAVIA DEL PLATA SA</v>
      </c>
    </row>
    <row r="1476" spans="1:19" x14ac:dyDescent="0.3">
      <c r="A1476" s="2" t="s">
        <v>14</v>
      </c>
      <c r="B1476" s="3" t="s">
        <v>14</v>
      </c>
      <c r="C1476" s="3" t="s">
        <v>1415</v>
      </c>
      <c r="D1476" s="3" t="s">
        <v>14</v>
      </c>
      <c r="E1476" s="3" t="s">
        <v>466</v>
      </c>
      <c r="F1476" s="4">
        <v>46272</v>
      </c>
      <c r="G1476" s="3" t="s">
        <v>17</v>
      </c>
      <c r="H1476" s="5">
        <v>-735155.19999999995</v>
      </c>
      <c r="I1476" s="3" t="s">
        <v>18</v>
      </c>
      <c r="J1476" s="3" t="s">
        <v>14</v>
      </c>
      <c r="K1476" s="3" t="s">
        <v>14</v>
      </c>
      <c r="L1476" s="3" t="s">
        <v>997</v>
      </c>
      <c r="M1476" s="4">
        <v>46279</v>
      </c>
      <c r="N1476" s="3" t="s">
        <v>1416</v>
      </c>
      <c r="O1476" s="3" t="s">
        <v>30</v>
      </c>
      <c r="P1476" t="str">
        <f t="shared" si="23"/>
        <v>450013729910</v>
      </c>
      <c r="Q1476" s="7" cm="1">
        <f t="array" ref="Q1476:S1476">VLOOKUP(P1476,Hoja1!C:F,{2,3,4},FALSE)</f>
        <v>46273</v>
      </c>
      <c r="R1476" t="str">
        <v>C27</v>
      </c>
      <c r="S1476" t="str">
        <v>1000000003 ARROYITO MAQUINARIAS S.R.L.</v>
      </c>
    </row>
    <row r="1477" spans="1:19" x14ac:dyDescent="0.3">
      <c r="A1477" s="2" t="s">
        <v>14</v>
      </c>
      <c r="B1477" s="3" t="s">
        <v>14</v>
      </c>
      <c r="C1477" s="3" t="s">
        <v>1415</v>
      </c>
      <c r="D1477" s="3" t="s">
        <v>14</v>
      </c>
      <c r="E1477" s="3" t="s">
        <v>466</v>
      </c>
      <c r="F1477" s="4">
        <v>46272</v>
      </c>
      <c r="G1477" s="3" t="s">
        <v>17</v>
      </c>
      <c r="H1477" s="5">
        <v>-569113.59999999998</v>
      </c>
      <c r="I1477" s="3" t="s">
        <v>18</v>
      </c>
      <c r="J1477" s="3" t="s">
        <v>14</v>
      </c>
      <c r="K1477" s="3" t="s">
        <v>14</v>
      </c>
      <c r="L1477" s="3" t="s">
        <v>997</v>
      </c>
      <c r="M1477" s="4">
        <v>46279</v>
      </c>
      <c r="N1477" s="3" t="s">
        <v>1416</v>
      </c>
      <c r="O1477" s="3" t="s">
        <v>22</v>
      </c>
      <c r="P1477" t="str">
        <f t="shared" si="23"/>
        <v>450013729920</v>
      </c>
      <c r="Q1477" s="7" cm="1">
        <f t="array" ref="Q1477:S1477">VLOOKUP(P1477,Hoja1!C:F,{2,3,4},FALSE)</f>
        <v>46273</v>
      </c>
      <c r="R1477" t="str">
        <v>C27</v>
      </c>
      <c r="S1477" t="str">
        <v>1000000003 ARROYITO MAQUINARIAS S.R.L.</v>
      </c>
    </row>
    <row r="1478" spans="1:19" x14ac:dyDescent="0.3">
      <c r="A1478" s="2" t="s">
        <v>14</v>
      </c>
      <c r="B1478" s="3" t="s">
        <v>14</v>
      </c>
      <c r="C1478" s="3" t="s">
        <v>1415</v>
      </c>
      <c r="D1478" s="3" t="s">
        <v>14</v>
      </c>
      <c r="E1478" s="3" t="s">
        <v>466</v>
      </c>
      <c r="F1478" s="4">
        <v>46272</v>
      </c>
      <c r="G1478" s="3" t="s">
        <v>17</v>
      </c>
      <c r="H1478" s="5">
        <v>-806023.68000000005</v>
      </c>
      <c r="I1478" s="3" t="s">
        <v>18</v>
      </c>
      <c r="J1478" s="3" t="s">
        <v>14</v>
      </c>
      <c r="K1478" s="3" t="s">
        <v>14</v>
      </c>
      <c r="L1478" s="3" t="s">
        <v>997</v>
      </c>
      <c r="M1478" s="4">
        <v>46279</v>
      </c>
      <c r="N1478" s="3" t="s">
        <v>1416</v>
      </c>
      <c r="O1478" s="3" t="s">
        <v>35</v>
      </c>
      <c r="P1478" t="str">
        <f t="shared" si="23"/>
        <v>450013729930</v>
      </c>
      <c r="Q1478" s="7" cm="1">
        <f t="array" ref="Q1478:S1478">VLOOKUP(P1478,Hoja1!C:F,{2,3,4},FALSE)</f>
        <v>46273</v>
      </c>
      <c r="R1478" t="str">
        <v>C27</v>
      </c>
      <c r="S1478" t="str">
        <v>1000000003 ARROYITO MAQUINARIAS S.R.L.</v>
      </c>
    </row>
    <row r="1479" spans="1:19" x14ac:dyDescent="0.3">
      <c r="A1479" s="2" t="s">
        <v>14</v>
      </c>
      <c r="B1479" s="3" t="s">
        <v>14</v>
      </c>
      <c r="C1479" s="3" t="s">
        <v>1417</v>
      </c>
      <c r="D1479" s="3" t="s">
        <v>14</v>
      </c>
      <c r="E1479" s="3" t="s">
        <v>466</v>
      </c>
      <c r="F1479" s="4">
        <v>46279</v>
      </c>
      <c r="G1479" s="3" t="s">
        <v>17</v>
      </c>
      <c r="H1479" s="5">
        <v>-86186.03</v>
      </c>
      <c r="I1479" s="3" t="s">
        <v>18</v>
      </c>
      <c r="J1479" s="3" t="s">
        <v>14</v>
      </c>
      <c r="K1479" s="3" t="s">
        <v>14</v>
      </c>
      <c r="L1479" s="3" t="s">
        <v>73</v>
      </c>
      <c r="M1479" s="4">
        <v>46279</v>
      </c>
      <c r="N1479" s="3" t="s">
        <v>338</v>
      </c>
      <c r="O1479" s="3" t="s">
        <v>22</v>
      </c>
      <c r="P1479" t="str">
        <f t="shared" si="23"/>
        <v>450013315420</v>
      </c>
      <c r="Q1479" s="7" cm="1">
        <f t="array" ref="Q1479:S1479">VLOOKUP(P1479,Hoja1!C:F,{2,3,4},FALSE)</f>
        <v>46326</v>
      </c>
      <c r="R1479" t="str">
        <v>C21</v>
      </c>
      <c r="S1479" t="str">
        <v>1000000808 GLOBAL OIL S.R.L.</v>
      </c>
    </row>
    <row r="1480" spans="1:19" x14ac:dyDescent="0.3">
      <c r="A1480" s="2" t="s">
        <v>14</v>
      </c>
      <c r="B1480" s="3" t="s">
        <v>14</v>
      </c>
      <c r="C1480" s="3" t="s">
        <v>1417</v>
      </c>
      <c r="D1480" s="3" t="s">
        <v>14</v>
      </c>
      <c r="E1480" s="3" t="s">
        <v>466</v>
      </c>
      <c r="F1480" s="4">
        <v>46279</v>
      </c>
      <c r="G1480" s="3" t="s">
        <v>17</v>
      </c>
      <c r="H1480" s="5">
        <v>-1178.4000000000001</v>
      </c>
      <c r="I1480" s="3" t="s">
        <v>18</v>
      </c>
      <c r="J1480" s="3" t="s">
        <v>14</v>
      </c>
      <c r="K1480" s="3" t="s">
        <v>14</v>
      </c>
      <c r="L1480" s="3" t="s">
        <v>73</v>
      </c>
      <c r="M1480" s="4">
        <v>46279</v>
      </c>
      <c r="N1480" s="3" t="s">
        <v>338</v>
      </c>
      <c r="O1480" s="3" t="s">
        <v>22</v>
      </c>
      <c r="P1480" t="str">
        <f t="shared" si="23"/>
        <v>450013315420</v>
      </c>
      <c r="Q1480" s="7" cm="1">
        <f t="array" ref="Q1480:S1480">VLOOKUP(P1480,Hoja1!C:F,{2,3,4},FALSE)</f>
        <v>46326</v>
      </c>
      <c r="R1480" t="str">
        <v>C21</v>
      </c>
      <c r="S1480" t="str">
        <v>1000000808 GLOBAL OIL S.R.L.</v>
      </c>
    </row>
    <row r="1481" spans="1:19" x14ac:dyDescent="0.3">
      <c r="A1481" s="2" t="s">
        <v>14</v>
      </c>
      <c r="B1481" s="3" t="s">
        <v>14</v>
      </c>
      <c r="C1481" s="3" t="s">
        <v>1418</v>
      </c>
      <c r="D1481" s="3" t="s">
        <v>14</v>
      </c>
      <c r="E1481" s="3" t="s">
        <v>466</v>
      </c>
      <c r="F1481" s="4">
        <v>46279</v>
      </c>
      <c r="G1481" s="3" t="s">
        <v>17</v>
      </c>
      <c r="H1481" s="5">
        <v>-557604.27</v>
      </c>
      <c r="I1481" s="3" t="s">
        <v>18</v>
      </c>
      <c r="J1481" s="3" t="s">
        <v>14</v>
      </c>
      <c r="K1481" s="3" t="s">
        <v>14</v>
      </c>
      <c r="L1481" s="3" t="s">
        <v>73</v>
      </c>
      <c r="M1481" s="4">
        <v>46279</v>
      </c>
      <c r="N1481" s="3" t="s">
        <v>402</v>
      </c>
      <c r="O1481" s="3" t="s">
        <v>30</v>
      </c>
      <c r="P1481" t="str">
        <f t="shared" si="23"/>
        <v>450013790610</v>
      </c>
      <c r="Q1481" s="7" cm="1">
        <f t="array" ref="Q1481:S1481">VLOOKUP(P1481,Hoja1!C:F,{2,3,4},FALSE)</f>
        <v>46295</v>
      </c>
      <c r="R1481" t="str">
        <v>C21</v>
      </c>
      <c r="S1481" t="str">
        <v>1000000808 GLOBAL OIL S.R.L.</v>
      </c>
    </row>
    <row r="1482" spans="1:19" x14ac:dyDescent="0.3">
      <c r="A1482" s="2" t="s">
        <v>14</v>
      </c>
      <c r="B1482" s="3" t="s">
        <v>14</v>
      </c>
      <c r="C1482" s="3" t="s">
        <v>1418</v>
      </c>
      <c r="D1482" s="3" t="s">
        <v>14</v>
      </c>
      <c r="E1482" s="3" t="s">
        <v>466</v>
      </c>
      <c r="F1482" s="4">
        <v>46279</v>
      </c>
      <c r="G1482" s="3" t="s">
        <v>17</v>
      </c>
      <c r="H1482" s="5">
        <v>-117353.52</v>
      </c>
      <c r="I1482" s="3" t="s">
        <v>18</v>
      </c>
      <c r="J1482" s="3" t="s">
        <v>14</v>
      </c>
      <c r="K1482" s="3" t="s">
        <v>14</v>
      </c>
      <c r="L1482" s="3" t="s">
        <v>73</v>
      </c>
      <c r="M1482" s="4">
        <v>46279</v>
      </c>
      <c r="N1482" s="3" t="s">
        <v>402</v>
      </c>
      <c r="O1482" s="3" t="s">
        <v>30</v>
      </c>
      <c r="P1482" t="str">
        <f t="shared" si="23"/>
        <v>450013790610</v>
      </c>
      <c r="Q1482" s="7" cm="1">
        <f t="array" ref="Q1482:S1482">VLOOKUP(P1482,Hoja1!C:F,{2,3,4},FALSE)</f>
        <v>46295</v>
      </c>
      <c r="R1482" t="str">
        <v>C21</v>
      </c>
      <c r="S1482" t="str">
        <v>1000000808 GLOBAL OIL S.R.L.</v>
      </c>
    </row>
    <row r="1483" spans="1:19" x14ac:dyDescent="0.3">
      <c r="A1483" s="2" t="s">
        <v>14</v>
      </c>
      <c r="B1483" s="3" t="s">
        <v>14</v>
      </c>
      <c r="C1483" s="3" t="s">
        <v>1419</v>
      </c>
      <c r="D1483" s="3" t="s">
        <v>14</v>
      </c>
      <c r="E1483" s="3" t="s">
        <v>466</v>
      </c>
      <c r="F1483" s="4">
        <v>46279</v>
      </c>
      <c r="G1483" s="3" t="s">
        <v>17</v>
      </c>
      <c r="H1483" s="5">
        <v>-621153</v>
      </c>
      <c r="I1483" s="3" t="s">
        <v>18</v>
      </c>
      <c r="J1483" s="3" t="s">
        <v>14</v>
      </c>
      <c r="K1483" s="3" t="s">
        <v>14</v>
      </c>
      <c r="L1483" s="3" t="s">
        <v>73</v>
      </c>
      <c r="M1483" s="4">
        <v>46279</v>
      </c>
      <c r="N1483" s="3" t="s">
        <v>402</v>
      </c>
      <c r="O1483" s="3" t="s">
        <v>30</v>
      </c>
      <c r="P1483" t="str">
        <f t="shared" si="23"/>
        <v>450013790610</v>
      </c>
      <c r="Q1483" s="7" cm="1">
        <f t="array" ref="Q1483:S1483">VLOOKUP(P1483,Hoja1!C:F,{2,3,4},FALSE)</f>
        <v>46295</v>
      </c>
      <c r="R1483" t="str">
        <v>C21</v>
      </c>
      <c r="S1483" t="str">
        <v>1000000808 GLOBAL OIL S.R.L.</v>
      </c>
    </row>
    <row r="1484" spans="1:19" x14ac:dyDescent="0.3">
      <c r="A1484" s="2" t="s">
        <v>14</v>
      </c>
      <c r="B1484" s="3" t="s">
        <v>14</v>
      </c>
      <c r="C1484" s="3" t="s">
        <v>1419</v>
      </c>
      <c r="D1484" s="3" t="s">
        <v>14</v>
      </c>
      <c r="E1484" s="3" t="s">
        <v>466</v>
      </c>
      <c r="F1484" s="4">
        <v>46279</v>
      </c>
      <c r="G1484" s="3" t="s">
        <v>17</v>
      </c>
      <c r="H1484" s="5">
        <v>-130728</v>
      </c>
      <c r="I1484" s="3" t="s">
        <v>18</v>
      </c>
      <c r="J1484" s="3" t="s">
        <v>14</v>
      </c>
      <c r="K1484" s="3" t="s">
        <v>14</v>
      </c>
      <c r="L1484" s="3" t="s">
        <v>73</v>
      </c>
      <c r="M1484" s="4">
        <v>46279</v>
      </c>
      <c r="N1484" s="3" t="s">
        <v>402</v>
      </c>
      <c r="O1484" s="3" t="s">
        <v>30</v>
      </c>
      <c r="P1484" t="str">
        <f t="shared" si="23"/>
        <v>450013790610</v>
      </c>
      <c r="Q1484" s="7" cm="1">
        <f t="array" ref="Q1484:S1484">VLOOKUP(P1484,Hoja1!C:F,{2,3,4},FALSE)</f>
        <v>46295</v>
      </c>
      <c r="R1484" t="str">
        <v>C21</v>
      </c>
      <c r="S1484" t="str">
        <v>1000000808 GLOBAL OIL S.R.L.</v>
      </c>
    </row>
    <row r="1485" spans="1:19" x14ac:dyDescent="0.3">
      <c r="A1485" s="2" t="s">
        <v>14</v>
      </c>
      <c r="B1485" s="3" t="s">
        <v>14</v>
      </c>
      <c r="C1485" s="3" t="s">
        <v>1420</v>
      </c>
      <c r="D1485" s="3" t="s">
        <v>14</v>
      </c>
      <c r="E1485" s="3" t="s">
        <v>466</v>
      </c>
      <c r="F1485" s="4">
        <v>46279</v>
      </c>
      <c r="G1485" s="3" t="s">
        <v>17</v>
      </c>
      <c r="H1485" s="5">
        <v>-1080000</v>
      </c>
      <c r="I1485" s="3" t="s">
        <v>18</v>
      </c>
      <c r="J1485" s="3" t="s">
        <v>14</v>
      </c>
      <c r="K1485" s="3" t="s">
        <v>14</v>
      </c>
      <c r="L1485" s="3" t="s">
        <v>984</v>
      </c>
      <c r="M1485" s="4">
        <v>46279</v>
      </c>
      <c r="N1485" s="3" t="s">
        <v>1421</v>
      </c>
      <c r="O1485" s="3" t="s">
        <v>30</v>
      </c>
      <c r="P1485" t="str">
        <f t="shared" si="23"/>
        <v>450013828910</v>
      </c>
      <c r="Q1485" s="7" cm="1">
        <f t="array" ref="Q1485:S1485">VLOOKUP(P1485,Hoja1!C:F,{2,3,4},FALSE)</f>
        <v>46281</v>
      </c>
      <c r="R1485" t="str">
        <v>C03</v>
      </c>
      <c r="S1485" t="str">
        <v>1000009554 SCARONE FEDERICO AGUSTIN</v>
      </c>
    </row>
    <row r="1486" spans="1:19" x14ac:dyDescent="0.3">
      <c r="A1486" s="2" t="s">
        <v>14</v>
      </c>
      <c r="B1486" s="3" t="s">
        <v>14</v>
      </c>
      <c r="C1486" s="3" t="s">
        <v>1422</v>
      </c>
      <c r="D1486" s="3" t="s">
        <v>14</v>
      </c>
      <c r="E1486" s="3" t="s">
        <v>466</v>
      </c>
      <c r="F1486" s="4">
        <v>46279</v>
      </c>
      <c r="G1486" s="3" t="s">
        <v>17</v>
      </c>
      <c r="H1486" s="5">
        <v>-167621.70000000001</v>
      </c>
      <c r="I1486" s="3" t="s">
        <v>18</v>
      </c>
      <c r="J1486" s="3" t="s">
        <v>14</v>
      </c>
      <c r="K1486" s="3" t="s">
        <v>14</v>
      </c>
      <c r="L1486" s="3" t="s">
        <v>575</v>
      </c>
      <c r="M1486" s="4">
        <v>46279</v>
      </c>
      <c r="N1486" s="3" t="s">
        <v>1423</v>
      </c>
      <c r="O1486" s="3" t="s">
        <v>30</v>
      </c>
      <c r="P1486" t="str">
        <f t="shared" si="23"/>
        <v>450013838310</v>
      </c>
      <c r="Q1486" s="7" cm="1">
        <f t="array" ref="Q1486:S1486">VLOOKUP(P1486,Hoja1!C:F,{2,3,4},FALSE)</f>
        <v>46275</v>
      </c>
      <c r="R1486" t="str">
        <v>C27</v>
      </c>
      <c r="S1486" t="str">
        <v>1000000001 FERRETERA SAN LUIS</v>
      </c>
    </row>
    <row r="1487" spans="1:19" x14ac:dyDescent="0.3">
      <c r="A1487" s="2" t="s">
        <v>14</v>
      </c>
      <c r="B1487" s="3" t="s">
        <v>14</v>
      </c>
      <c r="C1487" s="3" t="s">
        <v>1422</v>
      </c>
      <c r="D1487" s="3" t="s">
        <v>14</v>
      </c>
      <c r="E1487" s="3" t="s">
        <v>466</v>
      </c>
      <c r="F1487" s="4">
        <v>46279</v>
      </c>
      <c r="G1487" s="3" t="s">
        <v>17</v>
      </c>
      <c r="H1487" s="5">
        <v>-149212.07999999999</v>
      </c>
      <c r="I1487" s="3" t="s">
        <v>18</v>
      </c>
      <c r="J1487" s="3" t="s">
        <v>14</v>
      </c>
      <c r="K1487" s="3" t="s">
        <v>14</v>
      </c>
      <c r="L1487" s="3" t="s">
        <v>575</v>
      </c>
      <c r="M1487" s="4">
        <v>46279</v>
      </c>
      <c r="N1487" s="3" t="s">
        <v>1423</v>
      </c>
      <c r="O1487" s="3" t="s">
        <v>22</v>
      </c>
      <c r="P1487" t="str">
        <f t="shared" si="23"/>
        <v>450013838320</v>
      </c>
      <c r="Q1487" s="7" cm="1">
        <f t="array" ref="Q1487:S1487">VLOOKUP(P1487,Hoja1!C:F,{2,3,4},FALSE)</f>
        <v>46275</v>
      </c>
      <c r="R1487" t="str">
        <v>C27</v>
      </c>
      <c r="S1487" t="str">
        <v>1000000001 FERRETERA SAN LUIS</v>
      </c>
    </row>
    <row r="1488" spans="1:19" x14ac:dyDescent="0.3">
      <c r="A1488" s="2" t="s">
        <v>14</v>
      </c>
      <c r="B1488" s="3" t="s">
        <v>14</v>
      </c>
      <c r="C1488" s="3" t="s">
        <v>1424</v>
      </c>
      <c r="D1488" s="3" t="s">
        <v>14</v>
      </c>
      <c r="E1488" s="3" t="s">
        <v>466</v>
      </c>
      <c r="F1488" s="4">
        <v>46279</v>
      </c>
      <c r="G1488" s="3" t="s">
        <v>17</v>
      </c>
      <c r="H1488" s="5">
        <v>-148760.32999999999</v>
      </c>
      <c r="I1488" s="3" t="s">
        <v>18</v>
      </c>
      <c r="J1488" s="3" t="s">
        <v>14</v>
      </c>
      <c r="K1488" s="3" t="s">
        <v>14</v>
      </c>
      <c r="L1488" s="3" t="s">
        <v>949</v>
      </c>
      <c r="M1488" s="4">
        <v>46279</v>
      </c>
      <c r="N1488" s="3" t="s">
        <v>1425</v>
      </c>
      <c r="O1488" s="3" t="s">
        <v>30</v>
      </c>
      <c r="P1488" t="str">
        <f t="shared" si="23"/>
        <v>450013838410</v>
      </c>
      <c r="Q1488" s="7" cm="1">
        <f t="array" ref="Q1488:S1488">VLOOKUP(P1488,Hoja1!C:F,{2,3,4},FALSE)</f>
        <v>46296</v>
      </c>
      <c r="R1488" t="str">
        <v>EFO</v>
      </c>
      <c r="S1488" t="str">
        <v>1000003117 SALDAÑA CARLOS ALBERTO</v>
      </c>
    </row>
    <row r="1489" spans="1:19" x14ac:dyDescent="0.3">
      <c r="A1489" s="2" t="s">
        <v>14</v>
      </c>
      <c r="B1489" s="3" t="s">
        <v>14</v>
      </c>
      <c r="C1489" s="3" t="s">
        <v>1426</v>
      </c>
      <c r="D1489" s="3" t="s">
        <v>14</v>
      </c>
      <c r="E1489" s="3" t="s">
        <v>466</v>
      </c>
      <c r="F1489" s="4">
        <v>46279</v>
      </c>
      <c r="G1489" s="3" t="s">
        <v>17</v>
      </c>
      <c r="H1489" s="5">
        <v>-426504.32</v>
      </c>
      <c r="I1489" s="3" t="s">
        <v>18</v>
      </c>
      <c r="J1489" s="3" t="s">
        <v>14</v>
      </c>
      <c r="K1489" s="3" t="s">
        <v>14</v>
      </c>
      <c r="L1489" s="3" t="s">
        <v>1289</v>
      </c>
      <c r="M1489" s="4">
        <v>46279</v>
      </c>
      <c r="N1489" s="3" t="s">
        <v>1427</v>
      </c>
      <c r="O1489" s="3" t="s">
        <v>30</v>
      </c>
      <c r="P1489" t="str">
        <f t="shared" si="23"/>
        <v>450013832810</v>
      </c>
      <c r="Q1489" s="7" cm="1">
        <f t="array" ref="Q1489:S1489">VLOOKUP(P1489,Hoja1!C:F,{2,3,4},FALSE)</f>
        <v>46283</v>
      </c>
      <c r="R1489" t="str">
        <v>F06</v>
      </c>
      <c r="S1489" t="str">
        <v>1000000907 SERVICIOS VIALES DE STA. FE SA</v>
      </c>
    </row>
    <row r="1490" spans="1:19" x14ac:dyDescent="0.3">
      <c r="A1490" s="2" t="s">
        <v>14</v>
      </c>
      <c r="B1490" s="3" t="s">
        <v>14</v>
      </c>
      <c r="C1490" s="3" t="s">
        <v>1426</v>
      </c>
      <c r="D1490" s="3" t="s">
        <v>14</v>
      </c>
      <c r="E1490" s="3" t="s">
        <v>466</v>
      </c>
      <c r="F1490" s="4">
        <v>46279</v>
      </c>
      <c r="G1490" s="3" t="s">
        <v>17</v>
      </c>
      <c r="H1490" s="5">
        <v>-223930.56</v>
      </c>
      <c r="I1490" s="3" t="s">
        <v>18</v>
      </c>
      <c r="J1490" s="3" t="s">
        <v>14</v>
      </c>
      <c r="K1490" s="3" t="s">
        <v>14</v>
      </c>
      <c r="L1490" s="3" t="s">
        <v>1289</v>
      </c>
      <c r="M1490" s="4">
        <v>46279</v>
      </c>
      <c r="N1490" s="3" t="s">
        <v>1427</v>
      </c>
      <c r="O1490" s="3" t="s">
        <v>22</v>
      </c>
      <c r="P1490" t="str">
        <f t="shared" si="23"/>
        <v>450013832820</v>
      </c>
      <c r="Q1490" s="7" cm="1">
        <f t="array" ref="Q1490:S1490">VLOOKUP(P1490,Hoja1!C:F,{2,3,4},FALSE)</f>
        <v>46283</v>
      </c>
      <c r="R1490" t="str">
        <v>F06</v>
      </c>
      <c r="S1490" t="str">
        <v>1000000907 SERVICIOS VIALES DE STA. FE SA</v>
      </c>
    </row>
    <row r="1491" spans="1:19" x14ac:dyDescent="0.3">
      <c r="A1491" s="2" t="s">
        <v>14</v>
      </c>
      <c r="B1491" s="3" t="s">
        <v>14</v>
      </c>
      <c r="C1491" s="3" t="s">
        <v>1428</v>
      </c>
      <c r="D1491" s="3" t="s">
        <v>14</v>
      </c>
      <c r="E1491" s="3" t="s">
        <v>466</v>
      </c>
      <c r="F1491" s="4">
        <v>46279</v>
      </c>
      <c r="G1491" s="3" t="s">
        <v>17</v>
      </c>
      <c r="H1491" s="5">
        <v>-17735.759999999998</v>
      </c>
      <c r="I1491" s="3" t="s">
        <v>18</v>
      </c>
      <c r="J1491" s="3" t="s">
        <v>14</v>
      </c>
      <c r="K1491" s="3" t="s">
        <v>14</v>
      </c>
      <c r="L1491" s="3" t="s">
        <v>216</v>
      </c>
      <c r="M1491" s="4">
        <v>46279</v>
      </c>
      <c r="N1491" s="3" t="s">
        <v>1429</v>
      </c>
      <c r="O1491" s="3" t="s">
        <v>30</v>
      </c>
      <c r="P1491" t="str">
        <f t="shared" si="23"/>
        <v>450013851110</v>
      </c>
      <c r="Q1491" s="7" cm="1">
        <f t="array" ref="Q1491:S1491">VLOOKUP(P1491,Hoja1!C:F,{2,3,4},FALSE)</f>
        <v>46290</v>
      </c>
      <c r="R1491" t="str">
        <v>C42</v>
      </c>
      <c r="S1491" t="str">
        <v>1000000861 TUBI-FLEX S.A.</v>
      </c>
    </row>
    <row r="1492" spans="1:19" x14ac:dyDescent="0.3">
      <c r="A1492" s="2" t="s">
        <v>14</v>
      </c>
      <c r="B1492" s="3" t="s">
        <v>14</v>
      </c>
      <c r="C1492" s="3" t="s">
        <v>1430</v>
      </c>
      <c r="D1492" s="3" t="s">
        <v>14</v>
      </c>
      <c r="E1492" s="3" t="s">
        <v>466</v>
      </c>
      <c r="F1492" s="4">
        <v>46279</v>
      </c>
      <c r="G1492" s="3" t="s">
        <v>17</v>
      </c>
      <c r="H1492" s="5">
        <v>-489510.22</v>
      </c>
      <c r="I1492" s="3" t="s">
        <v>18</v>
      </c>
      <c r="J1492" s="3" t="s">
        <v>14</v>
      </c>
      <c r="K1492" s="3" t="s">
        <v>14</v>
      </c>
      <c r="L1492" s="3" t="s">
        <v>1431</v>
      </c>
      <c r="M1492" s="4">
        <v>46279</v>
      </c>
      <c r="N1492" s="3" t="s">
        <v>1432</v>
      </c>
      <c r="O1492" s="3" t="s">
        <v>30</v>
      </c>
      <c r="P1492" t="str">
        <f t="shared" si="23"/>
        <v>450013401410</v>
      </c>
      <c r="Q1492" s="7" cm="1">
        <f t="array" ref="Q1492:S1492">VLOOKUP(P1492,Hoja1!C:F,{2,3,4},FALSE)</f>
        <v>46242</v>
      </c>
      <c r="R1492" t="str">
        <v>EFO</v>
      </c>
      <c r="S1492" t="str">
        <v>1000002428 Q - SIETE SRL.</v>
      </c>
    </row>
    <row r="1493" spans="1:19" x14ac:dyDescent="0.3">
      <c r="A1493" s="2" t="s">
        <v>14</v>
      </c>
      <c r="B1493" s="3" t="s">
        <v>14</v>
      </c>
      <c r="C1493" s="3" t="s">
        <v>1433</v>
      </c>
      <c r="D1493" s="3" t="s">
        <v>14</v>
      </c>
      <c r="E1493" s="3" t="s">
        <v>466</v>
      </c>
      <c r="F1493" s="4">
        <v>46279</v>
      </c>
      <c r="G1493" s="3" t="s">
        <v>17</v>
      </c>
      <c r="H1493" s="5">
        <v>-703494.18</v>
      </c>
      <c r="I1493" s="3" t="s">
        <v>18</v>
      </c>
      <c r="J1493" s="3" t="s">
        <v>14</v>
      </c>
      <c r="K1493" s="3" t="s">
        <v>14</v>
      </c>
      <c r="L1493" s="3" t="s">
        <v>1211</v>
      </c>
      <c r="M1493" s="4">
        <v>46280</v>
      </c>
      <c r="N1493" s="3" t="s">
        <v>1434</v>
      </c>
      <c r="O1493" s="3" t="s">
        <v>30</v>
      </c>
      <c r="P1493" t="str">
        <f t="shared" si="23"/>
        <v>450013810510</v>
      </c>
      <c r="Q1493" s="7" cm="1">
        <f t="array" ref="Q1493:S1493">VLOOKUP(P1493,Hoja1!C:F,{2,3,4},FALSE)</f>
        <v>46286</v>
      </c>
      <c r="R1493" t="str">
        <v>C29</v>
      </c>
      <c r="S1493" t="str">
        <v>1000000012 IGARRETA MAQUINAS S.A.</v>
      </c>
    </row>
    <row r="1494" spans="1:19" x14ac:dyDescent="0.3">
      <c r="A1494" s="2" t="s">
        <v>14</v>
      </c>
      <c r="B1494" s="3" t="s">
        <v>14</v>
      </c>
      <c r="C1494" s="3" t="s">
        <v>1435</v>
      </c>
      <c r="D1494" s="3" t="s">
        <v>14</v>
      </c>
      <c r="E1494" s="3" t="s">
        <v>466</v>
      </c>
      <c r="F1494" s="4">
        <v>46280</v>
      </c>
      <c r="G1494" s="3" t="s">
        <v>17</v>
      </c>
      <c r="H1494" s="5">
        <v>-1081098</v>
      </c>
      <c r="I1494" s="3" t="s">
        <v>18</v>
      </c>
      <c r="J1494" s="3" t="s">
        <v>14</v>
      </c>
      <c r="K1494" s="3" t="s">
        <v>14</v>
      </c>
      <c r="L1494" s="3" t="s">
        <v>448</v>
      </c>
      <c r="M1494" s="4">
        <v>46280</v>
      </c>
      <c r="N1494" s="3" t="s">
        <v>1436</v>
      </c>
      <c r="O1494" s="3" t="s">
        <v>30</v>
      </c>
      <c r="P1494" t="str">
        <f t="shared" si="23"/>
        <v>450013668410</v>
      </c>
      <c r="Q1494" s="7" cm="1">
        <f t="array" ref="Q1494:S1494">VLOOKUP(P1494,Hoja1!C:F,{2,3,4},FALSE)</f>
        <v>46285</v>
      </c>
      <c r="R1494" t="str">
        <v>C49</v>
      </c>
      <c r="S1494" t="str">
        <v>1000006932 GUSTAVO CANO NEUMATICOS S.A.</v>
      </c>
    </row>
    <row r="1495" spans="1:19" x14ac:dyDescent="0.3">
      <c r="A1495" s="2" t="s">
        <v>14</v>
      </c>
      <c r="B1495" s="3" t="s">
        <v>14</v>
      </c>
      <c r="C1495" s="3" t="s">
        <v>1437</v>
      </c>
      <c r="D1495" s="3" t="s">
        <v>14</v>
      </c>
      <c r="E1495" s="3" t="s">
        <v>466</v>
      </c>
      <c r="F1495" s="4">
        <v>46279</v>
      </c>
      <c r="G1495" s="3" t="s">
        <v>17</v>
      </c>
      <c r="H1495" s="5">
        <v>-174000</v>
      </c>
      <c r="I1495" s="3" t="s">
        <v>18</v>
      </c>
      <c r="J1495" s="3" t="s">
        <v>14</v>
      </c>
      <c r="K1495" s="3" t="s">
        <v>14</v>
      </c>
      <c r="L1495" s="3" t="s">
        <v>1438</v>
      </c>
      <c r="M1495" s="4">
        <v>46280</v>
      </c>
      <c r="N1495" s="3" t="s">
        <v>1439</v>
      </c>
      <c r="O1495" s="3" t="s">
        <v>30</v>
      </c>
      <c r="P1495" t="str">
        <f t="shared" si="23"/>
        <v>450013809110</v>
      </c>
      <c r="Q1495" s="7" cm="1">
        <f t="array" ref="Q1495:S1495">VLOOKUP(P1495,Hoja1!C:F,{2,3,4},FALSE)</f>
        <v>46288</v>
      </c>
      <c r="R1495" t="str">
        <v>C17</v>
      </c>
      <c r="S1495" t="str">
        <v>1000010102 SORIA NATALIA NAZARENA</v>
      </c>
    </row>
    <row r="1496" spans="1:19" x14ac:dyDescent="0.3">
      <c r="A1496" s="2" t="s">
        <v>14</v>
      </c>
      <c r="B1496" s="3" t="s">
        <v>14</v>
      </c>
      <c r="C1496" s="3" t="s">
        <v>1437</v>
      </c>
      <c r="D1496" s="3" t="s">
        <v>14</v>
      </c>
      <c r="E1496" s="3" t="s">
        <v>466</v>
      </c>
      <c r="F1496" s="4">
        <v>46279</v>
      </c>
      <c r="G1496" s="3" t="s">
        <v>17</v>
      </c>
      <c r="H1496" s="5">
        <v>-164000</v>
      </c>
      <c r="I1496" s="3" t="s">
        <v>18</v>
      </c>
      <c r="J1496" s="3" t="s">
        <v>14</v>
      </c>
      <c r="K1496" s="3" t="s">
        <v>14</v>
      </c>
      <c r="L1496" s="3" t="s">
        <v>1438</v>
      </c>
      <c r="M1496" s="4">
        <v>46280</v>
      </c>
      <c r="N1496" s="3" t="s">
        <v>1439</v>
      </c>
      <c r="O1496" s="3" t="s">
        <v>22</v>
      </c>
      <c r="P1496" t="str">
        <f t="shared" si="23"/>
        <v>450013809120</v>
      </c>
      <c r="Q1496" s="7" cm="1">
        <f t="array" ref="Q1496:S1496">VLOOKUP(P1496,Hoja1!C:F,{2,3,4},FALSE)</f>
        <v>46288</v>
      </c>
      <c r="R1496" t="str">
        <v>C17</v>
      </c>
      <c r="S1496" t="str">
        <v>1000010102 SORIA NATALIA NAZARENA</v>
      </c>
    </row>
    <row r="1497" spans="1:19" x14ac:dyDescent="0.3">
      <c r="A1497" s="2" t="s">
        <v>14</v>
      </c>
      <c r="B1497" s="3" t="s">
        <v>14</v>
      </c>
      <c r="C1497" s="3" t="s">
        <v>1440</v>
      </c>
      <c r="D1497" s="3" t="s">
        <v>14</v>
      </c>
      <c r="E1497" s="3" t="s">
        <v>466</v>
      </c>
      <c r="F1497" s="4">
        <v>46280</v>
      </c>
      <c r="G1497" s="3" t="s">
        <v>17</v>
      </c>
      <c r="H1497" s="5">
        <v>-205200</v>
      </c>
      <c r="I1497" s="3" t="s">
        <v>18</v>
      </c>
      <c r="J1497" s="3" t="s">
        <v>14</v>
      </c>
      <c r="K1497" s="3" t="s">
        <v>14</v>
      </c>
      <c r="L1497" s="3" t="s">
        <v>1441</v>
      </c>
      <c r="M1497" s="4">
        <v>46280</v>
      </c>
      <c r="N1497" s="3" t="s">
        <v>1442</v>
      </c>
      <c r="O1497" s="3" t="s">
        <v>22</v>
      </c>
      <c r="P1497" t="str">
        <f t="shared" si="23"/>
        <v>450013850520</v>
      </c>
      <c r="Q1497" s="7" cm="1">
        <f t="array" ref="Q1497:S1497">VLOOKUP(P1497,Hoja1!C:F,{2,3,4},FALSE)</f>
        <v>46282</v>
      </c>
      <c r="R1497" t="str">
        <v>C17</v>
      </c>
      <c r="S1497" t="str">
        <v>1000012812 FLORES JUAN MANUEL</v>
      </c>
    </row>
    <row r="1498" spans="1:19" x14ac:dyDescent="0.3">
      <c r="A1498" s="2" t="s">
        <v>14</v>
      </c>
      <c r="B1498" s="3" t="s">
        <v>14</v>
      </c>
      <c r="C1498" s="3" t="s">
        <v>1440</v>
      </c>
      <c r="D1498" s="3" t="s">
        <v>14</v>
      </c>
      <c r="E1498" s="3" t="s">
        <v>466</v>
      </c>
      <c r="F1498" s="4">
        <v>46280</v>
      </c>
      <c r="G1498" s="3" t="s">
        <v>17</v>
      </c>
      <c r="H1498" s="5">
        <v>-22040</v>
      </c>
      <c r="I1498" s="3" t="s">
        <v>18</v>
      </c>
      <c r="J1498" s="3" t="s">
        <v>14</v>
      </c>
      <c r="K1498" s="3" t="s">
        <v>14</v>
      </c>
      <c r="L1498" s="3" t="s">
        <v>1441</v>
      </c>
      <c r="M1498" s="4">
        <v>46280</v>
      </c>
      <c r="N1498" s="3" t="s">
        <v>1442</v>
      </c>
      <c r="O1498" s="3" t="s">
        <v>35</v>
      </c>
      <c r="P1498" t="str">
        <f t="shared" si="23"/>
        <v>450013850530</v>
      </c>
      <c r="Q1498" s="7" cm="1">
        <f t="array" ref="Q1498:S1498">VLOOKUP(P1498,Hoja1!C:F,{2,3,4},FALSE)</f>
        <v>46282</v>
      </c>
      <c r="R1498" t="str">
        <v>C17</v>
      </c>
      <c r="S1498" t="str">
        <v>1000012812 FLORES JUAN MANUEL</v>
      </c>
    </row>
    <row r="1499" spans="1:19" x14ac:dyDescent="0.3">
      <c r="A1499" s="2" t="s">
        <v>14</v>
      </c>
      <c r="B1499" s="3" t="s">
        <v>14</v>
      </c>
      <c r="C1499" s="3" t="s">
        <v>1440</v>
      </c>
      <c r="D1499" s="3" t="s">
        <v>14</v>
      </c>
      <c r="E1499" s="3" t="s">
        <v>466</v>
      </c>
      <c r="F1499" s="4">
        <v>46280</v>
      </c>
      <c r="G1499" s="3" t="s">
        <v>17</v>
      </c>
      <c r="H1499" s="5">
        <v>-76076</v>
      </c>
      <c r="I1499" s="3" t="s">
        <v>18</v>
      </c>
      <c r="J1499" s="3" t="s">
        <v>14</v>
      </c>
      <c r="K1499" s="3" t="s">
        <v>14</v>
      </c>
      <c r="L1499" s="3" t="s">
        <v>1441</v>
      </c>
      <c r="M1499" s="4">
        <v>46280</v>
      </c>
      <c r="N1499" s="3" t="s">
        <v>1442</v>
      </c>
      <c r="O1499" s="3" t="s">
        <v>144</v>
      </c>
      <c r="P1499" t="str">
        <f t="shared" si="23"/>
        <v>450013850550</v>
      </c>
      <c r="Q1499" s="7" cm="1">
        <f t="array" ref="Q1499:S1499">VLOOKUP(P1499,Hoja1!C:F,{2,3,4},FALSE)</f>
        <v>46293</v>
      </c>
      <c r="R1499" t="str">
        <v>C17</v>
      </c>
      <c r="S1499" t="str">
        <v>1000012812 FLORES JUAN MANUEL</v>
      </c>
    </row>
    <row r="1500" spans="1:19" x14ac:dyDescent="0.3">
      <c r="A1500" s="2" t="s">
        <v>14</v>
      </c>
      <c r="B1500" s="3" t="s">
        <v>14</v>
      </c>
      <c r="C1500" s="3" t="s">
        <v>1440</v>
      </c>
      <c r="D1500" s="3" t="s">
        <v>14</v>
      </c>
      <c r="E1500" s="3" t="s">
        <v>466</v>
      </c>
      <c r="F1500" s="4">
        <v>46280</v>
      </c>
      <c r="G1500" s="3" t="s">
        <v>17</v>
      </c>
      <c r="H1500" s="5">
        <v>-11400</v>
      </c>
      <c r="I1500" s="3" t="s">
        <v>18</v>
      </c>
      <c r="J1500" s="3" t="s">
        <v>14</v>
      </c>
      <c r="K1500" s="3" t="s">
        <v>14</v>
      </c>
      <c r="L1500" s="3" t="s">
        <v>1441</v>
      </c>
      <c r="M1500" s="4">
        <v>46280</v>
      </c>
      <c r="N1500" s="3" t="s">
        <v>1442</v>
      </c>
      <c r="O1500" s="3" t="s">
        <v>45</v>
      </c>
      <c r="P1500" t="str">
        <f t="shared" si="23"/>
        <v>4500138505100</v>
      </c>
      <c r="Q1500" s="7" cm="1">
        <f t="array" ref="Q1500:S1500">VLOOKUP(P1500,Hoja1!C:F,{2,3,4},FALSE)</f>
        <v>46293</v>
      </c>
      <c r="R1500" t="str">
        <v>C17</v>
      </c>
      <c r="S1500" t="str">
        <v>1000012812 FLORES JUAN MANUEL</v>
      </c>
    </row>
    <row r="1501" spans="1:19" x14ac:dyDescent="0.3">
      <c r="A1501" s="2" t="s">
        <v>14</v>
      </c>
      <c r="B1501" s="3" t="s">
        <v>14</v>
      </c>
      <c r="C1501" s="3" t="s">
        <v>1443</v>
      </c>
      <c r="D1501" s="3" t="s">
        <v>14</v>
      </c>
      <c r="E1501" s="3" t="s">
        <v>466</v>
      </c>
      <c r="F1501" s="4">
        <v>46279</v>
      </c>
      <c r="G1501" s="3" t="s">
        <v>17</v>
      </c>
      <c r="H1501" s="5">
        <v>-63372.639999999999</v>
      </c>
      <c r="I1501" s="3" t="s">
        <v>18</v>
      </c>
      <c r="J1501" s="3" t="s">
        <v>14</v>
      </c>
      <c r="K1501" s="3" t="s">
        <v>14</v>
      </c>
      <c r="L1501" s="3" t="s">
        <v>575</v>
      </c>
      <c r="M1501" s="4">
        <v>46280</v>
      </c>
      <c r="N1501" s="3" t="s">
        <v>1444</v>
      </c>
      <c r="O1501" s="3" t="s">
        <v>30</v>
      </c>
      <c r="P1501" t="str">
        <f t="shared" si="23"/>
        <v>450013811310</v>
      </c>
      <c r="Q1501" s="7" cm="1">
        <f t="array" ref="Q1501:S1501">VLOOKUP(P1501,Hoja1!C:F,{2,3,4},FALSE)</f>
        <v>46281</v>
      </c>
      <c r="R1501" t="str">
        <v>C03</v>
      </c>
      <c r="S1501" t="str">
        <v>1000000001 FERRETERA SAN LUIS</v>
      </c>
    </row>
    <row r="1502" spans="1:19" x14ac:dyDescent="0.3">
      <c r="A1502" s="2" t="s">
        <v>14</v>
      </c>
      <c r="B1502" s="3" t="s">
        <v>14</v>
      </c>
      <c r="C1502" s="3" t="s">
        <v>1445</v>
      </c>
      <c r="D1502" s="3" t="s">
        <v>14</v>
      </c>
      <c r="E1502" s="3" t="s">
        <v>466</v>
      </c>
      <c r="F1502" s="4">
        <v>46279</v>
      </c>
      <c r="G1502" s="3" t="s">
        <v>17</v>
      </c>
      <c r="H1502" s="5">
        <v>-41757.53</v>
      </c>
      <c r="I1502" s="3" t="s">
        <v>18</v>
      </c>
      <c r="J1502" s="3" t="s">
        <v>14</v>
      </c>
      <c r="K1502" s="3" t="s">
        <v>14</v>
      </c>
      <c r="L1502" s="3" t="s">
        <v>575</v>
      </c>
      <c r="M1502" s="4">
        <v>46280</v>
      </c>
      <c r="N1502" s="3" t="s">
        <v>1446</v>
      </c>
      <c r="O1502" s="3" t="s">
        <v>35</v>
      </c>
      <c r="P1502" t="str">
        <f t="shared" si="23"/>
        <v>450013816430</v>
      </c>
      <c r="Q1502" s="7" cm="1">
        <f t="array" ref="Q1502:S1502">VLOOKUP(P1502,Hoja1!C:F,{2,3,4},FALSE)</f>
        <v>46281</v>
      </c>
      <c r="R1502" t="str">
        <v>C27</v>
      </c>
      <c r="S1502" t="str">
        <v>1000000001 FERRETERA SAN LUIS</v>
      </c>
    </row>
    <row r="1503" spans="1:19" x14ac:dyDescent="0.3">
      <c r="A1503" s="2" t="s">
        <v>14</v>
      </c>
      <c r="B1503" s="3" t="s">
        <v>14</v>
      </c>
      <c r="C1503" s="3" t="s">
        <v>1445</v>
      </c>
      <c r="D1503" s="3" t="s">
        <v>14</v>
      </c>
      <c r="E1503" s="3" t="s">
        <v>466</v>
      </c>
      <c r="F1503" s="4">
        <v>46279</v>
      </c>
      <c r="G1503" s="3" t="s">
        <v>17</v>
      </c>
      <c r="H1503" s="5">
        <v>-153669.38</v>
      </c>
      <c r="I1503" s="3" t="s">
        <v>18</v>
      </c>
      <c r="J1503" s="3" t="s">
        <v>14</v>
      </c>
      <c r="K1503" s="3" t="s">
        <v>14</v>
      </c>
      <c r="L1503" s="3" t="s">
        <v>575</v>
      </c>
      <c r="M1503" s="4">
        <v>46280</v>
      </c>
      <c r="N1503" s="3" t="s">
        <v>1446</v>
      </c>
      <c r="O1503" s="3" t="s">
        <v>144</v>
      </c>
      <c r="P1503" t="str">
        <f t="shared" si="23"/>
        <v>450013816450</v>
      </c>
      <c r="Q1503" s="7" cm="1">
        <f t="array" ref="Q1503:S1503">VLOOKUP(P1503,Hoja1!C:F,{2,3,4},FALSE)</f>
        <v>46281</v>
      </c>
      <c r="R1503" t="str">
        <v>C27</v>
      </c>
      <c r="S1503" t="str">
        <v>1000000001 FERRETERA SAN LUIS</v>
      </c>
    </row>
    <row r="1504" spans="1:19" x14ac:dyDescent="0.3">
      <c r="A1504" s="2" t="s">
        <v>14</v>
      </c>
      <c r="B1504" s="3" t="s">
        <v>14</v>
      </c>
      <c r="C1504" s="3" t="s">
        <v>1445</v>
      </c>
      <c r="D1504" s="3" t="s">
        <v>14</v>
      </c>
      <c r="E1504" s="3" t="s">
        <v>466</v>
      </c>
      <c r="F1504" s="4">
        <v>46279</v>
      </c>
      <c r="G1504" s="3" t="s">
        <v>17</v>
      </c>
      <c r="H1504" s="5">
        <v>-236704.8</v>
      </c>
      <c r="I1504" s="3" t="s">
        <v>18</v>
      </c>
      <c r="J1504" s="3" t="s">
        <v>14</v>
      </c>
      <c r="K1504" s="3" t="s">
        <v>14</v>
      </c>
      <c r="L1504" s="3" t="s">
        <v>575</v>
      </c>
      <c r="M1504" s="4">
        <v>46280</v>
      </c>
      <c r="N1504" s="3" t="s">
        <v>1446</v>
      </c>
      <c r="O1504" s="3" t="s">
        <v>141</v>
      </c>
      <c r="P1504" t="str">
        <f t="shared" si="23"/>
        <v>450013816460</v>
      </c>
      <c r="Q1504" s="7" cm="1">
        <f t="array" ref="Q1504:S1504">VLOOKUP(P1504,Hoja1!C:F,{2,3,4},FALSE)</f>
        <v>46281</v>
      </c>
      <c r="R1504" t="str">
        <v>C27</v>
      </c>
      <c r="S1504" t="str">
        <v>1000000001 FERRETERA SAN LUIS</v>
      </c>
    </row>
    <row r="1505" spans="1:19" x14ac:dyDescent="0.3">
      <c r="A1505" s="2" t="s">
        <v>14</v>
      </c>
      <c r="B1505" s="3" t="s">
        <v>14</v>
      </c>
      <c r="C1505" s="3" t="s">
        <v>1447</v>
      </c>
      <c r="D1505" s="3" t="s">
        <v>14</v>
      </c>
      <c r="E1505" s="3" t="s">
        <v>466</v>
      </c>
      <c r="F1505" s="4">
        <v>46280</v>
      </c>
      <c r="G1505" s="3" t="s">
        <v>17</v>
      </c>
      <c r="H1505" s="5">
        <v>-4300</v>
      </c>
      <c r="I1505" s="3" t="s">
        <v>18</v>
      </c>
      <c r="J1505" s="3" t="s">
        <v>14</v>
      </c>
      <c r="K1505" s="3" t="s">
        <v>14</v>
      </c>
      <c r="L1505" s="3" t="s">
        <v>1164</v>
      </c>
      <c r="M1505" s="4">
        <v>46280</v>
      </c>
      <c r="N1505" s="3" t="s">
        <v>1448</v>
      </c>
      <c r="O1505" s="3" t="s">
        <v>30</v>
      </c>
      <c r="P1505" t="str">
        <f t="shared" si="23"/>
        <v>450013721010</v>
      </c>
      <c r="Q1505" s="7" cm="1">
        <f t="array" ref="Q1505:S1505">VLOOKUP(P1505,Hoja1!C:F,{2,3,4},FALSE)</f>
        <v>46269</v>
      </c>
      <c r="R1505" t="str">
        <v>C27</v>
      </c>
      <c r="S1505" t="str">
        <v>1000013253 PIAZZA MARCOS LUCIANO</v>
      </c>
    </row>
    <row r="1506" spans="1:19" x14ac:dyDescent="0.3">
      <c r="A1506" s="2" t="s">
        <v>14</v>
      </c>
      <c r="B1506" s="3" t="s">
        <v>14</v>
      </c>
      <c r="C1506" s="3" t="s">
        <v>1449</v>
      </c>
      <c r="D1506" s="3" t="s">
        <v>14</v>
      </c>
      <c r="E1506" s="3" t="s">
        <v>466</v>
      </c>
      <c r="F1506" s="4">
        <v>46280</v>
      </c>
      <c r="G1506" s="3" t="s">
        <v>17</v>
      </c>
      <c r="H1506" s="5">
        <v>-64332.19</v>
      </c>
      <c r="I1506" s="3" t="s">
        <v>18</v>
      </c>
      <c r="J1506" s="3" t="s">
        <v>14</v>
      </c>
      <c r="K1506" s="3" t="s">
        <v>14</v>
      </c>
      <c r="L1506" s="3" t="s">
        <v>73</v>
      </c>
      <c r="M1506" s="4">
        <v>46280</v>
      </c>
      <c r="N1506" s="3" t="s">
        <v>338</v>
      </c>
      <c r="O1506" s="3" t="s">
        <v>22</v>
      </c>
      <c r="P1506" t="str">
        <f t="shared" si="23"/>
        <v>450013315420</v>
      </c>
      <c r="Q1506" s="7" cm="1">
        <f t="array" ref="Q1506:S1506">VLOOKUP(P1506,Hoja1!C:F,{2,3,4},FALSE)</f>
        <v>46326</v>
      </c>
      <c r="R1506" t="str">
        <v>C21</v>
      </c>
      <c r="S1506" t="str">
        <v>1000000808 GLOBAL OIL S.R.L.</v>
      </c>
    </row>
    <row r="1507" spans="1:19" x14ac:dyDescent="0.3">
      <c r="A1507" s="2" t="s">
        <v>14</v>
      </c>
      <c r="B1507" s="3" t="s">
        <v>14</v>
      </c>
      <c r="C1507" s="3" t="s">
        <v>1449</v>
      </c>
      <c r="D1507" s="3" t="s">
        <v>14</v>
      </c>
      <c r="E1507" s="3" t="s">
        <v>466</v>
      </c>
      <c r="F1507" s="4">
        <v>46280</v>
      </c>
      <c r="G1507" s="3" t="s">
        <v>17</v>
      </c>
      <c r="H1507" s="5">
        <v>-879.59</v>
      </c>
      <c r="I1507" s="3" t="s">
        <v>18</v>
      </c>
      <c r="J1507" s="3" t="s">
        <v>14</v>
      </c>
      <c r="K1507" s="3" t="s">
        <v>14</v>
      </c>
      <c r="L1507" s="3" t="s">
        <v>73</v>
      </c>
      <c r="M1507" s="4">
        <v>46280</v>
      </c>
      <c r="N1507" s="3" t="s">
        <v>338</v>
      </c>
      <c r="O1507" s="3" t="s">
        <v>22</v>
      </c>
      <c r="P1507" t="str">
        <f t="shared" si="23"/>
        <v>450013315420</v>
      </c>
      <c r="Q1507" s="7" cm="1">
        <f t="array" ref="Q1507:S1507">VLOOKUP(P1507,Hoja1!C:F,{2,3,4},FALSE)</f>
        <v>46326</v>
      </c>
      <c r="R1507" t="str">
        <v>C21</v>
      </c>
      <c r="S1507" t="str">
        <v>1000000808 GLOBAL OIL S.R.L.</v>
      </c>
    </row>
    <row r="1508" spans="1:19" x14ac:dyDescent="0.3">
      <c r="A1508" s="2" t="s">
        <v>14</v>
      </c>
      <c r="B1508" s="3" t="s">
        <v>14</v>
      </c>
      <c r="C1508" s="3" t="s">
        <v>1450</v>
      </c>
      <c r="D1508" s="3" t="s">
        <v>14</v>
      </c>
      <c r="E1508" s="3" t="s">
        <v>466</v>
      </c>
      <c r="F1508" s="4">
        <v>46280</v>
      </c>
      <c r="G1508" s="3" t="s">
        <v>17</v>
      </c>
      <c r="H1508" s="5">
        <v>-989833.13</v>
      </c>
      <c r="I1508" s="3" t="s">
        <v>18</v>
      </c>
      <c r="J1508" s="3" t="s">
        <v>14</v>
      </c>
      <c r="K1508" s="3" t="s">
        <v>14</v>
      </c>
      <c r="L1508" s="3" t="s">
        <v>1211</v>
      </c>
      <c r="M1508" s="4">
        <v>46280</v>
      </c>
      <c r="N1508" s="3" t="s">
        <v>1451</v>
      </c>
      <c r="O1508" s="3" t="s">
        <v>23</v>
      </c>
      <c r="P1508" t="str">
        <f t="shared" si="23"/>
        <v>450013836640</v>
      </c>
      <c r="Q1508" s="7" cm="1">
        <f t="array" ref="Q1508:S1508">VLOOKUP(P1508,Hoja1!C:F,{2,3,4},FALSE)</f>
        <v>46295</v>
      </c>
      <c r="R1508" t="str">
        <v>C03</v>
      </c>
      <c r="S1508" t="str">
        <v>1000000012 IGARRETA MAQUINAS S.A.</v>
      </c>
    </row>
    <row r="1509" spans="1:19" x14ac:dyDescent="0.3">
      <c r="A1509" s="2" t="s">
        <v>14</v>
      </c>
      <c r="B1509" s="3" t="s">
        <v>14</v>
      </c>
      <c r="C1509" s="3" t="s">
        <v>1450</v>
      </c>
      <c r="D1509" s="3" t="s">
        <v>14</v>
      </c>
      <c r="E1509" s="3" t="s">
        <v>466</v>
      </c>
      <c r="F1509" s="4">
        <v>46280</v>
      </c>
      <c r="G1509" s="3" t="s">
        <v>17</v>
      </c>
      <c r="H1509" s="5">
        <v>-134312.41</v>
      </c>
      <c r="I1509" s="3" t="s">
        <v>18</v>
      </c>
      <c r="J1509" s="3" t="s">
        <v>14</v>
      </c>
      <c r="K1509" s="3" t="s">
        <v>14</v>
      </c>
      <c r="L1509" s="3" t="s">
        <v>1211</v>
      </c>
      <c r="M1509" s="4">
        <v>46280</v>
      </c>
      <c r="N1509" s="3" t="s">
        <v>1451</v>
      </c>
      <c r="O1509" s="3" t="s">
        <v>144</v>
      </c>
      <c r="P1509" t="str">
        <f t="shared" si="23"/>
        <v>450013836650</v>
      </c>
      <c r="Q1509" s="7" cm="1">
        <f t="array" ref="Q1509:S1509">VLOOKUP(P1509,Hoja1!C:F,{2,3,4},FALSE)</f>
        <v>46295</v>
      </c>
      <c r="R1509" t="str">
        <v>C03</v>
      </c>
      <c r="S1509" t="str">
        <v>1000000012 IGARRETA MAQUINAS S.A.</v>
      </c>
    </row>
    <row r="1510" spans="1:19" x14ac:dyDescent="0.3">
      <c r="A1510" s="2" t="s">
        <v>14</v>
      </c>
      <c r="B1510" s="3" t="s">
        <v>14</v>
      </c>
      <c r="C1510" s="3" t="s">
        <v>1452</v>
      </c>
      <c r="D1510" s="3" t="s">
        <v>14</v>
      </c>
      <c r="E1510" s="3" t="s">
        <v>466</v>
      </c>
      <c r="F1510" s="4">
        <v>46280</v>
      </c>
      <c r="G1510" s="3" t="s">
        <v>17</v>
      </c>
      <c r="H1510" s="5">
        <v>-294537.87</v>
      </c>
      <c r="I1510" s="3" t="s">
        <v>18</v>
      </c>
      <c r="J1510" s="3" t="s">
        <v>14</v>
      </c>
      <c r="K1510" s="3" t="s">
        <v>14</v>
      </c>
      <c r="L1510" s="3" t="s">
        <v>73</v>
      </c>
      <c r="M1510" s="4">
        <v>46280</v>
      </c>
      <c r="N1510" s="3" t="s">
        <v>338</v>
      </c>
      <c r="O1510" s="3" t="s">
        <v>22</v>
      </c>
      <c r="P1510" t="str">
        <f t="shared" si="23"/>
        <v>450013315420</v>
      </c>
      <c r="Q1510" s="7" cm="1">
        <f t="array" ref="Q1510:S1510">VLOOKUP(P1510,Hoja1!C:F,{2,3,4},FALSE)</f>
        <v>46326</v>
      </c>
      <c r="R1510" t="str">
        <v>C21</v>
      </c>
      <c r="S1510" t="str">
        <v>1000000808 GLOBAL OIL S.R.L.</v>
      </c>
    </row>
    <row r="1511" spans="1:19" x14ac:dyDescent="0.3">
      <c r="A1511" s="2" t="s">
        <v>14</v>
      </c>
      <c r="B1511" s="3" t="s">
        <v>14</v>
      </c>
      <c r="C1511" s="3" t="s">
        <v>1452</v>
      </c>
      <c r="D1511" s="3" t="s">
        <v>14</v>
      </c>
      <c r="E1511" s="3" t="s">
        <v>466</v>
      </c>
      <c r="F1511" s="4">
        <v>46280</v>
      </c>
      <c r="G1511" s="3" t="s">
        <v>17</v>
      </c>
      <c r="H1511" s="5">
        <v>-4027.13</v>
      </c>
      <c r="I1511" s="3" t="s">
        <v>18</v>
      </c>
      <c r="J1511" s="3" t="s">
        <v>14</v>
      </c>
      <c r="K1511" s="3" t="s">
        <v>14</v>
      </c>
      <c r="L1511" s="3" t="s">
        <v>73</v>
      </c>
      <c r="M1511" s="4">
        <v>46280</v>
      </c>
      <c r="N1511" s="3" t="s">
        <v>338</v>
      </c>
      <c r="O1511" s="3" t="s">
        <v>22</v>
      </c>
      <c r="P1511" t="str">
        <f t="shared" si="23"/>
        <v>450013315420</v>
      </c>
      <c r="Q1511" s="7" cm="1">
        <f t="array" ref="Q1511:S1511">VLOOKUP(P1511,Hoja1!C:F,{2,3,4},FALSE)</f>
        <v>46326</v>
      </c>
      <c r="R1511" t="str">
        <v>C21</v>
      </c>
      <c r="S1511" t="str">
        <v>1000000808 GLOBAL OIL S.R.L.</v>
      </c>
    </row>
    <row r="1512" spans="1:19" x14ac:dyDescent="0.3">
      <c r="A1512" s="2" t="s">
        <v>14</v>
      </c>
      <c r="B1512" s="3" t="s">
        <v>14</v>
      </c>
      <c r="C1512" s="3" t="s">
        <v>1453</v>
      </c>
      <c r="D1512" s="3" t="s">
        <v>14</v>
      </c>
      <c r="E1512" s="3" t="s">
        <v>466</v>
      </c>
      <c r="F1512" s="4">
        <v>46280</v>
      </c>
      <c r="G1512" s="3" t="s">
        <v>17</v>
      </c>
      <c r="H1512" s="5">
        <v>-108000</v>
      </c>
      <c r="I1512" s="3" t="s">
        <v>18</v>
      </c>
      <c r="J1512" s="3" t="s">
        <v>14</v>
      </c>
      <c r="K1512" s="3" t="s">
        <v>14</v>
      </c>
      <c r="L1512" s="3" t="s">
        <v>984</v>
      </c>
      <c r="M1512" s="4">
        <v>46280</v>
      </c>
      <c r="N1512" s="3" t="s">
        <v>1421</v>
      </c>
      <c r="O1512" s="3" t="s">
        <v>30</v>
      </c>
      <c r="P1512" t="str">
        <f t="shared" si="23"/>
        <v>450013828910</v>
      </c>
      <c r="Q1512" s="7" cm="1">
        <f t="array" ref="Q1512:S1512">VLOOKUP(P1512,Hoja1!C:F,{2,3,4},FALSE)</f>
        <v>46281</v>
      </c>
      <c r="R1512" t="str">
        <v>C03</v>
      </c>
      <c r="S1512" t="str">
        <v>1000009554 SCARONE FEDERICO AGUSTIN</v>
      </c>
    </row>
    <row r="1513" spans="1:19" x14ac:dyDescent="0.3">
      <c r="A1513" s="2" t="s">
        <v>14</v>
      </c>
      <c r="B1513" s="3" t="s">
        <v>14</v>
      </c>
      <c r="C1513" s="3" t="s">
        <v>1454</v>
      </c>
      <c r="D1513" s="3" t="s">
        <v>14</v>
      </c>
      <c r="E1513" s="3" t="s">
        <v>466</v>
      </c>
      <c r="F1513" s="4">
        <v>46275</v>
      </c>
      <c r="G1513" s="3" t="s">
        <v>17</v>
      </c>
      <c r="H1513" s="5">
        <v>-219633.39</v>
      </c>
      <c r="I1513" s="3" t="s">
        <v>18</v>
      </c>
      <c r="J1513" s="3" t="s">
        <v>14</v>
      </c>
      <c r="K1513" s="3" t="s">
        <v>14</v>
      </c>
      <c r="L1513" s="3" t="s">
        <v>340</v>
      </c>
      <c r="M1513" s="4">
        <v>46280</v>
      </c>
      <c r="N1513" s="3" t="s">
        <v>1455</v>
      </c>
      <c r="O1513" s="3" t="s">
        <v>30</v>
      </c>
      <c r="P1513" t="str">
        <f t="shared" si="23"/>
        <v>450013802510</v>
      </c>
      <c r="Q1513" s="7" cm="1">
        <f t="array" ref="Q1513:S1513">VLOOKUP(P1513,Hoja1!C:F,{2,3,4},FALSE)</f>
        <v>46277</v>
      </c>
      <c r="R1513" t="str">
        <v>C03</v>
      </c>
      <c r="S1513" t="str">
        <v>1000000062 FINNING ARGENTINA S.A.</v>
      </c>
    </row>
    <row r="1514" spans="1:19" x14ac:dyDescent="0.3">
      <c r="A1514" s="2" t="s">
        <v>14</v>
      </c>
      <c r="B1514" s="3" t="s">
        <v>14</v>
      </c>
      <c r="C1514" s="3" t="s">
        <v>1456</v>
      </c>
      <c r="D1514" s="3" t="s">
        <v>14</v>
      </c>
      <c r="E1514" s="3" t="s">
        <v>466</v>
      </c>
      <c r="F1514" s="4">
        <v>46280</v>
      </c>
      <c r="G1514" s="3" t="s">
        <v>17</v>
      </c>
      <c r="H1514" s="5">
        <v>-1506002.04</v>
      </c>
      <c r="I1514" s="3" t="s">
        <v>18</v>
      </c>
      <c r="J1514" s="3" t="s">
        <v>14</v>
      </c>
      <c r="K1514" s="3" t="s">
        <v>14</v>
      </c>
      <c r="L1514" s="3" t="s">
        <v>320</v>
      </c>
      <c r="M1514" s="4">
        <v>46280</v>
      </c>
      <c r="N1514" s="3" t="s">
        <v>1457</v>
      </c>
      <c r="O1514" s="3" t="s">
        <v>30</v>
      </c>
      <c r="P1514" t="str">
        <f t="shared" si="23"/>
        <v>450013772810</v>
      </c>
      <c r="Q1514" s="7" cm="1">
        <f t="array" ref="Q1514:S1514">VLOOKUP(P1514,Hoja1!C:F,{2,3,4},FALSE)</f>
        <v>46287</v>
      </c>
      <c r="R1514" t="str">
        <v>L02</v>
      </c>
      <c r="S1514" t="str">
        <v>1000000038 YPF S.A.</v>
      </c>
    </row>
    <row r="1515" spans="1:19" x14ac:dyDescent="0.3">
      <c r="A1515" s="2" t="s">
        <v>14</v>
      </c>
      <c r="B1515" s="3" t="s">
        <v>14</v>
      </c>
      <c r="C1515" s="3" t="s">
        <v>1458</v>
      </c>
      <c r="D1515" s="3" t="s">
        <v>14</v>
      </c>
      <c r="E1515" s="3" t="s">
        <v>466</v>
      </c>
      <c r="F1515" s="4">
        <v>46280</v>
      </c>
      <c r="G1515" s="3" t="s">
        <v>17</v>
      </c>
      <c r="H1515" s="5">
        <v>-151938.26999999999</v>
      </c>
      <c r="I1515" s="3" t="s">
        <v>18</v>
      </c>
      <c r="J1515" s="3" t="s">
        <v>14</v>
      </c>
      <c r="K1515" s="3" t="s">
        <v>14</v>
      </c>
      <c r="L1515" s="3" t="s">
        <v>1211</v>
      </c>
      <c r="M1515" s="4">
        <v>46280</v>
      </c>
      <c r="N1515" s="3" t="s">
        <v>1459</v>
      </c>
      <c r="O1515" s="3" t="s">
        <v>23</v>
      </c>
      <c r="P1515" t="str">
        <f t="shared" si="23"/>
        <v>450013807740</v>
      </c>
      <c r="Q1515" s="7" cm="1">
        <f t="array" ref="Q1515:S1515">VLOOKUP(P1515,Hoja1!C:F,{2,3,4},FALSE)</f>
        <v>46304</v>
      </c>
      <c r="R1515" t="str">
        <v>C03</v>
      </c>
      <c r="S1515" t="str">
        <v>1000000012 IGARRETA MAQUINAS S.A.</v>
      </c>
    </row>
    <row r="1516" spans="1:19" x14ac:dyDescent="0.3">
      <c r="A1516" s="2" t="s">
        <v>14</v>
      </c>
      <c r="B1516" s="3" t="s">
        <v>14</v>
      </c>
      <c r="C1516" s="3" t="s">
        <v>1460</v>
      </c>
      <c r="D1516" s="3" t="s">
        <v>14</v>
      </c>
      <c r="E1516" s="3" t="s">
        <v>466</v>
      </c>
      <c r="F1516" s="4">
        <v>46280</v>
      </c>
      <c r="G1516" s="3" t="s">
        <v>17</v>
      </c>
      <c r="H1516" s="5">
        <v>-140495.87</v>
      </c>
      <c r="I1516" s="3" t="s">
        <v>18</v>
      </c>
      <c r="J1516" s="3" t="s">
        <v>14</v>
      </c>
      <c r="K1516" s="3" t="s">
        <v>14</v>
      </c>
      <c r="L1516" s="3" t="s">
        <v>1461</v>
      </c>
      <c r="M1516" s="4">
        <v>46280</v>
      </c>
      <c r="N1516" s="3" t="s">
        <v>1462</v>
      </c>
      <c r="O1516" s="3" t="s">
        <v>30</v>
      </c>
      <c r="P1516" t="str">
        <f t="shared" si="23"/>
        <v>450013843310</v>
      </c>
      <c r="Q1516" s="7" cm="1">
        <f t="array" ref="Q1516:S1516">VLOOKUP(P1516,Hoja1!C:F,{2,3,4},FALSE)</f>
        <v>46290</v>
      </c>
      <c r="R1516" t="str">
        <v>C03</v>
      </c>
      <c r="S1516" t="str">
        <v>1000003297 PELIQUIN S.R.L.</v>
      </c>
    </row>
    <row r="1517" spans="1:19" x14ac:dyDescent="0.3">
      <c r="A1517" s="2" t="s">
        <v>14</v>
      </c>
      <c r="B1517" s="3" t="s">
        <v>14</v>
      </c>
      <c r="C1517" s="3" t="s">
        <v>1463</v>
      </c>
      <c r="D1517" s="3" t="s">
        <v>25</v>
      </c>
      <c r="E1517" s="3" t="s">
        <v>466</v>
      </c>
      <c r="F1517" s="4">
        <v>46280</v>
      </c>
      <c r="G1517" s="3" t="s">
        <v>17</v>
      </c>
      <c r="H1517" s="5">
        <v>-1610777</v>
      </c>
      <c r="I1517" s="3" t="s">
        <v>18</v>
      </c>
      <c r="J1517" s="3" t="s">
        <v>14</v>
      </c>
      <c r="K1517" s="3" t="s">
        <v>14</v>
      </c>
      <c r="L1517" s="3" t="s">
        <v>1464</v>
      </c>
      <c r="M1517" s="4">
        <v>46280</v>
      </c>
      <c r="N1517" s="3" t="s">
        <v>1465</v>
      </c>
      <c r="O1517" s="3" t="s">
        <v>35</v>
      </c>
      <c r="P1517" t="str">
        <f t="shared" si="23"/>
        <v>450013592330</v>
      </c>
      <c r="Q1517" s="7" cm="1">
        <f t="array" ref="Q1517:S1517">VLOOKUP(P1517,Hoja1!C:F,{2,3,4},FALSE)</f>
        <v>46271</v>
      </c>
      <c r="R1517" t="str">
        <v>C14</v>
      </c>
      <c r="S1517" t="str">
        <v>1000001418 SEBRE SRL TRANSPORTE</v>
      </c>
    </row>
    <row r="1518" spans="1:19" x14ac:dyDescent="0.3">
      <c r="A1518" s="2" t="s">
        <v>14</v>
      </c>
      <c r="B1518" s="3" t="s">
        <v>14</v>
      </c>
      <c r="C1518" s="3" t="s">
        <v>1466</v>
      </c>
      <c r="D1518" s="3" t="s">
        <v>14</v>
      </c>
      <c r="E1518" s="3" t="s">
        <v>466</v>
      </c>
      <c r="F1518" s="4">
        <v>46280</v>
      </c>
      <c r="G1518" s="3" t="s">
        <v>17</v>
      </c>
      <c r="H1518" s="5">
        <v>-2603945</v>
      </c>
      <c r="I1518" s="3" t="s">
        <v>18</v>
      </c>
      <c r="J1518" s="3" t="s">
        <v>14</v>
      </c>
      <c r="K1518" s="3" t="s">
        <v>14</v>
      </c>
      <c r="L1518" s="3" t="s">
        <v>1151</v>
      </c>
      <c r="M1518" s="4">
        <v>46280</v>
      </c>
      <c r="N1518" s="3" t="s">
        <v>1467</v>
      </c>
      <c r="O1518" s="3" t="s">
        <v>30</v>
      </c>
      <c r="P1518" t="str">
        <f t="shared" si="23"/>
        <v>450013750310</v>
      </c>
      <c r="Q1518" s="7" cm="1">
        <f t="array" ref="Q1518:S1518">VLOOKUP(P1518,Hoja1!C:F,{2,3,4},FALSE)</f>
        <v>46290</v>
      </c>
      <c r="R1518" t="str">
        <v>C48</v>
      </c>
      <c r="S1518" t="str">
        <v>1000011072 NEUMATICOS GOODYEAR S R L</v>
      </c>
    </row>
    <row r="1519" spans="1:19" x14ac:dyDescent="0.3">
      <c r="A1519" s="2" t="s">
        <v>14</v>
      </c>
      <c r="B1519" s="3" t="s">
        <v>14</v>
      </c>
      <c r="C1519" s="3" t="s">
        <v>1466</v>
      </c>
      <c r="D1519" s="3" t="s">
        <v>14</v>
      </c>
      <c r="E1519" s="3" t="s">
        <v>466</v>
      </c>
      <c r="F1519" s="4">
        <v>46280</v>
      </c>
      <c r="G1519" s="3" t="s">
        <v>17</v>
      </c>
      <c r="H1519" s="5">
        <v>-7284200</v>
      </c>
      <c r="I1519" s="3" t="s">
        <v>18</v>
      </c>
      <c r="J1519" s="3" t="s">
        <v>14</v>
      </c>
      <c r="K1519" s="3" t="s">
        <v>14</v>
      </c>
      <c r="L1519" s="3" t="s">
        <v>1151</v>
      </c>
      <c r="M1519" s="4">
        <v>46280</v>
      </c>
      <c r="N1519" s="3" t="s">
        <v>1467</v>
      </c>
      <c r="O1519" s="3" t="s">
        <v>22</v>
      </c>
      <c r="P1519" t="str">
        <f t="shared" si="23"/>
        <v>450013750320</v>
      </c>
      <c r="Q1519" s="7" cm="1">
        <f t="array" ref="Q1519:S1519">VLOOKUP(P1519,Hoja1!C:F,{2,3,4},FALSE)</f>
        <v>46301</v>
      </c>
      <c r="R1519" t="str">
        <v>C48</v>
      </c>
      <c r="S1519" t="str">
        <v>1000011072 NEUMATICOS GOODYEAR S R L</v>
      </c>
    </row>
    <row r="1520" spans="1:19" x14ac:dyDescent="0.3">
      <c r="A1520" s="2" t="s">
        <v>14</v>
      </c>
      <c r="B1520" s="3" t="s">
        <v>14</v>
      </c>
      <c r="C1520" s="3" t="s">
        <v>1468</v>
      </c>
      <c r="D1520" s="3" t="s">
        <v>14</v>
      </c>
      <c r="E1520" s="3" t="s">
        <v>466</v>
      </c>
      <c r="F1520" s="4">
        <v>46275</v>
      </c>
      <c r="G1520" s="3" t="s">
        <v>17</v>
      </c>
      <c r="H1520" s="5">
        <v>-863277</v>
      </c>
      <c r="I1520" s="3" t="s">
        <v>18</v>
      </c>
      <c r="J1520" s="3" t="s">
        <v>14</v>
      </c>
      <c r="K1520" s="3" t="s">
        <v>14</v>
      </c>
      <c r="L1520" s="3" t="s">
        <v>991</v>
      </c>
      <c r="M1520" s="4">
        <v>46280</v>
      </c>
      <c r="N1520" s="3" t="s">
        <v>1469</v>
      </c>
      <c r="O1520" s="3" t="s">
        <v>30</v>
      </c>
      <c r="P1520" t="str">
        <f t="shared" si="23"/>
        <v>450013783710</v>
      </c>
      <c r="Q1520" s="7" cm="1">
        <f t="array" ref="Q1520:S1520">VLOOKUP(P1520,Hoja1!C:F,{2,3,4},FALSE)</f>
        <v>46288</v>
      </c>
      <c r="R1520" t="str">
        <v>C29</v>
      </c>
      <c r="S1520" t="str">
        <v>1000008805 SAKURA MOTORS S. A.</v>
      </c>
    </row>
    <row r="1521" spans="1:19" x14ac:dyDescent="0.3">
      <c r="A1521" s="2" t="s">
        <v>14</v>
      </c>
      <c r="B1521" s="3" t="s">
        <v>14</v>
      </c>
      <c r="C1521" s="3" t="s">
        <v>1470</v>
      </c>
      <c r="D1521" s="3" t="s">
        <v>14</v>
      </c>
      <c r="E1521" s="3" t="s">
        <v>466</v>
      </c>
      <c r="F1521" s="4">
        <v>46280</v>
      </c>
      <c r="G1521" s="3" t="s">
        <v>17</v>
      </c>
      <c r="H1521" s="5">
        <v>-11704</v>
      </c>
      <c r="I1521" s="3" t="s">
        <v>18</v>
      </c>
      <c r="J1521" s="3" t="s">
        <v>14</v>
      </c>
      <c r="K1521" s="3" t="s">
        <v>14</v>
      </c>
      <c r="L1521" s="3" t="s">
        <v>1471</v>
      </c>
      <c r="M1521" s="4">
        <v>46280</v>
      </c>
      <c r="N1521" s="3" t="s">
        <v>1472</v>
      </c>
      <c r="O1521" s="3" t="s">
        <v>30</v>
      </c>
      <c r="P1521" t="str">
        <f t="shared" si="23"/>
        <v>450013214010</v>
      </c>
      <c r="Q1521" s="7" cm="1">
        <f t="array" ref="Q1521:S1521">VLOOKUP(P1521,Hoja1!C:F,{2,3,4},FALSE)</f>
        <v>46287</v>
      </c>
      <c r="R1521" t="str">
        <v>C42</v>
      </c>
      <c r="S1521" t="str">
        <v>1000000949 DAFER INDUSTRIAL S.R.L.</v>
      </c>
    </row>
    <row r="1522" spans="1:19" x14ac:dyDescent="0.3">
      <c r="A1522" s="2" t="s">
        <v>14</v>
      </c>
      <c r="B1522" s="3" t="s">
        <v>14</v>
      </c>
      <c r="C1522" s="3" t="s">
        <v>1473</v>
      </c>
      <c r="D1522" s="3" t="s">
        <v>14</v>
      </c>
      <c r="E1522" s="3" t="s">
        <v>466</v>
      </c>
      <c r="F1522" s="4">
        <v>46275</v>
      </c>
      <c r="G1522" s="3" t="s">
        <v>17</v>
      </c>
      <c r="H1522" s="5">
        <v>-39620</v>
      </c>
      <c r="I1522" s="3" t="s">
        <v>18</v>
      </c>
      <c r="J1522" s="3" t="s">
        <v>14</v>
      </c>
      <c r="K1522" s="3" t="s">
        <v>14</v>
      </c>
      <c r="L1522" s="3" t="s">
        <v>991</v>
      </c>
      <c r="M1522" s="4">
        <v>46280</v>
      </c>
      <c r="N1522" s="3" t="s">
        <v>1474</v>
      </c>
      <c r="O1522" s="3" t="s">
        <v>30</v>
      </c>
      <c r="P1522" t="str">
        <f t="shared" si="23"/>
        <v>450013726110</v>
      </c>
      <c r="Q1522" s="7" cm="1">
        <f t="array" ref="Q1522:S1522">VLOOKUP(P1522,Hoja1!C:F,{2,3,4},FALSE)</f>
        <v>46287</v>
      </c>
      <c r="R1522" t="str">
        <v>C03</v>
      </c>
      <c r="S1522" t="str">
        <v>1000008805 SAKURA MOTORS S. A.</v>
      </c>
    </row>
    <row r="1523" spans="1:19" x14ac:dyDescent="0.3">
      <c r="A1523" s="2" t="s">
        <v>14</v>
      </c>
      <c r="B1523" s="3" t="s">
        <v>14</v>
      </c>
      <c r="C1523" s="3" t="s">
        <v>1475</v>
      </c>
      <c r="D1523" s="3" t="s">
        <v>14</v>
      </c>
      <c r="E1523" s="3" t="s">
        <v>466</v>
      </c>
      <c r="F1523" s="4">
        <v>46275</v>
      </c>
      <c r="G1523" s="3" t="s">
        <v>17</v>
      </c>
      <c r="H1523" s="5">
        <v>-378757</v>
      </c>
      <c r="I1523" s="3" t="s">
        <v>18</v>
      </c>
      <c r="J1523" s="3" t="s">
        <v>14</v>
      </c>
      <c r="K1523" s="3" t="s">
        <v>14</v>
      </c>
      <c r="L1523" s="3" t="s">
        <v>991</v>
      </c>
      <c r="M1523" s="4">
        <v>46280</v>
      </c>
      <c r="N1523" s="3" t="s">
        <v>1476</v>
      </c>
      <c r="O1523" s="3" t="s">
        <v>30</v>
      </c>
      <c r="P1523" t="str">
        <f t="shared" si="23"/>
        <v>450013719010</v>
      </c>
      <c r="Q1523" s="7" cm="1">
        <f t="array" ref="Q1523:S1523">VLOOKUP(P1523,Hoja1!C:F,{2,3,4},FALSE)</f>
        <v>46276</v>
      </c>
      <c r="R1523" t="str">
        <v>C03</v>
      </c>
      <c r="S1523" t="str">
        <v>1000008805 SAKURA MOTORS S. A.</v>
      </c>
    </row>
    <row r="1524" spans="1:19" x14ac:dyDescent="0.3">
      <c r="A1524" s="2" t="s">
        <v>14</v>
      </c>
      <c r="B1524" s="3" t="s">
        <v>14</v>
      </c>
      <c r="C1524" s="3" t="s">
        <v>1475</v>
      </c>
      <c r="D1524" s="3" t="s">
        <v>14</v>
      </c>
      <c r="E1524" s="3" t="s">
        <v>466</v>
      </c>
      <c r="F1524" s="4">
        <v>46275</v>
      </c>
      <c r="G1524" s="3" t="s">
        <v>17</v>
      </c>
      <c r="H1524" s="5">
        <v>-378757</v>
      </c>
      <c r="I1524" s="3" t="s">
        <v>18</v>
      </c>
      <c r="J1524" s="3" t="s">
        <v>14</v>
      </c>
      <c r="K1524" s="3" t="s">
        <v>14</v>
      </c>
      <c r="L1524" s="3" t="s">
        <v>991</v>
      </c>
      <c r="M1524" s="4">
        <v>46280</v>
      </c>
      <c r="N1524" s="3" t="s">
        <v>1476</v>
      </c>
      <c r="O1524" s="3" t="s">
        <v>22</v>
      </c>
      <c r="P1524" t="str">
        <f t="shared" si="23"/>
        <v>450013719020</v>
      </c>
      <c r="Q1524" s="7" cm="1">
        <f t="array" ref="Q1524:S1524">VLOOKUP(P1524,Hoja1!C:F,{2,3,4},FALSE)</f>
        <v>46276</v>
      </c>
      <c r="R1524" t="str">
        <v>C03</v>
      </c>
      <c r="S1524" t="str">
        <v>1000008805 SAKURA MOTORS S. A.</v>
      </c>
    </row>
    <row r="1525" spans="1:19" x14ac:dyDescent="0.3">
      <c r="A1525" s="2" t="s">
        <v>14</v>
      </c>
      <c r="B1525" s="3" t="s">
        <v>14</v>
      </c>
      <c r="C1525" s="3" t="s">
        <v>1477</v>
      </c>
      <c r="D1525" s="3" t="s">
        <v>32</v>
      </c>
      <c r="E1525" s="3" t="s">
        <v>466</v>
      </c>
      <c r="F1525" s="4">
        <v>46280</v>
      </c>
      <c r="G1525" s="3" t="s">
        <v>17</v>
      </c>
      <c r="H1525" s="5">
        <v>-146500</v>
      </c>
      <c r="I1525" s="3" t="s">
        <v>18</v>
      </c>
      <c r="J1525" s="3" t="s">
        <v>14</v>
      </c>
      <c r="K1525" s="3" t="s">
        <v>14</v>
      </c>
      <c r="L1525" s="3" t="s">
        <v>1441</v>
      </c>
      <c r="M1525" s="4">
        <v>46280</v>
      </c>
      <c r="N1525" s="3" t="s">
        <v>1478</v>
      </c>
      <c r="O1525" s="3" t="s">
        <v>30</v>
      </c>
      <c r="P1525" t="str">
        <f t="shared" si="23"/>
        <v>450013859210</v>
      </c>
      <c r="Q1525" s="7" cm="1">
        <f t="array" ref="Q1525:S1525">VLOOKUP(P1525,Hoja1!C:F,{2,3,4},FALSE)</f>
        <v>46295</v>
      </c>
      <c r="R1525" t="str">
        <v>C17</v>
      </c>
      <c r="S1525" t="str">
        <v>1000012812 FLORES JUAN MANUEL</v>
      </c>
    </row>
    <row r="1526" spans="1:19" x14ac:dyDescent="0.3">
      <c r="A1526" s="2" t="s">
        <v>14</v>
      </c>
      <c r="B1526" s="3" t="s">
        <v>14</v>
      </c>
      <c r="C1526" s="3" t="s">
        <v>1479</v>
      </c>
      <c r="D1526" s="3" t="s">
        <v>14</v>
      </c>
      <c r="E1526" s="3" t="s">
        <v>466</v>
      </c>
      <c r="F1526" s="4">
        <v>46275</v>
      </c>
      <c r="G1526" s="3" t="s">
        <v>17</v>
      </c>
      <c r="H1526" s="5">
        <v>-736490.68</v>
      </c>
      <c r="I1526" s="3" t="s">
        <v>18</v>
      </c>
      <c r="J1526" s="3" t="s">
        <v>14</v>
      </c>
      <c r="K1526" s="3" t="s">
        <v>14</v>
      </c>
      <c r="L1526" s="3" t="s">
        <v>1211</v>
      </c>
      <c r="M1526" s="4">
        <v>46281</v>
      </c>
      <c r="N1526" s="3" t="s">
        <v>1480</v>
      </c>
      <c r="O1526" s="3" t="s">
        <v>30</v>
      </c>
      <c r="P1526" t="str">
        <f t="shared" si="23"/>
        <v>450013795610</v>
      </c>
      <c r="Q1526" s="7" cm="1">
        <f t="array" ref="Q1526:S1526">VLOOKUP(P1526,Hoja1!C:F,{2,3,4},FALSE)</f>
        <v>46294</v>
      </c>
      <c r="R1526" t="str">
        <v>C29</v>
      </c>
      <c r="S1526" t="str">
        <v>1000000012 IGARRETA MAQUINAS S.A.</v>
      </c>
    </row>
    <row r="1527" spans="1:19" x14ac:dyDescent="0.3">
      <c r="A1527" s="2" t="s">
        <v>14</v>
      </c>
      <c r="B1527" s="3" t="s">
        <v>14</v>
      </c>
      <c r="C1527" s="3" t="s">
        <v>1479</v>
      </c>
      <c r="D1527" s="3" t="s">
        <v>14</v>
      </c>
      <c r="E1527" s="3" t="s">
        <v>466</v>
      </c>
      <c r="F1527" s="4">
        <v>46275</v>
      </c>
      <c r="G1527" s="3" t="s">
        <v>17</v>
      </c>
      <c r="H1527" s="5">
        <v>-271877.02</v>
      </c>
      <c r="I1527" s="3" t="s">
        <v>18</v>
      </c>
      <c r="J1527" s="3" t="s">
        <v>14</v>
      </c>
      <c r="K1527" s="3" t="s">
        <v>14</v>
      </c>
      <c r="L1527" s="3" t="s">
        <v>1211</v>
      </c>
      <c r="M1527" s="4">
        <v>46281</v>
      </c>
      <c r="N1527" s="3" t="s">
        <v>1480</v>
      </c>
      <c r="O1527" s="3" t="s">
        <v>22</v>
      </c>
      <c r="P1527" t="str">
        <f t="shared" si="23"/>
        <v>450013795620</v>
      </c>
      <c r="Q1527" s="7" cm="1">
        <f t="array" ref="Q1527:S1527">VLOOKUP(P1527,Hoja1!C:F,{2,3,4},FALSE)</f>
        <v>46289</v>
      </c>
      <c r="R1527" t="str">
        <v>C29</v>
      </c>
      <c r="S1527" t="str">
        <v>1000000012 IGARRETA MAQUINAS S.A.</v>
      </c>
    </row>
    <row r="1528" spans="1:19" x14ac:dyDescent="0.3">
      <c r="A1528" s="2" t="s">
        <v>14</v>
      </c>
      <c r="B1528" s="3" t="s">
        <v>14</v>
      </c>
      <c r="C1528" s="3" t="s">
        <v>1479</v>
      </c>
      <c r="D1528" s="3" t="s">
        <v>14</v>
      </c>
      <c r="E1528" s="3" t="s">
        <v>466</v>
      </c>
      <c r="F1528" s="4">
        <v>46275</v>
      </c>
      <c r="G1528" s="3" t="s">
        <v>17</v>
      </c>
      <c r="H1528" s="5">
        <v>-543754.04</v>
      </c>
      <c r="I1528" s="3" t="s">
        <v>18</v>
      </c>
      <c r="J1528" s="3" t="s">
        <v>14</v>
      </c>
      <c r="K1528" s="3" t="s">
        <v>14</v>
      </c>
      <c r="L1528" s="3" t="s">
        <v>1211</v>
      </c>
      <c r="M1528" s="4">
        <v>46281</v>
      </c>
      <c r="N1528" s="3" t="s">
        <v>1480</v>
      </c>
      <c r="O1528" s="3" t="s">
        <v>35</v>
      </c>
      <c r="P1528" t="str">
        <f t="shared" si="23"/>
        <v>450013795630</v>
      </c>
      <c r="Q1528" s="7" cm="1">
        <f t="array" ref="Q1528:S1528">VLOOKUP(P1528,Hoja1!C:F,{2,3,4},FALSE)</f>
        <v>46289</v>
      </c>
      <c r="R1528" t="str">
        <v>C29</v>
      </c>
      <c r="S1528" t="str">
        <v>1000000012 IGARRETA MAQUINAS S.A.</v>
      </c>
    </row>
    <row r="1529" spans="1:19" x14ac:dyDescent="0.3">
      <c r="A1529" s="2" t="s">
        <v>14</v>
      </c>
      <c r="B1529" s="3" t="s">
        <v>14</v>
      </c>
      <c r="C1529" s="3" t="s">
        <v>1481</v>
      </c>
      <c r="D1529" s="3" t="s">
        <v>14</v>
      </c>
      <c r="E1529" s="3" t="s">
        <v>466</v>
      </c>
      <c r="F1529" s="4">
        <v>46280</v>
      </c>
      <c r="G1529" s="3" t="s">
        <v>17</v>
      </c>
      <c r="H1529" s="5">
        <v>-158461</v>
      </c>
      <c r="I1529" s="3" t="s">
        <v>18</v>
      </c>
      <c r="J1529" s="3" t="s">
        <v>14</v>
      </c>
      <c r="K1529" s="3" t="s">
        <v>14</v>
      </c>
      <c r="L1529" s="3" t="s">
        <v>1238</v>
      </c>
      <c r="M1529" s="4">
        <v>46281</v>
      </c>
      <c r="N1529" s="3" t="s">
        <v>1482</v>
      </c>
      <c r="O1529" s="3" t="s">
        <v>30</v>
      </c>
      <c r="P1529" t="str">
        <f t="shared" si="23"/>
        <v>450013817910</v>
      </c>
      <c r="Q1529" s="7" cm="1">
        <f t="array" ref="Q1529:S1529">VLOOKUP(P1529,Hoja1!C:F,{2,3,4},FALSE)</f>
        <v>46287</v>
      </c>
      <c r="R1529" t="str">
        <v>C03</v>
      </c>
      <c r="S1529" t="str">
        <v>1000000286 SULLAIR ARGENTINA S.A</v>
      </c>
    </row>
    <row r="1530" spans="1:19" x14ac:dyDescent="0.3">
      <c r="A1530" s="2" t="s">
        <v>14</v>
      </c>
      <c r="B1530" s="3" t="s">
        <v>14</v>
      </c>
      <c r="C1530" s="3" t="s">
        <v>1483</v>
      </c>
      <c r="D1530" s="3" t="s">
        <v>14</v>
      </c>
      <c r="E1530" s="3" t="s">
        <v>466</v>
      </c>
      <c r="F1530" s="4">
        <v>46281</v>
      </c>
      <c r="G1530" s="3" t="s">
        <v>17</v>
      </c>
      <c r="H1530" s="5">
        <v>-414261.27</v>
      </c>
      <c r="I1530" s="3" t="s">
        <v>18</v>
      </c>
      <c r="J1530" s="3" t="s">
        <v>14</v>
      </c>
      <c r="K1530" s="3" t="s">
        <v>14</v>
      </c>
      <c r="L1530" s="3" t="s">
        <v>73</v>
      </c>
      <c r="M1530" s="4">
        <v>46281</v>
      </c>
      <c r="N1530" s="3" t="s">
        <v>402</v>
      </c>
      <c r="O1530" s="3" t="s">
        <v>30</v>
      </c>
      <c r="P1530" t="str">
        <f t="shared" si="23"/>
        <v>450013790610</v>
      </c>
      <c r="Q1530" s="7" cm="1">
        <f t="array" ref="Q1530:S1530">VLOOKUP(P1530,Hoja1!C:F,{2,3,4},FALSE)</f>
        <v>46295</v>
      </c>
      <c r="R1530" t="str">
        <v>C21</v>
      </c>
      <c r="S1530" t="str">
        <v>1000000808 GLOBAL OIL S.R.L.</v>
      </c>
    </row>
    <row r="1531" spans="1:19" x14ac:dyDescent="0.3">
      <c r="A1531" s="2" t="s">
        <v>14</v>
      </c>
      <c r="B1531" s="3" t="s">
        <v>14</v>
      </c>
      <c r="C1531" s="3" t="s">
        <v>1483</v>
      </c>
      <c r="D1531" s="3" t="s">
        <v>14</v>
      </c>
      <c r="E1531" s="3" t="s">
        <v>466</v>
      </c>
      <c r="F1531" s="4">
        <v>46281</v>
      </c>
      <c r="G1531" s="3" t="s">
        <v>17</v>
      </c>
      <c r="H1531" s="5">
        <v>-87185.52</v>
      </c>
      <c r="I1531" s="3" t="s">
        <v>18</v>
      </c>
      <c r="J1531" s="3" t="s">
        <v>14</v>
      </c>
      <c r="K1531" s="3" t="s">
        <v>14</v>
      </c>
      <c r="L1531" s="3" t="s">
        <v>73</v>
      </c>
      <c r="M1531" s="4">
        <v>46281</v>
      </c>
      <c r="N1531" s="3" t="s">
        <v>402</v>
      </c>
      <c r="O1531" s="3" t="s">
        <v>30</v>
      </c>
      <c r="P1531" t="str">
        <f t="shared" si="23"/>
        <v>450013790610</v>
      </c>
      <c r="Q1531" s="7" cm="1">
        <f t="array" ref="Q1531:S1531">VLOOKUP(P1531,Hoja1!C:F,{2,3,4},FALSE)</f>
        <v>46295</v>
      </c>
      <c r="R1531" t="str">
        <v>C21</v>
      </c>
      <c r="S1531" t="str">
        <v>1000000808 GLOBAL OIL S.R.L.</v>
      </c>
    </row>
    <row r="1532" spans="1:19" x14ac:dyDescent="0.3">
      <c r="A1532" s="2" t="s">
        <v>14</v>
      </c>
      <c r="B1532" s="3" t="s">
        <v>14</v>
      </c>
      <c r="C1532" s="3" t="s">
        <v>1484</v>
      </c>
      <c r="D1532" s="3" t="s">
        <v>14</v>
      </c>
      <c r="E1532" s="3" t="s">
        <v>466</v>
      </c>
      <c r="F1532" s="4">
        <v>46276</v>
      </c>
      <c r="G1532" s="3" t="s">
        <v>17</v>
      </c>
      <c r="H1532" s="5">
        <v>-5886368.04</v>
      </c>
      <c r="I1532" s="3" t="s">
        <v>18</v>
      </c>
      <c r="J1532" s="3" t="s">
        <v>14</v>
      </c>
      <c r="K1532" s="3" t="s">
        <v>14</v>
      </c>
      <c r="L1532" s="3" t="s">
        <v>1485</v>
      </c>
      <c r="M1532" s="4">
        <v>46281</v>
      </c>
      <c r="N1532" s="3" t="s">
        <v>1486</v>
      </c>
      <c r="O1532" s="3" t="s">
        <v>30</v>
      </c>
      <c r="P1532" t="str">
        <f t="shared" si="23"/>
        <v>450013477510</v>
      </c>
      <c r="Q1532" s="7" cm="1">
        <f t="array" ref="Q1532:S1532">VLOOKUP(P1532,Hoja1!C:F,{2,3,4},FALSE)</f>
        <v>46287</v>
      </c>
      <c r="R1532" t="str">
        <v>C03</v>
      </c>
      <c r="S1532" t="str">
        <v>1000003804 ALL DRILL S.A.</v>
      </c>
    </row>
    <row r="1533" spans="1:19" x14ac:dyDescent="0.3">
      <c r="A1533" s="2" t="s">
        <v>14</v>
      </c>
      <c r="B1533" s="3" t="s">
        <v>14</v>
      </c>
      <c r="C1533" s="3" t="s">
        <v>1487</v>
      </c>
      <c r="D1533" s="3" t="s">
        <v>14</v>
      </c>
      <c r="E1533" s="3" t="s">
        <v>466</v>
      </c>
      <c r="F1533" s="4">
        <v>46281</v>
      </c>
      <c r="G1533" s="3" t="s">
        <v>17</v>
      </c>
      <c r="H1533" s="5">
        <v>-191878.2</v>
      </c>
      <c r="I1533" s="3" t="s">
        <v>18</v>
      </c>
      <c r="J1533" s="3" t="s">
        <v>14</v>
      </c>
      <c r="K1533" s="3" t="s">
        <v>14</v>
      </c>
      <c r="L1533" s="3" t="s">
        <v>892</v>
      </c>
      <c r="M1533" s="4">
        <v>46281</v>
      </c>
      <c r="N1533" s="3" t="s">
        <v>1275</v>
      </c>
      <c r="O1533" s="3" t="s">
        <v>22</v>
      </c>
      <c r="P1533" t="str">
        <f t="shared" si="23"/>
        <v>450013759320</v>
      </c>
      <c r="Q1533" s="7" cm="1">
        <f t="array" ref="Q1533:S1533">VLOOKUP(P1533,Hoja1!C:F,{2,3,4},FALSE)</f>
        <v>46275</v>
      </c>
      <c r="R1533" t="str">
        <v>C27</v>
      </c>
      <c r="S1533" t="str">
        <v>1000000894 FORTIN REPUBLICA SA</v>
      </c>
    </row>
    <row r="1534" spans="1:19" x14ac:dyDescent="0.3">
      <c r="A1534" s="2" t="s">
        <v>14</v>
      </c>
      <c r="B1534" s="3" t="s">
        <v>14</v>
      </c>
      <c r="C1534" s="3" t="s">
        <v>1488</v>
      </c>
      <c r="D1534" s="3" t="s">
        <v>32</v>
      </c>
      <c r="E1534" s="3" t="s">
        <v>466</v>
      </c>
      <c r="F1534" s="4">
        <v>46281</v>
      </c>
      <c r="G1534" s="3" t="s">
        <v>17</v>
      </c>
      <c r="H1534" s="5">
        <v>-214060</v>
      </c>
      <c r="I1534" s="3" t="s">
        <v>18</v>
      </c>
      <c r="J1534" s="3" t="s">
        <v>14</v>
      </c>
      <c r="K1534" s="3" t="s">
        <v>14</v>
      </c>
      <c r="L1534" s="3" t="s">
        <v>892</v>
      </c>
      <c r="M1534" s="4">
        <v>46281</v>
      </c>
      <c r="N1534" s="3" t="s">
        <v>1275</v>
      </c>
      <c r="O1534" s="3" t="s">
        <v>155</v>
      </c>
      <c r="P1534" t="str">
        <f t="shared" si="23"/>
        <v>4500137593420</v>
      </c>
      <c r="Q1534" s="7" cm="1">
        <f t="array" ref="Q1534:S1534">VLOOKUP(P1534,Hoja1!C:F,{2,3,4},FALSE)</f>
        <v>46275</v>
      </c>
      <c r="R1534" t="str">
        <v>C27</v>
      </c>
      <c r="S1534" t="str">
        <v>1000000894 FORTIN REPUBLICA SA</v>
      </c>
    </row>
    <row r="1535" spans="1:19" x14ac:dyDescent="0.3">
      <c r="A1535" s="2" t="s">
        <v>14</v>
      </c>
      <c r="B1535" s="3" t="s">
        <v>14</v>
      </c>
      <c r="C1535" s="3" t="s">
        <v>1489</v>
      </c>
      <c r="D1535" s="3" t="s">
        <v>14</v>
      </c>
      <c r="E1535" s="3" t="s">
        <v>466</v>
      </c>
      <c r="F1535" s="4">
        <v>46276</v>
      </c>
      <c r="G1535" s="3" t="s">
        <v>17</v>
      </c>
      <c r="H1535" s="5">
        <v>-5515344</v>
      </c>
      <c r="I1535" s="3" t="s">
        <v>18</v>
      </c>
      <c r="J1535" s="3" t="s">
        <v>14</v>
      </c>
      <c r="K1535" s="3" t="s">
        <v>14</v>
      </c>
      <c r="L1535" s="3" t="s">
        <v>1485</v>
      </c>
      <c r="M1535" s="4">
        <v>46281</v>
      </c>
      <c r="N1535" s="3" t="s">
        <v>1490</v>
      </c>
      <c r="O1535" s="3" t="s">
        <v>30</v>
      </c>
      <c r="P1535" t="str">
        <f t="shared" si="23"/>
        <v>450013213110</v>
      </c>
      <c r="Q1535" s="7" cm="1">
        <f t="array" ref="Q1535:S1535">VLOOKUP(P1535,Hoja1!C:F,{2,3,4},FALSE)</f>
        <v>46282</v>
      </c>
      <c r="R1535" t="str">
        <v>C03</v>
      </c>
      <c r="S1535" t="str">
        <v>1000003804 ALL DRILL S.A.</v>
      </c>
    </row>
    <row r="1536" spans="1:19" x14ac:dyDescent="0.3">
      <c r="A1536" s="2" t="s">
        <v>14</v>
      </c>
      <c r="B1536" s="3" t="s">
        <v>14</v>
      </c>
      <c r="C1536" s="3" t="s">
        <v>1491</v>
      </c>
      <c r="D1536" s="3" t="s">
        <v>14</v>
      </c>
      <c r="E1536" s="3" t="s">
        <v>466</v>
      </c>
      <c r="F1536" s="4">
        <v>46281</v>
      </c>
      <c r="G1536" s="3" t="s">
        <v>17</v>
      </c>
      <c r="H1536" s="5">
        <v>-90120</v>
      </c>
      <c r="I1536" s="3" t="s">
        <v>18</v>
      </c>
      <c r="J1536" s="3" t="s">
        <v>14</v>
      </c>
      <c r="K1536" s="3" t="s">
        <v>14</v>
      </c>
      <c r="L1536" s="3" t="s">
        <v>269</v>
      </c>
      <c r="M1536" s="4">
        <v>46281</v>
      </c>
      <c r="N1536" s="3" t="s">
        <v>1492</v>
      </c>
      <c r="O1536" s="3" t="s">
        <v>22</v>
      </c>
      <c r="P1536" t="str">
        <f t="shared" si="23"/>
        <v>450013221520</v>
      </c>
      <c r="Q1536" s="7" cm="1">
        <f t="array" ref="Q1536:S1536">VLOOKUP(P1536,Hoja1!C:F,{2,3,4},FALSE)</f>
        <v>46280</v>
      </c>
      <c r="R1536" t="str">
        <v>C03</v>
      </c>
      <c r="S1536" t="str">
        <v>1000000190 FERNANDEZ INSUA S.A.</v>
      </c>
    </row>
    <row r="1537" spans="1:19" x14ac:dyDescent="0.3">
      <c r="A1537" s="2" t="s">
        <v>14</v>
      </c>
      <c r="B1537" s="3" t="s">
        <v>14</v>
      </c>
      <c r="C1537" s="3" t="s">
        <v>1491</v>
      </c>
      <c r="D1537" s="3" t="s">
        <v>14</v>
      </c>
      <c r="E1537" s="3" t="s">
        <v>466</v>
      </c>
      <c r="F1537" s="4">
        <v>46281</v>
      </c>
      <c r="G1537" s="3" t="s">
        <v>17</v>
      </c>
      <c r="H1537" s="5">
        <v>-45060</v>
      </c>
      <c r="I1537" s="3" t="s">
        <v>18</v>
      </c>
      <c r="J1537" s="3" t="s">
        <v>14</v>
      </c>
      <c r="K1537" s="3" t="s">
        <v>14</v>
      </c>
      <c r="L1537" s="3" t="s">
        <v>269</v>
      </c>
      <c r="M1537" s="4">
        <v>46281</v>
      </c>
      <c r="N1537" s="3" t="s">
        <v>1492</v>
      </c>
      <c r="O1537" s="3" t="s">
        <v>35</v>
      </c>
      <c r="P1537" t="str">
        <f t="shared" si="23"/>
        <v>450013221530</v>
      </c>
      <c r="Q1537" s="7" cm="1">
        <f t="array" ref="Q1537:S1537">VLOOKUP(P1537,Hoja1!C:F,{2,3,4},FALSE)</f>
        <v>46280</v>
      </c>
      <c r="R1537" t="str">
        <v>C03</v>
      </c>
      <c r="S1537" t="str">
        <v>1000000190 FERNANDEZ INSUA S.A.</v>
      </c>
    </row>
    <row r="1538" spans="1:19" x14ac:dyDescent="0.3">
      <c r="A1538" s="2" t="s">
        <v>14</v>
      </c>
      <c r="B1538" s="3" t="s">
        <v>14</v>
      </c>
      <c r="C1538" s="3" t="s">
        <v>1493</v>
      </c>
      <c r="D1538" s="3" t="s">
        <v>14</v>
      </c>
      <c r="E1538" s="3" t="s">
        <v>466</v>
      </c>
      <c r="F1538" s="4">
        <v>46281</v>
      </c>
      <c r="G1538" s="3" t="s">
        <v>17</v>
      </c>
      <c r="H1538" s="5">
        <v>-252786.6</v>
      </c>
      <c r="I1538" s="3" t="s">
        <v>18</v>
      </c>
      <c r="J1538" s="3" t="s">
        <v>14</v>
      </c>
      <c r="K1538" s="3" t="s">
        <v>14</v>
      </c>
      <c r="L1538" s="3" t="s">
        <v>1211</v>
      </c>
      <c r="M1538" s="4">
        <v>46281</v>
      </c>
      <c r="N1538" s="3" t="s">
        <v>1407</v>
      </c>
      <c r="O1538" s="3" t="s">
        <v>35</v>
      </c>
      <c r="P1538" t="str">
        <f t="shared" si="23"/>
        <v>450013819630</v>
      </c>
      <c r="Q1538" s="7" cm="1">
        <f t="array" ref="Q1538:S1538">VLOOKUP(P1538,Hoja1!C:F,{2,3,4},FALSE)</f>
        <v>46341</v>
      </c>
      <c r="R1538" t="str">
        <v>F06</v>
      </c>
      <c r="S1538" t="str">
        <v>1000000012 IGARRETA MAQUINAS S.A.</v>
      </c>
    </row>
    <row r="1539" spans="1:19" x14ac:dyDescent="0.3">
      <c r="A1539" s="2" t="s">
        <v>14</v>
      </c>
      <c r="B1539" s="3" t="s">
        <v>14</v>
      </c>
      <c r="C1539" s="3" t="s">
        <v>1494</v>
      </c>
      <c r="D1539" s="3" t="s">
        <v>14</v>
      </c>
      <c r="E1539" s="3" t="s">
        <v>466</v>
      </c>
      <c r="F1539" s="4">
        <v>46281</v>
      </c>
      <c r="G1539" s="3" t="s">
        <v>17</v>
      </c>
      <c r="H1539" s="5">
        <v>-90165.06</v>
      </c>
      <c r="I1539" s="3" t="s">
        <v>18</v>
      </c>
      <c r="J1539" s="3" t="s">
        <v>14</v>
      </c>
      <c r="K1539" s="3" t="s">
        <v>14</v>
      </c>
      <c r="L1539" s="3" t="s">
        <v>1211</v>
      </c>
      <c r="M1539" s="4">
        <v>46281</v>
      </c>
      <c r="N1539" s="3" t="s">
        <v>1495</v>
      </c>
      <c r="O1539" s="3" t="s">
        <v>30</v>
      </c>
      <c r="P1539" t="str">
        <f t="shared" ref="P1539:P1602" si="24">_xlfn.CONCAT(N1539:O1539)</f>
        <v>450013851510</v>
      </c>
      <c r="Q1539" s="7" cm="1">
        <f t="array" ref="Q1539:S1539">VLOOKUP(P1539,Hoja1!C:F,{2,3,4},FALSE)</f>
        <v>46287</v>
      </c>
      <c r="R1539" t="str">
        <v>C03</v>
      </c>
      <c r="S1539" t="str">
        <v>1000000012 IGARRETA MAQUINAS S.A.</v>
      </c>
    </row>
    <row r="1540" spans="1:19" x14ac:dyDescent="0.3">
      <c r="A1540" s="2" t="s">
        <v>14</v>
      </c>
      <c r="B1540" s="3" t="s">
        <v>14</v>
      </c>
      <c r="C1540" s="3" t="s">
        <v>1496</v>
      </c>
      <c r="D1540" s="3" t="s">
        <v>14</v>
      </c>
      <c r="E1540" s="3" t="s">
        <v>466</v>
      </c>
      <c r="F1540" s="4">
        <v>46281</v>
      </c>
      <c r="G1540" s="3" t="s">
        <v>17</v>
      </c>
      <c r="H1540" s="5">
        <v>-229024.96</v>
      </c>
      <c r="I1540" s="3" t="s">
        <v>18</v>
      </c>
      <c r="J1540" s="3" t="s">
        <v>14</v>
      </c>
      <c r="K1540" s="3" t="s">
        <v>14</v>
      </c>
      <c r="L1540" s="3" t="s">
        <v>1497</v>
      </c>
      <c r="M1540" s="4">
        <v>46281</v>
      </c>
      <c r="N1540" s="3" t="s">
        <v>1498</v>
      </c>
      <c r="O1540" s="3" t="s">
        <v>30</v>
      </c>
      <c r="P1540" t="str">
        <f t="shared" si="24"/>
        <v>450013540710</v>
      </c>
      <c r="Q1540" s="7" cm="1">
        <f t="array" ref="Q1540:S1540">VLOOKUP(P1540,Hoja1!C:F,{2,3,4},FALSE)</f>
        <v>46300</v>
      </c>
      <c r="R1540" t="str">
        <v>C03</v>
      </c>
      <c r="S1540" t="str">
        <v>1000001756 EPIROC ARGENTINA S.A.</v>
      </c>
    </row>
    <row r="1541" spans="1:19" x14ac:dyDescent="0.3">
      <c r="A1541" s="2" t="s">
        <v>14</v>
      </c>
      <c r="B1541" s="3" t="s">
        <v>14</v>
      </c>
      <c r="C1541" s="3" t="s">
        <v>1496</v>
      </c>
      <c r="D1541" s="3" t="s">
        <v>14</v>
      </c>
      <c r="E1541" s="3" t="s">
        <v>466</v>
      </c>
      <c r="F1541" s="4">
        <v>46281</v>
      </c>
      <c r="G1541" s="3" t="s">
        <v>17</v>
      </c>
      <c r="H1541" s="5">
        <v>-38661.480000000003</v>
      </c>
      <c r="I1541" s="3" t="s">
        <v>18</v>
      </c>
      <c r="J1541" s="3" t="s">
        <v>14</v>
      </c>
      <c r="K1541" s="3" t="s">
        <v>14</v>
      </c>
      <c r="L1541" s="3" t="s">
        <v>1497</v>
      </c>
      <c r="M1541" s="4">
        <v>46281</v>
      </c>
      <c r="N1541" s="3" t="s">
        <v>1498</v>
      </c>
      <c r="O1541" s="3" t="s">
        <v>22</v>
      </c>
      <c r="P1541" t="str">
        <f t="shared" si="24"/>
        <v>450013540720</v>
      </c>
      <c r="Q1541" s="7" cm="1">
        <f t="array" ref="Q1541:S1541">VLOOKUP(P1541,Hoja1!C:F,{2,3,4},FALSE)</f>
        <v>46300</v>
      </c>
      <c r="R1541" t="str">
        <v>C03</v>
      </c>
      <c r="S1541" t="str">
        <v>1000001756 EPIROC ARGENTINA S.A.</v>
      </c>
    </row>
    <row r="1542" spans="1:19" x14ac:dyDescent="0.3">
      <c r="A1542" s="2" t="s">
        <v>14</v>
      </c>
      <c r="B1542" s="3" t="s">
        <v>14</v>
      </c>
      <c r="C1542" s="3" t="s">
        <v>1496</v>
      </c>
      <c r="D1542" s="3" t="s">
        <v>14</v>
      </c>
      <c r="E1542" s="3" t="s">
        <v>466</v>
      </c>
      <c r="F1542" s="4">
        <v>46281</v>
      </c>
      <c r="G1542" s="3" t="s">
        <v>17</v>
      </c>
      <c r="H1542" s="5">
        <v>-98245.82</v>
      </c>
      <c r="I1542" s="3" t="s">
        <v>18</v>
      </c>
      <c r="J1542" s="3" t="s">
        <v>14</v>
      </c>
      <c r="K1542" s="3" t="s">
        <v>14</v>
      </c>
      <c r="L1542" s="3" t="s">
        <v>1497</v>
      </c>
      <c r="M1542" s="4">
        <v>46281</v>
      </c>
      <c r="N1542" s="3" t="s">
        <v>1498</v>
      </c>
      <c r="O1542" s="3" t="s">
        <v>23</v>
      </c>
      <c r="P1542" t="str">
        <f t="shared" si="24"/>
        <v>450013540740</v>
      </c>
      <c r="Q1542" s="7" cm="1">
        <f t="array" ref="Q1542:S1542">VLOOKUP(P1542,Hoja1!C:F,{2,3,4},FALSE)</f>
        <v>46300</v>
      </c>
      <c r="R1542" t="str">
        <v>C03</v>
      </c>
      <c r="S1542" t="str">
        <v>1000001756 EPIROC ARGENTINA S.A.</v>
      </c>
    </row>
    <row r="1543" spans="1:19" x14ac:dyDescent="0.3">
      <c r="A1543" s="2" t="s">
        <v>14</v>
      </c>
      <c r="B1543" s="3" t="s">
        <v>14</v>
      </c>
      <c r="C1543" s="3" t="s">
        <v>1499</v>
      </c>
      <c r="D1543" s="3" t="s">
        <v>14</v>
      </c>
      <c r="E1543" s="3" t="s">
        <v>466</v>
      </c>
      <c r="F1543" s="4">
        <v>46282</v>
      </c>
      <c r="G1543" s="3" t="s">
        <v>17</v>
      </c>
      <c r="H1543" s="5">
        <v>-285800</v>
      </c>
      <c r="I1543" s="3" t="s">
        <v>18</v>
      </c>
      <c r="J1543" s="3" t="s">
        <v>14</v>
      </c>
      <c r="K1543" s="3" t="s">
        <v>14</v>
      </c>
      <c r="L1543" s="3" t="s">
        <v>904</v>
      </c>
      <c r="M1543" s="4">
        <v>46282</v>
      </c>
      <c r="N1543" s="3" t="s">
        <v>1500</v>
      </c>
      <c r="O1543" s="3" t="s">
        <v>30</v>
      </c>
      <c r="P1543" t="str">
        <f t="shared" si="24"/>
        <v>450013854110</v>
      </c>
      <c r="Q1543" s="7" cm="1">
        <f t="array" ref="Q1543:S1543">VLOOKUP(P1543,Hoja1!C:F,{2,3,4},FALSE)</f>
        <v>46283</v>
      </c>
      <c r="R1543" t="str">
        <v>C38</v>
      </c>
      <c r="S1543" t="str">
        <v>1000009559 ELECTROMECANICA OMAR S.R.L.</v>
      </c>
    </row>
    <row r="1544" spans="1:19" x14ac:dyDescent="0.3">
      <c r="A1544" s="2" t="s">
        <v>14</v>
      </c>
      <c r="B1544" s="3" t="s">
        <v>14</v>
      </c>
      <c r="C1544" s="3" t="s">
        <v>1501</v>
      </c>
      <c r="D1544" s="3" t="s">
        <v>14</v>
      </c>
      <c r="E1544" s="3" t="s">
        <v>466</v>
      </c>
      <c r="F1544" s="4">
        <v>46282</v>
      </c>
      <c r="G1544" s="3" t="s">
        <v>17</v>
      </c>
      <c r="H1544" s="5">
        <v>-431800</v>
      </c>
      <c r="I1544" s="3" t="s">
        <v>18</v>
      </c>
      <c r="J1544" s="3" t="s">
        <v>14</v>
      </c>
      <c r="K1544" s="3" t="s">
        <v>14</v>
      </c>
      <c r="L1544" s="3" t="s">
        <v>904</v>
      </c>
      <c r="M1544" s="4">
        <v>46282</v>
      </c>
      <c r="N1544" s="3" t="s">
        <v>1502</v>
      </c>
      <c r="O1544" s="3" t="s">
        <v>30</v>
      </c>
      <c r="P1544" t="str">
        <f t="shared" si="24"/>
        <v>450013856210</v>
      </c>
      <c r="Q1544" s="7" cm="1">
        <f t="array" ref="Q1544:S1544">VLOOKUP(P1544,Hoja1!C:F,{2,3,4},FALSE)</f>
        <v>46283</v>
      </c>
      <c r="R1544" t="str">
        <v>C38</v>
      </c>
      <c r="S1544" t="str">
        <v>1000009559 ELECTROMECANICA OMAR S.R.L.</v>
      </c>
    </row>
    <row r="1545" spans="1:19" x14ac:dyDescent="0.3">
      <c r="A1545" s="2" t="s">
        <v>14</v>
      </c>
      <c r="B1545" s="3" t="s">
        <v>14</v>
      </c>
      <c r="C1545" s="3" t="s">
        <v>1503</v>
      </c>
      <c r="D1545" s="3" t="s">
        <v>14</v>
      </c>
      <c r="E1545" s="3" t="s">
        <v>466</v>
      </c>
      <c r="F1545" s="4">
        <v>46282</v>
      </c>
      <c r="G1545" s="3" t="s">
        <v>17</v>
      </c>
      <c r="H1545" s="5">
        <v>-362440</v>
      </c>
      <c r="I1545" s="3" t="s">
        <v>18</v>
      </c>
      <c r="J1545" s="3" t="s">
        <v>14</v>
      </c>
      <c r="K1545" s="3" t="s">
        <v>14</v>
      </c>
      <c r="L1545" s="3" t="s">
        <v>904</v>
      </c>
      <c r="M1545" s="4">
        <v>46282</v>
      </c>
      <c r="N1545" s="3" t="s">
        <v>1504</v>
      </c>
      <c r="O1545" s="3" t="s">
        <v>30</v>
      </c>
      <c r="P1545" t="str">
        <f t="shared" si="24"/>
        <v>450013856110</v>
      </c>
      <c r="Q1545" s="7" cm="1">
        <f t="array" ref="Q1545:S1545">VLOOKUP(P1545,Hoja1!C:F,{2,3,4},FALSE)</f>
        <v>46283</v>
      </c>
      <c r="R1545" t="str">
        <v>C38</v>
      </c>
      <c r="S1545" t="str">
        <v>1000009559 ELECTROMECANICA OMAR S.R.L.</v>
      </c>
    </row>
    <row r="1546" spans="1:19" x14ac:dyDescent="0.3">
      <c r="A1546" s="2" t="s">
        <v>14</v>
      </c>
      <c r="B1546" s="3" t="s">
        <v>14</v>
      </c>
      <c r="C1546" s="3" t="s">
        <v>1505</v>
      </c>
      <c r="D1546" s="3" t="s">
        <v>14</v>
      </c>
      <c r="E1546" s="3" t="s">
        <v>466</v>
      </c>
      <c r="F1546" s="4">
        <v>46282</v>
      </c>
      <c r="G1546" s="3" t="s">
        <v>17</v>
      </c>
      <c r="H1546" s="5">
        <v>-280000</v>
      </c>
      <c r="I1546" s="3" t="s">
        <v>18</v>
      </c>
      <c r="J1546" s="3" t="s">
        <v>14</v>
      </c>
      <c r="K1546" s="3" t="s">
        <v>14</v>
      </c>
      <c r="L1546" s="3" t="s">
        <v>904</v>
      </c>
      <c r="M1546" s="4">
        <v>46282</v>
      </c>
      <c r="N1546" s="3" t="s">
        <v>1506</v>
      </c>
      <c r="O1546" s="3" t="s">
        <v>30</v>
      </c>
      <c r="P1546" t="str">
        <f t="shared" si="24"/>
        <v>450013858010</v>
      </c>
      <c r="Q1546" s="7" cm="1">
        <f t="array" ref="Q1546:S1546">VLOOKUP(P1546,Hoja1!C:F,{2,3,4},FALSE)</f>
        <v>46283</v>
      </c>
      <c r="R1546" t="str">
        <v>C38</v>
      </c>
      <c r="S1546" t="str">
        <v>1000009559 ELECTROMECANICA OMAR S.R.L.</v>
      </c>
    </row>
    <row r="1547" spans="1:19" x14ac:dyDescent="0.3">
      <c r="A1547" s="2" t="s">
        <v>14</v>
      </c>
      <c r="B1547" s="3" t="s">
        <v>14</v>
      </c>
      <c r="C1547" s="3" t="s">
        <v>1507</v>
      </c>
      <c r="D1547" s="3" t="s">
        <v>14</v>
      </c>
      <c r="E1547" s="3" t="s">
        <v>466</v>
      </c>
      <c r="F1547" s="4">
        <v>46281</v>
      </c>
      <c r="G1547" s="3" t="s">
        <v>17</v>
      </c>
      <c r="H1547" s="5">
        <v>-2226388.21</v>
      </c>
      <c r="I1547" s="3" t="s">
        <v>18</v>
      </c>
      <c r="J1547" s="3" t="s">
        <v>14</v>
      </c>
      <c r="K1547" s="3" t="s">
        <v>14</v>
      </c>
      <c r="L1547" s="3" t="s">
        <v>1508</v>
      </c>
      <c r="M1547" s="4">
        <v>46282</v>
      </c>
      <c r="N1547" s="3" t="s">
        <v>1509</v>
      </c>
      <c r="O1547" s="3" t="s">
        <v>30</v>
      </c>
      <c r="P1547" t="str">
        <f t="shared" si="24"/>
        <v>450013837110</v>
      </c>
      <c r="Q1547" s="7" cm="1">
        <f t="array" ref="Q1547:S1547">VLOOKUP(P1547,Hoja1!C:F,{2,3,4},FALSE)</f>
        <v>46281</v>
      </c>
      <c r="R1547" t="str">
        <v>C08</v>
      </c>
      <c r="S1547" t="str">
        <v>1000003014 DICO ACEROS SRL</v>
      </c>
    </row>
    <row r="1548" spans="1:19" x14ac:dyDescent="0.3">
      <c r="A1548" s="2" t="s">
        <v>14</v>
      </c>
      <c r="B1548" s="3" t="s">
        <v>14</v>
      </c>
      <c r="C1548" s="3" t="s">
        <v>1507</v>
      </c>
      <c r="D1548" s="3" t="s">
        <v>14</v>
      </c>
      <c r="E1548" s="3" t="s">
        <v>466</v>
      </c>
      <c r="F1548" s="4">
        <v>46281</v>
      </c>
      <c r="G1548" s="3" t="s">
        <v>17</v>
      </c>
      <c r="H1548" s="5">
        <v>-1459989.74</v>
      </c>
      <c r="I1548" s="3" t="s">
        <v>18</v>
      </c>
      <c r="J1548" s="3" t="s">
        <v>14</v>
      </c>
      <c r="K1548" s="3" t="s">
        <v>14</v>
      </c>
      <c r="L1548" s="3" t="s">
        <v>1508</v>
      </c>
      <c r="M1548" s="4">
        <v>46282</v>
      </c>
      <c r="N1548" s="3" t="s">
        <v>1509</v>
      </c>
      <c r="O1548" s="3" t="s">
        <v>22</v>
      </c>
      <c r="P1548" t="str">
        <f t="shared" si="24"/>
        <v>450013837120</v>
      </c>
      <c r="Q1548" s="7" cm="1">
        <f t="array" ref="Q1548:S1548">VLOOKUP(P1548,Hoja1!C:F,{2,3,4},FALSE)</f>
        <v>46281</v>
      </c>
      <c r="R1548" t="str">
        <v>C08</v>
      </c>
      <c r="S1548" t="str">
        <v>1000003014 DICO ACEROS SRL</v>
      </c>
    </row>
    <row r="1549" spans="1:19" x14ac:dyDescent="0.3">
      <c r="A1549" s="2" t="s">
        <v>14</v>
      </c>
      <c r="B1549" s="3" t="s">
        <v>14</v>
      </c>
      <c r="C1549" s="3" t="s">
        <v>1510</v>
      </c>
      <c r="D1549" s="3" t="s">
        <v>14</v>
      </c>
      <c r="E1549" s="3" t="s">
        <v>466</v>
      </c>
      <c r="F1549" s="4">
        <v>46281</v>
      </c>
      <c r="G1549" s="3" t="s">
        <v>17</v>
      </c>
      <c r="H1549" s="5">
        <v>-141090</v>
      </c>
      <c r="I1549" s="3" t="s">
        <v>18</v>
      </c>
      <c r="J1549" s="3" t="s">
        <v>14</v>
      </c>
      <c r="K1549" s="3" t="s">
        <v>14</v>
      </c>
      <c r="L1549" s="3" t="s">
        <v>1056</v>
      </c>
      <c r="M1549" s="4">
        <v>46282</v>
      </c>
      <c r="N1549" s="3" t="s">
        <v>1511</v>
      </c>
      <c r="O1549" s="3" t="s">
        <v>30</v>
      </c>
      <c r="P1549" t="str">
        <f t="shared" si="24"/>
        <v>450013782610</v>
      </c>
      <c r="Q1549" s="7" cm="1">
        <f t="array" ref="Q1549:S1549">VLOOKUP(P1549,Hoja1!C:F,{2,3,4},FALSE)</f>
        <v>46283</v>
      </c>
      <c r="R1549" t="str">
        <v>C27</v>
      </c>
      <c r="S1549" t="str">
        <v>1000007373 ANGIULLI SERGIO RAUL</v>
      </c>
    </row>
    <row r="1550" spans="1:19" x14ac:dyDescent="0.3">
      <c r="A1550" s="2" t="s">
        <v>14</v>
      </c>
      <c r="B1550" s="3" t="s">
        <v>14</v>
      </c>
      <c r="C1550" s="3" t="s">
        <v>1510</v>
      </c>
      <c r="D1550" s="3" t="s">
        <v>14</v>
      </c>
      <c r="E1550" s="3" t="s">
        <v>466</v>
      </c>
      <c r="F1550" s="4">
        <v>46281</v>
      </c>
      <c r="G1550" s="3" t="s">
        <v>17</v>
      </c>
      <c r="H1550" s="5">
        <v>-53031</v>
      </c>
      <c r="I1550" s="3" t="s">
        <v>18</v>
      </c>
      <c r="J1550" s="3" t="s">
        <v>14</v>
      </c>
      <c r="K1550" s="3" t="s">
        <v>14</v>
      </c>
      <c r="L1550" s="3" t="s">
        <v>1056</v>
      </c>
      <c r="M1550" s="4">
        <v>46282</v>
      </c>
      <c r="N1550" s="3" t="s">
        <v>1511</v>
      </c>
      <c r="O1550" s="3" t="s">
        <v>22</v>
      </c>
      <c r="P1550" t="str">
        <f t="shared" si="24"/>
        <v>450013782620</v>
      </c>
      <c r="Q1550" s="7" cm="1">
        <f t="array" ref="Q1550:S1550">VLOOKUP(P1550,Hoja1!C:F,{2,3,4},FALSE)</f>
        <v>46283</v>
      </c>
      <c r="R1550" t="str">
        <v>C27</v>
      </c>
      <c r="S1550" t="str">
        <v>1000007373 ANGIULLI SERGIO RAUL</v>
      </c>
    </row>
    <row r="1551" spans="1:19" x14ac:dyDescent="0.3">
      <c r="A1551" s="2" t="s">
        <v>14</v>
      </c>
      <c r="B1551" s="3" t="s">
        <v>14</v>
      </c>
      <c r="C1551" s="3" t="s">
        <v>1510</v>
      </c>
      <c r="D1551" s="3" t="s">
        <v>14</v>
      </c>
      <c r="E1551" s="3" t="s">
        <v>466</v>
      </c>
      <c r="F1551" s="4">
        <v>46281</v>
      </c>
      <c r="G1551" s="3" t="s">
        <v>17</v>
      </c>
      <c r="H1551" s="5">
        <v>-84056</v>
      </c>
      <c r="I1551" s="3" t="s">
        <v>18</v>
      </c>
      <c r="J1551" s="3" t="s">
        <v>14</v>
      </c>
      <c r="K1551" s="3" t="s">
        <v>14</v>
      </c>
      <c r="L1551" s="3" t="s">
        <v>1056</v>
      </c>
      <c r="M1551" s="4">
        <v>46282</v>
      </c>
      <c r="N1551" s="3" t="s">
        <v>1511</v>
      </c>
      <c r="O1551" s="3" t="s">
        <v>35</v>
      </c>
      <c r="P1551" t="str">
        <f t="shared" si="24"/>
        <v>450013782630</v>
      </c>
      <c r="Q1551" s="7" cm="1">
        <f t="array" ref="Q1551:S1551">VLOOKUP(P1551,Hoja1!C:F,{2,3,4},FALSE)</f>
        <v>46283</v>
      </c>
      <c r="R1551" t="str">
        <v>C27</v>
      </c>
      <c r="S1551" t="str">
        <v>1000007373 ANGIULLI SERGIO RAUL</v>
      </c>
    </row>
    <row r="1552" spans="1:19" x14ac:dyDescent="0.3">
      <c r="A1552" s="2" t="s">
        <v>14</v>
      </c>
      <c r="B1552" s="3" t="s">
        <v>14</v>
      </c>
      <c r="C1552" s="3" t="s">
        <v>1512</v>
      </c>
      <c r="D1552" s="3" t="s">
        <v>14</v>
      </c>
      <c r="E1552" s="3" t="s">
        <v>466</v>
      </c>
      <c r="F1552" s="4">
        <v>46281</v>
      </c>
      <c r="G1552" s="3" t="s">
        <v>17</v>
      </c>
      <c r="H1552" s="5">
        <v>-165897.60000000001</v>
      </c>
      <c r="I1552" s="3" t="s">
        <v>18</v>
      </c>
      <c r="J1552" s="3" t="s">
        <v>14</v>
      </c>
      <c r="K1552" s="3" t="s">
        <v>14</v>
      </c>
      <c r="L1552" s="3" t="s">
        <v>1056</v>
      </c>
      <c r="M1552" s="4">
        <v>46282</v>
      </c>
      <c r="N1552" s="3" t="s">
        <v>1131</v>
      </c>
      <c r="O1552" s="3" t="s">
        <v>138</v>
      </c>
      <c r="P1552" t="str">
        <f t="shared" si="24"/>
        <v>450013558990</v>
      </c>
      <c r="Q1552" s="7" cm="1">
        <f t="array" ref="Q1552:S1552">VLOOKUP(P1552,Hoja1!C:F,{2,3,4},FALSE)</f>
        <v>46255</v>
      </c>
      <c r="R1552" t="str">
        <v>C27</v>
      </c>
      <c r="S1552" t="str">
        <v>1000007373 ANGIULLI SERGIO RAUL</v>
      </c>
    </row>
    <row r="1553" spans="1:19" x14ac:dyDescent="0.3">
      <c r="A1553" s="2" t="s">
        <v>14</v>
      </c>
      <c r="B1553" s="3" t="s">
        <v>14</v>
      </c>
      <c r="C1553" s="3" t="s">
        <v>1513</v>
      </c>
      <c r="D1553" s="3" t="s">
        <v>14</v>
      </c>
      <c r="E1553" s="3" t="s">
        <v>466</v>
      </c>
      <c r="F1553" s="4">
        <v>46280</v>
      </c>
      <c r="G1553" s="3" t="s">
        <v>17</v>
      </c>
      <c r="H1553" s="5">
        <v>-633100.94999999995</v>
      </c>
      <c r="I1553" s="3" t="s">
        <v>18</v>
      </c>
      <c r="J1553" s="3" t="s">
        <v>14</v>
      </c>
      <c r="K1553" s="3" t="s">
        <v>14</v>
      </c>
      <c r="L1553" s="3" t="s">
        <v>399</v>
      </c>
      <c r="M1553" s="4">
        <v>46282</v>
      </c>
      <c r="N1553" s="3" t="s">
        <v>1514</v>
      </c>
      <c r="O1553" s="3" t="s">
        <v>30</v>
      </c>
      <c r="P1553" t="str">
        <f t="shared" si="24"/>
        <v>450013589610</v>
      </c>
      <c r="Q1553" s="7" cm="1">
        <f t="array" ref="Q1553:S1553">VLOOKUP(P1553,Hoja1!C:F,{2,3,4},FALSE)</f>
        <v>46295</v>
      </c>
      <c r="R1553" t="str">
        <v>C03</v>
      </c>
      <c r="S1553" t="str">
        <v>1000000561 ESCANDINAVIA DEL PLATA SA</v>
      </c>
    </row>
    <row r="1554" spans="1:19" x14ac:dyDescent="0.3">
      <c r="A1554" s="2" t="s">
        <v>14</v>
      </c>
      <c r="B1554" s="3" t="s">
        <v>14</v>
      </c>
      <c r="C1554" s="3" t="s">
        <v>1515</v>
      </c>
      <c r="D1554" s="3" t="s">
        <v>14</v>
      </c>
      <c r="E1554" s="3" t="s">
        <v>466</v>
      </c>
      <c r="F1554" s="4">
        <v>46280</v>
      </c>
      <c r="G1554" s="3" t="s">
        <v>17</v>
      </c>
      <c r="H1554" s="5">
        <v>-679140.54</v>
      </c>
      <c r="I1554" s="3" t="s">
        <v>18</v>
      </c>
      <c r="J1554" s="3" t="s">
        <v>14</v>
      </c>
      <c r="K1554" s="3" t="s">
        <v>14</v>
      </c>
      <c r="L1554" s="3" t="s">
        <v>399</v>
      </c>
      <c r="M1554" s="4">
        <v>46282</v>
      </c>
      <c r="N1554" s="3" t="s">
        <v>1516</v>
      </c>
      <c r="O1554" s="3" t="s">
        <v>22</v>
      </c>
      <c r="P1554" t="str">
        <f t="shared" si="24"/>
        <v>450013801120</v>
      </c>
      <c r="Q1554" s="7" cm="1">
        <f t="array" ref="Q1554:S1554">VLOOKUP(P1554,Hoja1!C:F,{2,3,4},FALSE)</f>
        <v>46282</v>
      </c>
      <c r="R1554" t="str">
        <v>C29</v>
      </c>
      <c r="S1554" t="str">
        <v>1000000561 ESCANDINAVIA DEL PLATA SA</v>
      </c>
    </row>
    <row r="1555" spans="1:19" x14ac:dyDescent="0.3">
      <c r="A1555" s="2" t="s">
        <v>14</v>
      </c>
      <c r="B1555" s="3" t="s">
        <v>14</v>
      </c>
      <c r="C1555" s="3" t="s">
        <v>1515</v>
      </c>
      <c r="D1555" s="3" t="s">
        <v>14</v>
      </c>
      <c r="E1555" s="3" t="s">
        <v>466</v>
      </c>
      <c r="F1555" s="4">
        <v>46280</v>
      </c>
      <c r="G1555" s="3" t="s">
        <v>17</v>
      </c>
      <c r="H1555" s="5">
        <v>-108979.98</v>
      </c>
      <c r="I1555" s="3" t="s">
        <v>18</v>
      </c>
      <c r="J1555" s="3" t="s">
        <v>14</v>
      </c>
      <c r="K1555" s="3" t="s">
        <v>14</v>
      </c>
      <c r="L1555" s="3" t="s">
        <v>399</v>
      </c>
      <c r="M1555" s="4">
        <v>46282</v>
      </c>
      <c r="N1555" s="3" t="s">
        <v>1516</v>
      </c>
      <c r="O1555" s="3" t="s">
        <v>35</v>
      </c>
      <c r="P1555" t="str">
        <f t="shared" si="24"/>
        <v>450013801130</v>
      </c>
      <c r="Q1555" s="7" cm="1">
        <f t="array" ref="Q1555:S1555">VLOOKUP(P1555,Hoja1!C:F,{2,3,4},FALSE)</f>
        <v>46282</v>
      </c>
      <c r="R1555" t="str">
        <v>C29</v>
      </c>
      <c r="S1555" t="str">
        <v>1000000561 ESCANDINAVIA DEL PLATA SA</v>
      </c>
    </row>
    <row r="1556" spans="1:19" x14ac:dyDescent="0.3">
      <c r="A1556" s="2" t="s">
        <v>14</v>
      </c>
      <c r="B1556" s="3" t="s">
        <v>14</v>
      </c>
      <c r="C1556" s="3" t="s">
        <v>1515</v>
      </c>
      <c r="D1556" s="3" t="s">
        <v>14</v>
      </c>
      <c r="E1556" s="3" t="s">
        <v>466</v>
      </c>
      <c r="F1556" s="4">
        <v>46280</v>
      </c>
      <c r="G1556" s="3" t="s">
        <v>17</v>
      </c>
      <c r="H1556" s="5">
        <v>-1021185.57</v>
      </c>
      <c r="I1556" s="3" t="s">
        <v>18</v>
      </c>
      <c r="J1556" s="3" t="s">
        <v>14</v>
      </c>
      <c r="K1556" s="3" t="s">
        <v>14</v>
      </c>
      <c r="L1556" s="3" t="s">
        <v>399</v>
      </c>
      <c r="M1556" s="4">
        <v>46282</v>
      </c>
      <c r="N1556" s="3" t="s">
        <v>1516</v>
      </c>
      <c r="O1556" s="3" t="s">
        <v>23</v>
      </c>
      <c r="P1556" t="str">
        <f t="shared" si="24"/>
        <v>450013801140</v>
      </c>
      <c r="Q1556" s="7" cm="1">
        <f t="array" ref="Q1556:S1556">VLOOKUP(P1556,Hoja1!C:F,{2,3,4},FALSE)</f>
        <v>46282</v>
      </c>
      <c r="R1556" t="str">
        <v>C29</v>
      </c>
      <c r="S1556" t="str">
        <v>1000000561 ESCANDINAVIA DEL PLATA SA</v>
      </c>
    </row>
    <row r="1557" spans="1:19" x14ac:dyDescent="0.3">
      <c r="A1557" s="2" t="s">
        <v>14</v>
      </c>
      <c r="B1557" s="3" t="s">
        <v>14</v>
      </c>
      <c r="C1557" s="3" t="s">
        <v>1517</v>
      </c>
      <c r="D1557" s="3" t="s">
        <v>14</v>
      </c>
      <c r="E1557" s="3" t="s">
        <v>466</v>
      </c>
      <c r="F1557" s="4">
        <v>46282</v>
      </c>
      <c r="G1557" s="3" t="s">
        <v>17</v>
      </c>
      <c r="H1557" s="5">
        <v>-165289.26</v>
      </c>
      <c r="I1557" s="3" t="s">
        <v>18</v>
      </c>
      <c r="J1557" s="3" t="s">
        <v>14</v>
      </c>
      <c r="K1557" s="3" t="s">
        <v>14</v>
      </c>
      <c r="L1557" s="3" t="s">
        <v>915</v>
      </c>
      <c r="M1557" s="4">
        <v>46282</v>
      </c>
      <c r="N1557" s="3" t="s">
        <v>1518</v>
      </c>
      <c r="O1557" s="3" t="s">
        <v>30</v>
      </c>
      <c r="P1557" t="str">
        <f t="shared" si="24"/>
        <v>450013873410</v>
      </c>
      <c r="Q1557" s="7" cm="1">
        <f t="array" ref="Q1557:S1557">VLOOKUP(P1557,Hoja1!C:F,{2,3,4},FALSE)</f>
        <v>46300</v>
      </c>
      <c r="R1557" t="str">
        <v>EFO</v>
      </c>
      <c r="S1557" t="str">
        <v>1000013162 MADRYN REPUESTOS Y SERVICIOS SAS</v>
      </c>
    </row>
    <row r="1558" spans="1:19" x14ac:dyDescent="0.3">
      <c r="A1558" s="2" t="s">
        <v>14</v>
      </c>
      <c r="B1558" s="3" t="s">
        <v>14</v>
      </c>
      <c r="C1558" s="3" t="s">
        <v>1517</v>
      </c>
      <c r="D1558" s="3" t="s">
        <v>14</v>
      </c>
      <c r="E1558" s="3" t="s">
        <v>466</v>
      </c>
      <c r="F1558" s="4">
        <v>46282</v>
      </c>
      <c r="G1558" s="3" t="s">
        <v>17</v>
      </c>
      <c r="H1558" s="5">
        <v>-239669.42</v>
      </c>
      <c r="I1558" s="3" t="s">
        <v>18</v>
      </c>
      <c r="J1558" s="3" t="s">
        <v>14</v>
      </c>
      <c r="K1558" s="3" t="s">
        <v>14</v>
      </c>
      <c r="L1558" s="3" t="s">
        <v>915</v>
      </c>
      <c r="M1558" s="4">
        <v>46282</v>
      </c>
      <c r="N1558" s="3" t="s">
        <v>1518</v>
      </c>
      <c r="O1558" s="3" t="s">
        <v>22</v>
      </c>
      <c r="P1558" t="str">
        <f t="shared" si="24"/>
        <v>450013873420</v>
      </c>
      <c r="Q1558" s="7" cm="1">
        <f t="array" ref="Q1558:S1558">VLOOKUP(P1558,Hoja1!C:F,{2,3,4},FALSE)</f>
        <v>46300</v>
      </c>
      <c r="R1558" t="str">
        <v>EFO</v>
      </c>
      <c r="S1558" t="str">
        <v>1000013162 MADRYN REPUESTOS Y SERVICIOS SAS</v>
      </c>
    </row>
    <row r="1559" spans="1:19" x14ac:dyDescent="0.3">
      <c r="A1559" s="2" t="s">
        <v>14</v>
      </c>
      <c r="B1559" s="3" t="s">
        <v>14</v>
      </c>
      <c r="C1559" s="3" t="s">
        <v>1519</v>
      </c>
      <c r="D1559" s="3" t="s">
        <v>14</v>
      </c>
      <c r="E1559" s="3" t="s">
        <v>466</v>
      </c>
      <c r="F1559" s="4">
        <v>46282</v>
      </c>
      <c r="G1559" s="3" t="s">
        <v>17</v>
      </c>
      <c r="H1559" s="5">
        <v>-3554610.3</v>
      </c>
      <c r="I1559" s="3" t="s">
        <v>18</v>
      </c>
      <c r="J1559" s="3" t="s">
        <v>14</v>
      </c>
      <c r="K1559" s="3" t="s">
        <v>14</v>
      </c>
      <c r="L1559" s="3" t="s">
        <v>1520</v>
      </c>
      <c r="M1559" s="4">
        <v>46282</v>
      </c>
      <c r="N1559" s="3" t="s">
        <v>1521</v>
      </c>
      <c r="O1559" s="3" t="s">
        <v>30</v>
      </c>
      <c r="P1559" t="str">
        <f t="shared" si="24"/>
        <v>450013837610</v>
      </c>
      <c r="Q1559" s="7" cm="1">
        <f t="array" ref="Q1559:S1559">VLOOKUP(P1559,Hoja1!C:F,{2,3,4},FALSE)</f>
        <v>46290</v>
      </c>
      <c r="R1559" t="str">
        <v>C29</v>
      </c>
      <c r="S1559" t="str">
        <v>1000000657 CARLOS ANDRETICH S.A</v>
      </c>
    </row>
    <row r="1560" spans="1:19" x14ac:dyDescent="0.3">
      <c r="A1560" s="2" t="s">
        <v>14</v>
      </c>
      <c r="B1560" s="3" t="s">
        <v>14</v>
      </c>
      <c r="C1560" s="3" t="s">
        <v>1522</v>
      </c>
      <c r="D1560" s="3" t="s">
        <v>14</v>
      </c>
      <c r="E1560" s="3" t="s">
        <v>466</v>
      </c>
      <c r="F1560" s="4">
        <v>46281</v>
      </c>
      <c r="G1560" s="3" t="s">
        <v>17</v>
      </c>
      <c r="H1560" s="5">
        <v>-318985.96000000002</v>
      </c>
      <c r="I1560" s="3" t="s">
        <v>18</v>
      </c>
      <c r="J1560" s="3" t="s">
        <v>14</v>
      </c>
      <c r="K1560" s="3" t="s">
        <v>14</v>
      </c>
      <c r="L1560" s="3" t="s">
        <v>73</v>
      </c>
      <c r="M1560" s="4">
        <v>46281</v>
      </c>
      <c r="N1560" s="3" t="s">
        <v>402</v>
      </c>
      <c r="O1560" s="3" t="s">
        <v>30</v>
      </c>
      <c r="P1560" t="str">
        <f t="shared" si="24"/>
        <v>450013790610</v>
      </c>
      <c r="Q1560" s="7" cm="1">
        <f t="array" ref="Q1560:S1560">VLOOKUP(P1560,Hoja1!C:F,{2,3,4},FALSE)</f>
        <v>46295</v>
      </c>
      <c r="R1560" t="str">
        <v>C21</v>
      </c>
      <c r="S1560" t="str">
        <v>1000000808 GLOBAL OIL S.R.L.</v>
      </c>
    </row>
    <row r="1561" spans="1:19" x14ac:dyDescent="0.3">
      <c r="A1561" s="2" t="s">
        <v>14</v>
      </c>
      <c r="B1561" s="3" t="s">
        <v>14</v>
      </c>
      <c r="C1561" s="3" t="s">
        <v>1522</v>
      </c>
      <c r="D1561" s="3" t="s">
        <v>14</v>
      </c>
      <c r="E1561" s="3" t="s">
        <v>466</v>
      </c>
      <c r="F1561" s="4">
        <v>46281</v>
      </c>
      <c r="G1561" s="3" t="s">
        <v>17</v>
      </c>
      <c r="H1561" s="5">
        <v>-67133.86</v>
      </c>
      <c r="I1561" s="3" t="s">
        <v>18</v>
      </c>
      <c r="J1561" s="3" t="s">
        <v>14</v>
      </c>
      <c r="K1561" s="3" t="s">
        <v>14</v>
      </c>
      <c r="L1561" s="3" t="s">
        <v>73</v>
      </c>
      <c r="M1561" s="4">
        <v>46281</v>
      </c>
      <c r="N1561" s="3" t="s">
        <v>402</v>
      </c>
      <c r="O1561" s="3" t="s">
        <v>30</v>
      </c>
      <c r="P1561" t="str">
        <f t="shared" si="24"/>
        <v>450013790610</v>
      </c>
      <c r="Q1561" s="7" cm="1">
        <f t="array" ref="Q1561:S1561">VLOOKUP(P1561,Hoja1!C:F,{2,3,4},FALSE)</f>
        <v>46295</v>
      </c>
      <c r="R1561" t="str">
        <v>C21</v>
      </c>
      <c r="S1561" t="str">
        <v>1000000808 GLOBAL OIL S.R.L.</v>
      </c>
    </row>
    <row r="1562" spans="1:19" x14ac:dyDescent="0.3">
      <c r="A1562" s="2" t="s">
        <v>14</v>
      </c>
      <c r="B1562" s="3" t="s">
        <v>14</v>
      </c>
      <c r="C1562" s="3" t="s">
        <v>1523</v>
      </c>
      <c r="D1562" s="3" t="s">
        <v>14</v>
      </c>
      <c r="E1562" s="3" t="s">
        <v>466</v>
      </c>
      <c r="F1562" s="4">
        <v>46282</v>
      </c>
      <c r="G1562" s="3" t="s">
        <v>17</v>
      </c>
      <c r="H1562" s="5">
        <v>-82000</v>
      </c>
      <c r="I1562" s="3" t="s">
        <v>18</v>
      </c>
      <c r="J1562" s="3" t="s">
        <v>14</v>
      </c>
      <c r="K1562" s="3" t="s">
        <v>14</v>
      </c>
      <c r="L1562" s="3" t="s">
        <v>1182</v>
      </c>
      <c r="M1562" s="4">
        <v>46282</v>
      </c>
      <c r="N1562" s="3" t="s">
        <v>1524</v>
      </c>
      <c r="O1562" s="3" t="s">
        <v>30</v>
      </c>
      <c r="P1562" t="str">
        <f t="shared" si="24"/>
        <v>450013859010</v>
      </c>
      <c r="Q1562" s="7" cm="1">
        <f t="array" ref="Q1562:S1562">VLOOKUP(P1562,Hoja1!C:F,{2,3,4},FALSE)</f>
        <v>46289</v>
      </c>
      <c r="R1562" t="str">
        <v>C38</v>
      </c>
      <c r="S1562" t="str">
        <v>1000001653 RIAL JOSE ANGEL</v>
      </c>
    </row>
    <row r="1563" spans="1:19" x14ac:dyDescent="0.3">
      <c r="A1563" s="2" t="s">
        <v>14</v>
      </c>
      <c r="B1563" s="3" t="s">
        <v>14</v>
      </c>
      <c r="C1563" s="3" t="s">
        <v>1525</v>
      </c>
      <c r="D1563" s="3" t="s">
        <v>14</v>
      </c>
      <c r="E1563" s="3" t="s">
        <v>466</v>
      </c>
      <c r="F1563" s="4">
        <v>46282</v>
      </c>
      <c r="G1563" s="3" t="s">
        <v>17</v>
      </c>
      <c r="H1563" s="5">
        <v>-76840</v>
      </c>
      <c r="I1563" s="3" t="s">
        <v>18</v>
      </c>
      <c r="J1563" s="3" t="s">
        <v>14</v>
      </c>
      <c r="K1563" s="3" t="s">
        <v>14</v>
      </c>
      <c r="L1563" s="3" t="s">
        <v>1182</v>
      </c>
      <c r="M1563" s="4">
        <v>46282</v>
      </c>
      <c r="N1563" s="3" t="s">
        <v>1524</v>
      </c>
      <c r="O1563" s="3" t="s">
        <v>22</v>
      </c>
      <c r="P1563" t="str">
        <f t="shared" si="24"/>
        <v>450013859020</v>
      </c>
      <c r="Q1563" s="7" cm="1">
        <f t="array" ref="Q1563:S1563">VLOOKUP(P1563,Hoja1!C:F,{2,3,4},FALSE)</f>
        <v>46289</v>
      </c>
      <c r="R1563" t="str">
        <v>C38</v>
      </c>
      <c r="S1563" t="str">
        <v>1000001653 RIAL JOSE ANGEL</v>
      </c>
    </row>
    <row r="1564" spans="1:19" x14ac:dyDescent="0.3">
      <c r="A1564" s="2" t="s">
        <v>14</v>
      </c>
      <c r="B1564" s="3" t="s">
        <v>14</v>
      </c>
      <c r="C1564" s="3" t="s">
        <v>1525</v>
      </c>
      <c r="D1564" s="3" t="s">
        <v>14</v>
      </c>
      <c r="E1564" s="3" t="s">
        <v>466</v>
      </c>
      <c r="F1564" s="4">
        <v>46282</v>
      </c>
      <c r="G1564" s="3" t="s">
        <v>17</v>
      </c>
      <c r="H1564" s="5">
        <v>-81440</v>
      </c>
      <c r="I1564" s="3" t="s">
        <v>18</v>
      </c>
      <c r="J1564" s="3" t="s">
        <v>14</v>
      </c>
      <c r="K1564" s="3" t="s">
        <v>14</v>
      </c>
      <c r="L1564" s="3" t="s">
        <v>1182</v>
      </c>
      <c r="M1564" s="4">
        <v>46282</v>
      </c>
      <c r="N1564" s="3" t="s">
        <v>1524</v>
      </c>
      <c r="O1564" s="3" t="s">
        <v>35</v>
      </c>
      <c r="P1564" t="str">
        <f t="shared" si="24"/>
        <v>450013859030</v>
      </c>
      <c r="Q1564" s="7" cm="1">
        <f t="array" ref="Q1564:S1564">VLOOKUP(P1564,Hoja1!C:F,{2,3,4},FALSE)</f>
        <v>46289</v>
      </c>
      <c r="R1564" t="str">
        <v>C38</v>
      </c>
      <c r="S1564" t="str">
        <v>1000001653 RIAL JOSE ANGEL</v>
      </c>
    </row>
    <row r="1565" spans="1:19" x14ac:dyDescent="0.3">
      <c r="A1565" s="2" t="s">
        <v>14</v>
      </c>
      <c r="B1565" s="3" t="s">
        <v>14</v>
      </c>
      <c r="C1565" s="3" t="s">
        <v>1526</v>
      </c>
      <c r="D1565" s="3" t="s">
        <v>84</v>
      </c>
      <c r="E1565" s="3" t="s">
        <v>466</v>
      </c>
      <c r="F1565" s="4">
        <v>46282</v>
      </c>
      <c r="G1565" s="3" t="s">
        <v>17</v>
      </c>
      <c r="H1565" s="5">
        <v>-1759880.39</v>
      </c>
      <c r="I1565" s="3" t="s">
        <v>18</v>
      </c>
      <c r="J1565" s="3" t="s">
        <v>14</v>
      </c>
      <c r="K1565" s="3" t="s">
        <v>14</v>
      </c>
      <c r="L1565" s="3" t="s">
        <v>94</v>
      </c>
      <c r="M1565" s="4">
        <v>46282</v>
      </c>
      <c r="N1565" s="3" t="s">
        <v>1363</v>
      </c>
      <c r="O1565" s="3" t="s">
        <v>30</v>
      </c>
      <c r="P1565" t="str">
        <f t="shared" si="24"/>
        <v>450013476110</v>
      </c>
      <c r="Q1565" s="7" cm="1">
        <f t="array" ref="Q1565:S1565">VLOOKUP(P1565,Hoja1!C:F,{2,3,4},FALSE)</f>
        <v>46305</v>
      </c>
      <c r="R1565" t="str">
        <v>C26</v>
      </c>
      <c r="S1565" t="str">
        <v>1000003158 EMILIA MASSARELLI SRL</v>
      </c>
    </row>
    <row r="1566" spans="1:19" x14ac:dyDescent="0.3">
      <c r="A1566" s="2" t="s">
        <v>14</v>
      </c>
      <c r="B1566" s="3" t="s">
        <v>14</v>
      </c>
      <c r="C1566" s="3" t="s">
        <v>1527</v>
      </c>
      <c r="D1566" s="3" t="s">
        <v>14</v>
      </c>
      <c r="E1566" s="3" t="s">
        <v>466</v>
      </c>
      <c r="F1566" s="4">
        <v>46282</v>
      </c>
      <c r="G1566" s="3" t="s">
        <v>17</v>
      </c>
      <c r="H1566" s="5">
        <v>-14365.68</v>
      </c>
      <c r="I1566" s="3" t="s">
        <v>18</v>
      </c>
      <c r="J1566" s="3" t="s">
        <v>14</v>
      </c>
      <c r="K1566" s="3" t="s">
        <v>14</v>
      </c>
      <c r="L1566" s="3" t="s">
        <v>269</v>
      </c>
      <c r="M1566" s="4">
        <v>46282</v>
      </c>
      <c r="N1566" s="3" t="s">
        <v>1528</v>
      </c>
      <c r="O1566" s="3" t="s">
        <v>144</v>
      </c>
      <c r="P1566" t="str">
        <f t="shared" si="24"/>
        <v>450013795050</v>
      </c>
      <c r="Q1566" s="7" cm="1">
        <f t="array" ref="Q1566:S1566">VLOOKUP(P1566,Hoja1!C:F,{2,3,4},FALSE)</f>
        <v>46286</v>
      </c>
      <c r="R1566" t="str">
        <v>C03</v>
      </c>
      <c r="S1566" t="str">
        <v>1000000190 FERNANDEZ INSUA S.A.</v>
      </c>
    </row>
    <row r="1567" spans="1:19" x14ac:dyDescent="0.3">
      <c r="A1567" s="2" t="s">
        <v>14</v>
      </c>
      <c r="B1567" s="3" t="s">
        <v>14</v>
      </c>
      <c r="C1567" s="3" t="s">
        <v>1527</v>
      </c>
      <c r="D1567" s="3" t="s">
        <v>14</v>
      </c>
      <c r="E1567" s="3" t="s">
        <v>466</v>
      </c>
      <c r="F1567" s="4">
        <v>46282</v>
      </c>
      <c r="G1567" s="3" t="s">
        <v>17</v>
      </c>
      <c r="H1567" s="5">
        <v>-11468.4</v>
      </c>
      <c r="I1567" s="3" t="s">
        <v>18</v>
      </c>
      <c r="J1567" s="3" t="s">
        <v>14</v>
      </c>
      <c r="K1567" s="3" t="s">
        <v>14</v>
      </c>
      <c r="L1567" s="3" t="s">
        <v>269</v>
      </c>
      <c r="M1567" s="4">
        <v>46282</v>
      </c>
      <c r="N1567" s="3" t="s">
        <v>1528</v>
      </c>
      <c r="O1567" s="3" t="s">
        <v>52</v>
      </c>
      <c r="P1567" t="str">
        <f t="shared" si="24"/>
        <v>450013795080</v>
      </c>
      <c r="Q1567" s="7" cm="1">
        <f t="array" ref="Q1567:S1567">VLOOKUP(P1567,Hoja1!C:F,{2,3,4},FALSE)</f>
        <v>46286</v>
      </c>
      <c r="R1567" t="str">
        <v>C03</v>
      </c>
      <c r="S1567" t="str">
        <v>1000000190 FERNANDEZ INSUA S.A.</v>
      </c>
    </row>
    <row r="1568" spans="1:19" x14ac:dyDescent="0.3">
      <c r="A1568" s="2" t="s">
        <v>14</v>
      </c>
      <c r="B1568" s="3" t="s">
        <v>14</v>
      </c>
      <c r="C1568" s="3" t="s">
        <v>1527</v>
      </c>
      <c r="D1568" s="3" t="s">
        <v>14</v>
      </c>
      <c r="E1568" s="3" t="s">
        <v>466</v>
      </c>
      <c r="F1568" s="4">
        <v>46282</v>
      </c>
      <c r="G1568" s="3" t="s">
        <v>17</v>
      </c>
      <c r="H1568" s="5">
        <v>-5734.2</v>
      </c>
      <c r="I1568" s="3" t="s">
        <v>18</v>
      </c>
      <c r="J1568" s="3" t="s">
        <v>14</v>
      </c>
      <c r="K1568" s="3" t="s">
        <v>14</v>
      </c>
      <c r="L1568" s="3" t="s">
        <v>269</v>
      </c>
      <c r="M1568" s="4">
        <v>46282</v>
      </c>
      <c r="N1568" s="3" t="s">
        <v>1528</v>
      </c>
      <c r="O1568" s="3" t="s">
        <v>138</v>
      </c>
      <c r="P1568" t="str">
        <f t="shared" si="24"/>
        <v>450013795090</v>
      </c>
      <c r="Q1568" s="7" cm="1">
        <f t="array" ref="Q1568:S1568">VLOOKUP(P1568,Hoja1!C:F,{2,3,4},FALSE)</f>
        <v>46286</v>
      </c>
      <c r="R1568" t="str">
        <v>C03</v>
      </c>
      <c r="S1568" t="str">
        <v>1000000190 FERNANDEZ INSUA S.A.</v>
      </c>
    </row>
    <row r="1569" spans="1:19" x14ac:dyDescent="0.3">
      <c r="A1569" s="2" t="s">
        <v>14</v>
      </c>
      <c r="B1569" s="3" t="s">
        <v>14</v>
      </c>
      <c r="C1569" s="3" t="s">
        <v>1527</v>
      </c>
      <c r="D1569" s="3" t="s">
        <v>14</v>
      </c>
      <c r="E1569" s="3" t="s">
        <v>466</v>
      </c>
      <c r="F1569" s="4">
        <v>46282</v>
      </c>
      <c r="G1569" s="3" t="s">
        <v>17</v>
      </c>
      <c r="H1569" s="5">
        <v>-8601.2999999999993</v>
      </c>
      <c r="I1569" s="3" t="s">
        <v>18</v>
      </c>
      <c r="J1569" s="3" t="s">
        <v>14</v>
      </c>
      <c r="K1569" s="3" t="s">
        <v>14</v>
      </c>
      <c r="L1569" s="3" t="s">
        <v>269</v>
      </c>
      <c r="M1569" s="4">
        <v>46282</v>
      </c>
      <c r="N1569" s="3" t="s">
        <v>1528</v>
      </c>
      <c r="O1569" s="3" t="s">
        <v>132</v>
      </c>
      <c r="P1569" t="str">
        <f t="shared" si="24"/>
        <v>4500137950120</v>
      </c>
      <c r="Q1569" s="7" cm="1">
        <f t="array" ref="Q1569:S1569">VLOOKUP(P1569,Hoja1!C:F,{2,3,4},FALSE)</f>
        <v>46286</v>
      </c>
      <c r="R1569" t="str">
        <v>C03</v>
      </c>
      <c r="S1569" t="str">
        <v>1000000190 FERNANDEZ INSUA S.A.</v>
      </c>
    </row>
    <row r="1570" spans="1:19" x14ac:dyDescent="0.3">
      <c r="A1570" s="2" t="s">
        <v>14</v>
      </c>
      <c r="B1570" s="3" t="s">
        <v>14</v>
      </c>
      <c r="C1570" s="3" t="s">
        <v>1529</v>
      </c>
      <c r="D1570" s="3" t="s">
        <v>14</v>
      </c>
      <c r="E1570" s="3" t="s">
        <v>466</v>
      </c>
      <c r="F1570" s="4">
        <v>46282</v>
      </c>
      <c r="G1570" s="3" t="s">
        <v>17</v>
      </c>
      <c r="H1570" s="5">
        <v>-300000</v>
      </c>
      <c r="I1570" s="3" t="s">
        <v>18</v>
      </c>
      <c r="J1570" s="3" t="s">
        <v>14</v>
      </c>
      <c r="K1570" s="3" t="s">
        <v>14</v>
      </c>
      <c r="L1570" s="3" t="s">
        <v>984</v>
      </c>
      <c r="M1570" s="4">
        <v>46282</v>
      </c>
      <c r="N1570" s="3" t="s">
        <v>1530</v>
      </c>
      <c r="O1570" s="3" t="s">
        <v>30</v>
      </c>
      <c r="P1570" t="str">
        <f t="shared" si="24"/>
        <v>450013842610</v>
      </c>
      <c r="Q1570" s="7" cm="1">
        <f t="array" ref="Q1570:S1570">VLOOKUP(P1570,Hoja1!C:F,{2,3,4},FALSE)</f>
        <v>46293</v>
      </c>
      <c r="R1570" t="str">
        <v>C03</v>
      </c>
      <c r="S1570" t="str">
        <v>1000009554 SCARONE FEDERICO AGUSTIN</v>
      </c>
    </row>
    <row r="1571" spans="1:19" x14ac:dyDescent="0.3">
      <c r="A1571" s="2" t="s">
        <v>14</v>
      </c>
      <c r="B1571" s="3" t="s">
        <v>14</v>
      </c>
      <c r="C1571" s="3" t="s">
        <v>1531</v>
      </c>
      <c r="D1571" s="3" t="s">
        <v>14</v>
      </c>
      <c r="E1571" s="3" t="s">
        <v>466</v>
      </c>
      <c r="F1571" s="4">
        <v>46282</v>
      </c>
      <c r="G1571" s="3" t="s">
        <v>17</v>
      </c>
      <c r="H1571" s="5">
        <v>-240000</v>
      </c>
      <c r="I1571" s="3" t="s">
        <v>18</v>
      </c>
      <c r="J1571" s="3" t="s">
        <v>14</v>
      </c>
      <c r="K1571" s="3" t="s">
        <v>14</v>
      </c>
      <c r="L1571" s="3" t="s">
        <v>753</v>
      </c>
      <c r="M1571" s="4">
        <v>46282</v>
      </c>
      <c r="N1571" s="3" t="s">
        <v>1532</v>
      </c>
      <c r="O1571" s="3" t="s">
        <v>30</v>
      </c>
      <c r="P1571" t="str">
        <f t="shared" si="24"/>
        <v>450013083610</v>
      </c>
      <c r="Q1571" s="7" cm="1">
        <f t="array" ref="Q1571:S1571">VLOOKUP(P1571,Hoja1!C:F,{2,3,4},FALSE)</f>
        <v>46198</v>
      </c>
      <c r="R1571" t="str">
        <v>EFO</v>
      </c>
      <c r="S1571" t="str">
        <v>1000000772 SASSIA DANIEL EDUARDO</v>
      </c>
    </row>
    <row r="1572" spans="1:19" x14ac:dyDescent="0.3">
      <c r="A1572" s="2" t="s">
        <v>14</v>
      </c>
      <c r="B1572" s="3" t="s">
        <v>14</v>
      </c>
      <c r="C1572" s="3" t="s">
        <v>1533</v>
      </c>
      <c r="D1572" s="3" t="s">
        <v>14</v>
      </c>
      <c r="E1572" s="3" t="s">
        <v>466</v>
      </c>
      <c r="F1572" s="4">
        <v>46282</v>
      </c>
      <c r="G1572" s="3" t="s">
        <v>17</v>
      </c>
      <c r="H1572" s="5">
        <v>-50181432.840000004</v>
      </c>
      <c r="I1572" s="3" t="s">
        <v>18</v>
      </c>
      <c r="J1572" s="3" t="s">
        <v>14</v>
      </c>
      <c r="K1572" s="3" t="s">
        <v>14</v>
      </c>
      <c r="L1572" s="3" t="s">
        <v>1534</v>
      </c>
      <c r="M1572" s="4">
        <v>46282</v>
      </c>
      <c r="N1572" s="3" t="s">
        <v>1535</v>
      </c>
      <c r="O1572" s="3" t="s">
        <v>30</v>
      </c>
      <c r="P1572" t="str">
        <f t="shared" si="24"/>
        <v>450013426710</v>
      </c>
      <c r="Q1572" s="7" cm="1">
        <f t="array" ref="Q1572:S1572">VLOOKUP(P1572,Hoja1!C:F,{2,3,4},FALSE)</f>
        <v>46294</v>
      </c>
      <c r="R1572" t="str">
        <v>C03</v>
      </c>
      <c r="S1572" t="str">
        <v>2000000224 B&amp;N Soluciones SPA</v>
      </c>
    </row>
    <row r="1573" spans="1:19" x14ac:dyDescent="0.3">
      <c r="A1573" s="2" t="s">
        <v>14</v>
      </c>
      <c r="B1573" s="3" t="s">
        <v>14</v>
      </c>
      <c r="C1573" s="3" t="s">
        <v>1536</v>
      </c>
      <c r="D1573" s="3" t="s">
        <v>14</v>
      </c>
      <c r="E1573" s="3" t="s">
        <v>466</v>
      </c>
      <c r="F1573" s="4">
        <v>46282</v>
      </c>
      <c r="G1573" s="3" t="s">
        <v>17</v>
      </c>
      <c r="H1573" s="5">
        <v>-95758.080000000002</v>
      </c>
      <c r="I1573" s="3" t="s">
        <v>18</v>
      </c>
      <c r="J1573" s="3" t="s">
        <v>14</v>
      </c>
      <c r="K1573" s="3" t="s">
        <v>14</v>
      </c>
      <c r="L1573" s="3" t="s">
        <v>1056</v>
      </c>
      <c r="M1573" s="4">
        <v>46282</v>
      </c>
      <c r="N1573" s="3" t="s">
        <v>1131</v>
      </c>
      <c r="O1573" s="3" t="s">
        <v>52</v>
      </c>
      <c r="P1573" t="str">
        <f t="shared" si="24"/>
        <v>450013558980</v>
      </c>
      <c r="Q1573" s="7" cm="1">
        <f t="array" ref="Q1573:S1573">VLOOKUP(P1573,Hoja1!C:F,{2,3,4},FALSE)</f>
        <v>46255</v>
      </c>
      <c r="R1573" t="str">
        <v>C27</v>
      </c>
      <c r="S1573" t="str">
        <v>1000007373 ANGIULLI SERGIO RAUL</v>
      </c>
    </row>
    <row r="1574" spans="1:19" x14ac:dyDescent="0.3">
      <c r="A1574" s="2" t="s">
        <v>14</v>
      </c>
      <c r="B1574" s="3" t="s">
        <v>14</v>
      </c>
      <c r="C1574" s="3" t="s">
        <v>1536</v>
      </c>
      <c r="D1574" s="3" t="s">
        <v>14</v>
      </c>
      <c r="E1574" s="3" t="s">
        <v>466</v>
      </c>
      <c r="F1574" s="4">
        <v>46282</v>
      </c>
      <c r="G1574" s="3" t="s">
        <v>17</v>
      </c>
      <c r="H1574" s="5">
        <v>-164736</v>
      </c>
      <c r="I1574" s="3" t="s">
        <v>18</v>
      </c>
      <c r="J1574" s="3" t="s">
        <v>14</v>
      </c>
      <c r="K1574" s="3" t="s">
        <v>14</v>
      </c>
      <c r="L1574" s="3" t="s">
        <v>1056</v>
      </c>
      <c r="M1574" s="4">
        <v>46282</v>
      </c>
      <c r="N1574" s="3" t="s">
        <v>1131</v>
      </c>
      <c r="O1574" s="3" t="s">
        <v>142</v>
      </c>
      <c r="P1574" t="str">
        <f t="shared" si="24"/>
        <v>4500135589130</v>
      </c>
      <c r="Q1574" s="7" cm="1">
        <f t="array" ref="Q1574:S1574">VLOOKUP(P1574,Hoja1!C:F,{2,3,4},FALSE)</f>
        <v>46255</v>
      </c>
      <c r="R1574" t="str">
        <v>C27</v>
      </c>
      <c r="S1574" t="str">
        <v>1000007373 ANGIULLI SERGIO RAUL</v>
      </c>
    </row>
    <row r="1575" spans="1:19" x14ac:dyDescent="0.3">
      <c r="A1575" s="2" t="s">
        <v>14</v>
      </c>
      <c r="B1575" s="3" t="s">
        <v>14</v>
      </c>
      <c r="C1575" s="3" t="s">
        <v>1537</v>
      </c>
      <c r="D1575" s="3" t="s">
        <v>14</v>
      </c>
      <c r="E1575" s="3" t="s">
        <v>466</v>
      </c>
      <c r="F1575" s="4">
        <v>46280</v>
      </c>
      <c r="G1575" s="3" t="s">
        <v>17</v>
      </c>
      <c r="H1575" s="5">
        <v>-936000</v>
      </c>
      <c r="I1575" s="3" t="s">
        <v>18</v>
      </c>
      <c r="J1575" s="3" t="s">
        <v>14</v>
      </c>
      <c r="K1575" s="3" t="s">
        <v>14</v>
      </c>
      <c r="L1575" s="3" t="s">
        <v>1538</v>
      </c>
      <c r="M1575" s="4">
        <v>46282</v>
      </c>
      <c r="N1575" s="3" t="s">
        <v>1539</v>
      </c>
      <c r="O1575" s="3" t="s">
        <v>30</v>
      </c>
      <c r="P1575" t="str">
        <f t="shared" si="24"/>
        <v>450013773210</v>
      </c>
      <c r="Q1575" s="7" cm="1">
        <f t="array" ref="Q1575:S1575">VLOOKUP(P1575,Hoja1!C:F,{2,3,4},FALSE)</f>
        <v>46283</v>
      </c>
      <c r="R1575" t="str">
        <v>L01</v>
      </c>
      <c r="S1575" t="str">
        <v>1000013547 MEDINA MIGUEL ANGEL</v>
      </c>
    </row>
    <row r="1576" spans="1:19" x14ac:dyDescent="0.3">
      <c r="A1576" s="2" t="s">
        <v>14</v>
      </c>
      <c r="B1576" s="3" t="s">
        <v>14</v>
      </c>
      <c r="C1576" s="3" t="s">
        <v>1540</v>
      </c>
      <c r="D1576" s="3" t="s">
        <v>14</v>
      </c>
      <c r="E1576" s="3" t="s">
        <v>466</v>
      </c>
      <c r="F1576" s="4">
        <v>46280</v>
      </c>
      <c r="G1576" s="3" t="s">
        <v>17</v>
      </c>
      <c r="H1576" s="5">
        <v>-814860</v>
      </c>
      <c r="I1576" s="3" t="s">
        <v>18</v>
      </c>
      <c r="J1576" s="3" t="s">
        <v>14</v>
      </c>
      <c r="K1576" s="3" t="s">
        <v>14</v>
      </c>
      <c r="L1576" s="3" t="s">
        <v>269</v>
      </c>
      <c r="M1576" s="4">
        <v>46282</v>
      </c>
      <c r="N1576" s="3" t="s">
        <v>1118</v>
      </c>
      <c r="O1576" s="3" t="s">
        <v>30</v>
      </c>
      <c r="P1576" t="str">
        <f t="shared" si="24"/>
        <v>450013672510</v>
      </c>
      <c r="Q1576" s="7" cm="1">
        <f t="array" ref="Q1576:S1576">VLOOKUP(P1576,Hoja1!C:F,{2,3,4},FALSE)</f>
        <v>46280</v>
      </c>
      <c r="R1576" t="str">
        <v>C03</v>
      </c>
      <c r="S1576" t="str">
        <v>1000000190 FERNANDEZ INSUA S.A.</v>
      </c>
    </row>
    <row r="1577" spans="1:19" x14ac:dyDescent="0.3">
      <c r="A1577" s="2" t="s">
        <v>14</v>
      </c>
      <c r="B1577" s="3" t="s">
        <v>14</v>
      </c>
      <c r="C1577" s="3" t="s">
        <v>1541</v>
      </c>
      <c r="D1577" s="3" t="s">
        <v>14</v>
      </c>
      <c r="E1577" s="3" t="s">
        <v>466</v>
      </c>
      <c r="F1577" s="4">
        <v>46282</v>
      </c>
      <c r="G1577" s="3" t="s">
        <v>17</v>
      </c>
      <c r="H1577" s="5">
        <v>-525670</v>
      </c>
      <c r="I1577" s="3" t="s">
        <v>18</v>
      </c>
      <c r="J1577" s="3" t="s">
        <v>14</v>
      </c>
      <c r="K1577" s="3" t="s">
        <v>14</v>
      </c>
      <c r="L1577" s="3" t="s">
        <v>20</v>
      </c>
      <c r="M1577" s="4">
        <v>46282</v>
      </c>
      <c r="N1577" s="3" t="s">
        <v>1542</v>
      </c>
      <c r="O1577" s="3" t="s">
        <v>30</v>
      </c>
      <c r="P1577" t="str">
        <f t="shared" si="24"/>
        <v>450013861810</v>
      </c>
      <c r="Q1577" s="7" cm="1">
        <f t="array" ref="Q1577:S1577">VLOOKUP(P1577,Hoja1!C:F,{2,3,4},FALSE)</f>
        <v>46297</v>
      </c>
      <c r="R1577" t="str">
        <v>C29</v>
      </c>
      <c r="S1577" t="str">
        <v>1000000754 AURELIA SACIYF</v>
      </c>
    </row>
    <row r="1578" spans="1:19" x14ac:dyDescent="0.3">
      <c r="A1578" s="2" t="s">
        <v>14</v>
      </c>
      <c r="B1578" s="3" t="s">
        <v>14</v>
      </c>
      <c r="C1578" s="3" t="s">
        <v>1541</v>
      </c>
      <c r="D1578" s="3" t="s">
        <v>14</v>
      </c>
      <c r="E1578" s="3" t="s">
        <v>466</v>
      </c>
      <c r="F1578" s="4">
        <v>46282</v>
      </c>
      <c r="G1578" s="3" t="s">
        <v>17</v>
      </c>
      <c r="H1578" s="5">
        <v>-337618.9</v>
      </c>
      <c r="I1578" s="3" t="s">
        <v>18</v>
      </c>
      <c r="J1578" s="3" t="s">
        <v>14</v>
      </c>
      <c r="K1578" s="3" t="s">
        <v>14</v>
      </c>
      <c r="L1578" s="3" t="s">
        <v>20</v>
      </c>
      <c r="M1578" s="4">
        <v>46282</v>
      </c>
      <c r="N1578" s="3" t="s">
        <v>1542</v>
      </c>
      <c r="O1578" s="3" t="s">
        <v>22</v>
      </c>
      <c r="P1578" t="str">
        <f t="shared" si="24"/>
        <v>450013861820</v>
      </c>
      <c r="Q1578" s="7" cm="1">
        <f t="array" ref="Q1578:S1578">VLOOKUP(P1578,Hoja1!C:F,{2,3,4},FALSE)</f>
        <v>46297</v>
      </c>
      <c r="R1578" t="str">
        <v>C29</v>
      </c>
      <c r="S1578" t="str">
        <v>1000000754 AURELIA SACIYF</v>
      </c>
    </row>
    <row r="1579" spans="1:19" x14ac:dyDescent="0.3">
      <c r="A1579" s="2" t="s">
        <v>14</v>
      </c>
      <c r="B1579" s="3" t="s">
        <v>14</v>
      </c>
      <c r="C1579" s="3" t="s">
        <v>1543</v>
      </c>
      <c r="D1579" s="3" t="s">
        <v>14</v>
      </c>
      <c r="E1579" s="3" t="s">
        <v>466</v>
      </c>
      <c r="F1579" s="4">
        <v>46282</v>
      </c>
      <c r="G1579" s="3" t="s">
        <v>17</v>
      </c>
      <c r="H1579" s="5">
        <v>-5372040</v>
      </c>
      <c r="I1579" s="3" t="s">
        <v>18</v>
      </c>
      <c r="J1579" s="3" t="s">
        <v>14</v>
      </c>
      <c r="K1579" s="3" t="s">
        <v>14</v>
      </c>
      <c r="L1579" s="3" t="s">
        <v>1400</v>
      </c>
      <c r="M1579" s="4">
        <v>46282</v>
      </c>
      <c r="N1579" s="3" t="s">
        <v>1544</v>
      </c>
      <c r="O1579" s="3" t="s">
        <v>30</v>
      </c>
      <c r="P1579" t="str">
        <f t="shared" si="24"/>
        <v>450013883510</v>
      </c>
      <c r="Q1579" s="7" cm="1">
        <f t="array" ref="Q1579:S1579">VLOOKUP(P1579,Hoja1!C:F,{2,3,4},FALSE)</f>
        <v>46289</v>
      </c>
      <c r="R1579" t="str">
        <v>C38</v>
      </c>
      <c r="S1579" t="str">
        <v>1000001871 ROMAGNOLI SILVANA LORENA</v>
      </c>
    </row>
    <row r="1580" spans="1:19" x14ac:dyDescent="0.3">
      <c r="A1580" s="2" t="s">
        <v>14</v>
      </c>
      <c r="B1580" s="3" t="s">
        <v>14</v>
      </c>
      <c r="C1580" s="3" t="s">
        <v>1543</v>
      </c>
      <c r="D1580" s="3" t="s">
        <v>14</v>
      </c>
      <c r="E1580" s="3" t="s">
        <v>466</v>
      </c>
      <c r="F1580" s="4">
        <v>46282</v>
      </c>
      <c r="G1580" s="3" t="s">
        <v>17</v>
      </c>
      <c r="H1580" s="5">
        <v>-2686020</v>
      </c>
      <c r="I1580" s="3" t="s">
        <v>18</v>
      </c>
      <c r="J1580" s="3" t="s">
        <v>14</v>
      </c>
      <c r="K1580" s="3" t="s">
        <v>14</v>
      </c>
      <c r="L1580" s="3" t="s">
        <v>1400</v>
      </c>
      <c r="M1580" s="4">
        <v>46282</v>
      </c>
      <c r="N1580" s="3" t="s">
        <v>1544</v>
      </c>
      <c r="O1580" s="3" t="s">
        <v>22</v>
      </c>
      <c r="P1580" t="str">
        <f t="shared" si="24"/>
        <v>450013883520</v>
      </c>
      <c r="Q1580" s="7" cm="1">
        <f t="array" ref="Q1580:S1580">VLOOKUP(P1580,Hoja1!C:F,{2,3,4},FALSE)</f>
        <v>46289</v>
      </c>
      <c r="R1580" t="str">
        <v>C38</v>
      </c>
      <c r="S1580" t="str">
        <v>1000001871 ROMAGNOLI SILVANA LORENA</v>
      </c>
    </row>
    <row r="1581" spans="1:19" x14ac:dyDescent="0.3">
      <c r="A1581" s="2" t="s">
        <v>14</v>
      </c>
      <c r="B1581" s="3" t="s">
        <v>14</v>
      </c>
      <c r="C1581" s="3" t="s">
        <v>1543</v>
      </c>
      <c r="D1581" s="3" t="s">
        <v>14</v>
      </c>
      <c r="E1581" s="3" t="s">
        <v>466</v>
      </c>
      <c r="F1581" s="4">
        <v>46282</v>
      </c>
      <c r="G1581" s="3" t="s">
        <v>17</v>
      </c>
      <c r="H1581" s="5">
        <v>-2052240</v>
      </c>
      <c r="I1581" s="3" t="s">
        <v>18</v>
      </c>
      <c r="J1581" s="3" t="s">
        <v>14</v>
      </c>
      <c r="K1581" s="3" t="s">
        <v>14</v>
      </c>
      <c r="L1581" s="3" t="s">
        <v>1400</v>
      </c>
      <c r="M1581" s="4">
        <v>46282</v>
      </c>
      <c r="N1581" s="3" t="s">
        <v>1544</v>
      </c>
      <c r="O1581" s="3" t="s">
        <v>35</v>
      </c>
      <c r="P1581" t="str">
        <f t="shared" si="24"/>
        <v>450013883530</v>
      </c>
      <c r="Q1581" s="7" cm="1">
        <f t="array" ref="Q1581:S1581">VLOOKUP(P1581,Hoja1!C:F,{2,3,4},FALSE)</f>
        <v>46289</v>
      </c>
      <c r="R1581" t="str">
        <v>C38</v>
      </c>
      <c r="S1581" t="str">
        <v>1000001871 ROMAGNOLI SILVANA LORENA</v>
      </c>
    </row>
    <row r="1582" spans="1:19" x14ac:dyDescent="0.3">
      <c r="A1582" s="2" t="s">
        <v>14</v>
      </c>
      <c r="B1582" s="3" t="s">
        <v>14</v>
      </c>
      <c r="C1582" s="3" t="s">
        <v>1545</v>
      </c>
      <c r="D1582" s="3" t="s">
        <v>14</v>
      </c>
      <c r="E1582" s="3" t="s">
        <v>466</v>
      </c>
      <c r="F1582" s="4">
        <v>46282</v>
      </c>
      <c r="G1582" s="3" t="s">
        <v>17</v>
      </c>
      <c r="H1582" s="5">
        <v>-509807.34</v>
      </c>
      <c r="I1582" s="3" t="s">
        <v>18</v>
      </c>
      <c r="J1582" s="3" t="s">
        <v>14</v>
      </c>
      <c r="K1582" s="3" t="s">
        <v>14</v>
      </c>
      <c r="L1582" s="3" t="s">
        <v>73</v>
      </c>
      <c r="M1582" s="4">
        <v>46282</v>
      </c>
      <c r="N1582" s="3" t="s">
        <v>402</v>
      </c>
      <c r="O1582" s="3" t="s">
        <v>30</v>
      </c>
      <c r="P1582" t="str">
        <f t="shared" si="24"/>
        <v>450013790610</v>
      </c>
      <c r="Q1582" s="7" cm="1">
        <f t="array" ref="Q1582:S1582">VLOOKUP(P1582,Hoja1!C:F,{2,3,4},FALSE)</f>
        <v>46295</v>
      </c>
      <c r="R1582" t="str">
        <v>C21</v>
      </c>
      <c r="S1582" t="str">
        <v>1000000808 GLOBAL OIL S.R.L.</v>
      </c>
    </row>
    <row r="1583" spans="1:19" x14ac:dyDescent="0.3">
      <c r="A1583" s="2" t="s">
        <v>14</v>
      </c>
      <c r="B1583" s="3" t="s">
        <v>14</v>
      </c>
      <c r="C1583" s="3" t="s">
        <v>1545</v>
      </c>
      <c r="D1583" s="3" t="s">
        <v>14</v>
      </c>
      <c r="E1583" s="3" t="s">
        <v>466</v>
      </c>
      <c r="F1583" s="4">
        <v>46282</v>
      </c>
      <c r="G1583" s="3" t="s">
        <v>17</v>
      </c>
      <c r="H1583" s="5">
        <v>-107294.17</v>
      </c>
      <c r="I1583" s="3" t="s">
        <v>18</v>
      </c>
      <c r="J1583" s="3" t="s">
        <v>14</v>
      </c>
      <c r="K1583" s="3" t="s">
        <v>14</v>
      </c>
      <c r="L1583" s="3" t="s">
        <v>73</v>
      </c>
      <c r="M1583" s="4">
        <v>46282</v>
      </c>
      <c r="N1583" s="3" t="s">
        <v>402</v>
      </c>
      <c r="O1583" s="3" t="s">
        <v>30</v>
      </c>
      <c r="P1583" t="str">
        <f t="shared" si="24"/>
        <v>450013790610</v>
      </c>
      <c r="Q1583" s="7" cm="1">
        <f t="array" ref="Q1583:S1583">VLOOKUP(P1583,Hoja1!C:F,{2,3,4},FALSE)</f>
        <v>46295</v>
      </c>
      <c r="R1583" t="str">
        <v>C21</v>
      </c>
      <c r="S1583" t="str">
        <v>1000000808 GLOBAL OIL S.R.L.</v>
      </c>
    </row>
    <row r="1584" spans="1:19" x14ac:dyDescent="0.3">
      <c r="A1584" s="2" t="s">
        <v>14</v>
      </c>
      <c r="B1584" s="3" t="s">
        <v>14</v>
      </c>
      <c r="C1584" s="3" t="s">
        <v>1546</v>
      </c>
      <c r="D1584" s="3" t="s">
        <v>14</v>
      </c>
      <c r="E1584" s="3" t="s">
        <v>466</v>
      </c>
      <c r="F1584" s="4">
        <v>46272</v>
      </c>
      <c r="G1584" s="3" t="s">
        <v>17</v>
      </c>
      <c r="H1584" s="5">
        <v>-120440</v>
      </c>
      <c r="I1584" s="3" t="s">
        <v>18</v>
      </c>
      <c r="J1584" s="3" t="s">
        <v>14</v>
      </c>
      <c r="K1584" s="3" t="s">
        <v>14</v>
      </c>
      <c r="L1584" s="3" t="s">
        <v>269</v>
      </c>
      <c r="M1584" s="4">
        <v>46283</v>
      </c>
      <c r="N1584" s="3" t="s">
        <v>1547</v>
      </c>
      <c r="O1584" s="3" t="s">
        <v>30</v>
      </c>
      <c r="P1584" t="str">
        <f t="shared" si="24"/>
        <v>450013747810</v>
      </c>
      <c r="Q1584" s="7" cm="1">
        <f t="array" ref="Q1584:S1584">VLOOKUP(P1584,Hoja1!C:F,{2,3,4},FALSE)</f>
        <v>46280</v>
      </c>
      <c r="R1584" t="str">
        <v>C03</v>
      </c>
      <c r="S1584" t="str">
        <v>1000000190 FERNANDEZ INSUA S.A.</v>
      </c>
    </row>
    <row r="1585" spans="1:19" x14ac:dyDescent="0.3">
      <c r="A1585" s="2" t="s">
        <v>14</v>
      </c>
      <c r="B1585" s="3" t="s">
        <v>14</v>
      </c>
      <c r="C1585" s="3" t="s">
        <v>1548</v>
      </c>
      <c r="D1585" s="3" t="s">
        <v>14</v>
      </c>
      <c r="E1585" s="3" t="s">
        <v>466</v>
      </c>
      <c r="F1585" s="4">
        <v>46281</v>
      </c>
      <c r="G1585" s="3" t="s">
        <v>17</v>
      </c>
      <c r="H1585" s="5">
        <v>-10978.5</v>
      </c>
      <c r="I1585" s="3" t="s">
        <v>18</v>
      </c>
      <c r="J1585" s="3" t="s">
        <v>14</v>
      </c>
      <c r="K1585" s="3" t="s">
        <v>14</v>
      </c>
      <c r="L1585" s="3" t="s">
        <v>1549</v>
      </c>
      <c r="M1585" s="4">
        <v>46283</v>
      </c>
      <c r="N1585" s="3" t="s">
        <v>1550</v>
      </c>
      <c r="O1585" s="3" t="s">
        <v>129</v>
      </c>
      <c r="P1585" t="str">
        <f t="shared" si="24"/>
        <v>4500138513160</v>
      </c>
      <c r="Q1585" s="7" cm="1">
        <f t="array" ref="Q1585:S1585">VLOOKUP(P1585,Hoja1!C:F,{2,3,4},FALSE)</f>
        <v>46283</v>
      </c>
      <c r="R1585" t="str">
        <v>C27</v>
      </c>
      <c r="S1585" t="str">
        <v>1000000577 IMPERIAL MOTOR S.A.</v>
      </c>
    </row>
    <row r="1586" spans="1:19" x14ac:dyDescent="0.3">
      <c r="A1586" s="2" t="s">
        <v>14</v>
      </c>
      <c r="B1586" s="3" t="s">
        <v>14</v>
      </c>
      <c r="C1586" s="3" t="s">
        <v>1551</v>
      </c>
      <c r="D1586" s="3" t="s">
        <v>14</v>
      </c>
      <c r="E1586" s="3" t="s">
        <v>466</v>
      </c>
      <c r="F1586" s="4">
        <v>46281</v>
      </c>
      <c r="G1586" s="3" t="s">
        <v>17</v>
      </c>
      <c r="H1586" s="5">
        <v>-69180</v>
      </c>
      <c r="I1586" s="3" t="s">
        <v>18</v>
      </c>
      <c r="J1586" s="3" t="s">
        <v>14</v>
      </c>
      <c r="K1586" s="3" t="s">
        <v>14</v>
      </c>
      <c r="L1586" s="3" t="s">
        <v>1549</v>
      </c>
      <c r="M1586" s="4">
        <v>46283</v>
      </c>
      <c r="N1586" s="3" t="s">
        <v>1550</v>
      </c>
      <c r="O1586" s="3" t="s">
        <v>22</v>
      </c>
      <c r="P1586" t="str">
        <f t="shared" si="24"/>
        <v>450013851320</v>
      </c>
      <c r="Q1586" s="7" cm="1">
        <f t="array" ref="Q1586:S1586">VLOOKUP(P1586,Hoja1!C:F,{2,3,4},FALSE)</f>
        <v>46283</v>
      </c>
      <c r="R1586" t="str">
        <v>C27</v>
      </c>
      <c r="S1586" t="str">
        <v>1000000577 IMPERIAL MOTOR S.A.</v>
      </c>
    </row>
    <row r="1587" spans="1:19" x14ac:dyDescent="0.3">
      <c r="A1587" s="2" t="s">
        <v>14</v>
      </c>
      <c r="B1587" s="3" t="s">
        <v>14</v>
      </c>
      <c r="C1587" s="3" t="s">
        <v>1551</v>
      </c>
      <c r="D1587" s="3" t="s">
        <v>14</v>
      </c>
      <c r="E1587" s="3" t="s">
        <v>466</v>
      </c>
      <c r="F1587" s="4">
        <v>46281</v>
      </c>
      <c r="G1587" s="3" t="s">
        <v>17</v>
      </c>
      <c r="H1587" s="5">
        <v>-26452.14</v>
      </c>
      <c r="I1587" s="3" t="s">
        <v>18</v>
      </c>
      <c r="J1587" s="3" t="s">
        <v>14</v>
      </c>
      <c r="K1587" s="3" t="s">
        <v>14</v>
      </c>
      <c r="L1587" s="3" t="s">
        <v>1549</v>
      </c>
      <c r="M1587" s="4">
        <v>46283</v>
      </c>
      <c r="N1587" s="3" t="s">
        <v>1550</v>
      </c>
      <c r="O1587" s="3" t="s">
        <v>35</v>
      </c>
      <c r="P1587" t="str">
        <f t="shared" si="24"/>
        <v>450013851330</v>
      </c>
      <c r="Q1587" s="7" cm="1">
        <f t="array" ref="Q1587:S1587">VLOOKUP(P1587,Hoja1!C:F,{2,3,4},FALSE)</f>
        <v>46283</v>
      </c>
      <c r="R1587" t="str">
        <v>C27</v>
      </c>
      <c r="S1587" t="str">
        <v>1000000577 IMPERIAL MOTOR S.A.</v>
      </c>
    </row>
    <row r="1588" spans="1:19" x14ac:dyDescent="0.3">
      <c r="A1588" s="2" t="s">
        <v>14</v>
      </c>
      <c r="B1588" s="3" t="s">
        <v>14</v>
      </c>
      <c r="C1588" s="3" t="s">
        <v>1551</v>
      </c>
      <c r="D1588" s="3" t="s">
        <v>14</v>
      </c>
      <c r="E1588" s="3" t="s">
        <v>466</v>
      </c>
      <c r="F1588" s="4">
        <v>46281</v>
      </c>
      <c r="G1588" s="3" t="s">
        <v>17</v>
      </c>
      <c r="H1588" s="5">
        <v>-18517.2</v>
      </c>
      <c r="I1588" s="3" t="s">
        <v>18</v>
      </c>
      <c r="J1588" s="3" t="s">
        <v>14</v>
      </c>
      <c r="K1588" s="3" t="s">
        <v>14</v>
      </c>
      <c r="L1588" s="3" t="s">
        <v>1549</v>
      </c>
      <c r="M1588" s="4">
        <v>46283</v>
      </c>
      <c r="N1588" s="3" t="s">
        <v>1550</v>
      </c>
      <c r="O1588" s="3" t="s">
        <v>45</v>
      </c>
      <c r="P1588" t="str">
        <f t="shared" si="24"/>
        <v>4500138513100</v>
      </c>
      <c r="Q1588" s="7" cm="1">
        <f t="array" ref="Q1588:S1588">VLOOKUP(P1588,Hoja1!C:F,{2,3,4},FALSE)</f>
        <v>46283</v>
      </c>
      <c r="R1588" t="str">
        <v>C27</v>
      </c>
      <c r="S1588" t="str">
        <v>1000000577 IMPERIAL MOTOR S.A.</v>
      </c>
    </row>
    <row r="1589" spans="1:19" x14ac:dyDescent="0.3">
      <c r="A1589" s="2" t="s">
        <v>14</v>
      </c>
      <c r="B1589" s="3" t="s">
        <v>14</v>
      </c>
      <c r="C1589" s="3" t="s">
        <v>1551</v>
      </c>
      <c r="D1589" s="3" t="s">
        <v>14</v>
      </c>
      <c r="E1589" s="3" t="s">
        <v>466</v>
      </c>
      <c r="F1589" s="4">
        <v>46281</v>
      </c>
      <c r="G1589" s="3" t="s">
        <v>17</v>
      </c>
      <c r="H1589" s="5">
        <v>-5424.12</v>
      </c>
      <c r="I1589" s="3" t="s">
        <v>18</v>
      </c>
      <c r="J1589" s="3" t="s">
        <v>14</v>
      </c>
      <c r="K1589" s="3" t="s">
        <v>14</v>
      </c>
      <c r="L1589" s="3" t="s">
        <v>1549</v>
      </c>
      <c r="M1589" s="4">
        <v>46283</v>
      </c>
      <c r="N1589" s="3" t="s">
        <v>1550</v>
      </c>
      <c r="O1589" s="3" t="s">
        <v>132</v>
      </c>
      <c r="P1589" t="str">
        <f t="shared" si="24"/>
        <v>4500138513120</v>
      </c>
      <c r="Q1589" s="7" cm="1">
        <f t="array" ref="Q1589:S1589">VLOOKUP(P1589,Hoja1!C:F,{2,3,4},FALSE)</f>
        <v>46283</v>
      </c>
      <c r="R1589" t="str">
        <v>C27</v>
      </c>
      <c r="S1589" t="str">
        <v>1000000577 IMPERIAL MOTOR S.A.</v>
      </c>
    </row>
    <row r="1590" spans="1:19" x14ac:dyDescent="0.3">
      <c r="A1590" s="2" t="s">
        <v>14</v>
      </c>
      <c r="B1590" s="3" t="s">
        <v>14</v>
      </c>
      <c r="C1590" s="3" t="s">
        <v>1551</v>
      </c>
      <c r="D1590" s="3" t="s">
        <v>14</v>
      </c>
      <c r="E1590" s="3" t="s">
        <v>466</v>
      </c>
      <c r="F1590" s="4">
        <v>46281</v>
      </c>
      <c r="G1590" s="3" t="s">
        <v>17</v>
      </c>
      <c r="H1590" s="5">
        <v>-5424.12</v>
      </c>
      <c r="I1590" s="3" t="s">
        <v>18</v>
      </c>
      <c r="J1590" s="3" t="s">
        <v>14</v>
      </c>
      <c r="K1590" s="3" t="s">
        <v>14</v>
      </c>
      <c r="L1590" s="3" t="s">
        <v>1549</v>
      </c>
      <c r="M1590" s="4">
        <v>46283</v>
      </c>
      <c r="N1590" s="3" t="s">
        <v>1550</v>
      </c>
      <c r="O1590" s="3" t="s">
        <v>142</v>
      </c>
      <c r="P1590" t="str">
        <f t="shared" si="24"/>
        <v>4500138513130</v>
      </c>
      <c r="Q1590" s="7" cm="1">
        <f t="array" ref="Q1590:S1590">VLOOKUP(P1590,Hoja1!C:F,{2,3,4},FALSE)</f>
        <v>46283</v>
      </c>
      <c r="R1590" t="str">
        <v>C27</v>
      </c>
      <c r="S1590" t="str">
        <v>1000000577 IMPERIAL MOTOR S.A.</v>
      </c>
    </row>
    <row r="1591" spans="1:19" x14ac:dyDescent="0.3">
      <c r="A1591" s="2" t="s">
        <v>14</v>
      </c>
      <c r="B1591" s="3" t="s">
        <v>14</v>
      </c>
      <c r="C1591" s="3" t="s">
        <v>1551</v>
      </c>
      <c r="D1591" s="3" t="s">
        <v>14</v>
      </c>
      <c r="E1591" s="3" t="s">
        <v>466</v>
      </c>
      <c r="F1591" s="4">
        <v>46281</v>
      </c>
      <c r="G1591" s="3" t="s">
        <v>17</v>
      </c>
      <c r="H1591" s="5">
        <v>-6732.18</v>
      </c>
      <c r="I1591" s="3" t="s">
        <v>18</v>
      </c>
      <c r="J1591" s="3" t="s">
        <v>14</v>
      </c>
      <c r="K1591" s="3" t="s">
        <v>14</v>
      </c>
      <c r="L1591" s="3" t="s">
        <v>1549</v>
      </c>
      <c r="M1591" s="4">
        <v>46283</v>
      </c>
      <c r="N1591" s="3" t="s">
        <v>1550</v>
      </c>
      <c r="O1591" s="3" t="s">
        <v>131</v>
      </c>
      <c r="P1591" t="str">
        <f t="shared" si="24"/>
        <v>4500138513140</v>
      </c>
      <c r="Q1591" s="7" cm="1">
        <f t="array" ref="Q1591:S1591">VLOOKUP(P1591,Hoja1!C:F,{2,3,4},FALSE)</f>
        <v>46283</v>
      </c>
      <c r="R1591" t="str">
        <v>C27</v>
      </c>
      <c r="S1591" t="str">
        <v>1000000577 IMPERIAL MOTOR S.A.</v>
      </c>
    </row>
    <row r="1592" spans="1:19" x14ac:dyDescent="0.3">
      <c r="A1592" s="2" t="s">
        <v>14</v>
      </c>
      <c r="B1592" s="3" t="s">
        <v>14</v>
      </c>
      <c r="C1592" s="3" t="s">
        <v>1551</v>
      </c>
      <c r="D1592" s="3" t="s">
        <v>14</v>
      </c>
      <c r="E1592" s="3" t="s">
        <v>466</v>
      </c>
      <c r="F1592" s="4">
        <v>46281</v>
      </c>
      <c r="G1592" s="3" t="s">
        <v>17</v>
      </c>
      <c r="H1592" s="5">
        <v>-10978.5</v>
      </c>
      <c r="I1592" s="3" t="s">
        <v>18</v>
      </c>
      <c r="J1592" s="3" t="s">
        <v>14</v>
      </c>
      <c r="K1592" s="3" t="s">
        <v>14</v>
      </c>
      <c r="L1592" s="3" t="s">
        <v>1549</v>
      </c>
      <c r="M1592" s="4">
        <v>46283</v>
      </c>
      <c r="N1592" s="3" t="s">
        <v>1550</v>
      </c>
      <c r="O1592" s="3" t="s">
        <v>68</v>
      </c>
      <c r="P1592" t="str">
        <f t="shared" si="24"/>
        <v>4500138513150</v>
      </c>
      <c r="Q1592" s="7" cm="1">
        <f t="array" ref="Q1592:S1592">VLOOKUP(P1592,Hoja1!C:F,{2,3,4},FALSE)</f>
        <v>46283</v>
      </c>
      <c r="R1592" t="str">
        <v>C27</v>
      </c>
      <c r="S1592" t="str">
        <v>1000000577 IMPERIAL MOTOR S.A.</v>
      </c>
    </row>
    <row r="1593" spans="1:19" x14ac:dyDescent="0.3">
      <c r="A1593" s="2" t="s">
        <v>14</v>
      </c>
      <c r="B1593" s="3" t="s">
        <v>14</v>
      </c>
      <c r="C1593" s="3" t="s">
        <v>1551</v>
      </c>
      <c r="D1593" s="3" t="s">
        <v>14</v>
      </c>
      <c r="E1593" s="3" t="s">
        <v>466</v>
      </c>
      <c r="F1593" s="4">
        <v>46281</v>
      </c>
      <c r="G1593" s="3" t="s">
        <v>17</v>
      </c>
      <c r="H1593" s="5">
        <v>-5424.12</v>
      </c>
      <c r="I1593" s="3" t="s">
        <v>18</v>
      </c>
      <c r="J1593" s="3" t="s">
        <v>14</v>
      </c>
      <c r="K1593" s="3" t="s">
        <v>14</v>
      </c>
      <c r="L1593" s="3" t="s">
        <v>1549</v>
      </c>
      <c r="M1593" s="4">
        <v>46283</v>
      </c>
      <c r="N1593" s="3" t="s">
        <v>1550</v>
      </c>
      <c r="O1593" s="3" t="s">
        <v>161</v>
      </c>
      <c r="P1593" t="str">
        <f t="shared" si="24"/>
        <v>4500138513200</v>
      </c>
      <c r="Q1593" s="7" cm="1">
        <f t="array" ref="Q1593:S1593">VLOOKUP(P1593,Hoja1!C:F,{2,3,4},FALSE)</f>
        <v>46283</v>
      </c>
      <c r="R1593" t="str">
        <v>C27</v>
      </c>
      <c r="S1593" t="str">
        <v>1000000577 IMPERIAL MOTOR S.A.</v>
      </c>
    </row>
    <row r="1594" spans="1:19" x14ac:dyDescent="0.3">
      <c r="A1594" s="2" t="s">
        <v>14</v>
      </c>
      <c r="B1594" s="3" t="s">
        <v>14</v>
      </c>
      <c r="C1594" s="3" t="s">
        <v>1551</v>
      </c>
      <c r="D1594" s="3" t="s">
        <v>14</v>
      </c>
      <c r="E1594" s="3" t="s">
        <v>466</v>
      </c>
      <c r="F1594" s="4">
        <v>46281</v>
      </c>
      <c r="G1594" s="3" t="s">
        <v>17</v>
      </c>
      <c r="H1594" s="5">
        <v>-7310.94</v>
      </c>
      <c r="I1594" s="3" t="s">
        <v>18</v>
      </c>
      <c r="J1594" s="3" t="s">
        <v>14</v>
      </c>
      <c r="K1594" s="3" t="s">
        <v>14</v>
      </c>
      <c r="L1594" s="3" t="s">
        <v>1549</v>
      </c>
      <c r="M1594" s="4">
        <v>46283</v>
      </c>
      <c r="N1594" s="3" t="s">
        <v>1550</v>
      </c>
      <c r="O1594" s="3" t="s">
        <v>136</v>
      </c>
      <c r="P1594" t="str">
        <f t="shared" si="24"/>
        <v>4500138513210</v>
      </c>
      <c r="Q1594" s="7" cm="1">
        <f t="array" ref="Q1594:S1594">VLOOKUP(P1594,Hoja1!C:F,{2,3,4},FALSE)</f>
        <v>46283</v>
      </c>
      <c r="R1594" t="str">
        <v>C27</v>
      </c>
      <c r="S1594" t="str">
        <v>1000000577 IMPERIAL MOTOR S.A.</v>
      </c>
    </row>
    <row r="1595" spans="1:19" x14ac:dyDescent="0.3">
      <c r="A1595" s="2" t="s">
        <v>14</v>
      </c>
      <c r="B1595" s="3" t="s">
        <v>14</v>
      </c>
      <c r="C1595" s="3" t="s">
        <v>1552</v>
      </c>
      <c r="D1595" s="3" t="s">
        <v>14</v>
      </c>
      <c r="E1595" s="3" t="s">
        <v>466</v>
      </c>
      <c r="F1595" s="4">
        <v>46283</v>
      </c>
      <c r="G1595" s="3" t="s">
        <v>17</v>
      </c>
      <c r="H1595" s="5">
        <v>-79.64</v>
      </c>
      <c r="I1595" s="3" t="s">
        <v>18</v>
      </c>
      <c r="J1595" s="3" t="s">
        <v>14</v>
      </c>
      <c r="K1595" s="3" t="s">
        <v>14</v>
      </c>
      <c r="L1595" s="3" t="s">
        <v>73</v>
      </c>
      <c r="M1595" s="4">
        <v>46283</v>
      </c>
      <c r="N1595" s="3" t="s">
        <v>402</v>
      </c>
      <c r="O1595" s="3" t="s">
        <v>30</v>
      </c>
      <c r="P1595" t="str">
        <f t="shared" si="24"/>
        <v>450013790610</v>
      </c>
      <c r="Q1595" s="7" cm="1">
        <f t="array" ref="Q1595:S1595">VLOOKUP(P1595,Hoja1!C:F,{2,3,4},FALSE)</f>
        <v>46295</v>
      </c>
      <c r="R1595" t="str">
        <v>C21</v>
      </c>
      <c r="S1595" t="str">
        <v>1000000808 GLOBAL OIL S.R.L.</v>
      </c>
    </row>
    <row r="1596" spans="1:19" x14ac:dyDescent="0.3">
      <c r="A1596" s="2" t="s">
        <v>14</v>
      </c>
      <c r="B1596" s="3" t="s">
        <v>14</v>
      </c>
      <c r="C1596" s="3" t="s">
        <v>1552</v>
      </c>
      <c r="D1596" s="3" t="s">
        <v>14</v>
      </c>
      <c r="E1596" s="3" t="s">
        <v>466</v>
      </c>
      <c r="F1596" s="4">
        <v>46283</v>
      </c>
      <c r="G1596" s="3" t="s">
        <v>17</v>
      </c>
      <c r="H1596" s="5">
        <v>-16.760000000000002</v>
      </c>
      <c r="I1596" s="3" t="s">
        <v>18</v>
      </c>
      <c r="J1596" s="3" t="s">
        <v>14</v>
      </c>
      <c r="K1596" s="3" t="s">
        <v>14</v>
      </c>
      <c r="L1596" s="3" t="s">
        <v>73</v>
      </c>
      <c r="M1596" s="4">
        <v>46283</v>
      </c>
      <c r="N1596" s="3" t="s">
        <v>402</v>
      </c>
      <c r="O1596" s="3" t="s">
        <v>30</v>
      </c>
      <c r="P1596" t="str">
        <f t="shared" si="24"/>
        <v>450013790610</v>
      </c>
      <c r="Q1596" s="7" cm="1">
        <f t="array" ref="Q1596:S1596">VLOOKUP(P1596,Hoja1!C:F,{2,3,4},FALSE)</f>
        <v>46295</v>
      </c>
      <c r="R1596" t="str">
        <v>C21</v>
      </c>
      <c r="S1596" t="str">
        <v>1000000808 GLOBAL OIL S.R.L.</v>
      </c>
    </row>
    <row r="1597" spans="1:19" x14ac:dyDescent="0.3">
      <c r="A1597" s="2" t="s">
        <v>14</v>
      </c>
      <c r="B1597" s="3" t="s">
        <v>14</v>
      </c>
      <c r="C1597" s="3" t="s">
        <v>1553</v>
      </c>
      <c r="D1597" s="3" t="s">
        <v>14</v>
      </c>
      <c r="E1597" s="3" t="s">
        <v>466</v>
      </c>
      <c r="F1597" s="4">
        <v>46282</v>
      </c>
      <c r="G1597" s="3" t="s">
        <v>17</v>
      </c>
      <c r="H1597" s="5">
        <v>-391430</v>
      </c>
      <c r="I1597" s="3" t="s">
        <v>18</v>
      </c>
      <c r="J1597" s="3" t="s">
        <v>14</v>
      </c>
      <c r="K1597" s="3" t="s">
        <v>14</v>
      </c>
      <c r="L1597" s="3" t="s">
        <v>269</v>
      </c>
      <c r="M1597" s="4">
        <v>46283</v>
      </c>
      <c r="N1597" s="3" t="s">
        <v>1554</v>
      </c>
      <c r="O1597" s="3" t="s">
        <v>140</v>
      </c>
      <c r="P1597" t="str">
        <f t="shared" si="24"/>
        <v>4500138075220</v>
      </c>
      <c r="Q1597" s="7" cm="1">
        <f t="array" ref="Q1597:S1597">VLOOKUP(P1597,Hoja1!C:F,{2,3,4},FALSE)</f>
        <v>46290</v>
      </c>
      <c r="R1597" t="str">
        <v>C03</v>
      </c>
      <c r="S1597" t="str">
        <v>1000000190 FERNANDEZ INSUA S.A.</v>
      </c>
    </row>
    <row r="1598" spans="1:19" x14ac:dyDescent="0.3">
      <c r="A1598" s="2" t="s">
        <v>14</v>
      </c>
      <c r="B1598" s="3" t="s">
        <v>14</v>
      </c>
      <c r="C1598" s="3" t="s">
        <v>1553</v>
      </c>
      <c r="D1598" s="3" t="s">
        <v>14</v>
      </c>
      <c r="E1598" s="3" t="s">
        <v>466</v>
      </c>
      <c r="F1598" s="4">
        <v>46282</v>
      </c>
      <c r="G1598" s="3" t="s">
        <v>17</v>
      </c>
      <c r="H1598" s="5">
        <v>-210770</v>
      </c>
      <c r="I1598" s="3" t="s">
        <v>18</v>
      </c>
      <c r="J1598" s="3" t="s">
        <v>14</v>
      </c>
      <c r="K1598" s="3" t="s">
        <v>14</v>
      </c>
      <c r="L1598" s="3" t="s">
        <v>269</v>
      </c>
      <c r="M1598" s="4">
        <v>46283</v>
      </c>
      <c r="N1598" s="3" t="s">
        <v>1554</v>
      </c>
      <c r="O1598" s="3" t="s">
        <v>128</v>
      </c>
      <c r="P1598" t="str">
        <f t="shared" si="24"/>
        <v>4500138075250</v>
      </c>
      <c r="Q1598" s="7" cm="1">
        <f t="array" ref="Q1598:S1598">VLOOKUP(P1598,Hoja1!C:F,{2,3,4},FALSE)</f>
        <v>46290</v>
      </c>
      <c r="R1598" t="str">
        <v>C03</v>
      </c>
      <c r="S1598" t="str">
        <v>1000000190 FERNANDEZ INSUA S.A.</v>
      </c>
    </row>
    <row r="1599" spans="1:19" x14ac:dyDescent="0.3">
      <c r="A1599" s="2" t="s">
        <v>14</v>
      </c>
      <c r="B1599" s="3" t="s">
        <v>14</v>
      </c>
      <c r="C1599" s="3" t="s">
        <v>1553</v>
      </c>
      <c r="D1599" s="3" t="s">
        <v>14</v>
      </c>
      <c r="E1599" s="3" t="s">
        <v>466</v>
      </c>
      <c r="F1599" s="4">
        <v>46282</v>
      </c>
      <c r="G1599" s="3" t="s">
        <v>17</v>
      </c>
      <c r="H1599" s="5">
        <v>-36132</v>
      </c>
      <c r="I1599" s="3" t="s">
        <v>18</v>
      </c>
      <c r="J1599" s="3" t="s">
        <v>14</v>
      </c>
      <c r="K1599" s="3" t="s">
        <v>14</v>
      </c>
      <c r="L1599" s="3" t="s">
        <v>269</v>
      </c>
      <c r="M1599" s="4">
        <v>46283</v>
      </c>
      <c r="N1599" s="3" t="s">
        <v>1554</v>
      </c>
      <c r="O1599" s="3" t="s">
        <v>146</v>
      </c>
      <c r="P1599" t="str">
        <f t="shared" si="24"/>
        <v>4500138075270</v>
      </c>
      <c r="Q1599" s="7" cm="1">
        <f t="array" ref="Q1599:S1599">VLOOKUP(P1599,Hoja1!C:F,{2,3,4},FALSE)</f>
        <v>46290</v>
      </c>
      <c r="R1599" t="str">
        <v>C03</v>
      </c>
      <c r="S1599" t="str">
        <v>1000000190 FERNANDEZ INSUA S.A.</v>
      </c>
    </row>
    <row r="1600" spans="1:19" x14ac:dyDescent="0.3">
      <c r="A1600" s="2" t="s">
        <v>14</v>
      </c>
      <c r="B1600" s="3" t="s">
        <v>14</v>
      </c>
      <c r="C1600" s="3" t="s">
        <v>1553</v>
      </c>
      <c r="D1600" s="3" t="s">
        <v>14</v>
      </c>
      <c r="E1600" s="3" t="s">
        <v>466</v>
      </c>
      <c r="F1600" s="4">
        <v>46282</v>
      </c>
      <c r="G1600" s="3" t="s">
        <v>17</v>
      </c>
      <c r="H1600" s="5">
        <v>-36132</v>
      </c>
      <c r="I1600" s="3" t="s">
        <v>18</v>
      </c>
      <c r="J1600" s="3" t="s">
        <v>14</v>
      </c>
      <c r="K1600" s="3" t="s">
        <v>14</v>
      </c>
      <c r="L1600" s="3" t="s">
        <v>269</v>
      </c>
      <c r="M1600" s="4">
        <v>46283</v>
      </c>
      <c r="N1600" s="3" t="s">
        <v>1554</v>
      </c>
      <c r="O1600" s="3" t="s">
        <v>173</v>
      </c>
      <c r="P1600" t="str">
        <f t="shared" si="24"/>
        <v>4500138075290</v>
      </c>
      <c r="Q1600" s="7" cm="1">
        <f t="array" ref="Q1600:S1600">VLOOKUP(P1600,Hoja1!C:F,{2,3,4},FALSE)</f>
        <v>46290</v>
      </c>
      <c r="R1600" t="str">
        <v>C03</v>
      </c>
      <c r="S1600" t="str">
        <v>1000000190 FERNANDEZ INSUA S.A.</v>
      </c>
    </row>
    <row r="1601" spans="1:19" x14ac:dyDescent="0.3">
      <c r="A1601" s="2" t="s">
        <v>14</v>
      </c>
      <c r="B1601" s="3" t="s">
        <v>14</v>
      </c>
      <c r="C1601" s="3" t="s">
        <v>1553</v>
      </c>
      <c r="D1601" s="3" t="s">
        <v>14</v>
      </c>
      <c r="E1601" s="3" t="s">
        <v>466</v>
      </c>
      <c r="F1601" s="4">
        <v>46282</v>
      </c>
      <c r="G1601" s="3" t="s">
        <v>17</v>
      </c>
      <c r="H1601" s="5">
        <v>-135495</v>
      </c>
      <c r="I1601" s="3" t="s">
        <v>18</v>
      </c>
      <c r="J1601" s="3" t="s">
        <v>14</v>
      </c>
      <c r="K1601" s="3" t="s">
        <v>14</v>
      </c>
      <c r="L1601" s="3" t="s">
        <v>269</v>
      </c>
      <c r="M1601" s="4">
        <v>46283</v>
      </c>
      <c r="N1601" s="3" t="s">
        <v>1554</v>
      </c>
      <c r="O1601" s="3" t="s">
        <v>154</v>
      </c>
      <c r="P1601" t="str">
        <f t="shared" si="24"/>
        <v>4500138075330</v>
      </c>
      <c r="Q1601" s="7" cm="1">
        <f t="array" ref="Q1601:S1601">VLOOKUP(P1601,Hoja1!C:F,{2,3,4},FALSE)</f>
        <v>46290</v>
      </c>
      <c r="R1601" t="str">
        <v>C03</v>
      </c>
      <c r="S1601" t="str">
        <v>1000000190 FERNANDEZ INSUA S.A.</v>
      </c>
    </row>
    <row r="1602" spans="1:19" x14ac:dyDescent="0.3">
      <c r="A1602" s="2" t="s">
        <v>14</v>
      </c>
      <c r="B1602" s="3" t="s">
        <v>14</v>
      </c>
      <c r="C1602" s="3" t="s">
        <v>1555</v>
      </c>
      <c r="D1602" s="3" t="s">
        <v>14</v>
      </c>
      <c r="E1602" s="3" t="s">
        <v>466</v>
      </c>
      <c r="F1602" s="4">
        <v>46282</v>
      </c>
      <c r="G1602" s="3" t="s">
        <v>17</v>
      </c>
      <c r="H1602" s="5">
        <v>-52692.5</v>
      </c>
      <c r="I1602" s="3" t="s">
        <v>18</v>
      </c>
      <c r="J1602" s="3" t="s">
        <v>14</v>
      </c>
      <c r="K1602" s="3" t="s">
        <v>14</v>
      </c>
      <c r="L1602" s="3" t="s">
        <v>269</v>
      </c>
      <c r="M1602" s="4">
        <v>46283</v>
      </c>
      <c r="N1602" s="3" t="s">
        <v>1554</v>
      </c>
      <c r="O1602" s="3" t="s">
        <v>150</v>
      </c>
      <c r="P1602" t="str">
        <f t="shared" si="24"/>
        <v>4500138075320</v>
      </c>
      <c r="Q1602" s="7" cm="1">
        <f t="array" ref="Q1602:S1602">VLOOKUP(P1602,Hoja1!C:F,{2,3,4},FALSE)</f>
        <v>46290</v>
      </c>
      <c r="R1602" t="str">
        <v>C03</v>
      </c>
      <c r="S1602" t="str">
        <v>1000000190 FERNANDEZ INSUA S.A.</v>
      </c>
    </row>
    <row r="1603" spans="1:19" x14ac:dyDescent="0.3">
      <c r="A1603" s="2" t="s">
        <v>14</v>
      </c>
      <c r="B1603" s="3" t="s">
        <v>14</v>
      </c>
      <c r="C1603" s="3" t="s">
        <v>1556</v>
      </c>
      <c r="D1603" s="3" t="s">
        <v>14</v>
      </c>
      <c r="E1603" s="3" t="s">
        <v>466</v>
      </c>
      <c r="F1603" s="4">
        <v>46282</v>
      </c>
      <c r="G1603" s="3" t="s">
        <v>17</v>
      </c>
      <c r="H1603" s="5">
        <v>-302581.15000000002</v>
      </c>
      <c r="I1603" s="3" t="s">
        <v>18</v>
      </c>
      <c r="J1603" s="3" t="s">
        <v>14</v>
      </c>
      <c r="K1603" s="3" t="s">
        <v>14</v>
      </c>
      <c r="L1603" s="3" t="s">
        <v>73</v>
      </c>
      <c r="M1603" s="4">
        <v>46282</v>
      </c>
      <c r="N1603" s="3" t="s">
        <v>402</v>
      </c>
      <c r="O1603" s="3" t="s">
        <v>30</v>
      </c>
      <c r="P1603" t="str">
        <f t="shared" ref="P1603:P1666" si="25">_xlfn.CONCAT(N1603:O1603)</f>
        <v>450013790610</v>
      </c>
      <c r="Q1603" s="7" cm="1">
        <f t="array" ref="Q1603:S1603">VLOOKUP(P1603,Hoja1!C:F,{2,3,4},FALSE)</f>
        <v>46295</v>
      </c>
      <c r="R1603" t="str">
        <v>C21</v>
      </c>
      <c r="S1603" t="str">
        <v>1000000808 GLOBAL OIL S.R.L.</v>
      </c>
    </row>
    <row r="1604" spans="1:19" x14ac:dyDescent="0.3">
      <c r="A1604" s="2" t="s">
        <v>14</v>
      </c>
      <c r="B1604" s="3" t="s">
        <v>14</v>
      </c>
      <c r="C1604" s="3" t="s">
        <v>1556</v>
      </c>
      <c r="D1604" s="3" t="s">
        <v>14</v>
      </c>
      <c r="E1604" s="3" t="s">
        <v>466</v>
      </c>
      <c r="F1604" s="4">
        <v>46282</v>
      </c>
      <c r="G1604" s="3" t="s">
        <v>17</v>
      </c>
      <c r="H1604" s="5">
        <v>-63681.3</v>
      </c>
      <c r="I1604" s="3" t="s">
        <v>18</v>
      </c>
      <c r="J1604" s="3" t="s">
        <v>14</v>
      </c>
      <c r="K1604" s="3" t="s">
        <v>14</v>
      </c>
      <c r="L1604" s="3" t="s">
        <v>73</v>
      </c>
      <c r="M1604" s="4">
        <v>46282</v>
      </c>
      <c r="N1604" s="3" t="s">
        <v>402</v>
      </c>
      <c r="O1604" s="3" t="s">
        <v>30</v>
      </c>
      <c r="P1604" t="str">
        <f t="shared" si="25"/>
        <v>450013790610</v>
      </c>
      <c r="Q1604" s="7" cm="1">
        <f t="array" ref="Q1604:S1604">VLOOKUP(P1604,Hoja1!C:F,{2,3,4},FALSE)</f>
        <v>46295</v>
      </c>
      <c r="R1604" t="str">
        <v>C21</v>
      </c>
      <c r="S1604" t="str">
        <v>1000000808 GLOBAL OIL S.R.L.</v>
      </c>
    </row>
    <row r="1605" spans="1:19" x14ac:dyDescent="0.3">
      <c r="A1605" s="2" t="s">
        <v>14</v>
      </c>
      <c r="B1605" s="3" t="s">
        <v>14</v>
      </c>
      <c r="C1605" s="3" t="s">
        <v>1557</v>
      </c>
      <c r="D1605" s="3" t="s">
        <v>14</v>
      </c>
      <c r="E1605" s="3" t="s">
        <v>466</v>
      </c>
      <c r="F1605" s="4">
        <v>46283</v>
      </c>
      <c r="G1605" s="3" t="s">
        <v>17</v>
      </c>
      <c r="H1605" s="5">
        <v>-90656.75</v>
      </c>
      <c r="I1605" s="3" t="s">
        <v>18</v>
      </c>
      <c r="J1605" s="3" t="s">
        <v>14</v>
      </c>
      <c r="K1605" s="3" t="s">
        <v>14</v>
      </c>
      <c r="L1605" s="3" t="s">
        <v>73</v>
      </c>
      <c r="M1605" s="4">
        <v>46283</v>
      </c>
      <c r="N1605" s="3" t="s">
        <v>338</v>
      </c>
      <c r="O1605" s="3" t="s">
        <v>22</v>
      </c>
      <c r="P1605" t="str">
        <f t="shared" si="25"/>
        <v>450013315420</v>
      </c>
      <c r="Q1605" s="7" cm="1">
        <f t="array" ref="Q1605:S1605">VLOOKUP(P1605,Hoja1!C:F,{2,3,4},FALSE)</f>
        <v>46326</v>
      </c>
      <c r="R1605" t="str">
        <v>C21</v>
      </c>
      <c r="S1605" t="str">
        <v>1000000808 GLOBAL OIL S.R.L.</v>
      </c>
    </row>
    <row r="1606" spans="1:19" x14ac:dyDescent="0.3">
      <c r="A1606" s="2" t="s">
        <v>14</v>
      </c>
      <c r="B1606" s="3" t="s">
        <v>14</v>
      </c>
      <c r="C1606" s="3" t="s">
        <v>1557</v>
      </c>
      <c r="D1606" s="3" t="s">
        <v>14</v>
      </c>
      <c r="E1606" s="3" t="s">
        <v>466</v>
      </c>
      <c r="F1606" s="4">
        <v>46283</v>
      </c>
      <c r="G1606" s="3" t="s">
        <v>17</v>
      </c>
      <c r="H1606" s="5">
        <v>-1239.52</v>
      </c>
      <c r="I1606" s="3" t="s">
        <v>18</v>
      </c>
      <c r="J1606" s="3" t="s">
        <v>14</v>
      </c>
      <c r="K1606" s="3" t="s">
        <v>14</v>
      </c>
      <c r="L1606" s="3" t="s">
        <v>73</v>
      </c>
      <c r="M1606" s="4">
        <v>46283</v>
      </c>
      <c r="N1606" s="3" t="s">
        <v>338</v>
      </c>
      <c r="O1606" s="3" t="s">
        <v>22</v>
      </c>
      <c r="P1606" t="str">
        <f t="shared" si="25"/>
        <v>450013315420</v>
      </c>
      <c r="Q1606" s="7" cm="1">
        <f t="array" ref="Q1606:S1606">VLOOKUP(P1606,Hoja1!C:F,{2,3,4},FALSE)</f>
        <v>46326</v>
      </c>
      <c r="R1606" t="str">
        <v>C21</v>
      </c>
      <c r="S1606" t="str">
        <v>1000000808 GLOBAL OIL S.R.L.</v>
      </c>
    </row>
    <row r="1607" spans="1:19" x14ac:dyDescent="0.3">
      <c r="A1607" s="2" t="s">
        <v>14</v>
      </c>
      <c r="B1607" s="3" t="s">
        <v>14</v>
      </c>
      <c r="C1607" s="3" t="s">
        <v>1558</v>
      </c>
      <c r="D1607" s="3" t="s">
        <v>14</v>
      </c>
      <c r="E1607" s="3" t="s">
        <v>466</v>
      </c>
      <c r="F1607" s="4">
        <v>46281</v>
      </c>
      <c r="G1607" s="3" t="s">
        <v>17</v>
      </c>
      <c r="H1607" s="5">
        <v>-51944</v>
      </c>
      <c r="I1607" s="3" t="s">
        <v>18</v>
      </c>
      <c r="J1607" s="3" t="s">
        <v>14</v>
      </c>
      <c r="K1607" s="3" t="s">
        <v>14</v>
      </c>
      <c r="L1607" s="3" t="s">
        <v>617</v>
      </c>
      <c r="M1607" s="4">
        <v>46283</v>
      </c>
      <c r="N1607" s="3" t="s">
        <v>1559</v>
      </c>
      <c r="O1607" s="3" t="s">
        <v>30</v>
      </c>
      <c r="P1607" t="str">
        <f t="shared" si="25"/>
        <v>450013812610</v>
      </c>
      <c r="Q1607" s="7" cm="1">
        <f t="array" ref="Q1607:S1607">VLOOKUP(P1607,Hoja1!C:F,{2,3,4},FALSE)</f>
        <v>46290</v>
      </c>
      <c r="R1607" t="str">
        <v>C42</v>
      </c>
      <c r="S1607" t="str">
        <v>1000000018 REPUESTOS CARLITOS</v>
      </c>
    </row>
    <row r="1608" spans="1:19" x14ac:dyDescent="0.3">
      <c r="A1608" s="2" t="s">
        <v>14</v>
      </c>
      <c r="B1608" s="3" t="s">
        <v>14</v>
      </c>
      <c r="C1608" s="3" t="s">
        <v>1560</v>
      </c>
      <c r="D1608" s="3" t="s">
        <v>14</v>
      </c>
      <c r="E1608" s="3" t="s">
        <v>466</v>
      </c>
      <c r="F1608" s="4">
        <v>46281</v>
      </c>
      <c r="G1608" s="3" t="s">
        <v>17</v>
      </c>
      <c r="H1608" s="5">
        <v>-222814</v>
      </c>
      <c r="I1608" s="3" t="s">
        <v>18</v>
      </c>
      <c r="J1608" s="3" t="s">
        <v>14</v>
      </c>
      <c r="K1608" s="3" t="s">
        <v>14</v>
      </c>
      <c r="L1608" s="3" t="s">
        <v>274</v>
      </c>
      <c r="M1608" s="4">
        <v>46283</v>
      </c>
      <c r="N1608" s="3" t="s">
        <v>1561</v>
      </c>
      <c r="O1608" s="3" t="s">
        <v>30</v>
      </c>
      <c r="P1608" t="str">
        <f t="shared" si="25"/>
        <v>450013823610</v>
      </c>
      <c r="Q1608" s="7" cm="1">
        <f t="array" ref="Q1608:S1608">VLOOKUP(P1608,Hoja1!C:F,{2,3,4},FALSE)</f>
        <v>46287</v>
      </c>
      <c r="R1608" t="str">
        <v>C03</v>
      </c>
      <c r="S1608" t="str">
        <v>1000000072 BERTEC S.A</v>
      </c>
    </row>
    <row r="1609" spans="1:19" x14ac:dyDescent="0.3">
      <c r="A1609" s="2" t="s">
        <v>14</v>
      </c>
      <c r="B1609" s="3" t="s">
        <v>14</v>
      </c>
      <c r="C1609" s="3" t="s">
        <v>1562</v>
      </c>
      <c r="D1609" s="3" t="s">
        <v>14</v>
      </c>
      <c r="E1609" s="3" t="s">
        <v>466</v>
      </c>
      <c r="F1609" s="4">
        <v>46281</v>
      </c>
      <c r="G1609" s="3" t="s">
        <v>17</v>
      </c>
      <c r="H1609" s="5">
        <v>-649547.98</v>
      </c>
      <c r="I1609" s="3" t="s">
        <v>18</v>
      </c>
      <c r="J1609" s="3" t="s">
        <v>14</v>
      </c>
      <c r="K1609" s="3" t="s">
        <v>14</v>
      </c>
      <c r="L1609" s="3" t="s">
        <v>274</v>
      </c>
      <c r="M1609" s="4">
        <v>46283</v>
      </c>
      <c r="N1609" s="3" t="s">
        <v>1563</v>
      </c>
      <c r="O1609" s="3" t="s">
        <v>30</v>
      </c>
      <c r="P1609" t="str">
        <f t="shared" si="25"/>
        <v>450013773810</v>
      </c>
      <c r="Q1609" s="7" cm="1">
        <f t="array" ref="Q1609:S1609">VLOOKUP(P1609,Hoja1!C:F,{2,3,4},FALSE)</f>
        <v>46287</v>
      </c>
      <c r="R1609" t="str">
        <v>C03</v>
      </c>
      <c r="S1609" t="str">
        <v>1000000072 BERTEC S.A</v>
      </c>
    </row>
    <row r="1610" spans="1:19" x14ac:dyDescent="0.3">
      <c r="A1610" s="2" t="s">
        <v>14</v>
      </c>
      <c r="B1610" s="3" t="s">
        <v>14</v>
      </c>
      <c r="C1610" s="3" t="s">
        <v>1564</v>
      </c>
      <c r="D1610" s="3" t="s">
        <v>14</v>
      </c>
      <c r="E1610" s="3" t="s">
        <v>466</v>
      </c>
      <c r="F1610" s="4">
        <v>46281</v>
      </c>
      <c r="G1610" s="3" t="s">
        <v>17</v>
      </c>
      <c r="H1610" s="5">
        <v>-100687.84</v>
      </c>
      <c r="I1610" s="3" t="s">
        <v>18</v>
      </c>
      <c r="J1610" s="3" t="s">
        <v>14</v>
      </c>
      <c r="K1610" s="3" t="s">
        <v>14</v>
      </c>
      <c r="L1610" s="3" t="s">
        <v>274</v>
      </c>
      <c r="M1610" s="4">
        <v>46283</v>
      </c>
      <c r="N1610" s="3" t="s">
        <v>1565</v>
      </c>
      <c r="O1610" s="3" t="s">
        <v>30</v>
      </c>
      <c r="P1610" t="str">
        <f t="shared" si="25"/>
        <v>450013862610</v>
      </c>
      <c r="Q1610" s="7" cm="1">
        <f t="array" ref="Q1610:S1610">VLOOKUP(P1610,Hoja1!C:F,{2,3,4},FALSE)</f>
        <v>46290</v>
      </c>
      <c r="R1610" t="str">
        <v>C03</v>
      </c>
      <c r="S1610" t="str">
        <v>1000000072 BERTEC S.A</v>
      </c>
    </row>
    <row r="1611" spans="1:19" x14ac:dyDescent="0.3">
      <c r="A1611" s="2" t="s">
        <v>14</v>
      </c>
      <c r="B1611" s="3" t="s">
        <v>14</v>
      </c>
      <c r="C1611" s="3" t="s">
        <v>1564</v>
      </c>
      <c r="D1611" s="3" t="s">
        <v>14</v>
      </c>
      <c r="E1611" s="3" t="s">
        <v>466</v>
      </c>
      <c r="F1611" s="4">
        <v>46281</v>
      </c>
      <c r="G1611" s="3" t="s">
        <v>17</v>
      </c>
      <c r="H1611" s="5">
        <v>-122005.72</v>
      </c>
      <c r="I1611" s="3" t="s">
        <v>18</v>
      </c>
      <c r="J1611" s="3" t="s">
        <v>14</v>
      </c>
      <c r="K1611" s="3" t="s">
        <v>14</v>
      </c>
      <c r="L1611" s="3" t="s">
        <v>274</v>
      </c>
      <c r="M1611" s="4">
        <v>46283</v>
      </c>
      <c r="N1611" s="3" t="s">
        <v>1565</v>
      </c>
      <c r="O1611" s="3" t="s">
        <v>22</v>
      </c>
      <c r="P1611" t="str">
        <f t="shared" si="25"/>
        <v>450013862620</v>
      </c>
      <c r="Q1611" s="7" cm="1">
        <f t="array" ref="Q1611:S1611">VLOOKUP(P1611,Hoja1!C:F,{2,3,4},FALSE)</f>
        <v>46290</v>
      </c>
      <c r="R1611" t="str">
        <v>C03</v>
      </c>
      <c r="S1611" t="str">
        <v>1000000072 BERTEC S.A</v>
      </c>
    </row>
    <row r="1612" spans="1:19" x14ac:dyDescent="0.3">
      <c r="A1612" s="2" t="s">
        <v>14</v>
      </c>
      <c r="B1612" s="3" t="s">
        <v>14</v>
      </c>
      <c r="C1612" s="3" t="s">
        <v>1566</v>
      </c>
      <c r="D1612" s="3" t="s">
        <v>14</v>
      </c>
      <c r="E1612" s="3" t="s">
        <v>466</v>
      </c>
      <c r="F1612" s="4">
        <v>46281</v>
      </c>
      <c r="G1612" s="3" t="s">
        <v>17</v>
      </c>
      <c r="H1612" s="5">
        <v>-932205.6</v>
      </c>
      <c r="I1612" s="3" t="s">
        <v>18</v>
      </c>
      <c r="J1612" s="3" t="s">
        <v>14</v>
      </c>
      <c r="K1612" s="3" t="s">
        <v>14</v>
      </c>
      <c r="L1612" s="3" t="s">
        <v>274</v>
      </c>
      <c r="M1612" s="4">
        <v>46283</v>
      </c>
      <c r="N1612" s="3" t="s">
        <v>1567</v>
      </c>
      <c r="O1612" s="3" t="s">
        <v>30</v>
      </c>
      <c r="P1612" t="str">
        <f t="shared" si="25"/>
        <v>450013785710</v>
      </c>
      <c r="Q1612" s="7" cm="1">
        <f t="array" ref="Q1612:S1612">VLOOKUP(P1612,Hoja1!C:F,{2,3,4},FALSE)</f>
        <v>46287</v>
      </c>
      <c r="R1612" t="str">
        <v>C03</v>
      </c>
      <c r="S1612" t="str">
        <v>1000000072 BERTEC S.A</v>
      </c>
    </row>
    <row r="1613" spans="1:19" x14ac:dyDescent="0.3">
      <c r="A1613" s="2" t="s">
        <v>14</v>
      </c>
      <c r="B1613" s="3" t="s">
        <v>14</v>
      </c>
      <c r="C1613" s="3" t="s">
        <v>1568</v>
      </c>
      <c r="D1613" s="3" t="s">
        <v>32</v>
      </c>
      <c r="E1613" s="3" t="s">
        <v>466</v>
      </c>
      <c r="F1613" s="4">
        <v>46283</v>
      </c>
      <c r="G1613" s="3" t="s">
        <v>17</v>
      </c>
      <c r="H1613" s="5">
        <v>-650000</v>
      </c>
      <c r="I1613" s="3" t="s">
        <v>18</v>
      </c>
      <c r="J1613" s="3" t="s">
        <v>14</v>
      </c>
      <c r="K1613" s="3" t="s">
        <v>14</v>
      </c>
      <c r="L1613" s="3" t="s">
        <v>1569</v>
      </c>
      <c r="M1613" s="4">
        <v>46283</v>
      </c>
      <c r="N1613" s="3" t="s">
        <v>1570</v>
      </c>
      <c r="O1613" s="3" t="s">
        <v>30</v>
      </c>
      <c r="P1613" t="str">
        <f t="shared" si="25"/>
        <v>450013669810</v>
      </c>
      <c r="Q1613" s="7" cm="1">
        <f t="array" ref="Q1613:S1613">VLOOKUP(P1613,Hoja1!C:F,{2,3,4},FALSE)</f>
        <v>46407</v>
      </c>
      <c r="R1613" t="str">
        <v>C25</v>
      </c>
      <c r="S1613" t="str">
        <v>1000013296 ARAMBERRI LUIS ALFREDO</v>
      </c>
    </row>
    <row r="1614" spans="1:19" x14ac:dyDescent="0.3">
      <c r="A1614" s="2" t="s">
        <v>14</v>
      </c>
      <c r="B1614" s="3" t="s">
        <v>14</v>
      </c>
      <c r="C1614" s="3" t="s">
        <v>1571</v>
      </c>
      <c r="D1614" s="3" t="s">
        <v>25</v>
      </c>
      <c r="E1614" s="3" t="s">
        <v>466</v>
      </c>
      <c r="F1614" s="4">
        <v>46283</v>
      </c>
      <c r="G1614" s="3" t="s">
        <v>17</v>
      </c>
      <c r="H1614" s="5">
        <v>-1208662</v>
      </c>
      <c r="I1614" s="3" t="s">
        <v>18</v>
      </c>
      <c r="J1614" s="3" t="s">
        <v>14</v>
      </c>
      <c r="K1614" s="3" t="s">
        <v>14</v>
      </c>
      <c r="L1614" s="3" t="s">
        <v>1464</v>
      </c>
      <c r="M1614" s="4">
        <v>46283</v>
      </c>
      <c r="N1614" s="3" t="s">
        <v>1465</v>
      </c>
      <c r="O1614" s="3" t="s">
        <v>22</v>
      </c>
      <c r="P1614" t="str">
        <f t="shared" si="25"/>
        <v>450013592320</v>
      </c>
      <c r="Q1614" s="7" cm="1">
        <f t="array" ref="Q1614:S1614">VLOOKUP(P1614,Hoja1!C:F,{2,3,4},FALSE)</f>
        <v>46271</v>
      </c>
      <c r="R1614" t="str">
        <v>C14</v>
      </c>
      <c r="S1614" t="str">
        <v>1000001418 SEBRE SRL TRANSPORTE</v>
      </c>
    </row>
    <row r="1615" spans="1:19" x14ac:dyDescent="0.3">
      <c r="A1615" s="2" t="s">
        <v>14</v>
      </c>
      <c r="B1615" s="3" t="s">
        <v>14</v>
      </c>
      <c r="C1615" s="3" t="s">
        <v>1572</v>
      </c>
      <c r="D1615" s="3" t="s">
        <v>14</v>
      </c>
      <c r="E1615" s="3" t="s">
        <v>466</v>
      </c>
      <c r="F1615" s="4">
        <v>46283</v>
      </c>
      <c r="G1615" s="3" t="s">
        <v>17</v>
      </c>
      <c r="H1615" s="5">
        <v>-30000</v>
      </c>
      <c r="I1615" s="3" t="s">
        <v>18</v>
      </c>
      <c r="J1615" s="3" t="s">
        <v>14</v>
      </c>
      <c r="K1615" s="3" t="s">
        <v>14</v>
      </c>
      <c r="L1615" s="3" t="s">
        <v>1573</v>
      </c>
      <c r="M1615" s="4">
        <v>46283</v>
      </c>
      <c r="N1615" s="3" t="s">
        <v>1574</v>
      </c>
      <c r="O1615" s="3" t="s">
        <v>22</v>
      </c>
      <c r="P1615" t="str">
        <f t="shared" si="25"/>
        <v>450013888720</v>
      </c>
      <c r="Q1615" s="7" cm="1">
        <f t="array" ref="Q1615:S1615">VLOOKUP(P1615,Hoja1!C:F,{2,3,4},FALSE)</f>
        <v>46286</v>
      </c>
      <c r="R1615" t="str">
        <v>C38</v>
      </c>
      <c r="S1615" t="str">
        <v>1000000523 FRENOS Y EMBRAGUES LITORAL SRL</v>
      </c>
    </row>
    <row r="1616" spans="1:19" x14ac:dyDescent="0.3">
      <c r="A1616" s="2" t="s">
        <v>14</v>
      </c>
      <c r="B1616" s="3" t="s">
        <v>14</v>
      </c>
      <c r="C1616" s="3" t="s">
        <v>1575</v>
      </c>
      <c r="D1616" s="3" t="s">
        <v>14</v>
      </c>
      <c r="E1616" s="3" t="s">
        <v>466</v>
      </c>
      <c r="F1616" s="4">
        <v>46283</v>
      </c>
      <c r="G1616" s="3" t="s">
        <v>17</v>
      </c>
      <c r="H1616" s="5">
        <v>-60000</v>
      </c>
      <c r="I1616" s="3" t="s">
        <v>18</v>
      </c>
      <c r="J1616" s="3" t="s">
        <v>14</v>
      </c>
      <c r="K1616" s="3" t="s">
        <v>14</v>
      </c>
      <c r="L1616" s="3" t="s">
        <v>1573</v>
      </c>
      <c r="M1616" s="4">
        <v>46283</v>
      </c>
      <c r="N1616" s="3" t="s">
        <v>1574</v>
      </c>
      <c r="O1616" s="3" t="s">
        <v>30</v>
      </c>
      <c r="P1616" t="str">
        <f t="shared" si="25"/>
        <v>450013888710</v>
      </c>
      <c r="Q1616" s="7" cm="1">
        <f t="array" ref="Q1616:S1616">VLOOKUP(P1616,Hoja1!C:F,{2,3,4},FALSE)</f>
        <v>46286</v>
      </c>
      <c r="R1616" t="str">
        <v>C38</v>
      </c>
      <c r="S1616" t="str">
        <v>1000000523 FRENOS Y EMBRAGUES LITORAL SRL</v>
      </c>
    </row>
    <row r="1617" spans="1:19" x14ac:dyDescent="0.3">
      <c r="A1617" s="2" t="s">
        <v>14</v>
      </c>
      <c r="B1617" s="3" t="s">
        <v>14</v>
      </c>
      <c r="C1617" s="3" t="s">
        <v>1576</v>
      </c>
      <c r="D1617" s="3" t="s">
        <v>14</v>
      </c>
      <c r="E1617" s="3" t="s">
        <v>466</v>
      </c>
      <c r="F1617" s="4">
        <v>46282</v>
      </c>
      <c r="G1617" s="3" t="s">
        <v>17</v>
      </c>
      <c r="H1617" s="5">
        <v>-1329913.54</v>
      </c>
      <c r="I1617" s="3" t="s">
        <v>18</v>
      </c>
      <c r="J1617" s="3" t="s">
        <v>14</v>
      </c>
      <c r="K1617" s="3" t="s">
        <v>14</v>
      </c>
      <c r="L1617" s="3" t="s">
        <v>1211</v>
      </c>
      <c r="M1617" s="4">
        <v>46283</v>
      </c>
      <c r="N1617" s="3" t="s">
        <v>1302</v>
      </c>
      <c r="O1617" s="3" t="s">
        <v>22</v>
      </c>
      <c r="P1617" t="str">
        <f t="shared" si="25"/>
        <v>450013534620</v>
      </c>
      <c r="Q1617" s="7" cm="1">
        <f t="array" ref="Q1617:S1617">VLOOKUP(P1617,Hoja1!C:F,{2,3,4},FALSE)</f>
        <v>46287</v>
      </c>
      <c r="R1617" t="str">
        <v>C03</v>
      </c>
      <c r="S1617" t="str">
        <v>1000000012 IGARRETA MAQUINAS S.A.</v>
      </c>
    </row>
    <row r="1618" spans="1:19" x14ac:dyDescent="0.3">
      <c r="A1618" s="2" t="s">
        <v>14</v>
      </c>
      <c r="B1618" s="3" t="s">
        <v>14</v>
      </c>
      <c r="C1618" s="3" t="s">
        <v>1577</v>
      </c>
      <c r="D1618" s="3" t="s">
        <v>14</v>
      </c>
      <c r="E1618" s="3" t="s">
        <v>466</v>
      </c>
      <c r="F1618" s="4">
        <v>46282</v>
      </c>
      <c r="G1618" s="3" t="s">
        <v>17</v>
      </c>
      <c r="H1618" s="5">
        <v>-1375756.01</v>
      </c>
      <c r="I1618" s="3" t="s">
        <v>18</v>
      </c>
      <c r="J1618" s="3" t="s">
        <v>14</v>
      </c>
      <c r="K1618" s="3" t="s">
        <v>14</v>
      </c>
      <c r="L1618" s="3" t="s">
        <v>1211</v>
      </c>
      <c r="M1618" s="4">
        <v>46283</v>
      </c>
      <c r="N1618" s="3" t="s">
        <v>1578</v>
      </c>
      <c r="O1618" s="3" t="s">
        <v>30</v>
      </c>
      <c r="P1618" t="str">
        <f t="shared" si="25"/>
        <v>450013616010</v>
      </c>
      <c r="Q1618" s="7" cm="1">
        <f t="array" ref="Q1618:S1618">VLOOKUP(P1618,Hoja1!C:F,{2,3,4},FALSE)</f>
        <v>46295</v>
      </c>
      <c r="R1618" t="str">
        <v>C03</v>
      </c>
      <c r="S1618" t="str">
        <v>1000000012 IGARRETA MAQUINAS S.A.</v>
      </c>
    </row>
    <row r="1619" spans="1:19" x14ac:dyDescent="0.3">
      <c r="A1619" s="2" t="s">
        <v>14</v>
      </c>
      <c r="B1619" s="3" t="s">
        <v>14</v>
      </c>
      <c r="C1619" s="3" t="s">
        <v>1579</v>
      </c>
      <c r="D1619" s="3" t="s">
        <v>14</v>
      </c>
      <c r="E1619" s="3" t="s">
        <v>466</v>
      </c>
      <c r="F1619" s="4">
        <v>46283</v>
      </c>
      <c r="G1619" s="3" t="s">
        <v>17</v>
      </c>
      <c r="H1619" s="5">
        <v>-169097.76</v>
      </c>
      <c r="I1619" s="3" t="s">
        <v>18</v>
      </c>
      <c r="J1619" s="3" t="s">
        <v>14</v>
      </c>
      <c r="K1619" s="3" t="s">
        <v>14</v>
      </c>
      <c r="L1619" s="3" t="s">
        <v>690</v>
      </c>
      <c r="M1619" s="4">
        <v>46283</v>
      </c>
      <c r="N1619" s="3" t="s">
        <v>1580</v>
      </c>
      <c r="O1619" s="3" t="s">
        <v>30</v>
      </c>
      <c r="P1619" t="str">
        <f t="shared" si="25"/>
        <v>450013885210</v>
      </c>
      <c r="Q1619" s="7" cm="1">
        <f t="array" ref="Q1619:S1619">VLOOKUP(P1619,Hoja1!C:F,{2,3,4},FALSE)</f>
        <v>46283</v>
      </c>
      <c r="R1619" t="str">
        <v>377</v>
      </c>
      <c r="S1619" t="str">
        <v>1000000669 PROSEIND SA</v>
      </c>
    </row>
    <row r="1620" spans="1:19" x14ac:dyDescent="0.3">
      <c r="A1620" s="2" t="s">
        <v>14</v>
      </c>
      <c r="B1620" s="3" t="s">
        <v>14</v>
      </c>
      <c r="C1620" s="3" t="s">
        <v>1581</v>
      </c>
      <c r="D1620" s="3" t="s">
        <v>14</v>
      </c>
      <c r="E1620" s="3" t="s">
        <v>466</v>
      </c>
      <c r="F1620" s="4">
        <v>46283</v>
      </c>
      <c r="G1620" s="3" t="s">
        <v>17</v>
      </c>
      <c r="H1620" s="5">
        <v>-2160746.7200000002</v>
      </c>
      <c r="I1620" s="3" t="s">
        <v>18</v>
      </c>
      <c r="J1620" s="3" t="s">
        <v>14</v>
      </c>
      <c r="K1620" s="3" t="s">
        <v>14</v>
      </c>
      <c r="L1620" s="3" t="s">
        <v>965</v>
      </c>
      <c r="M1620" s="4">
        <v>46283</v>
      </c>
      <c r="N1620" s="3" t="s">
        <v>1582</v>
      </c>
      <c r="O1620" s="3" t="s">
        <v>30</v>
      </c>
      <c r="P1620" t="str">
        <f t="shared" si="25"/>
        <v>450013812310</v>
      </c>
      <c r="Q1620" s="7" cm="1">
        <f t="array" ref="Q1620:S1620">VLOOKUP(P1620,Hoja1!C:F,{2,3,4},FALSE)</f>
        <v>46290</v>
      </c>
      <c r="R1620" t="str">
        <v>C38</v>
      </c>
      <c r="S1620" t="str">
        <v>1000001060 PIRLES GUSTAVO JOSE</v>
      </c>
    </row>
    <row r="1621" spans="1:19" x14ac:dyDescent="0.3">
      <c r="A1621" s="2" t="s">
        <v>14</v>
      </c>
      <c r="B1621" s="3" t="s">
        <v>14</v>
      </c>
      <c r="C1621" s="3" t="s">
        <v>1583</v>
      </c>
      <c r="D1621" s="3" t="s">
        <v>32</v>
      </c>
      <c r="E1621" s="3" t="s">
        <v>466</v>
      </c>
      <c r="F1621" s="4">
        <v>46283</v>
      </c>
      <c r="G1621" s="3" t="s">
        <v>17</v>
      </c>
      <c r="H1621" s="5">
        <v>-60623.08</v>
      </c>
      <c r="I1621" s="3" t="s">
        <v>18</v>
      </c>
      <c r="J1621" s="3" t="s">
        <v>14</v>
      </c>
      <c r="K1621" s="3" t="s">
        <v>14</v>
      </c>
      <c r="L1621" s="3" t="s">
        <v>892</v>
      </c>
      <c r="M1621" s="4">
        <v>46283</v>
      </c>
      <c r="N1621" s="3" t="s">
        <v>1275</v>
      </c>
      <c r="O1621" s="3" t="s">
        <v>156</v>
      </c>
      <c r="P1621" t="str">
        <f t="shared" si="25"/>
        <v>4500137593110</v>
      </c>
      <c r="Q1621" s="7" cm="1">
        <f t="array" ref="Q1621:S1621">VLOOKUP(P1621,Hoja1!C:F,{2,3,4},FALSE)</f>
        <v>46275</v>
      </c>
      <c r="R1621" t="str">
        <v>C27</v>
      </c>
      <c r="S1621" t="str">
        <v>1000000894 FORTIN REPUBLICA SA</v>
      </c>
    </row>
    <row r="1622" spans="1:19" x14ac:dyDescent="0.3">
      <c r="A1622" s="2" t="s">
        <v>14</v>
      </c>
      <c r="B1622" s="3" t="s">
        <v>14</v>
      </c>
      <c r="C1622" s="3" t="s">
        <v>1584</v>
      </c>
      <c r="D1622" s="3" t="s">
        <v>14</v>
      </c>
      <c r="E1622" s="3" t="s">
        <v>466</v>
      </c>
      <c r="F1622" s="4">
        <v>46283</v>
      </c>
      <c r="G1622" s="3" t="s">
        <v>17</v>
      </c>
      <c r="H1622" s="5">
        <v>-21406</v>
      </c>
      <c r="I1622" s="3" t="s">
        <v>18</v>
      </c>
      <c r="J1622" s="3" t="s">
        <v>14</v>
      </c>
      <c r="K1622" s="3" t="s">
        <v>14</v>
      </c>
      <c r="L1622" s="3" t="s">
        <v>892</v>
      </c>
      <c r="M1622" s="4">
        <v>46283</v>
      </c>
      <c r="N1622" s="3" t="s">
        <v>1275</v>
      </c>
      <c r="O1622" s="3" t="s">
        <v>45</v>
      </c>
      <c r="P1622" t="str">
        <f t="shared" si="25"/>
        <v>4500137593100</v>
      </c>
      <c r="Q1622" s="7" cm="1">
        <f t="array" ref="Q1622:S1622">VLOOKUP(P1622,Hoja1!C:F,{2,3,4},FALSE)</f>
        <v>46275</v>
      </c>
      <c r="R1622" t="str">
        <v>C27</v>
      </c>
      <c r="S1622" t="str">
        <v>1000000894 FORTIN REPUBLICA SA</v>
      </c>
    </row>
    <row r="1623" spans="1:19" x14ac:dyDescent="0.3">
      <c r="A1623" s="2" t="s">
        <v>14</v>
      </c>
      <c r="B1623" s="3" t="s">
        <v>14</v>
      </c>
      <c r="C1623" s="3" t="s">
        <v>1585</v>
      </c>
      <c r="D1623" s="3" t="s">
        <v>32</v>
      </c>
      <c r="E1623" s="3" t="s">
        <v>466</v>
      </c>
      <c r="F1623" s="4">
        <v>46283</v>
      </c>
      <c r="G1623" s="3" t="s">
        <v>17</v>
      </c>
      <c r="H1623" s="5">
        <v>-86725.7</v>
      </c>
      <c r="I1623" s="3" t="s">
        <v>18</v>
      </c>
      <c r="J1623" s="3" t="s">
        <v>14</v>
      </c>
      <c r="K1623" s="3" t="s">
        <v>14</v>
      </c>
      <c r="L1623" s="3" t="s">
        <v>892</v>
      </c>
      <c r="M1623" s="4">
        <v>46283</v>
      </c>
      <c r="N1623" s="3" t="s">
        <v>1275</v>
      </c>
      <c r="O1623" s="3" t="s">
        <v>128</v>
      </c>
      <c r="P1623" t="str">
        <f t="shared" si="25"/>
        <v>4500137593250</v>
      </c>
      <c r="Q1623" s="7" cm="1">
        <f t="array" ref="Q1623:S1623">VLOOKUP(P1623,Hoja1!C:F,{2,3,4},FALSE)</f>
        <v>46275</v>
      </c>
      <c r="R1623" t="str">
        <v>C27</v>
      </c>
      <c r="S1623" t="str">
        <v>1000000894 FORTIN REPUBLICA SA</v>
      </c>
    </row>
    <row r="1624" spans="1:19" x14ac:dyDescent="0.3">
      <c r="A1624" s="2" t="s">
        <v>14</v>
      </c>
      <c r="B1624" s="3" t="s">
        <v>14</v>
      </c>
      <c r="C1624" s="3" t="s">
        <v>1586</v>
      </c>
      <c r="D1624" s="3" t="s">
        <v>14</v>
      </c>
      <c r="E1624" s="3" t="s">
        <v>466</v>
      </c>
      <c r="F1624" s="4">
        <v>46284</v>
      </c>
      <c r="G1624" s="3" t="s">
        <v>17</v>
      </c>
      <c r="H1624" s="5">
        <v>-580000</v>
      </c>
      <c r="I1624" s="3" t="s">
        <v>18</v>
      </c>
      <c r="J1624" s="3" t="s">
        <v>14</v>
      </c>
      <c r="K1624" s="3" t="s">
        <v>14</v>
      </c>
      <c r="L1624" s="3" t="s">
        <v>1087</v>
      </c>
      <c r="M1624" s="4">
        <v>46284</v>
      </c>
      <c r="N1624" s="3" t="s">
        <v>1587</v>
      </c>
      <c r="O1624" s="3" t="s">
        <v>30</v>
      </c>
      <c r="P1624" t="str">
        <f t="shared" si="25"/>
        <v>450013595110</v>
      </c>
      <c r="Q1624" s="7" cm="1">
        <f t="array" ref="Q1624:S1624">VLOOKUP(P1624,Hoja1!C:F,{2,3,4},FALSE)</f>
        <v>46287</v>
      </c>
      <c r="R1624" t="str">
        <v>C38</v>
      </c>
      <c r="S1624" t="str">
        <v>1000000326 CABRERA ADRIAN ALFREDO RAMON</v>
      </c>
    </row>
    <row r="1625" spans="1:19" x14ac:dyDescent="0.3">
      <c r="A1625" s="2" t="s">
        <v>14</v>
      </c>
      <c r="B1625" s="3" t="s">
        <v>14</v>
      </c>
      <c r="C1625" s="3" t="s">
        <v>1588</v>
      </c>
      <c r="D1625" s="3" t="s">
        <v>14</v>
      </c>
      <c r="E1625" s="3" t="s">
        <v>466</v>
      </c>
      <c r="F1625" s="4">
        <v>46284</v>
      </c>
      <c r="G1625" s="3" t="s">
        <v>17</v>
      </c>
      <c r="H1625" s="5">
        <v>-7972.8</v>
      </c>
      <c r="I1625" s="3" t="s">
        <v>18</v>
      </c>
      <c r="J1625" s="3" t="s">
        <v>14</v>
      </c>
      <c r="K1625" s="3" t="s">
        <v>14</v>
      </c>
      <c r="L1625" s="3" t="s">
        <v>117</v>
      </c>
      <c r="M1625" s="4">
        <v>46284</v>
      </c>
      <c r="N1625" s="3" t="s">
        <v>1589</v>
      </c>
      <c r="O1625" s="3" t="s">
        <v>35</v>
      </c>
      <c r="P1625" t="str">
        <f t="shared" si="25"/>
        <v>450013698430</v>
      </c>
      <c r="Q1625" s="7" cm="1">
        <f t="array" ref="Q1625:S1625">VLOOKUP(P1625,Hoja1!C:F,{2,3,4},FALSE)</f>
        <v>46290</v>
      </c>
      <c r="R1625" t="str">
        <v>C03</v>
      </c>
      <c r="S1625" t="str">
        <v>1000001129 AGRONORTE S.R.L.</v>
      </c>
    </row>
    <row r="1626" spans="1:19" x14ac:dyDescent="0.3">
      <c r="A1626" s="2" t="s">
        <v>14</v>
      </c>
      <c r="B1626" s="3" t="s">
        <v>14</v>
      </c>
      <c r="C1626" s="3" t="s">
        <v>1588</v>
      </c>
      <c r="D1626" s="3" t="s">
        <v>14</v>
      </c>
      <c r="E1626" s="3" t="s">
        <v>466</v>
      </c>
      <c r="F1626" s="4">
        <v>46284</v>
      </c>
      <c r="G1626" s="3" t="s">
        <v>17</v>
      </c>
      <c r="H1626" s="5">
        <v>-39864</v>
      </c>
      <c r="I1626" s="3" t="s">
        <v>18</v>
      </c>
      <c r="J1626" s="3" t="s">
        <v>14</v>
      </c>
      <c r="K1626" s="3" t="s">
        <v>14</v>
      </c>
      <c r="L1626" s="3" t="s">
        <v>117</v>
      </c>
      <c r="M1626" s="4">
        <v>46284</v>
      </c>
      <c r="N1626" s="3" t="s">
        <v>1589</v>
      </c>
      <c r="O1626" s="3" t="s">
        <v>22</v>
      </c>
      <c r="P1626" t="str">
        <f t="shared" si="25"/>
        <v>450013698420</v>
      </c>
      <c r="Q1626" s="7" cm="1">
        <f t="array" ref="Q1626:S1626">VLOOKUP(P1626,Hoja1!C:F,{2,3,4},FALSE)</f>
        <v>46290</v>
      </c>
      <c r="R1626" t="str">
        <v>C03</v>
      </c>
      <c r="S1626" t="str">
        <v>1000001129 AGRONORTE S.R.L.</v>
      </c>
    </row>
    <row r="1627" spans="1:19" x14ac:dyDescent="0.3">
      <c r="A1627" s="2" t="s">
        <v>14</v>
      </c>
      <c r="B1627" s="3" t="s">
        <v>14</v>
      </c>
      <c r="C1627" s="3" t="s">
        <v>1588</v>
      </c>
      <c r="D1627" s="3" t="s">
        <v>14</v>
      </c>
      <c r="E1627" s="3" t="s">
        <v>466</v>
      </c>
      <c r="F1627" s="4">
        <v>46284</v>
      </c>
      <c r="G1627" s="3" t="s">
        <v>17</v>
      </c>
      <c r="H1627" s="5">
        <v>-312026.40000000002</v>
      </c>
      <c r="I1627" s="3" t="s">
        <v>18</v>
      </c>
      <c r="J1627" s="3" t="s">
        <v>14</v>
      </c>
      <c r="K1627" s="3" t="s">
        <v>14</v>
      </c>
      <c r="L1627" s="3" t="s">
        <v>117</v>
      </c>
      <c r="M1627" s="4">
        <v>46284</v>
      </c>
      <c r="N1627" s="3" t="s">
        <v>1589</v>
      </c>
      <c r="O1627" s="3" t="s">
        <v>52</v>
      </c>
      <c r="P1627" t="str">
        <f t="shared" si="25"/>
        <v>450013698480</v>
      </c>
      <c r="Q1627" s="7" cm="1">
        <f t="array" ref="Q1627:S1627">VLOOKUP(P1627,Hoja1!C:F,{2,3,4},FALSE)</f>
        <v>46290</v>
      </c>
      <c r="R1627" t="str">
        <v>C03</v>
      </c>
      <c r="S1627" t="str">
        <v>1000001129 AGRONORTE S.R.L.</v>
      </c>
    </row>
    <row r="1628" spans="1:19" x14ac:dyDescent="0.3">
      <c r="A1628" s="2" t="s">
        <v>14</v>
      </c>
      <c r="B1628" s="3" t="s">
        <v>14</v>
      </c>
      <c r="C1628" s="3" t="s">
        <v>1588</v>
      </c>
      <c r="D1628" s="3" t="s">
        <v>14</v>
      </c>
      <c r="E1628" s="3" t="s">
        <v>466</v>
      </c>
      <c r="F1628" s="4">
        <v>46284</v>
      </c>
      <c r="G1628" s="3" t="s">
        <v>17</v>
      </c>
      <c r="H1628" s="5">
        <v>-312268</v>
      </c>
      <c r="I1628" s="3" t="s">
        <v>18</v>
      </c>
      <c r="J1628" s="3" t="s">
        <v>14</v>
      </c>
      <c r="K1628" s="3" t="s">
        <v>14</v>
      </c>
      <c r="L1628" s="3" t="s">
        <v>117</v>
      </c>
      <c r="M1628" s="4">
        <v>46284</v>
      </c>
      <c r="N1628" s="3" t="s">
        <v>1589</v>
      </c>
      <c r="O1628" s="3" t="s">
        <v>138</v>
      </c>
      <c r="P1628" t="str">
        <f t="shared" si="25"/>
        <v>450013698490</v>
      </c>
      <c r="Q1628" s="7" cm="1">
        <f t="array" ref="Q1628:S1628">VLOOKUP(P1628,Hoja1!C:F,{2,3,4},FALSE)</f>
        <v>46290</v>
      </c>
      <c r="R1628" t="str">
        <v>C03</v>
      </c>
      <c r="S1628" t="str">
        <v>1000001129 AGRONORTE S.R.L.</v>
      </c>
    </row>
    <row r="1629" spans="1:19" x14ac:dyDescent="0.3">
      <c r="A1629" s="2" t="s">
        <v>14</v>
      </c>
      <c r="B1629" s="3" t="s">
        <v>14</v>
      </c>
      <c r="C1629" s="3" t="s">
        <v>1588</v>
      </c>
      <c r="D1629" s="3" t="s">
        <v>14</v>
      </c>
      <c r="E1629" s="3" t="s">
        <v>466</v>
      </c>
      <c r="F1629" s="4">
        <v>46284</v>
      </c>
      <c r="G1629" s="3" t="s">
        <v>17</v>
      </c>
      <c r="H1629" s="5">
        <v>-220278.8</v>
      </c>
      <c r="I1629" s="3" t="s">
        <v>18</v>
      </c>
      <c r="J1629" s="3" t="s">
        <v>14</v>
      </c>
      <c r="K1629" s="3" t="s">
        <v>14</v>
      </c>
      <c r="L1629" s="3" t="s">
        <v>117</v>
      </c>
      <c r="M1629" s="4">
        <v>46284</v>
      </c>
      <c r="N1629" s="3" t="s">
        <v>1589</v>
      </c>
      <c r="O1629" s="3" t="s">
        <v>168</v>
      </c>
      <c r="P1629" t="str">
        <f t="shared" si="25"/>
        <v>4500136984360</v>
      </c>
      <c r="Q1629" s="7" cm="1">
        <f t="array" ref="Q1629:S1629">VLOOKUP(P1629,Hoja1!C:F,{2,3,4},FALSE)</f>
        <v>46290</v>
      </c>
      <c r="R1629" t="str">
        <v>C03</v>
      </c>
      <c r="S1629" t="str">
        <v>1000001129 AGRONORTE S.R.L.</v>
      </c>
    </row>
    <row r="1630" spans="1:19" x14ac:dyDescent="0.3">
      <c r="A1630" s="2" t="s">
        <v>14</v>
      </c>
      <c r="B1630" s="3" t="s">
        <v>14</v>
      </c>
      <c r="C1630" s="3" t="s">
        <v>1588</v>
      </c>
      <c r="D1630" s="3" t="s">
        <v>14</v>
      </c>
      <c r="E1630" s="3" t="s">
        <v>466</v>
      </c>
      <c r="F1630" s="4">
        <v>46284</v>
      </c>
      <c r="G1630" s="3" t="s">
        <v>17</v>
      </c>
      <c r="H1630" s="5">
        <v>-9875.4</v>
      </c>
      <c r="I1630" s="3" t="s">
        <v>18</v>
      </c>
      <c r="J1630" s="3" t="s">
        <v>14</v>
      </c>
      <c r="K1630" s="3" t="s">
        <v>14</v>
      </c>
      <c r="L1630" s="3" t="s">
        <v>117</v>
      </c>
      <c r="M1630" s="4">
        <v>46284</v>
      </c>
      <c r="N1630" s="3" t="s">
        <v>1589</v>
      </c>
      <c r="O1630" s="3" t="s">
        <v>53</v>
      </c>
      <c r="P1630" t="str">
        <f t="shared" si="25"/>
        <v>4500136984170</v>
      </c>
      <c r="Q1630" s="7" cm="1">
        <f t="array" ref="Q1630:S1630">VLOOKUP(P1630,Hoja1!C:F,{2,3,4},FALSE)</f>
        <v>46290</v>
      </c>
      <c r="R1630" t="str">
        <v>C03</v>
      </c>
      <c r="S1630" t="str">
        <v>1000001129 AGRONORTE S.R.L.</v>
      </c>
    </row>
    <row r="1631" spans="1:19" x14ac:dyDescent="0.3">
      <c r="A1631" s="2" t="s">
        <v>14</v>
      </c>
      <c r="B1631" s="3" t="s">
        <v>14</v>
      </c>
      <c r="C1631" s="3" t="s">
        <v>1588</v>
      </c>
      <c r="D1631" s="3" t="s">
        <v>14</v>
      </c>
      <c r="E1631" s="3" t="s">
        <v>466</v>
      </c>
      <c r="F1631" s="4">
        <v>46284</v>
      </c>
      <c r="G1631" s="3" t="s">
        <v>17</v>
      </c>
      <c r="H1631" s="5">
        <v>-10509.6</v>
      </c>
      <c r="I1631" s="3" t="s">
        <v>18</v>
      </c>
      <c r="J1631" s="3" t="s">
        <v>14</v>
      </c>
      <c r="K1631" s="3" t="s">
        <v>14</v>
      </c>
      <c r="L1631" s="3" t="s">
        <v>117</v>
      </c>
      <c r="M1631" s="4">
        <v>46284</v>
      </c>
      <c r="N1631" s="3" t="s">
        <v>1589</v>
      </c>
      <c r="O1631" s="3" t="s">
        <v>130</v>
      </c>
      <c r="P1631" t="str">
        <f t="shared" si="25"/>
        <v>4500136984180</v>
      </c>
      <c r="Q1631" s="7" cm="1">
        <f t="array" ref="Q1631:S1631">VLOOKUP(P1631,Hoja1!C:F,{2,3,4},FALSE)</f>
        <v>46290</v>
      </c>
      <c r="R1631" t="str">
        <v>C03</v>
      </c>
      <c r="S1631" t="str">
        <v>1000001129 AGRONORTE S.R.L.</v>
      </c>
    </row>
    <row r="1632" spans="1:19" x14ac:dyDescent="0.3">
      <c r="A1632" s="2" t="s">
        <v>14</v>
      </c>
      <c r="B1632" s="3" t="s">
        <v>14</v>
      </c>
      <c r="C1632" s="3" t="s">
        <v>1588</v>
      </c>
      <c r="D1632" s="3" t="s">
        <v>14</v>
      </c>
      <c r="E1632" s="3" t="s">
        <v>466</v>
      </c>
      <c r="F1632" s="4">
        <v>46284</v>
      </c>
      <c r="G1632" s="3" t="s">
        <v>17</v>
      </c>
      <c r="H1632" s="5">
        <v>-12321.6</v>
      </c>
      <c r="I1632" s="3" t="s">
        <v>18</v>
      </c>
      <c r="J1632" s="3" t="s">
        <v>14</v>
      </c>
      <c r="K1632" s="3" t="s">
        <v>14</v>
      </c>
      <c r="L1632" s="3" t="s">
        <v>117</v>
      </c>
      <c r="M1632" s="4">
        <v>46284</v>
      </c>
      <c r="N1632" s="3" t="s">
        <v>1589</v>
      </c>
      <c r="O1632" s="3" t="s">
        <v>127</v>
      </c>
      <c r="P1632" t="str">
        <f t="shared" si="25"/>
        <v>4500136984190</v>
      </c>
      <c r="Q1632" s="7" cm="1">
        <f t="array" ref="Q1632:S1632">VLOOKUP(P1632,Hoja1!C:F,{2,3,4},FALSE)</f>
        <v>46290</v>
      </c>
      <c r="R1632" t="str">
        <v>C03</v>
      </c>
      <c r="S1632" t="str">
        <v>1000001129 AGRONORTE S.R.L.</v>
      </c>
    </row>
    <row r="1633" spans="1:19" x14ac:dyDescent="0.3">
      <c r="A1633" s="2" t="s">
        <v>14</v>
      </c>
      <c r="B1633" s="3" t="s">
        <v>14</v>
      </c>
      <c r="C1633" s="3" t="s">
        <v>1588</v>
      </c>
      <c r="D1633" s="3" t="s">
        <v>14</v>
      </c>
      <c r="E1633" s="3" t="s">
        <v>466</v>
      </c>
      <c r="F1633" s="4">
        <v>46284</v>
      </c>
      <c r="G1633" s="3" t="s">
        <v>17</v>
      </c>
      <c r="H1633" s="5">
        <v>-11264.6</v>
      </c>
      <c r="I1633" s="3" t="s">
        <v>18</v>
      </c>
      <c r="J1633" s="3" t="s">
        <v>14</v>
      </c>
      <c r="K1633" s="3" t="s">
        <v>14</v>
      </c>
      <c r="L1633" s="3" t="s">
        <v>117</v>
      </c>
      <c r="M1633" s="4">
        <v>46284</v>
      </c>
      <c r="N1633" s="3" t="s">
        <v>1589</v>
      </c>
      <c r="O1633" s="3" t="s">
        <v>161</v>
      </c>
      <c r="P1633" t="str">
        <f t="shared" si="25"/>
        <v>4500136984200</v>
      </c>
      <c r="Q1633" s="7" cm="1">
        <f t="array" ref="Q1633:S1633">VLOOKUP(P1633,Hoja1!C:F,{2,3,4},FALSE)</f>
        <v>46290</v>
      </c>
      <c r="R1633" t="str">
        <v>C03</v>
      </c>
      <c r="S1633" t="str">
        <v>1000001129 AGRONORTE S.R.L.</v>
      </c>
    </row>
    <row r="1634" spans="1:19" x14ac:dyDescent="0.3">
      <c r="A1634" s="2" t="s">
        <v>14</v>
      </c>
      <c r="B1634" s="3" t="s">
        <v>14</v>
      </c>
      <c r="C1634" s="3" t="s">
        <v>1588</v>
      </c>
      <c r="D1634" s="3" t="s">
        <v>14</v>
      </c>
      <c r="E1634" s="3" t="s">
        <v>466</v>
      </c>
      <c r="F1634" s="4">
        <v>46284</v>
      </c>
      <c r="G1634" s="3" t="s">
        <v>17</v>
      </c>
      <c r="H1634" s="5">
        <v>-42582</v>
      </c>
      <c r="I1634" s="3" t="s">
        <v>18</v>
      </c>
      <c r="J1634" s="3" t="s">
        <v>14</v>
      </c>
      <c r="K1634" s="3" t="s">
        <v>14</v>
      </c>
      <c r="L1634" s="3" t="s">
        <v>117</v>
      </c>
      <c r="M1634" s="4">
        <v>46284</v>
      </c>
      <c r="N1634" s="3" t="s">
        <v>1589</v>
      </c>
      <c r="O1634" s="3" t="s">
        <v>140</v>
      </c>
      <c r="P1634" t="str">
        <f t="shared" si="25"/>
        <v>4500136984220</v>
      </c>
      <c r="Q1634" s="7" cm="1">
        <f t="array" ref="Q1634:S1634">VLOOKUP(P1634,Hoja1!C:F,{2,3,4},FALSE)</f>
        <v>46290</v>
      </c>
      <c r="R1634" t="str">
        <v>C03</v>
      </c>
      <c r="S1634" t="str">
        <v>1000001129 AGRONORTE S.R.L.</v>
      </c>
    </row>
    <row r="1635" spans="1:19" x14ac:dyDescent="0.3">
      <c r="A1635" s="2" t="s">
        <v>14</v>
      </c>
      <c r="B1635" s="3" t="s">
        <v>14</v>
      </c>
      <c r="C1635" s="3" t="s">
        <v>1588</v>
      </c>
      <c r="D1635" s="3" t="s">
        <v>14</v>
      </c>
      <c r="E1635" s="3" t="s">
        <v>466</v>
      </c>
      <c r="F1635" s="4">
        <v>46284</v>
      </c>
      <c r="G1635" s="3" t="s">
        <v>17</v>
      </c>
      <c r="H1635" s="5">
        <v>-22589.599999999999</v>
      </c>
      <c r="I1635" s="3" t="s">
        <v>18</v>
      </c>
      <c r="J1635" s="3" t="s">
        <v>14</v>
      </c>
      <c r="K1635" s="3" t="s">
        <v>14</v>
      </c>
      <c r="L1635" s="3" t="s">
        <v>117</v>
      </c>
      <c r="M1635" s="4">
        <v>46284</v>
      </c>
      <c r="N1635" s="3" t="s">
        <v>1589</v>
      </c>
      <c r="O1635" s="3" t="s">
        <v>45</v>
      </c>
      <c r="P1635" t="str">
        <f t="shared" si="25"/>
        <v>4500136984100</v>
      </c>
      <c r="Q1635" s="7" cm="1">
        <f t="array" ref="Q1635:S1635">VLOOKUP(P1635,Hoja1!C:F,{2,3,4},FALSE)</f>
        <v>46290</v>
      </c>
      <c r="R1635" t="str">
        <v>C03</v>
      </c>
      <c r="S1635" t="str">
        <v>1000001129 AGRONORTE S.R.L.</v>
      </c>
    </row>
    <row r="1636" spans="1:19" x14ac:dyDescent="0.3">
      <c r="A1636" s="2" t="s">
        <v>14</v>
      </c>
      <c r="B1636" s="3" t="s">
        <v>14</v>
      </c>
      <c r="C1636" s="3" t="s">
        <v>1588</v>
      </c>
      <c r="D1636" s="3" t="s">
        <v>14</v>
      </c>
      <c r="E1636" s="3" t="s">
        <v>466</v>
      </c>
      <c r="F1636" s="4">
        <v>46284</v>
      </c>
      <c r="G1636" s="3" t="s">
        <v>17</v>
      </c>
      <c r="H1636" s="5">
        <v>-20294.400000000001</v>
      </c>
      <c r="I1636" s="3" t="s">
        <v>18</v>
      </c>
      <c r="J1636" s="3" t="s">
        <v>14</v>
      </c>
      <c r="K1636" s="3" t="s">
        <v>14</v>
      </c>
      <c r="L1636" s="3" t="s">
        <v>117</v>
      </c>
      <c r="M1636" s="4">
        <v>46284</v>
      </c>
      <c r="N1636" s="3" t="s">
        <v>1589</v>
      </c>
      <c r="O1636" s="3" t="s">
        <v>156</v>
      </c>
      <c r="P1636" t="str">
        <f t="shared" si="25"/>
        <v>4500136984110</v>
      </c>
      <c r="Q1636" s="7" cm="1">
        <f t="array" ref="Q1636:S1636">VLOOKUP(P1636,Hoja1!C:F,{2,3,4},FALSE)</f>
        <v>46290</v>
      </c>
      <c r="R1636" t="str">
        <v>C03</v>
      </c>
      <c r="S1636" t="str">
        <v>1000001129 AGRONORTE S.R.L.</v>
      </c>
    </row>
    <row r="1637" spans="1:19" x14ac:dyDescent="0.3">
      <c r="A1637" s="2" t="s">
        <v>14</v>
      </c>
      <c r="B1637" s="3" t="s">
        <v>14</v>
      </c>
      <c r="C1637" s="3" t="s">
        <v>1588</v>
      </c>
      <c r="D1637" s="3" t="s">
        <v>14</v>
      </c>
      <c r="E1637" s="3" t="s">
        <v>466</v>
      </c>
      <c r="F1637" s="4">
        <v>46284</v>
      </c>
      <c r="G1637" s="3" t="s">
        <v>17</v>
      </c>
      <c r="H1637" s="5">
        <v>-8003</v>
      </c>
      <c r="I1637" s="3" t="s">
        <v>18</v>
      </c>
      <c r="J1637" s="3" t="s">
        <v>14</v>
      </c>
      <c r="K1637" s="3" t="s">
        <v>14</v>
      </c>
      <c r="L1637" s="3" t="s">
        <v>117</v>
      </c>
      <c r="M1637" s="4">
        <v>46284</v>
      </c>
      <c r="N1637" s="3" t="s">
        <v>1589</v>
      </c>
      <c r="O1637" s="3" t="s">
        <v>132</v>
      </c>
      <c r="P1637" t="str">
        <f t="shared" si="25"/>
        <v>4500136984120</v>
      </c>
      <c r="Q1637" s="7" cm="1">
        <f t="array" ref="Q1637:S1637">VLOOKUP(P1637,Hoja1!C:F,{2,3,4},FALSE)</f>
        <v>46290</v>
      </c>
      <c r="R1637" t="str">
        <v>C03</v>
      </c>
      <c r="S1637" t="str">
        <v>1000001129 AGRONORTE S.R.L.</v>
      </c>
    </row>
    <row r="1638" spans="1:19" x14ac:dyDescent="0.3">
      <c r="A1638" s="2" t="s">
        <v>14</v>
      </c>
      <c r="B1638" s="3" t="s">
        <v>14</v>
      </c>
      <c r="C1638" s="3" t="s">
        <v>1588</v>
      </c>
      <c r="D1638" s="3" t="s">
        <v>14</v>
      </c>
      <c r="E1638" s="3" t="s">
        <v>466</v>
      </c>
      <c r="F1638" s="4">
        <v>46284</v>
      </c>
      <c r="G1638" s="3" t="s">
        <v>17</v>
      </c>
      <c r="H1638" s="5">
        <v>-273249.59999999998</v>
      </c>
      <c r="I1638" s="3" t="s">
        <v>18</v>
      </c>
      <c r="J1638" s="3" t="s">
        <v>14</v>
      </c>
      <c r="K1638" s="3" t="s">
        <v>14</v>
      </c>
      <c r="L1638" s="3" t="s">
        <v>117</v>
      </c>
      <c r="M1638" s="4">
        <v>46284</v>
      </c>
      <c r="N1638" s="3" t="s">
        <v>1589</v>
      </c>
      <c r="O1638" s="3" t="s">
        <v>160</v>
      </c>
      <c r="P1638" t="str">
        <f t="shared" si="25"/>
        <v>4500136984500</v>
      </c>
      <c r="Q1638" s="7" cm="1">
        <f t="array" ref="Q1638:S1638">VLOOKUP(P1638,Hoja1!C:F,{2,3,4},FALSE)</f>
        <v>46290</v>
      </c>
      <c r="R1638" t="str">
        <v>C03</v>
      </c>
      <c r="S1638" t="str">
        <v>1000001129 AGRONORTE S.R.L.</v>
      </c>
    </row>
    <row r="1639" spans="1:19" x14ac:dyDescent="0.3">
      <c r="A1639" s="2" t="s">
        <v>14</v>
      </c>
      <c r="B1639" s="3" t="s">
        <v>14</v>
      </c>
      <c r="C1639" s="3" t="s">
        <v>1588</v>
      </c>
      <c r="D1639" s="3" t="s">
        <v>14</v>
      </c>
      <c r="E1639" s="3" t="s">
        <v>466</v>
      </c>
      <c r="F1639" s="4">
        <v>46284</v>
      </c>
      <c r="G1639" s="3" t="s">
        <v>17</v>
      </c>
      <c r="H1639" s="5">
        <v>-409753.59999999998</v>
      </c>
      <c r="I1639" s="3" t="s">
        <v>18</v>
      </c>
      <c r="J1639" s="3" t="s">
        <v>14</v>
      </c>
      <c r="K1639" s="3" t="s">
        <v>14</v>
      </c>
      <c r="L1639" s="3" t="s">
        <v>117</v>
      </c>
      <c r="M1639" s="4">
        <v>46284</v>
      </c>
      <c r="N1639" s="3" t="s">
        <v>1589</v>
      </c>
      <c r="O1639" s="3" t="s">
        <v>170</v>
      </c>
      <c r="P1639" t="str">
        <f t="shared" si="25"/>
        <v>4500136984460</v>
      </c>
      <c r="Q1639" s="7" cm="1">
        <f t="array" ref="Q1639:S1639">VLOOKUP(P1639,Hoja1!C:F,{2,3,4},FALSE)</f>
        <v>46290</v>
      </c>
      <c r="R1639" t="str">
        <v>C03</v>
      </c>
      <c r="S1639" t="str">
        <v>1000001129 AGRONORTE S.R.L.</v>
      </c>
    </row>
    <row r="1640" spans="1:19" x14ac:dyDescent="0.3">
      <c r="A1640" s="2" t="s">
        <v>14</v>
      </c>
      <c r="B1640" s="3" t="s">
        <v>14</v>
      </c>
      <c r="C1640" s="3" t="s">
        <v>1588</v>
      </c>
      <c r="D1640" s="3" t="s">
        <v>14</v>
      </c>
      <c r="E1640" s="3" t="s">
        <v>466</v>
      </c>
      <c r="F1640" s="4">
        <v>46284</v>
      </c>
      <c r="G1640" s="3" t="s">
        <v>17</v>
      </c>
      <c r="H1640" s="5">
        <v>-51038</v>
      </c>
      <c r="I1640" s="3" t="s">
        <v>18</v>
      </c>
      <c r="J1640" s="3" t="s">
        <v>14</v>
      </c>
      <c r="K1640" s="3" t="s">
        <v>14</v>
      </c>
      <c r="L1640" s="3" t="s">
        <v>117</v>
      </c>
      <c r="M1640" s="4">
        <v>46284</v>
      </c>
      <c r="N1640" s="3" t="s">
        <v>1589</v>
      </c>
      <c r="O1640" s="3" t="s">
        <v>131</v>
      </c>
      <c r="P1640" t="str">
        <f t="shared" si="25"/>
        <v>4500136984140</v>
      </c>
      <c r="Q1640" s="7" cm="1">
        <f t="array" ref="Q1640:S1640">VLOOKUP(P1640,Hoja1!C:F,{2,3,4},FALSE)</f>
        <v>46290</v>
      </c>
      <c r="R1640" t="str">
        <v>C03</v>
      </c>
      <c r="S1640" t="str">
        <v>1000001129 AGRONORTE S.R.L.</v>
      </c>
    </row>
    <row r="1641" spans="1:19" x14ac:dyDescent="0.3">
      <c r="A1641" s="2" t="s">
        <v>14</v>
      </c>
      <c r="B1641" s="3" t="s">
        <v>14</v>
      </c>
      <c r="C1641" s="3" t="s">
        <v>1588</v>
      </c>
      <c r="D1641" s="3" t="s">
        <v>14</v>
      </c>
      <c r="E1641" s="3" t="s">
        <v>466</v>
      </c>
      <c r="F1641" s="4">
        <v>46284</v>
      </c>
      <c r="G1641" s="3" t="s">
        <v>17</v>
      </c>
      <c r="H1641" s="5">
        <v>-108236.8</v>
      </c>
      <c r="I1641" s="3" t="s">
        <v>18</v>
      </c>
      <c r="J1641" s="3" t="s">
        <v>14</v>
      </c>
      <c r="K1641" s="3" t="s">
        <v>14</v>
      </c>
      <c r="L1641" s="3" t="s">
        <v>117</v>
      </c>
      <c r="M1641" s="4">
        <v>46284</v>
      </c>
      <c r="N1641" s="3" t="s">
        <v>1589</v>
      </c>
      <c r="O1641" s="3" t="s">
        <v>68</v>
      </c>
      <c r="P1641" t="str">
        <f t="shared" si="25"/>
        <v>4500136984150</v>
      </c>
      <c r="Q1641" s="7" cm="1">
        <f t="array" ref="Q1641:S1641">VLOOKUP(P1641,Hoja1!C:F,{2,3,4},FALSE)</f>
        <v>46290</v>
      </c>
      <c r="R1641" t="str">
        <v>C03</v>
      </c>
      <c r="S1641" t="str">
        <v>1000001129 AGRONORTE S.R.L.</v>
      </c>
    </row>
    <row r="1642" spans="1:19" x14ac:dyDescent="0.3">
      <c r="A1642" s="2" t="s">
        <v>14</v>
      </c>
      <c r="B1642" s="3" t="s">
        <v>14</v>
      </c>
      <c r="C1642" s="3" t="s">
        <v>1588</v>
      </c>
      <c r="D1642" s="3" t="s">
        <v>14</v>
      </c>
      <c r="E1642" s="3" t="s">
        <v>466</v>
      </c>
      <c r="F1642" s="4">
        <v>46284</v>
      </c>
      <c r="G1642" s="3" t="s">
        <v>17</v>
      </c>
      <c r="H1642" s="5">
        <v>-98572.800000000003</v>
      </c>
      <c r="I1642" s="3" t="s">
        <v>18</v>
      </c>
      <c r="J1642" s="3" t="s">
        <v>14</v>
      </c>
      <c r="K1642" s="3" t="s">
        <v>14</v>
      </c>
      <c r="L1642" s="3" t="s">
        <v>117</v>
      </c>
      <c r="M1642" s="4">
        <v>46284</v>
      </c>
      <c r="N1642" s="3" t="s">
        <v>1589</v>
      </c>
      <c r="O1642" s="3" t="s">
        <v>129</v>
      </c>
      <c r="P1642" t="str">
        <f t="shared" si="25"/>
        <v>4500136984160</v>
      </c>
      <c r="Q1642" s="7" cm="1">
        <f t="array" ref="Q1642:S1642">VLOOKUP(P1642,Hoja1!C:F,{2,3,4},FALSE)</f>
        <v>46290</v>
      </c>
      <c r="R1642" t="str">
        <v>C03</v>
      </c>
      <c r="S1642" t="str">
        <v>1000001129 AGRONORTE S.R.L.</v>
      </c>
    </row>
    <row r="1643" spans="1:19" x14ac:dyDescent="0.3">
      <c r="A1643" s="2" t="s">
        <v>14</v>
      </c>
      <c r="B1643" s="3" t="s">
        <v>14</v>
      </c>
      <c r="C1643" s="3" t="s">
        <v>1588</v>
      </c>
      <c r="D1643" s="3" t="s">
        <v>14</v>
      </c>
      <c r="E1643" s="3" t="s">
        <v>466</v>
      </c>
      <c r="F1643" s="4">
        <v>46284</v>
      </c>
      <c r="G1643" s="3" t="s">
        <v>17</v>
      </c>
      <c r="H1643" s="5">
        <v>-57787.7</v>
      </c>
      <c r="I1643" s="3" t="s">
        <v>18</v>
      </c>
      <c r="J1643" s="3" t="s">
        <v>14</v>
      </c>
      <c r="K1643" s="3" t="s">
        <v>14</v>
      </c>
      <c r="L1643" s="3" t="s">
        <v>117</v>
      </c>
      <c r="M1643" s="4">
        <v>46284</v>
      </c>
      <c r="N1643" s="3" t="s">
        <v>1589</v>
      </c>
      <c r="O1643" s="3" t="s">
        <v>166</v>
      </c>
      <c r="P1643" t="str">
        <f t="shared" si="25"/>
        <v>4500136984430</v>
      </c>
      <c r="Q1643" s="7" cm="1">
        <f t="array" ref="Q1643:S1643">VLOOKUP(P1643,Hoja1!C:F,{2,3,4},FALSE)</f>
        <v>46290</v>
      </c>
      <c r="R1643" t="str">
        <v>C03</v>
      </c>
      <c r="S1643" t="str">
        <v>1000001129 AGRONORTE S.R.L.</v>
      </c>
    </row>
    <row r="1644" spans="1:19" x14ac:dyDescent="0.3">
      <c r="A1644" s="2" t="s">
        <v>14</v>
      </c>
      <c r="B1644" s="3" t="s">
        <v>14</v>
      </c>
      <c r="C1644" s="3" t="s">
        <v>1588</v>
      </c>
      <c r="D1644" s="3" t="s">
        <v>14</v>
      </c>
      <c r="E1644" s="3" t="s">
        <v>466</v>
      </c>
      <c r="F1644" s="4">
        <v>46284</v>
      </c>
      <c r="G1644" s="3" t="s">
        <v>17</v>
      </c>
      <c r="H1644" s="5">
        <v>-57787.7</v>
      </c>
      <c r="I1644" s="3" t="s">
        <v>18</v>
      </c>
      <c r="J1644" s="3" t="s">
        <v>14</v>
      </c>
      <c r="K1644" s="3" t="s">
        <v>14</v>
      </c>
      <c r="L1644" s="3" t="s">
        <v>117</v>
      </c>
      <c r="M1644" s="4">
        <v>46284</v>
      </c>
      <c r="N1644" s="3" t="s">
        <v>1589</v>
      </c>
      <c r="O1644" s="3" t="s">
        <v>1590</v>
      </c>
      <c r="P1644" t="str">
        <f t="shared" si="25"/>
        <v>4500136984800</v>
      </c>
      <c r="Q1644" s="7" cm="1">
        <f t="array" ref="Q1644:S1644">VLOOKUP(P1644,Hoja1!C:F,{2,3,4},FALSE)</f>
        <v>46290</v>
      </c>
      <c r="R1644" t="str">
        <v>C03</v>
      </c>
      <c r="S1644" t="str">
        <v>1000001129 AGRONORTE S.R.L.</v>
      </c>
    </row>
    <row r="1645" spans="1:19" x14ac:dyDescent="0.3">
      <c r="A1645" s="2" t="s">
        <v>14</v>
      </c>
      <c r="B1645" s="3" t="s">
        <v>14</v>
      </c>
      <c r="C1645" s="3" t="s">
        <v>1588</v>
      </c>
      <c r="D1645" s="3" t="s">
        <v>14</v>
      </c>
      <c r="E1645" s="3" t="s">
        <v>466</v>
      </c>
      <c r="F1645" s="4">
        <v>46284</v>
      </c>
      <c r="G1645" s="3" t="s">
        <v>17</v>
      </c>
      <c r="H1645" s="5">
        <v>-537982.80000000005</v>
      </c>
      <c r="I1645" s="3" t="s">
        <v>18</v>
      </c>
      <c r="J1645" s="3" t="s">
        <v>14</v>
      </c>
      <c r="K1645" s="3" t="s">
        <v>14</v>
      </c>
      <c r="L1645" s="3" t="s">
        <v>117</v>
      </c>
      <c r="M1645" s="4">
        <v>46284</v>
      </c>
      <c r="N1645" s="3" t="s">
        <v>1589</v>
      </c>
      <c r="O1645" s="3" t="s">
        <v>155</v>
      </c>
      <c r="P1645" t="str">
        <f t="shared" si="25"/>
        <v>4500136984420</v>
      </c>
      <c r="Q1645" s="7" cm="1">
        <f t="array" ref="Q1645:S1645">VLOOKUP(P1645,Hoja1!C:F,{2,3,4},FALSE)</f>
        <v>46290</v>
      </c>
      <c r="R1645" t="str">
        <v>C03</v>
      </c>
      <c r="S1645" t="str">
        <v>1000001129 AGRONORTE S.R.L.</v>
      </c>
    </row>
    <row r="1646" spans="1:19" x14ac:dyDescent="0.3">
      <c r="A1646" s="2" t="s">
        <v>14</v>
      </c>
      <c r="B1646" s="3" t="s">
        <v>14</v>
      </c>
      <c r="C1646" s="3" t="s">
        <v>1588</v>
      </c>
      <c r="D1646" s="3" t="s">
        <v>14</v>
      </c>
      <c r="E1646" s="3" t="s">
        <v>466</v>
      </c>
      <c r="F1646" s="4">
        <v>46284</v>
      </c>
      <c r="G1646" s="3" t="s">
        <v>17</v>
      </c>
      <c r="H1646" s="5">
        <v>-403487.1</v>
      </c>
      <c r="I1646" s="3" t="s">
        <v>18</v>
      </c>
      <c r="J1646" s="3" t="s">
        <v>14</v>
      </c>
      <c r="K1646" s="3" t="s">
        <v>14</v>
      </c>
      <c r="L1646" s="3" t="s">
        <v>117</v>
      </c>
      <c r="M1646" s="4">
        <v>46284</v>
      </c>
      <c r="N1646" s="3" t="s">
        <v>1589</v>
      </c>
      <c r="O1646" s="3" t="s">
        <v>578</v>
      </c>
      <c r="P1646" t="str">
        <f t="shared" si="25"/>
        <v>4500136984790</v>
      </c>
      <c r="Q1646" s="7" cm="1">
        <f t="array" ref="Q1646:S1646">VLOOKUP(P1646,Hoja1!C:F,{2,3,4},FALSE)</f>
        <v>46290</v>
      </c>
      <c r="R1646" t="str">
        <v>C03</v>
      </c>
      <c r="S1646" t="str">
        <v>1000001129 AGRONORTE S.R.L.</v>
      </c>
    </row>
    <row r="1647" spans="1:19" x14ac:dyDescent="0.3">
      <c r="A1647" s="2" t="s">
        <v>14</v>
      </c>
      <c r="B1647" s="3" t="s">
        <v>14</v>
      </c>
      <c r="C1647" s="3" t="s">
        <v>1588</v>
      </c>
      <c r="D1647" s="3" t="s">
        <v>14</v>
      </c>
      <c r="E1647" s="3" t="s">
        <v>466</v>
      </c>
      <c r="F1647" s="4">
        <v>46284</v>
      </c>
      <c r="G1647" s="3" t="s">
        <v>17</v>
      </c>
      <c r="H1647" s="5">
        <v>-110607.5</v>
      </c>
      <c r="I1647" s="3" t="s">
        <v>18</v>
      </c>
      <c r="J1647" s="3" t="s">
        <v>14</v>
      </c>
      <c r="K1647" s="3" t="s">
        <v>14</v>
      </c>
      <c r="L1647" s="3" t="s">
        <v>117</v>
      </c>
      <c r="M1647" s="4">
        <v>46284</v>
      </c>
      <c r="N1647" s="3" t="s">
        <v>1589</v>
      </c>
      <c r="O1647" s="3" t="s">
        <v>1591</v>
      </c>
      <c r="P1647" t="str">
        <f t="shared" si="25"/>
        <v>4500136984850</v>
      </c>
      <c r="Q1647" s="7" cm="1">
        <f t="array" ref="Q1647:S1647">VLOOKUP(P1647,Hoja1!C:F,{2,3,4},FALSE)</f>
        <v>46290</v>
      </c>
      <c r="R1647" t="str">
        <v>C03</v>
      </c>
      <c r="S1647" t="str">
        <v>1000001129 AGRONORTE S.R.L.</v>
      </c>
    </row>
    <row r="1648" spans="1:19" x14ac:dyDescent="0.3">
      <c r="A1648" s="2" t="s">
        <v>14</v>
      </c>
      <c r="B1648" s="3" t="s">
        <v>14</v>
      </c>
      <c r="C1648" s="3" t="s">
        <v>1588</v>
      </c>
      <c r="D1648" s="3" t="s">
        <v>14</v>
      </c>
      <c r="E1648" s="3" t="s">
        <v>466</v>
      </c>
      <c r="F1648" s="4">
        <v>46284</v>
      </c>
      <c r="G1648" s="3" t="s">
        <v>17</v>
      </c>
      <c r="H1648" s="5">
        <v>-192207.9</v>
      </c>
      <c r="I1648" s="3" t="s">
        <v>18</v>
      </c>
      <c r="J1648" s="3" t="s">
        <v>14</v>
      </c>
      <c r="K1648" s="3" t="s">
        <v>14</v>
      </c>
      <c r="L1648" s="3" t="s">
        <v>117</v>
      </c>
      <c r="M1648" s="4">
        <v>46284</v>
      </c>
      <c r="N1648" s="3" t="s">
        <v>1589</v>
      </c>
      <c r="O1648" s="3" t="s">
        <v>1592</v>
      </c>
      <c r="P1648" t="str">
        <f t="shared" si="25"/>
        <v>4500136984860</v>
      </c>
      <c r="Q1648" s="7" cm="1">
        <f t="array" ref="Q1648:S1648">VLOOKUP(P1648,Hoja1!C:F,{2,3,4},FALSE)</f>
        <v>46290</v>
      </c>
      <c r="R1648" t="str">
        <v>C03</v>
      </c>
      <c r="S1648" t="str">
        <v>1000001129 AGRONORTE S.R.L.</v>
      </c>
    </row>
    <row r="1649" spans="1:19" x14ac:dyDescent="0.3">
      <c r="A1649" s="2" t="s">
        <v>14</v>
      </c>
      <c r="B1649" s="3" t="s">
        <v>14</v>
      </c>
      <c r="C1649" s="3" t="s">
        <v>1588</v>
      </c>
      <c r="D1649" s="3" t="s">
        <v>14</v>
      </c>
      <c r="E1649" s="3" t="s">
        <v>466</v>
      </c>
      <c r="F1649" s="4">
        <v>46284</v>
      </c>
      <c r="G1649" s="3" t="s">
        <v>17</v>
      </c>
      <c r="H1649" s="5">
        <v>-13861.8</v>
      </c>
      <c r="I1649" s="3" t="s">
        <v>18</v>
      </c>
      <c r="J1649" s="3" t="s">
        <v>14</v>
      </c>
      <c r="K1649" s="3" t="s">
        <v>14</v>
      </c>
      <c r="L1649" s="3" t="s">
        <v>117</v>
      </c>
      <c r="M1649" s="4">
        <v>46284</v>
      </c>
      <c r="N1649" s="3" t="s">
        <v>1589</v>
      </c>
      <c r="O1649" s="3" t="s">
        <v>23</v>
      </c>
      <c r="P1649" t="str">
        <f t="shared" si="25"/>
        <v>450013698440</v>
      </c>
      <c r="Q1649" s="7" cm="1">
        <f t="array" ref="Q1649:S1649">VLOOKUP(P1649,Hoja1!C:F,{2,3,4},FALSE)</f>
        <v>46290</v>
      </c>
      <c r="R1649" t="str">
        <v>C03</v>
      </c>
      <c r="S1649" t="str">
        <v>1000001129 AGRONORTE S.R.L.</v>
      </c>
    </row>
    <row r="1650" spans="1:19" x14ac:dyDescent="0.3">
      <c r="A1650" s="2" t="s">
        <v>14</v>
      </c>
      <c r="B1650" s="3" t="s">
        <v>14</v>
      </c>
      <c r="C1650" s="3" t="s">
        <v>1588</v>
      </c>
      <c r="D1650" s="3" t="s">
        <v>14</v>
      </c>
      <c r="E1650" s="3" t="s">
        <v>466</v>
      </c>
      <c r="F1650" s="4">
        <v>46284</v>
      </c>
      <c r="G1650" s="3" t="s">
        <v>17</v>
      </c>
      <c r="H1650" s="5">
        <v>-332.2</v>
      </c>
      <c r="I1650" s="3" t="s">
        <v>18</v>
      </c>
      <c r="J1650" s="3" t="s">
        <v>14</v>
      </c>
      <c r="K1650" s="3" t="s">
        <v>14</v>
      </c>
      <c r="L1650" s="3" t="s">
        <v>117</v>
      </c>
      <c r="M1650" s="4">
        <v>46284</v>
      </c>
      <c r="N1650" s="3" t="s">
        <v>1589</v>
      </c>
      <c r="O1650" s="3" t="s">
        <v>1593</v>
      </c>
      <c r="P1650" t="str">
        <f t="shared" si="25"/>
        <v>4500136984890</v>
      </c>
      <c r="Q1650" s="7" cm="1">
        <f t="array" ref="Q1650:S1650">VLOOKUP(P1650,Hoja1!C:F,{2,3,4},FALSE)</f>
        <v>46290</v>
      </c>
      <c r="R1650" t="str">
        <v>C03</v>
      </c>
      <c r="S1650" t="str">
        <v>1000001129 AGRONORTE S.R.L.</v>
      </c>
    </row>
    <row r="1651" spans="1:19" x14ac:dyDescent="0.3">
      <c r="A1651" s="2" t="s">
        <v>14</v>
      </c>
      <c r="B1651" s="3" t="s">
        <v>14</v>
      </c>
      <c r="C1651" s="3" t="s">
        <v>1588</v>
      </c>
      <c r="D1651" s="3" t="s">
        <v>14</v>
      </c>
      <c r="E1651" s="3" t="s">
        <v>466</v>
      </c>
      <c r="F1651" s="4">
        <v>46284</v>
      </c>
      <c r="G1651" s="3" t="s">
        <v>17</v>
      </c>
      <c r="H1651" s="5">
        <v>-12804.8</v>
      </c>
      <c r="I1651" s="3" t="s">
        <v>18</v>
      </c>
      <c r="J1651" s="3" t="s">
        <v>14</v>
      </c>
      <c r="K1651" s="3" t="s">
        <v>14</v>
      </c>
      <c r="L1651" s="3" t="s">
        <v>117</v>
      </c>
      <c r="M1651" s="4">
        <v>46284</v>
      </c>
      <c r="N1651" s="3" t="s">
        <v>1589</v>
      </c>
      <c r="O1651" s="3" t="s">
        <v>142</v>
      </c>
      <c r="P1651" t="str">
        <f t="shared" si="25"/>
        <v>4500136984130</v>
      </c>
      <c r="Q1651" s="7" cm="1">
        <f t="array" ref="Q1651:S1651">VLOOKUP(P1651,Hoja1!C:F,{2,3,4},FALSE)</f>
        <v>46290</v>
      </c>
      <c r="R1651" t="str">
        <v>C03</v>
      </c>
      <c r="S1651" t="str">
        <v>1000001129 AGRONORTE S.R.L.</v>
      </c>
    </row>
    <row r="1652" spans="1:19" x14ac:dyDescent="0.3">
      <c r="A1652" s="2" t="s">
        <v>14</v>
      </c>
      <c r="B1652" s="3" t="s">
        <v>14</v>
      </c>
      <c r="C1652" s="3" t="s">
        <v>1588</v>
      </c>
      <c r="D1652" s="3" t="s">
        <v>14</v>
      </c>
      <c r="E1652" s="3" t="s">
        <v>466</v>
      </c>
      <c r="F1652" s="4">
        <v>46284</v>
      </c>
      <c r="G1652" s="3" t="s">
        <v>17</v>
      </c>
      <c r="H1652" s="5">
        <v>-4954189.2</v>
      </c>
      <c r="I1652" s="3" t="s">
        <v>18</v>
      </c>
      <c r="J1652" s="3" t="s">
        <v>14</v>
      </c>
      <c r="K1652" s="3" t="s">
        <v>14</v>
      </c>
      <c r="L1652" s="3" t="s">
        <v>117</v>
      </c>
      <c r="M1652" s="4">
        <v>46284</v>
      </c>
      <c r="N1652" s="3" t="s">
        <v>1589</v>
      </c>
      <c r="O1652" s="3" t="s">
        <v>1594</v>
      </c>
      <c r="P1652" t="str">
        <f t="shared" si="25"/>
        <v>4500136984750</v>
      </c>
      <c r="Q1652" s="7" cm="1">
        <f t="array" ref="Q1652:S1652">VLOOKUP(P1652,Hoja1!C:F,{2,3,4},FALSE)</f>
        <v>46290</v>
      </c>
      <c r="R1652" t="str">
        <v>C03</v>
      </c>
      <c r="S1652" t="str">
        <v>1000001129 AGRONORTE S.R.L.</v>
      </c>
    </row>
    <row r="1653" spans="1:19" x14ac:dyDescent="0.3">
      <c r="A1653" s="2" t="s">
        <v>14</v>
      </c>
      <c r="B1653" s="3" t="s">
        <v>14</v>
      </c>
      <c r="C1653" s="3" t="s">
        <v>1588</v>
      </c>
      <c r="D1653" s="3" t="s">
        <v>14</v>
      </c>
      <c r="E1653" s="3" t="s">
        <v>466</v>
      </c>
      <c r="F1653" s="4">
        <v>46284</v>
      </c>
      <c r="G1653" s="3" t="s">
        <v>17</v>
      </c>
      <c r="H1653" s="5">
        <v>-3865.6</v>
      </c>
      <c r="I1653" s="3" t="s">
        <v>18</v>
      </c>
      <c r="J1653" s="3" t="s">
        <v>14</v>
      </c>
      <c r="K1653" s="3" t="s">
        <v>14</v>
      </c>
      <c r="L1653" s="3" t="s">
        <v>117</v>
      </c>
      <c r="M1653" s="4">
        <v>46284</v>
      </c>
      <c r="N1653" s="3" t="s">
        <v>1589</v>
      </c>
      <c r="O1653" s="3" t="s">
        <v>141</v>
      </c>
      <c r="P1653" t="str">
        <f t="shared" si="25"/>
        <v>450013698460</v>
      </c>
      <c r="Q1653" s="7" cm="1">
        <f t="array" ref="Q1653:S1653">VLOOKUP(P1653,Hoja1!C:F,{2,3,4},FALSE)</f>
        <v>46290</v>
      </c>
      <c r="R1653" t="str">
        <v>C03</v>
      </c>
      <c r="S1653" t="str">
        <v>1000001129 AGRONORTE S.R.L.</v>
      </c>
    </row>
    <row r="1654" spans="1:19" x14ac:dyDescent="0.3">
      <c r="A1654" s="2" t="s">
        <v>14</v>
      </c>
      <c r="B1654" s="3" t="s">
        <v>14</v>
      </c>
      <c r="C1654" s="3" t="s">
        <v>1588</v>
      </c>
      <c r="D1654" s="3" t="s">
        <v>14</v>
      </c>
      <c r="E1654" s="3" t="s">
        <v>466</v>
      </c>
      <c r="F1654" s="4">
        <v>46284</v>
      </c>
      <c r="G1654" s="3" t="s">
        <v>17</v>
      </c>
      <c r="H1654" s="5">
        <v>-3865.6</v>
      </c>
      <c r="I1654" s="3" t="s">
        <v>18</v>
      </c>
      <c r="J1654" s="3" t="s">
        <v>14</v>
      </c>
      <c r="K1654" s="3" t="s">
        <v>14</v>
      </c>
      <c r="L1654" s="3" t="s">
        <v>117</v>
      </c>
      <c r="M1654" s="4">
        <v>46284</v>
      </c>
      <c r="N1654" s="3" t="s">
        <v>1589</v>
      </c>
      <c r="O1654" s="3" t="s">
        <v>159</v>
      </c>
      <c r="P1654" t="str">
        <f t="shared" si="25"/>
        <v>4500136984510</v>
      </c>
      <c r="Q1654" s="7" cm="1">
        <f t="array" ref="Q1654:S1654">VLOOKUP(P1654,Hoja1!C:F,{2,3,4},FALSE)</f>
        <v>46290</v>
      </c>
      <c r="R1654" t="str">
        <v>C03</v>
      </c>
      <c r="S1654" t="str">
        <v>1000001129 AGRONORTE S.R.L.</v>
      </c>
    </row>
    <row r="1655" spans="1:19" x14ac:dyDescent="0.3">
      <c r="A1655" s="2" t="s">
        <v>14</v>
      </c>
      <c r="B1655" s="3" t="s">
        <v>14</v>
      </c>
      <c r="C1655" s="3" t="s">
        <v>1588</v>
      </c>
      <c r="D1655" s="3" t="s">
        <v>14</v>
      </c>
      <c r="E1655" s="3" t="s">
        <v>466</v>
      </c>
      <c r="F1655" s="4">
        <v>46284</v>
      </c>
      <c r="G1655" s="3" t="s">
        <v>17</v>
      </c>
      <c r="H1655" s="5">
        <v>-39350.6</v>
      </c>
      <c r="I1655" s="3" t="s">
        <v>18</v>
      </c>
      <c r="J1655" s="3" t="s">
        <v>14</v>
      </c>
      <c r="K1655" s="3" t="s">
        <v>14</v>
      </c>
      <c r="L1655" s="3" t="s">
        <v>117</v>
      </c>
      <c r="M1655" s="4">
        <v>46284</v>
      </c>
      <c r="N1655" s="3" t="s">
        <v>1589</v>
      </c>
      <c r="O1655" s="3" t="s">
        <v>136</v>
      </c>
      <c r="P1655" t="str">
        <f t="shared" si="25"/>
        <v>4500136984210</v>
      </c>
      <c r="Q1655" s="7" cm="1">
        <f t="array" ref="Q1655:S1655">VLOOKUP(P1655,Hoja1!C:F,{2,3,4},FALSE)</f>
        <v>46290</v>
      </c>
      <c r="R1655" t="str">
        <v>C03</v>
      </c>
      <c r="S1655" t="str">
        <v>1000001129 AGRONORTE S.R.L.</v>
      </c>
    </row>
    <row r="1656" spans="1:19" x14ac:dyDescent="0.3">
      <c r="A1656" s="2" t="s">
        <v>14</v>
      </c>
      <c r="B1656" s="3" t="s">
        <v>14</v>
      </c>
      <c r="C1656" s="3" t="s">
        <v>1588</v>
      </c>
      <c r="D1656" s="3" t="s">
        <v>14</v>
      </c>
      <c r="E1656" s="3" t="s">
        <v>466</v>
      </c>
      <c r="F1656" s="4">
        <v>46284</v>
      </c>
      <c r="G1656" s="3" t="s">
        <v>17</v>
      </c>
      <c r="H1656" s="5">
        <v>-118051.8</v>
      </c>
      <c r="I1656" s="3" t="s">
        <v>18</v>
      </c>
      <c r="J1656" s="3" t="s">
        <v>14</v>
      </c>
      <c r="K1656" s="3" t="s">
        <v>14</v>
      </c>
      <c r="L1656" s="3" t="s">
        <v>117</v>
      </c>
      <c r="M1656" s="4">
        <v>46284</v>
      </c>
      <c r="N1656" s="3" t="s">
        <v>1589</v>
      </c>
      <c r="O1656" s="3" t="s">
        <v>175</v>
      </c>
      <c r="P1656" t="str">
        <f t="shared" si="25"/>
        <v>4500136984620</v>
      </c>
      <c r="Q1656" s="7" cm="1">
        <f t="array" ref="Q1656:S1656">VLOOKUP(P1656,Hoja1!C:F,{2,3,4},FALSE)</f>
        <v>46290</v>
      </c>
      <c r="R1656" t="str">
        <v>C03</v>
      </c>
      <c r="S1656" t="str">
        <v>1000001129 AGRONORTE S.R.L.</v>
      </c>
    </row>
    <row r="1657" spans="1:19" x14ac:dyDescent="0.3">
      <c r="A1657" s="2" t="s">
        <v>14</v>
      </c>
      <c r="B1657" s="3" t="s">
        <v>14</v>
      </c>
      <c r="C1657" s="3" t="s">
        <v>1588</v>
      </c>
      <c r="D1657" s="3" t="s">
        <v>14</v>
      </c>
      <c r="E1657" s="3" t="s">
        <v>466</v>
      </c>
      <c r="F1657" s="4">
        <v>46284</v>
      </c>
      <c r="G1657" s="3" t="s">
        <v>17</v>
      </c>
      <c r="H1657" s="5">
        <v>-58527.6</v>
      </c>
      <c r="I1657" s="3" t="s">
        <v>18</v>
      </c>
      <c r="J1657" s="3" t="s">
        <v>14</v>
      </c>
      <c r="K1657" s="3" t="s">
        <v>14</v>
      </c>
      <c r="L1657" s="3" t="s">
        <v>117</v>
      </c>
      <c r="M1657" s="4">
        <v>46284</v>
      </c>
      <c r="N1657" s="3" t="s">
        <v>1589</v>
      </c>
      <c r="O1657" s="3" t="s">
        <v>137</v>
      </c>
      <c r="P1657" t="str">
        <f t="shared" si="25"/>
        <v>4500136984230</v>
      </c>
      <c r="Q1657" s="7" cm="1">
        <f t="array" ref="Q1657:S1657">VLOOKUP(P1657,Hoja1!C:F,{2,3,4},FALSE)</f>
        <v>46290</v>
      </c>
      <c r="R1657" t="str">
        <v>C03</v>
      </c>
      <c r="S1657" t="str">
        <v>1000001129 AGRONORTE S.R.L.</v>
      </c>
    </row>
    <row r="1658" spans="1:19" x14ac:dyDescent="0.3">
      <c r="A1658" s="2" t="s">
        <v>14</v>
      </c>
      <c r="B1658" s="3" t="s">
        <v>14</v>
      </c>
      <c r="C1658" s="3" t="s">
        <v>1588</v>
      </c>
      <c r="D1658" s="3" t="s">
        <v>14</v>
      </c>
      <c r="E1658" s="3" t="s">
        <v>466</v>
      </c>
      <c r="F1658" s="4">
        <v>46284</v>
      </c>
      <c r="G1658" s="3" t="s">
        <v>17</v>
      </c>
      <c r="H1658" s="5">
        <v>-58527.6</v>
      </c>
      <c r="I1658" s="3" t="s">
        <v>18</v>
      </c>
      <c r="J1658" s="3" t="s">
        <v>14</v>
      </c>
      <c r="K1658" s="3" t="s">
        <v>14</v>
      </c>
      <c r="L1658" s="3" t="s">
        <v>117</v>
      </c>
      <c r="M1658" s="4">
        <v>46284</v>
      </c>
      <c r="N1658" s="3" t="s">
        <v>1589</v>
      </c>
      <c r="O1658" s="3" t="s">
        <v>165</v>
      </c>
      <c r="P1658" t="str">
        <f t="shared" si="25"/>
        <v>4500136984630</v>
      </c>
      <c r="Q1658" s="7" cm="1">
        <f t="array" ref="Q1658:S1658">VLOOKUP(P1658,Hoja1!C:F,{2,3,4},FALSE)</f>
        <v>46290</v>
      </c>
      <c r="R1658" t="str">
        <v>C03</v>
      </c>
      <c r="S1658" t="str">
        <v>1000001129 AGRONORTE S.R.L.</v>
      </c>
    </row>
    <row r="1659" spans="1:19" x14ac:dyDescent="0.3">
      <c r="A1659" s="2" t="s">
        <v>14</v>
      </c>
      <c r="B1659" s="3" t="s">
        <v>14</v>
      </c>
      <c r="C1659" s="3" t="s">
        <v>1588</v>
      </c>
      <c r="D1659" s="3" t="s">
        <v>14</v>
      </c>
      <c r="E1659" s="3" t="s">
        <v>466</v>
      </c>
      <c r="F1659" s="4">
        <v>46284</v>
      </c>
      <c r="G1659" s="3" t="s">
        <v>17</v>
      </c>
      <c r="H1659" s="5">
        <v>-35273.599999999999</v>
      </c>
      <c r="I1659" s="3" t="s">
        <v>18</v>
      </c>
      <c r="J1659" s="3" t="s">
        <v>14</v>
      </c>
      <c r="K1659" s="3" t="s">
        <v>14</v>
      </c>
      <c r="L1659" s="3" t="s">
        <v>117</v>
      </c>
      <c r="M1659" s="4">
        <v>46284</v>
      </c>
      <c r="N1659" s="3" t="s">
        <v>1589</v>
      </c>
      <c r="O1659" s="3" t="s">
        <v>143</v>
      </c>
      <c r="P1659" t="str">
        <f t="shared" si="25"/>
        <v>4500136984240</v>
      </c>
      <c r="Q1659" s="7" cm="1">
        <f t="array" ref="Q1659:S1659">VLOOKUP(P1659,Hoja1!C:F,{2,3,4},FALSE)</f>
        <v>46290</v>
      </c>
      <c r="R1659" t="str">
        <v>C03</v>
      </c>
      <c r="S1659" t="str">
        <v>1000001129 AGRONORTE S.R.L.</v>
      </c>
    </row>
    <row r="1660" spans="1:19" x14ac:dyDescent="0.3">
      <c r="A1660" s="2" t="s">
        <v>14</v>
      </c>
      <c r="B1660" s="3" t="s">
        <v>14</v>
      </c>
      <c r="C1660" s="3" t="s">
        <v>1588</v>
      </c>
      <c r="D1660" s="3" t="s">
        <v>14</v>
      </c>
      <c r="E1660" s="3" t="s">
        <v>466</v>
      </c>
      <c r="F1660" s="4">
        <v>46284</v>
      </c>
      <c r="G1660" s="3" t="s">
        <v>17</v>
      </c>
      <c r="H1660" s="5">
        <v>-35092.400000000001</v>
      </c>
      <c r="I1660" s="3" t="s">
        <v>18</v>
      </c>
      <c r="J1660" s="3" t="s">
        <v>14</v>
      </c>
      <c r="K1660" s="3" t="s">
        <v>14</v>
      </c>
      <c r="L1660" s="3" t="s">
        <v>117</v>
      </c>
      <c r="M1660" s="4">
        <v>46284</v>
      </c>
      <c r="N1660" s="3" t="s">
        <v>1589</v>
      </c>
      <c r="O1660" s="3" t="s">
        <v>149</v>
      </c>
      <c r="P1660" t="str">
        <f t="shared" si="25"/>
        <v>4500136984640</v>
      </c>
      <c r="Q1660" s="7" cm="1">
        <f t="array" ref="Q1660:S1660">VLOOKUP(P1660,Hoja1!C:F,{2,3,4},FALSE)</f>
        <v>46290</v>
      </c>
      <c r="R1660" t="str">
        <v>C03</v>
      </c>
      <c r="S1660" t="str">
        <v>1000001129 AGRONORTE S.R.L.</v>
      </c>
    </row>
    <row r="1661" spans="1:19" x14ac:dyDescent="0.3">
      <c r="A1661" s="2" t="s">
        <v>14</v>
      </c>
      <c r="B1661" s="3" t="s">
        <v>14</v>
      </c>
      <c r="C1661" s="3" t="s">
        <v>1588</v>
      </c>
      <c r="D1661" s="3" t="s">
        <v>14</v>
      </c>
      <c r="E1661" s="3" t="s">
        <v>466</v>
      </c>
      <c r="F1661" s="4">
        <v>46284</v>
      </c>
      <c r="G1661" s="3" t="s">
        <v>17</v>
      </c>
      <c r="H1661" s="5">
        <v>-14314.8</v>
      </c>
      <c r="I1661" s="3" t="s">
        <v>18</v>
      </c>
      <c r="J1661" s="3" t="s">
        <v>14</v>
      </c>
      <c r="K1661" s="3" t="s">
        <v>14</v>
      </c>
      <c r="L1661" s="3" t="s">
        <v>117</v>
      </c>
      <c r="M1661" s="4">
        <v>46284</v>
      </c>
      <c r="N1661" s="3" t="s">
        <v>1589</v>
      </c>
      <c r="O1661" s="3" t="s">
        <v>126</v>
      </c>
      <c r="P1661" t="str">
        <f t="shared" si="25"/>
        <v>4500136984260</v>
      </c>
      <c r="Q1661" s="7" cm="1">
        <f t="array" ref="Q1661:S1661">VLOOKUP(P1661,Hoja1!C:F,{2,3,4},FALSE)</f>
        <v>46290</v>
      </c>
      <c r="R1661" t="str">
        <v>C03</v>
      </c>
      <c r="S1661" t="str">
        <v>1000001129 AGRONORTE S.R.L.</v>
      </c>
    </row>
    <row r="1662" spans="1:19" x14ac:dyDescent="0.3">
      <c r="A1662" s="2" t="s">
        <v>14</v>
      </c>
      <c r="B1662" s="3" t="s">
        <v>14</v>
      </c>
      <c r="C1662" s="3" t="s">
        <v>1588</v>
      </c>
      <c r="D1662" s="3" t="s">
        <v>14</v>
      </c>
      <c r="E1662" s="3" t="s">
        <v>466</v>
      </c>
      <c r="F1662" s="4">
        <v>46284</v>
      </c>
      <c r="G1662" s="3" t="s">
        <v>17</v>
      </c>
      <c r="H1662" s="5">
        <v>-14314.8</v>
      </c>
      <c r="I1662" s="3" t="s">
        <v>18</v>
      </c>
      <c r="J1662" s="3" t="s">
        <v>14</v>
      </c>
      <c r="K1662" s="3" t="s">
        <v>14</v>
      </c>
      <c r="L1662" s="3" t="s">
        <v>117</v>
      </c>
      <c r="M1662" s="4">
        <v>46284</v>
      </c>
      <c r="N1662" s="3" t="s">
        <v>1589</v>
      </c>
      <c r="O1662" s="3" t="s">
        <v>179</v>
      </c>
      <c r="P1662" t="str">
        <f t="shared" si="25"/>
        <v>4500136984660</v>
      </c>
      <c r="Q1662" s="7" cm="1">
        <f t="array" ref="Q1662:S1662">VLOOKUP(P1662,Hoja1!C:F,{2,3,4},FALSE)</f>
        <v>46290</v>
      </c>
      <c r="R1662" t="str">
        <v>C03</v>
      </c>
      <c r="S1662" t="str">
        <v>1000001129 AGRONORTE S.R.L.</v>
      </c>
    </row>
    <row r="1663" spans="1:19" x14ac:dyDescent="0.3">
      <c r="A1663" s="2" t="s">
        <v>14</v>
      </c>
      <c r="B1663" s="3" t="s">
        <v>14</v>
      </c>
      <c r="C1663" s="3" t="s">
        <v>1588</v>
      </c>
      <c r="D1663" s="3" t="s">
        <v>14</v>
      </c>
      <c r="E1663" s="3" t="s">
        <v>466</v>
      </c>
      <c r="F1663" s="4">
        <v>46284</v>
      </c>
      <c r="G1663" s="3" t="s">
        <v>17</v>
      </c>
      <c r="H1663" s="5">
        <v>-21623.200000000001</v>
      </c>
      <c r="I1663" s="3" t="s">
        <v>18</v>
      </c>
      <c r="J1663" s="3" t="s">
        <v>14</v>
      </c>
      <c r="K1663" s="3" t="s">
        <v>14</v>
      </c>
      <c r="L1663" s="3" t="s">
        <v>117</v>
      </c>
      <c r="M1663" s="4">
        <v>46284</v>
      </c>
      <c r="N1663" s="3" t="s">
        <v>1589</v>
      </c>
      <c r="O1663" s="3" t="s">
        <v>145</v>
      </c>
      <c r="P1663" t="str">
        <f t="shared" si="25"/>
        <v>4500136984300</v>
      </c>
      <c r="Q1663" s="7" cm="1">
        <f t="array" ref="Q1663:S1663">VLOOKUP(P1663,Hoja1!C:F,{2,3,4},FALSE)</f>
        <v>46290</v>
      </c>
      <c r="R1663" t="str">
        <v>C03</v>
      </c>
      <c r="S1663" t="str">
        <v>1000001129 AGRONORTE S.R.L.</v>
      </c>
    </row>
    <row r="1664" spans="1:19" x14ac:dyDescent="0.3">
      <c r="A1664" s="2" t="s">
        <v>14</v>
      </c>
      <c r="B1664" s="3" t="s">
        <v>14</v>
      </c>
      <c r="C1664" s="3" t="s">
        <v>1588</v>
      </c>
      <c r="D1664" s="3" t="s">
        <v>14</v>
      </c>
      <c r="E1664" s="3" t="s">
        <v>466</v>
      </c>
      <c r="F1664" s="4">
        <v>46284</v>
      </c>
      <c r="G1664" s="3" t="s">
        <v>17</v>
      </c>
      <c r="H1664" s="5">
        <v>-21623.200000000001</v>
      </c>
      <c r="I1664" s="3" t="s">
        <v>18</v>
      </c>
      <c r="J1664" s="3" t="s">
        <v>14</v>
      </c>
      <c r="K1664" s="3" t="s">
        <v>14</v>
      </c>
      <c r="L1664" s="3" t="s">
        <v>117</v>
      </c>
      <c r="M1664" s="4">
        <v>46284</v>
      </c>
      <c r="N1664" s="3" t="s">
        <v>1589</v>
      </c>
      <c r="O1664" s="3" t="s">
        <v>818</v>
      </c>
      <c r="P1664" t="str">
        <f t="shared" si="25"/>
        <v>4500136984690</v>
      </c>
      <c r="Q1664" s="7" cm="1">
        <f t="array" ref="Q1664:S1664">VLOOKUP(P1664,Hoja1!C:F,{2,3,4},FALSE)</f>
        <v>46290</v>
      </c>
      <c r="R1664" t="str">
        <v>C03</v>
      </c>
      <c r="S1664" t="str">
        <v>1000001129 AGRONORTE S.R.L.</v>
      </c>
    </row>
    <row r="1665" spans="1:19" x14ac:dyDescent="0.3">
      <c r="A1665" s="2" t="s">
        <v>14</v>
      </c>
      <c r="B1665" s="3" t="s">
        <v>14</v>
      </c>
      <c r="C1665" s="3" t="s">
        <v>1588</v>
      </c>
      <c r="D1665" s="3" t="s">
        <v>14</v>
      </c>
      <c r="E1665" s="3" t="s">
        <v>466</v>
      </c>
      <c r="F1665" s="4">
        <v>46284</v>
      </c>
      <c r="G1665" s="3" t="s">
        <v>17</v>
      </c>
      <c r="H1665" s="5">
        <v>-634.20000000000005</v>
      </c>
      <c r="I1665" s="3" t="s">
        <v>18</v>
      </c>
      <c r="J1665" s="3" t="s">
        <v>14</v>
      </c>
      <c r="K1665" s="3" t="s">
        <v>14</v>
      </c>
      <c r="L1665" s="3" t="s">
        <v>117</v>
      </c>
      <c r="M1665" s="4">
        <v>46284</v>
      </c>
      <c r="N1665" s="3" t="s">
        <v>1589</v>
      </c>
      <c r="O1665" s="3" t="s">
        <v>134</v>
      </c>
      <c r="P1665" t="str">
        <f t="shared" si="25"/>
        <v>450013698470</v>
      </c>
      <c r="Q1665" s="7" cm="1">
        <f t="array" ref="Q1665:S1665">VLOOKUP(P1665,Hoja1!C:F,{2,3,4},FALSE)</f>
        <v>46290</v>
      </c>
      <c r="R1665" t="str">
        <v>C03</v>
      </c>
      <c r="S1665" t="str">
        <v>1000001129 AGRONORTE S.R.L.</v>
      </c>
    </row>
    <row r="1666" spans="1:19" x14ac:dyDescent="0.3">
      <c r="A1666" s="2" t="s">
        <v>14</v>
      </c>
      <c r="B1666" s="3" t="s">
        <v>14</v>
      </c>
      <c r="C1666" s="3" t="s">
        <v>1588</v>
      </c>
      <c r="D1666" s="3" t="s">
        <v>14</v>
      </c>
      <c r="E1666" s="3" t="s">
        <v>466</v>
      </c>
      <c r="F1666" s="4">
        <v>46284</v>
      </c>
      <c r="G1666" s="3" t="s">
        <v>17</v>
      </c>
      <c r="H1666" s="5">
        <v>-296684.79999999999</v>
      </c>
      <c r="I1666" s="3" t="s">
        <v>18</v>
      </c>
      <c r="J1666" s="3" t="s">
        <v>14</v>
      </c>
      <c r="K1666" s="3" t="s">
        <v>14</v>
      </c>
      <c r="L1666" s="3" t="s">
        <v>117</v>
      </c>
      <c r="M1666" s="4">
        <v>46284</v>
      </c>
      <c r="N1666" s="3" t="s">
        <v>1589</v>
      </c>
      <c r="O1666" s="3" t="s">
        <v>128</v>
      </c>
      <c r="P1666" t="str">
        <f t="shared" si="25"/>
        <v>4500136984250</v>
      </c>
      <c r="Q1666" s="7" cm="1">
        <f t="array" ref="Q1666:S1666">VLOOKUP(P1666,Hoja1!C:F,{2,3,4},FALSE)</f>
        <v>46290</v>
      </c>
      <c r="R1666" t="str">
        <v>C03</v>
      </c>
      <c r="S1666" t="str">
        <v>1000001129 AGRONORTE S.R.L.</v>
      </c>
    </row>
    <row r="1667" spans="1:19" x14ac:dyDescent="0.3">
      <c r="A1667" s="2" t="s">
        <v>14</v>
      </c>
      <c r="B1667" s="3" t="s">
        <v>14</v>
      </c>
      <c r="C1667" s="3" t="s">
        <v>1588</v>
      </c>
      <c r="D1667" s="3" t="s">
        <v>14</v>
      </c>
      <c r="E1667" s="3" t="s">
        <v>466</v>
      </c>
      <c r="F1667" s="4">
        <v>46284</v>
      </c>
      <c r="G1667" s="3" t="s">
        <v>17</v>
      </c>
      <c r="H1667" s="5">
        <v>-222513.6</v>
      </c>
      <c r="I1667" s="3" t="s">
        <v>18</v>
      </c>
      <c r="J1667" s="3" t="s">
        <v>14</v>
      </c>
      <c r="K1667" s="3" t="s">
        <v>14</v>
      </c>
      <c r="L1667" s="3" t="s">
        <v>117</v>
      </c>
      <c r="M1667" s="4">
        <v>46284</v>
      </c>
      <c r="N1667" s="3" t="s">
        <v>1589</v>
      </c>
      <c r="O1667" s="3" t="s">
        <v>174</v>
      </c>
      <c r="P1667" t="str">
        <f t="shared" ref="P1667:P1730" si="26">_xlfn.CONCAT(N1667:O1667)</f>
        <v>4500136984650</v>
      </c>
      <c r="Q1667" s="7" cm="1">
        <f t="array" ref="Q1667:S1667">VLOOKUP(P1667,Hoja1!C:F,{2,3,4},FALSE)</f>
        <v>46290</v>
      </c>
      <c r="R1667" t="str">
        <v>C03</v>
      </c>
      <c r="S1667" t="str">
        <v>1000001129 AGRONORTE S.R.L.</v>
      </c>
    </row>
    <row r="1668" spans="1:19" x14ac:dyDescent="0.3">
      <c r="A1668" s="2" t="s">
        <v>14</v>
      </c>
      <c r="B1668" s="3" t="s">
        <v>14</v>
      </c>
      <c r="C1668" s="3" t="s">
        <v>1588</v>
      </c>
      <c r="D1668" s="3" t="s">
        <v>14</v>
      </c>
      <c r="E1668" s="3" t="s">
        <v>466</v>
      </c>
      <c r="F1668" s="4">
        <v>46284</v>
      </c>
      <c r="G1668" s="3" t="s">
        <v>17</v>
      </c>
      <c r="H1668" s="5">
        <v>-84801.600000000006</v>
      </c>
      <c r="I1668" s="3" t="s">
        <v>18</v>
      </c>
      <c r="J1668" s="3" t="s">
        <v>14</v>
      </c>
      <c r="K1668" s="3" t="s">
        <v>14</v>
      </c>
      <c r="L1668" s="3" t="s">
        <v>117</v>
      </c>
      <c r="M1668" s="4">
        <v>46284</v>
      </c>
      <c r="N1668" s="3" t="s">
        <v>1589</v>
      </c>
      <c r="O1668" s="3" t="s">
        <v>180</v>
      </c>
      <c r="P1668" t="str">
        <f t="shared" si="26"/>
        <v>4500136984670</v>
      </c>
      <c r="Q1668" s="7" cm="1">
        <f t="array" ref="Q1668:S1668">VLOOKUP(P1668,Hoja1!C:F,{2,3,4},FALSE)</f>
        <v>46290</v>
      </c>
      <c r="R1668" t="str">
        <v>C03</v>
      </c>
      <c r="S1668" t="str">
        <v>1000001129 AGRONORTE S.R.L.</v>
      </c>
    </row>
    <row r="1669" spans="1:19" x14ac:dyDescent="0.3">
      <c r="A1669" s="2" t="s">
        <v>14</v>
      </c>
      <c r="B1669" s="3" t="s">
        <v>14</v>
      </c>
      <c r="C1669" s="3" t="s">
        <v>1588</v>
      </c>
      <c r="D1669" s="3" t="s">
        <v>14</v>
      </c>
      <c r="E1669" s="3" t="s">
        <v>466</v>
      </c>
      <c r="F1669" s="4">
        <v>46284</v>
      </c>
      <c r="G1669" s="3" t="s">
        <v>17</v>
      </c>
      <c r="H1669" s="5">
        <v>-274789.8</v>
      </c>
      <c r="I1669" s="3" t="s">
        <v>18</v>
      </c>
      <c r="J1669" s="3" t="s">
        <v>14</v>
      </c>
      <c r="K1669" s="3" t="s">
        <v>14</v>
      </c>
      <c r="L1669" s="3" t="s">
        <v>117</v>
      </c>
      <c r="M1669" s="4">
        <v>46284</v>
      </c>
      <c r="N1669" s="3" t="s">
        <v>1589</v>
      </c>
      <c r="O1669" s="3" t="s">
        <v>1133</v>
      </c>
      <c r="P1669" t="str">
        <f t="shared" si="26"/>
        <v>4500136984490</v>
      </c>
      <c r="Q1669" s="7" cm="1">
        <f t="array" ref="Q1669:S1669">VLOOKUP(P1669,Hoja1!C:F,{2,3,4},FALSE)</f>
        <v>46290</v>
      </c>
      <c r="R1669" t="str">
        <v>C03</v>
      </c>
      <c r="S1669" t="str">
        <v>1000001129 AGRONORTE S.R.L.</v>
      </c>
    </row>
    <row r="1670" spans="1:19" x14ac:dyDescent="0.3">
      <c r="A1670" s="2" t="s">
        <v>14</v>
      </c>
      <c r="B1670" s="3" t="s">
        <v>14</v>
      </c>
      <c r="C1670" s="3" t="s">
        <v>1588</v>
      </c>
      <c r="D1670" s="3" t="s">
        <v>14</v>
      </c>
      <c r="E1670" s="3" t="s">
        <v>466</v>
      </c>
      <c r="F1670" s="4">
        <v>46284</v>
      </c>
      <c r="G1670" s="3" t="s">
        <v>17</v>
      </c>
      <c r="H1670" s="5">
        <v>-10992.8</v>
      </c>
      <c r="I1670" s="3" t="s">
        <v>18</v>
      </c>
      <c r="J1670" s="3" t="s">
        <v>14</v>
      </c>
      <c r="K1670" s="3" t="s">
        <v>14</v>
      </c>
      <c r="L1670" s="3" t="s">
        <v>117</v>
      </c>
      <c r="M1670" s="4">
        <v>46284</v>
      </c>
      <c r="N1670" s="3" t="s">
        <v>1589</v>
      </c>
      <c r="O1670" s="3" t="s">
        <v>30</v>
      </c>
      <c r="P1670" t="str">
        <f t="shared" si="26"/>
        <v>450013698410</v>
      </c>
      <c r="Q1670" s="7" cm="1">
        <f t="array" ref="Q1670:S1670">VLOOKUP(P1670,Hoja1!C:F,{2,3,4},FALSE)</f>
        <v>46290</v>
      </c>
      <c r="R1670" t="str">
        <v>C03</v>
      </c>
      <c r="S1670" t="str">
        <v>1000001129 AGRONORTE S.R.L.</v>
      </c>
    </row>
    <row r="1671" spans="1:19" x14ac:dyDescent="0.3">
      <c r="A1671" s="2" t="s">
        <v>14</v>
      </c>
      <c r="B1671" s="3" t="s">
        <v>14</v>
      </c>
      <c r="C1671" s="3" t="s">
        <v>1588</v>
      </c>
      <c r="D1671" s="3" t="s">
        <v>14</v>
      </c>
      <c r="E1671" s="3" t="s">
        <v>466</v>
      </c>
      <c r="F1671" s="4">
        <v>46284</v>
      </c>
      <c r="G1671" s="3" t="s">
        <v>17</v>
      </c>
      <c r="H1671" s="5">
        <v>-355861.7</v>
      </c>
      <c r="I1671" s="3" t="s">
        <v>18</v>
      </c>
      <c r="J1671" s="3" t="s">
        <v>14</v>
      </c>
      <c r="K1671" s="3" t="s">
        <v>14</v>
      </c>
      <c r="L1671" s="3" t="s">
        <v>117</v>
      </c>
      <c r="M1671" s="4">
        <v>46284</v>
      </c>
      <c r="N1671" s="3" t="s">
        <v>1589</v>
      </c>
      <c r="O1671" s="3" t="s">
        <v>146</v>
      </c>
      <c r="P1671" t="str">
        <f t="shared" si="26"/>
        <v>4500136984270</v>
      </c>
      <c r="Q1671" s="7" cm="1">
        <f t="array" ref="Q1671:S1671">VLOOKUP(P1671,Hoja1!C:F,{2,3,4},FALSE)</f>
        <v>46301</v>
      </c>
      <c r="R1671" t="str">
        <v>C03</v>
      </c>
      <c r="S1671" t="str">
        <v>1000001129 AGRONORTE S.R.L.</v>
      </c>
    </row>
    <row r="1672" spans="1:19" x14ac:dyDescent="0.3">
      <c r="A1672" s="2" t="s">
        <v>14</v>
      </c>
      <c r="B1672" s="3" t="s">
        <v>14</v>
      </c>
      <c r="C1672" s="3" t="s">
        <v>1588</v>
      </c>
      <c r="D1672" s="3" t="s">
        <v>14</v>
      </c>
      <c r="E1672" s="3" t="s">
        <v>466</v>
      </c>
      <c r="F1672" s="4">
        <v>46284</v>
      </c>
      <c r="G1672" s="3" t="s">
        <v>17</v>
      </c>
      <c r="H1672" s="5">
        <v>-436208.8</v>
      </c>
      <c r="I1672" s="3" t="s">
        <v>18</v>
      </c>
      <c r="J1672" s="3" t="s">
        <v>14</v>
      </c>
      <c r="K1672" s="3" t="s">
        <v>14</v>
      </c>
      <c r="L1672" s="3" t="s">
        <v>117</v>
      </c>
      <c r="M1672" s="4">
        <v>46284</v>
      </c>
      <c r="N1672" s="3" t="s">
        <v>1589</v>
      </c>
      <c r="O1672" s="3" t="s">
        <v>173</v>
      </c>
      <c r="P1672" t="str">
        <f t="shared" si="26"/>
        <v>4500136984290</v>
      </c>
      <c r="Q1672" s="7" cm="1">
        <f t="array" ref="Q1672:S1672">VLOOKUP(P1672,Hoja1!C:F,{2,3,4},FALSE)</f>
        <v>46290</v>
      </c>
      <c r="R1672" t="str">
        <v>C03</v>
      </c>
      <c r="S1672" t="str">
        <v>1000001129 AGRONORTE S.R.L.</v>
      </c>
    </row>
    <row r="1673" spans="1:19" x14ac:dyDescent="0.3">
      <c r="A1673" s="2" t="s">
        <v>14</v>
      </c>
      <c r="B1673" s="3" t="s">
        <v>14</v>
      </c>
      <c r="C1673" s="3" t="s">
        <v>1588</v>
      </c>
      <c r="D1673" s="3" t="s">
        <v>14</v>
      </c>
      <c r="E1673" s="3" t="s">
        <v>466</v>
      </c>
      <c r="F1673" s="4">
        <v>46284</v>
      </c>
      <c r="G1673" s="3" t="s">
        <v>17</v>
      </c>
      <c r="H1673" s="5">
        <v>-57621.599999999999</v>
      </c>
      <c r="I1673" s="3" t="s">
        <v>18</v>
      </c>
      <c r="J1673" s="3" t="s">
        <v>14</v>
      </c>
      <c r="K1673" s="3" t="s">
        <v>14</v>
      </c>
      <c r="L1673" s="3" t="s">
        <v>117</v>
      </c>
      <c r="M1673" s="4">
        <v>46284</v>
      </c>
      <c r="N1673" s="3" t="s">
        <v>1589</v>
      </c>
      <c r="O1673" s="3" t="s">
        <v>147</v>
      </c>
      <c r="P1673" t="str">
        <f t="shared" si="26"/>
        <v>4500136984310</v>
      </c>
      <c r="Q1673" s="7" cm="1">
        <f t="array" ref="Q1673:S1673">VLOOKUP(P1673,Hoja1!C:F,{2,3,4},FALSE)</f>
        <v>46290</v>
      </c>
      <c r="R1673" t="str">
        <v>C03</v>
      </c>
      <c r="S1673" t="str">
        <v>1000001129 AGRONORTE S.R.L.</v>
      </c>
    </row>
    <row r="1674" spans="1:19" x14ac:dyDescent="0.3">
      <c r="A1674" s="2" t="s">
        <v>14</v>
      </c>
      <c r="B1674" s="3" t="s">
        <v>14</v>
      </c>
      <c r="C1674" s="3" t="s">
        <v>1588</v>
      </c>
      <c r="D1674" s="3" t="s">
        <v>14</v>
      </c>
      <c r="E1674" s="3" t="s">
        <v>466</v>
      </c>
      <c r="F1674" s="4">
        <v>46284</v>
      </c>
      <c r="G1674" s="3" t="s">
        <v>17</v>
      </c>
      <c r="H1674" s="5">
        <v>-465563.2</v>
      </c>
      <c r="I1674" s="3" t="s">
        <v>18</v>
      </c>
      <c r="J1674" s="3" t="s">
        <v>14</v>
      </c>
      <c r="K1674" s="3" t="s">
        <v>14</v>
      </c>
      <c r="L1674" s="3" t="s">
        <v>117</v>
      </c>
      <c r="M1674" s="4">
        <v>46284</v>
      </c>
      <c r="N1674" s="3" t="s">
        <v>1589</v>
      </c>
      <c r="O1674" s="3" t="s">
        <v>150</v>
      </c>
      <c r="P1674" t="str">
        <f t="shared" si="26"/>
        <v>4500136984320</v>
      </c>
      <c r="Q1674" s="7" cm="1">
        <f t="array" ref="Q1674:S1674">VLOOKUP(P1674,Hoja1!C:F,{2,3,4},FALSE)</f>
        <v>46290</v>
      </c>
      <c r="R1674" t="str">
        <v>C03</v>
      </c>
      <c r="S1674" t="str">
        <v>1000001129 AGRONORTE S.R.L.</v>
      </c>
    </row>
    <row r="1675" spans="1:19" x14ac:dyDescent="0.3">
      <c r="A1675" s="2" t="s">
        <v>14</v>
      </c>
      <c r="B1675" s="3" t="s">
        <v>14</v>
      </c>
      <c r="C1675" s="3" t="s">
        <v>1588</v>
      </c>
      <c r="D1675" s="3" t="s">
        <v>14</v>
      </c>
      <c r="E1675" s="3" t="s">
        <v>466</v>
      </c>
      <c r="F1675" s="4">
        <v>46284</v>
      </c>
      <c r="G1675" s="3" t="s">
        <v>17</v>
      </c>
      <c r="H1675" s="5">
        <v>-4499.8</v>
      </c>
      <c r="I1675" s="3" t="s">
        <v>18</v>
      </c>
      <c r="J1675" s="3" t="s">
        <v>14</v>
      </c>
      <c r="K1675" s="3" t="s">
        <v>14</v>
      </c>
      <c r="L1675" s="3" t="s">
        <v>117</v>
      </c>
      <c r="M1675" s="4">
        <v>46284</v>
      </c>
      <c r="N1675" s="3" t="s">
        <v>1589</v>
      </c>
      <c r="O1675" s="3" t="s">
        <v>154</v>
      </c>
      <c r="P1675" t="str">
        <f t="shared" si="26"/>
        <v>4500136984330</v>
      </c>
      <c r="Q1675" s="7" cm="1">
        <f t="array" ref="Q1675:S1675">VLOOKUP(P1675,Hoja1!C:F,{2,3,4},FALSE)</f>
        <v>46290</v>
      </c>
      <c r="R1675" t="str">
        <v>C03</v>
      </c>
      <c r="S1675" t="str">
        <v>1000001129 AGRONORTE S.R.L.</v>
      </c>
    </row>
    <row r="1676" spans="1:19" x14ac:dyDescent="0.3">
      <c r="A1676" s="2" t="s">
        <v>14</v>
      </c>
      <c r="B1676" s="3" t="s">
        <v>14</v>
      </c>
      <c r="C1676" s="3" t="s">
        <v>1588</v>
      </c>
      <c r="D1676" s="3" t="s">
        <v>14</v>
      </c>
      <c r="E1676" s="3" t="s">
        <v>466</v>
      </c>
      <c r="F1676" s="4">
        <v>46284</v>
      </c>
      <c r="G1676" s="3" t="s">
        <v>17</v>
      </c>
      <c r="H1676" s="5">
        <v>-4499.8</v>
      </c>
      <c r="I1676" s="3" t="s">
        <v>18</v>
      </c>
      <c r="J1676" s="3" t="s">
        <v>14</v>
      </c>
      <c r="K1676" s="3" t="s">
        <v>14</v>
      </c>
      <c r="L1676" s="3" t="s">
        <v>117</v>
      </c>
      <c r="M1676" s="4">
        <v>46284</v>
      </c>
      <c r="N1676" s="3" t="s">
        <v>1589</v>
      </c>
      <c r="O1676" s="3" t="s">
        <v>1595</v>
      </c>
      <c r="P1676" t="str">
        <f t="shared" si="26"/>
        <v>4500136984740</v>
      </c>
      <c r="Q1676" s="7" cm="1">
        <f t="array" ref="Q1676:S1676">VLOOKUP(P1676,Hoja1!C:F,{2,3,4},FALSE)</f>
        <v>46290</v>
      </c>
      <c r="R1676" t="str">
        <v>C03</v>
      </c>
      <c r="S1676" t="str">
        <v>1000001129 AGRONORTE S.R.L.</v>
      </c>
    </row>
    <row r="1677" spans="1:19" x14ac:dyDescent="0.3">
      <c r="A1677" s="2" t="s">
        <v>14</v>
      </c>
      <c r="B1677" s="3" t="s">
        <v>14</v>
      </c>
      <c r="C1677" s="3" t="s">
        <v>1588</v>
      </c>
      <c r="D1677" s="3" t="s">
        <v>14</v>
      </c>
      <c r="E1677" s="3" t="s">
        <v>466</v>
      </c>
      <c r="F1677" s="4">
        <v>46284</v>
      </c>
      <c r="G1677" s="3" t="s">
        <v>17</v>
      </c>
      <c r="H1677" s="5">
        <v>-352947.4</v>
      </c>
      <c r="I1677" s="3" t="s">
        <v>18</v>
      </c>
      <c r="J1677" s="3" t="s">
        <v>14</v>
      </c>
      <c r="K1677" s="3" t="s">
        <v>14</v>
      </c>
      <c r="L1677" s="3" t="s">
        <v>117</v>
      </c>
      <c r="M1677" s="4">
        <v>46284</v>
      </c>
      <c r="N1677" s="3" t="s">
        <v>1589</v>
      </c>
      <c r="O1677" s="3" t="s">
        <v>135</v>
      </c>
      <c r="P1677" t="str">
        <f t="shared" si="26"/>
        <v>4500136984340</v>
      </c>
      <c r="Q1677" s="7" cm="1">
        <f t="array" ref="Q1677:S1677">VLOOKUP(P1677,Hoja1!C:F,{2,3,4},FALSE)</f>
        <v>46290</v>
      </c>
      <c r="R1677" t="str">
        <v>C03</v>
      </c>
      <c r="S1677" t="str">
        <v>1000001129 AGRONORTE S.R.L.</v>
      </c>
    </row>
    <row r="1678" spans="1:19" x14ac:dyDescent="0.3">
      <c r="A1678" s="2" t="s">
        <v>14</v>
      </c>
      <c r="B1678" s="3" t="s">
        <v>14</v>
      </c>
      <c r="C1678" s="3" t="s">
        <v>1588</v>
      </c>
      <c r="D1678" s="3" t="s">
        <v>14</v>
      </c>
      <c r="E1678" s="3" t="s">
        <v>466</v>
      </c>
      <c r="F1678" s="4">
        <v>46284</v>
      </c>
      <c r="G1678" s="3" t="s">
        <v>17</v>
      </c>
      <c r="H1678" s="5">
        <v>-1362986.4</v>
      </c>
      <c r="I1678" s="3" t="s">
        <v>18</v>
      </c>
      <c r="J1678" s="3" t="s">
        <v>14</v>
      </c>
      <c r="K1678" s="3" t="s">
        <v>14</v>
      </c>
      <c r="L1678" s="3" t="s">
        <v>117</v>
      </c>
      <c r="M1678" s="4">
        <v>46284</v>
      </c>
      <c r="N1678" s="3" t="s">
        <v>1589</v>
      </c>
      <c r="O1678" s="3" t="s">
        <v>162</v>
      </c>
      <c r="P1678" t="str">
        <f t="shared" si="26"/>
        <v>4500136984370</v>
      </c>
      <c r="Q1678" s="7" cm="1">
        <f t="array" ref="Q1678:S1678">VLOOKUP(P1678,Hoja1!C:F,{2,3,4},FALSE)</f>
        <v>46290</v>
      </c>
      <c r="R1678" t="str">
        <v>C03</v>
      </c>
      <c r="S1678" t="str">
        <v>1000001129 AGRONORTE S.R.L.</v>
      </c>
    </row>
    <row r="1679" spans="1:19" x14ac:dyDescent="0.3">
      <c r="A1679" s="2" t="s">
        <v>14</v>
      </c>
      <c r="B1679" s="3" t="s">
        <v>14</v>
      </c>
      <c r="C1679" s="3" t="s">
        <v>1588</v>
      </c>
      <c r="D1679" s="3" t="s">
        <v>14</v>
      </c>
      <c r="E1679" s="3" t="s">
        <v>466</v>
      </c>
      <c r="F1679" s="4">
        <v>46284</v>
      </c>
      <c r="G1679" s="3" t="s">
        <v>17</v>
      </c>
      <c r="H1679" s="5">
        <v>-864626</v>
      </c>
      <c r="I1679" s="3" t="s">
        <v>18</v>
      </c>
      <c r="J1679" s="3" t="s">
        <v>14</v>
      </c>
      <c r="K1679" s="3" t="s">
        <v>14</v>
      </c>
      <c r="L1679" s="3" t="s">
        <v>117</v>
      </c>
      <c r="M1679" s="4">
        <v>46284</v>
      </c>
      <c r="N1679" s="3" t="s">
        <v>1589</v>
      </c>
      <c r="O1679" s="3" t="s">
        <v>1132</v>
      </c>
      <c r="P1679" t="str">
        <f t="shared" si="26"/>
        <v>4500136984380</v>
      </c>
      <c r="Q1679" s="7" cm="1">
        <f t="array" ref="Q1679:S1679">VLOOKUP(P1679,Hoja1!C:F,{2,3,4},FALSE)</f>
        <v>46290</v>
      </c>
      <c r="R1679" t="str">
        <v>C03</v>
      </c>
      <c r="S1679" t="str">
        <v>1000001129 AGRONORTE S.R.L.</v>
      </c>
    </row>
    <row r="1680" spans="1:19" x14ac:dyDescent="0.3">
      <c r="A1680" s="2" t="s">
        <v>14</v>
      </c>
      <c r="B1680" s="3" t="s">
        <v>14</v>
      </c>
      <c r="C1680" s="3" t="s">
        <v>1588</v>
      </c>
      <c r="D1680" s="3" t="s">
        <v>14</v>
      </c>
      <c r="E1680" s="3" t="s">
        <v>466</v>
      </c>
      <c r="F1680" s="4">
        <v>46284</v>
      </c>
      <c r="G1680" s="3" t="s">
        <v>17</v>
      </c>
      <c r="H1680" s="5">
        <v>-2593878</v>
      </c>
      <c r="I1680" s="3" t="s">
        <v>18</v>
      </c>
      <c r="J1680" s="3" t="s">
        <v>14</v>
      </c>
      <c r="K1680" s="3" t="s">
        <v>14</v>
      </c>
      <c r="L1680" s="3" t="s">
        <v>117</v>
      </c>
      <c r="M1680" s="4">
        <v>46284</v>
      </c>
      <c r="N1680" s="3" t="s">
        <v>1589</v>
      </c>
      <c r="O1680" s="3" t="s">
        <v>1596</v>
      </c>
      <c r="P1680" t="str">
        <f t="shared" si="26"/>
        <v>4500136984760</v>
      </c>
      <c r="Q1680" s="7" cm="1">
        <f t="array" ref="Q1680:S1680">VLOOKUP(P1680,Hoja1!C:F,{2,3,4},FALSE)</f>
        <v>46290</v>
      </c>
      <c r="R1680" t="str">
        <v>C03</v>
      </c>
      <c r="S1680" t="str">
        <v>1000001129 AGRONORTE S.R.L.</v>
      </c>
    </row>
    <row r="1681" spans="1:19" x14ac:dyDescent="0.3">
      <c r="A1681" s="2" t="s">
        <v>14</v>
      </c>
      <c r="B1681" s="3" t="s">
        <v>14</v>
      </c>
      <c r="C1681" s="3" t="s">
        <v>1588</v>
      </c>
      <c r="D1681" s="3" t="s">
        <v>14</v>
      </c>
      <c r="E1681" s="3" t="s">
        <v>466</v>
      </c>
      <c r="F1681" s="4">
        <v>46284</v>
      </c>
      <c r="G1681" s="3" t="s">
        <v>17</v>
      </c>
      <c r="H1681" s="5">
        <v>-502528</v>
      </c>
      <c r="I1681" s="3" t="s">
        <v>18</v>
      </c>
      <c r="J1681" s="3" t="s">
        <v>14</v>
      </c>
      <c r="K1681" s="3" t="s">
        <v>14</v>
      </c>
      <c r="L1681" s="3" t="s">
        <v>117</v>
      </c>
      <c r="M1681" s="4">
        <v>46284</v>
      </c>
      <c r="N1681" s="3" t="s">
        <v>1589</v>
      </c>
      <c r="O1681" s="3" t="s">
        <v>158</v>
      </c>
      <c r="P1681" t="str">
        <f t="shared" si="26"/>
        <v>4500136984390</v>
      </c>
      <c r="Q1681" s="7" cm="1">
        <f t="array" ref="Q1681:S1681">VLOOKUP(P1681,Hoja1!C:F,{2,3,4},FALSE)</f>
        <v>46290</v>
      </c>
      <c r="R1681" t="str">
        <v>C03</v>
      </c>
      <c r="S1681" t="str">
        <v>1000001129 AGRONORTE S.R.L.</v>
      </c>
    </row>
    <row r="1682" spans="1:19" x14ac:dyDescent="0.3">
      <c r="A1682" s="2" t="s">
        <v>14</v>
      </c>
      <c r="B1682" s="3" t="s">
        <v>14</v>
      </c>
      <c r="C1682" s="3" t="s">
        <v>1588</v>
      </c>
      <c r="D1682" s="3" t="s">
        <v>14</v>
      </c>
      <c r="E1682" s="3" t="s">
        <v>466</v>
      </c>
      <c r="F1682" s="4">
        <v>46284</v>
      </c>
      <c r="G1682" s="3" t="s">
        <v>17</v>
      </c>
      <c r="H1682" s="5">
        <v>-1507584</v>
      </c>
      <c r="I1682" s="3" t="s">
        <v>18</v>
      </c>
      <c r="J1682" s="3" t="s">
        <v>14</v>
      </c>
      <c r="K1682" s="3" t="s">
        <v>14</v>
      </c>
      <c r="L1682" s="3" t="s">
        <v>117</v>
      </c>
      <c r="M1682" s="4">
        <v>46284</v>
      </c>
      <c r="N1682" s="3" t="s">
        <v>1589</v>
      </c>
      <c r="O1682" s="3" t="s">
        <v>1597</v>
      </c>
      <c r="P1682" t="str">
        <f t="shared" si="26"/>
        <v>4500136984770</v>
      </c>
      <c r="Q1682" s="7" cm="1">
        <f t="array" ref="Q1682:S1682">VLOOKUP(P1682,Hoja1!C:F,{2,3,4},FALSE)</f>
        <v>46290</v>
      </c>
      <c r="R1682" t="str">
        <v>C03</v>
      </c>
      <c r="S1682" t="str">
        <v>1000001129 AGRONORTE S.R.L.</v>
      </c>
    </row>
    <row r="1683" spans="1:19" x14ac:dyDescent="0.3">
      <c r="A1683" s="2" t="s">
        <v>14</v>
      </c>
      <c r="B1683" s="3" t="s">
        <v>14</v>
      </c>
      <c r="C1683" s="3" t="s">
        <v>1588</v>
      </c>
      <c r="D1683" s="3" t="s">
        <v>14</v>
      </c>
      <c r="E1683" s="3" t="s">
        <v>466</v>
      </c>
      <c r="F1683" s="4">
        <v>46284</v>
      </c>
      <c r="G1683" s="3" t="s">
        <v>17</v>
      </c>
      <c r="H1683" s="5">
        <v>-258723.4</v>
      </c>
      <c r="I1683" s="3" t="s">
        <v>18</v>
      </c>
      <c r="J1683" s="3" t="s">
        <v>14</v>
      </c>
      <c r="K1683" s="3" t="s">
        <v>14</v>
      </c>
      <c r="L1683" s="3" t="s">
        <v>117</v>
      </c>
      <c r="M1683" s="4">
        <v>46284</v>
      </c>
      <c r="N1683" s="3" t="s">
        <v>1589</v>
      </c>
      <c r="O1683" s="3" t="s">
        <v>178</v>
      </c>
      <c r="P1683" t="str">
        <f t="shared" si="26"/>
        <v>4500136984400</v>
      </c>
      <c r="Q1683" s="7" cm="1">
        <f t="array" ref="Q1683:S1683">VLOOKUP(P1683,Hoja1!C:F,{2,3,4},FALSE)</f>
        <v>46290</v>
      </c>
      <c r="R1683" t="str">
        <v>C03</v>
      </c>
      <c r="S1683" t="str">
        <v>1000001129 AGRONORTE S.R.L.</v>
      </c>
    </row>
    <row r="1684" spans="1:19" x14ac:dyDescent="0.3">
      <c r="A1684" s="2" t="s">
        <v>14</v>
      </c>
      <c r="B1684" s="3" t="s">
        <v>14</v>
      </c>
      <c r="C1684" s="3" t="s">
        <v>1588</v>
      </c>
      <c r="D1684" s="3" t="s">
        <v>14</v>
      </c>
      <c r="E1684" s="3" t="s">
        <v>466</v>
      </c>
      <c r="F1684" s="4">
        <v>46284</v>
      </c>
      <c r="G1684" s="3" t="s">
        <v>17</v>
      </c>
      <c r="H1684" s="5">
        <v>-3248795.2</v>
      </c>
      <c r="I1684" s="3" t="s">
        <v>18</v>
      </c>
      <c r="J1684" s="3" t="s">
        <v>14</v>
      </c>
      <c r="K1684" s="3" t="s">
        <v>14</v>
      </c>
      <c r="L1684" s="3" t="s">
        <v>117</v>
      </c>
      <c r="M1684" s="4">
        <v>46284</v>
      </c>
      <c r="N1684" s="3" t="s">
        <v>1589</v>
      </c>
      <c r="O1684" s="3" t="s">
        <v>157</v>
      </c>
      <c r="P1684" t="str">
        <f t="shared" si="26"/>
        <v>4500136984410</v>
      </c>
      <c r="Q1684" s="7" cm="1">
        <f t="array" ref="Q1684:S1684">VLOOKUP(P1684,Hoja1!C:F,{2,3,4},FALSE)</f>
        <v>46290</v>
      </c>
      <c r="R1684" t="str">
        <v>C03</v>
      </c>
      <c r="S1684" t="str">
        <v>1000001129 AGRONORTE S.R.L.</v>
      </c>
    </row>
    <row r="1685" spans="1:19" x14ac:dyDescent="0.3">
      <c r="A1685" s="2" t="s">
        <v>14</v>
      </c>
      <c r="B1685" s="3" t="s">
        <v>14</v>
      </c>
      <c r="C1685" s="3" t="s">
        <v>1588</v>
      </c>
      <c r="D1685" s="3" t="s">
        <v>14</v>
      </c>
      <c r="E1685" s="3" t="s">
        <v>466</v>
      </c>
      <c r="F1685" s="4">
        <v>46284</v>
      </c>
      <c r="G1685" s="3" t="s">
        <v>17</v>
      </c>
      <c r="H1685" s="5">
        <v>-1326746.3999999999</v>
      </c>
      <c r="I1685" s="3" t="s">
        <v>18</v>
      </c>
      <c r="J1685" s="3" t="s">
        <v>14</v>
      </c>
      <c r="K1685" s="3" t="s">
        <v>14</v>
      </c>
      <c r="L1685" s="3" t="s">
        <v>117</v>
      </c>
      <c r="M1685" s="4">
        <v>46284</v>
      </c>
      <c r="N1685" s="3" t="s">
        <v>1589</v>
      </c>
      <c r="O1685" s="3" t="s">
        <v>164</v>
      </c>
      <c r="P1685" t="str">
        <f t="shared" si="26"/>
        <v>4500136984440</v>
      </c>
      <c r="Q1685" s="7" cm="1">
        <f t="array" ref="Q1685:S1685">VLOOKUP(P1685,Hoja1!C:F,{2,3,4},FALSE)</f>
        <v>46290</v>
      </c>
      <c r="R1685" t="str">
        <v>C03</v>
      </c>
      <c r="S1685" t="str">
        <v>1000001129 AGRONORTE S.R.L.</v>
      </c>
    </row>
    <row r="1686" spans="1:19" x14ac:dyDescent="0.3">
      <c r="A1686" s="2" t="s">
        <v>14</v>
      </c>
      <c r="B1686" s="3" t="s">
        <v>14</v>
      </c>
      <c r="C1686" s="3" t="s">
        <v>1588</v>
      </c>
      <c r="D1686" s="3" t="s">
        <v>14</v>
      </c>
      <c r="E1686" s="3" t="s">
        <v>466</v>
      </c>
      <c r="F1686" s="4">
        <v>46284</v>
      </c>
      <c r="G1686" s="3" t="s">
        <v>17</v>
      </c>
      <c r="H1686" s="5">
        <v>-192313.60000000001</v>
      </c>
      <c r="I1686" s="3" t="s">
        <v>18</v>
      </c>
      <c r="J1686" s="3" t="s">
        <v>14</v>
      </c>
      <c r="K1686" s="3" t="s">
        <v>14</v>
      </c>
      <c r="L1686" s="3" t="s">
        <v>117</v>
      </c>
      <c r="M1686" s="4">
        <v>46284</v>
      </c>
      <c r="N1686" s="3" t="s">
        <v>1589</v>
      </c>
      <c r="O1686" s="3" t="s">
        <v>169</v>
      </c>
      <c r="P1686" t="str">
        <f t="shared" si="26"/>
        <v>4500136984450</v>
      </c>
      <c r="Q1686" s="7" cm="1">
        <f t="array" ref="Q1686:S1686">VLOOKUP(P1686,Hoja1!C:F,{2,3,4},FALSE)</f>
        <v>46290</v>
      </c>
      <c r="R1686" t="str">
        <v>C03</v>
      </c>
      <c r="S1686" t="str">
        <v>1000001129 AGRONORTE S.R.L.</v>
      </c>
    </row>
    <row r="1687" spans="1:19" x14ac:dyDescent="0.3">
      <c r="A1687" s="2" t="s">
        <v>14</v>
      </c>
      <c r="B1687" s="3" t="s">
        <v>14</v>
      </c>
      <c r="C1687" s="3" t="s">
        <v>1588</v>
      </c>
      <c r="D1687" s="3" t="s">
        <v>14</v>
      </c>
      <c r="E1687" s="3" t="s">
        <v>466</v>
      </c>
      <c r="F1687" s="4">
        <v>46284</v>
      </c>
      <c r="G1687" s="3" t="s">
        <v>17</v>
      </c>
      <c r="H1687" s="5">
        <v>-2202425.6</v>
      </c>
      <c r="I1687" s="3" t="s">
        <v>18</v>
      </c>
      <c r="J1687" s="3" t="s">
        <v>14</v>
      </c>
      <c r="K1687" s="3" t="s">
        <v>14</v>
      </c>
      <c r="L1687" s="3" t="s">
        <v>117</v>
      </c>
      <c r="M1687" s="4">
        <v>46284</v>
      </c>
      <c r="N1687" s="3" t="s">
        <v>1589</v>
      </c>
      <c r="O1687" s="3" t="s">
        <v>171</v>
      </c>
      <c r="P1687" t="str">
        <f t="shared" si="26"/>
        <v>4500136984470</v>
      </c>
      <c r="Q1687" s="7" cm="1">
        <f t="array" ref="Q1687:S1687">VLOOKUP(P1687,Hoja1!C:F,{2,3,4},FALSE)</f>
        <v>46290</v>
      </c>
      <c r="R1687" t="str">
        <v>C03</v>
      </c>
      <c r="S1687" t="str">
        <v>1000001129 AGRONORTE S.R.L.</v>
      </c>
    </row>
    <row r="1688" spans="1:19" x14ac:dyDescent="0.3">
      <c r="A1688" s="2" t="s">
        <v>14</v>
      </c>
      <c r="B1688" s="3" t="s">
        <v>14</v>
      </c>
      <c r="C1688" s="3" t="s">
        <v>1588</v>
      </c>
      <c r="D1688" s="3" t="s">
        <v>14</v>
      </c>
      <c r="E1688" s="3" t="s">
        <v>466</v>
      </c>
      <c r="F1688" s="4">
        <v>46284</v>
      </c>
      <c r="G1688" s="3" t="s">
        <v>17</v>
      </c>
      <c r="H1688" s="5">
        <v>-349534.8</v>
      </c>
      <c r="I1688" s="3" t="s">
        <v>18</v>
      </c>
      <c r="J1688" s="3" t="s">
        <v>14</v>
      </c>
      <c r="K1688" s="3" t="s">
        <v>14</v>
      </c>
      <c r="L1688" s="3" t="s">
        <v>117</v>
      </c>
      <c r="M1688" s="4">
        <v>46284</v>
      </c>
      <c r="N1688" s="3" t="s">
        <v>1589</v>
      </c>
      <c r="O1688" s="3" t="s">
        <v>172</v>
      </c>
      <c r="P1688" t="str">
        <f t="shared" si="26"/>
        <v>4500136984480</v>
      </c>
      <c r="Q1688" s="7" cm="1">
        <f t="array" ref="Q1688:S1688">VLOOKUP(P1688,Hoja1!C:F,{2,3,4},FALSE)</f>
        <v>46290</v>
      </c>
      <c r="R1688" t="str">
        <v>C03</v>
      </c>
      <c r="S1688" t="str">
        <v>1000001129 AGRONORTE S.R.L.</v>
      </c>
    </row>
    <row r="1689" spans="1:19" x14ac:dyDescent="0.3">
      <c r="A1689" s="2" t="s">
        <v>14</v>
      </c>
      <c r="B1689" s="3" t="s">
        <v>14</v>
      </c>
      <c r="C1689" s="3" t="s">
        <v>1588</v>
      </c>
      <c r="D1689" s="3" t="s">
        <v>14</v>
      </c>
      <c r="E1689" s="3" t="s">
        <v>466</v>
      </c>
      <c r="F1689" s="4">
        <v>46284</v>
      </c>
      <c r="G1689" s="3" t="s">
        <v>17</v>
      </c>
      <c r="H1689" s="5">
        <v>-2083.8000000000002</v>
      </c>
      <c r="I1689" s="3" t="s">
        <v>18</v>
      </c>
      <c r="J1689" s="3" t="s">
        <v>14</v>
      </c>
      <c r="K1689" s="3" t="s">
        <v>14</v>
      </c>
      <c r="L1689" s="3" t="s">
        <v>117</v>
      </c>
      <c r="M1689" s="4">
        <v>46284</v>
      </c>
      <c r="N1689" s="3" t="s">
        <v>1589</v>
      </c>
      <c r="O1689" s="3" t="s">
        <v>1134</v>
      </c>
      <c r="P1689" t="str">
        <f t="shared" si="26"/>
        <v>4500136984520</v>
      </c>
      <c r="Q1689" s="7" cm="1">
        <f t="array" ref="Q1689:S1689">VLOOKUP(P1689,Hoja1!C:F,{2,3,4},FALSE)</f>
        <v>46290</v>
      </c>
      <c r="R1689" t="str">
        <v>C03</v>
      </c>
      <c r="S1689" t="str">
        <v>1000001129 AGRONORTE S.R.L.</v>
      </c>
    </row>
    <row r="1690" spans="1:19" x14ac:dyDescent="0.3">
      <c r="A1690" s="2" t="s">
        <v>14</v>
      </c>
      <c r="B1690" s="3" t="s">
        <v>14</v>
      </c>
      <c r="C1690" s="3" t="s">
        <v>1588</v>
      </c>
      <c r="D1690" s="3" t="s">
        <v>14</v>
      </c>
      <c r="E1690" s="3" t="s">
        <v>466</v>
      </c>
      <c r="F1690" s="4">
        <v>46284</v>
      </c>
      <c r="G1690" s="3" t="s">
        <v>17</v>
      </c>
      <c r="H1690" s="5">
        <v>-1025592</v>
      </c>
      <c r="I1690" s="3" t="s">
        <v>18</v>
      </c>
      <c r="J1690" s="3" t="s">
        <v>14</v>
      </c>
      <c r="K1690" s="3" t="s">
        <v>14</v>
      </c>
      <c r="L1690" s="3" t="s">
        <v>117</v>
      </c>
      <c r="M1690" s="4">
        <v>46284</v>
      </c>
      <c r="N1690" s="3" t="s">
        <v>1589</v>
      </c>
      <c r="O1690" s="3" t="s">
        <v>167</v>
      </c>
      <c r="P1690" t="str">
        <f t="shared" si="26"/>
        <v>4500136984530</v>
      </c>
      <c r="Q1690" s="7" cm="1">
        <f t="array" ref="Q1690:S1690">VLOOKUP(P1690,Hoja1!C:F,{2,3,4},FALSE)</f>
        <v>46290</v>
      </c>
      <c r="R1690" t="str">
        <v>C03</v>
      </c>
      <c r="S1690" t="str">
        <v>1000001129 AGRONORTE S.R.L.</v>
      </c>
    </row>
    <row r="1691" spans="1:19" x14ac:dyDescent="0.3">
      <c r="A1691" s="2" t="s">
        <v>14</v>
      </c>
      <c r="B1691" s="3" t="s">
        <v>14</v>
      </c>
      <c r="C1691" s="3" t="s">
        <v>1588</v>
      </c>
      <c r="D1691" s="3" t="s">
        <v>14</v>
      </c>
      <c r="E1691" s="3" t="s">
        <v>466</v>
      </c>
      <c r="F1691" s="4">
        <v>46284</v>
      </c>
      <c r="G1691" s="3" t="s">
        <v>17</v>
      </c>
      <c r="H1691" s="5">
        <v>-49195.8</v>
      </c>
      <c r="I1691" s="3" t="s">
        <v>18</v>
      </c>
      <c r="J1691" s="3" t="s">
        <v>14</v>
      </c>
      <c r="K1691" s="3" t="s">
        <v>14</v>
      </c>
      <c r="L1691" s="3" t="s">
        <v>117</v>
      </c>
      <c r="M1691" s="4">
        <v>46284</v>
      </c>
      <c r="N1691" s="3" t="s">
        <v>1589</v>
      </c>
      <c r="O1691" s="3" t="s">
        <v>151</v>
      </c>
      <c r="P1691" t="str">
        <f t="shared" si="26"/>
        <v>4500136984540</v>
      </c>
      <c r="Q1691" s="7" cm="1">
        <f t="array" ref="Q1691:S1691">VLOOKUP(P1691,Hoja1!C:F,{2,3,4},FALSE)</f>
        <v>46290</v>
      </c>
      <c r="R1691" t="str">
        <v>C03</v>
      </c>
      <c r="S1691" t="str">
        <v>1000001129 AGRONORTE S.R.L.</v>
      </c>
    </row>
    <row r="1692" spans="1:19" x14ac:dyDescent="0.3">
      <c r="A1692" s="2" t="s">
        <v>14</v>
      </c>
      <c r="B1692" s="3" t="s">
        <v>14</v>
      </c>
      <c r="C1692" s="3" t="s">
        <v>1588</v>
      </c>
      <c r="D1692" s="3" t="s">
        <v>14</v>
      </c>
      <c r="E1692" s="3" t="s">
        <v>466</v>
      </c>
      <c r="F1692" s="4">
        <v>46284</v>
      </c>
      <c r="G1692" s="3" t="s">
        <v>17</v>
      </c>
      <c r="H1692" s="5">
        <v>-14435.6</v>
      </c>
      <c r="I1692" s="3" t="s">
        <v>18</v>
      </c>
      <c r="J1692" s="3" t="s">
        <v>14</v>
      </c>
      <c r="K1692" s="3" t="s">
        <v>14</v>
      </c>
      <c r="L1692" s="3" t="s">
        <v>117</v>
      </c>
      <c r="M1692" s="4">
        <v>46284</v>
      </c>
      <c r="N1692" s="3" t="s">
        <v>1589</v>
      </c>
      <c r="O1692" s="3" t="s">
        <v>153</v>
      </c>
      <c r="P1692" t="str">
        <f t="shared" si="26"/>
        <v>4500136984550</v>
      </c>
      <c r="Q1692" s="7" cm="1">
        <f t="array" ref="Q1692:S1692">VLOOKUP(P1692,Hoja1!C:F,{2,3,4},FALSE)</f>
        <v>46290</v>
      </c>
      <c r="R1692" t="str">
        <v>C03</v>
      </c>
      <c r="S1692" t="str">
        <v>1000001129 AGRONORTE S.R.L.</v>
      </c>
    </row>
    <row r="1693" spans="1:19" x14ac:dyDescent="0.3">
      <c r="A1693" s="2" t="s">
        <v>14</v>
      </c>
      <c r="B1693" s="3" t="s">
        <v>14</v>
      </c>
      <c r="C1693" s="3" t="s">
        <v>1588</v>
      </c>
      <c r="D1693" s="3" t="s">
        <v>14</v>
      </c>
      <c r="E1693" s="3" t="s">
        <v>466</v>
      </c>
      <c r="F1693" s="4">
        <v>46284</v>
      </c>
      <c r="G1693" s="3" t="s">
        <v>17</v>
      </c>
      <c r="H1693" s="5">
        <v>-10207.6</v>
      </c>
      <c r="I1693" s="3" t="s">
        <v>18</v>
      </c>
      <c r="J1693" s="3" t="s">
        <v>14</v>
      </c>
      <c r="K1693" s="3" t="s">
        <v>14</v>
      </c>
      <c r="L1693" s="3" t="s">
        <v>117</v>
      </c>
      <c r="M1693" s="4">
        <v>46284</v>
      </c>
      <c r="N1693" s="3" t="s">
        <v>1589</v>
      </c>
      <c r="O1693" s="3" t="s">
        <v>176</v>
      </c>
      <c r="P1693" t="str">
        <f t="shared" si="26"/>
        <v>4500136984560</v>
      </c>
      <c r="Q1693" s="7" cm="1">
        <f t="array" ref="Q1693:S1693">VLOOKUP(P1693,Hoja1!C:F,{2,3,4},FALSE)</f>
        <v>46290</v>
      </c>
      <c r="R1693" t="str">
        <v>C03</v>
      </c>
      <c r="S1693" t="str">
        <v>1000001129 AGRONORTE S.R.L.</v>
      </c>
    </row>
    <row r="1694" spans="1:19" x14ac:dyDescent="0.3">
      <c r="A1694" s="2" t="s">
        <v>14</v>
      </c>
      <c r="B1694" s="3" t="s">
        <v>14</v>
      </c>
      <c r="C1694" s="3" t="s">
        <v>1588</v>
      </c>
      <c r="D1694" s="3" t="s">
        <v>14</v>
      </c>
      <c r="E1694" s="3" t="s">
        <v>466</v>
      </c>
      <c r="F1694" s="4">
        <v>46284</v>
      </c>
      <c r="G1694" s="3" t="s">
        <v>17</v>
      </c>
      <c r="H1694" s="5">
        <v>-17244.2</v>
      </c>
      <c r="I1694" s="3" t="s">
        <v>18</v>
      </c>
      <c r="J1694" s="3" t="s">
        <v>14</v>
      </c>
      <c r="K1694" s="3" t="s">
        <v>14</v>
      </c>
      <c r="L1694" s="3" t="s">
        <v>117</v>
      </c>
      <c r="M1694" s="4">
        <v>46284</v>
      </c>
      <c r="N1694" s="3" t="s">
        <v>1589</v>
      </c>
      <c r="O1694" s="3" t="s">
        <v>177</v>
      </c>
      <c r="P1694" t="str">
        <f t="shared" si="26"/>
        <v>4500136984570</v>
      </c>
      <c r="Q1694" s="7" cm="1">
        <f t="array" ref="Q1694:S1694">VLOOKUP(P1694,Hoja1!C:F,{2,3,4},FALSE)</f>
        <v>46290</v>
      </c>
      <c r="R1694" t="str">
        <v>C03</v>
      </c>
      <c r="S1694" t="str">
        <v>1000001129 AGRONORTE S.R.L.</v>
      </c>
    </row>
    <row r="1695" spans="1:19" x14ac:dyDescent="0.3">
      <c r="A1695" s="2" t="s">
        <v>14</v>
      </c>
      <c r="B1695" s="3" t="s">
        <v>14</v>
      </c>
      <c r="C1695" s="3" t="s">
        <v>1588</v>
      </c>
      <c r="D1695" s="3" t="s">
        <v>14</v>
      </c>
      <c r="E1695" s="3" t="s">
        <v>466</v>
      </c>
      <c r="F1695" s="4">
        <v>46284</v>
      </c>
      <c r="G1695" s="3" t="s">
        <v>17</v>
      </c>
      <c r="H1695" s="5">
        <v>-9075.1</v>
      </c>
      <c r="I1695" s="3" t="s">
        <v>18</v>
      </c>
      <c r="J1695" s="3" t="s">
        <v>14</v>
      </c>
      <c r="K1695" s="3" t="s">
        <v>14</v>
      </c>
      <c r="L1695" s="3" t="s">
        <v>117</v>
      </c>
      <c r="M1695" s="4">
        <v>46284</v>
      </c>
      <c r="N1695" s="3" t="s">
        <v>1589</v>
      </c>
      <c r="O1695" s="3" t="s">
        <v>163</v>
      </c>
      <c r="P1695" t="str">
        <f t="shared" si="26"/>
        <v>4500136984580</v>
      </c>
      <c r="Q1695" s="7" cm="1">
        <f t="array" ref="Q1695:S1695">VLOOKUP(P1695,Hoja1!C:F,{2,3,4},FALSE)</f>
        <v>46290</v>
      </c>
      <c r="R1695" t="str">
        <v>C03</v>
      </c>
      <c r="S1695" t="str">
        <v>1000001129 AGRONORTE S.R.L.</v>
      </c>
    </row>
    <row r="1696" spans="1:19" x14ac:dyDescent="0.3">
      <c r="A1696" s="2" t="s">
        <v>14</v>
      </c>
      <c r="B1696" s="3" t="s">
        <v>14</v>
      </c>
      <c r="C1696" s="3" t="s">
        <v>1588</v>
      </c>
      <c r="D1696" s="3" t="s">
        <v>14</v>
      </c>
      <c r="E1696" s="3" t="s">
        <v>466</v>
      </c>
      <c r="F1696" s="4">
        <v>46284</v>
      </c>
      <c r="G1696" s="3" t="s">
        <v>17</v>
      </c>
      <c r="H1696" s="5">
        <v>-113567.1</v>
      </c>
      <c r="I1696" s="3" t="s">
        <v>18</v>
      </c>
      <c r="J1696" s="3" t="s">
        <v>14</v>
      </c>
      <c r="K1696" s="3" t="s">
        <v>14</v>
      </c>
      <c r="L1696" s="3" t="s">
        <v>117</v>
      </c>
      <c r="M1696" s="4">
        <v>46284</v>
      </c>
      <c r="N1696" s="3" t="s">
        <v>1589</v>
      </c>
      <c r="O1696" s="3" t="s">
        <v>119</v>
      </c>
      <c r="P1696" t="str">
        <f t="shared" si="26"/>
        <v>4500136984590</v>
      </c>
      <c r="Q1696" s="7" cm="1">
        <f t="array" ref="Q1696:S1696">VLOOKUP(P1696,Hoja1!C:F,{2,3,4},FALSE)</f>
        <v>46290</v>
      </c>
      <c r="R1696" t="str">
        <v>C03</v>
      </c>
      <c r="S1696" t="str">
        <v>1000001129 AGRONORTE S.R.L.</v>
      </c>
    </row>
    <row r="1697" spans="1:19" x14ac:dyDescent="0.3">
      <c r="A1697" s="2" t="s">
        <v>14</v>
      </c>
      <c r="B1697" s="3" t="s">
        <v>14</v>
      </c>
      <c r="C1697" s="3" t="s">
        <v>1588</v>
      </c>
      <c r="D1697" s="3" t="s">
        <v>14</v>
      </c>
      <c r="E1697" s="3" t="s">
        <v>466</v>
      </c>
      <c r="F1697" s="4">
        <v>46284</v>
      </c>
      <c r="G1697" s="3" t="s">
        <v>17</v>
      </c>
      <c r="H1697" s="5">
        <v>-107043.9</v>
      </c>
      <c r="I1697" s="3" t="s">
        <v>18</v>
      </c>
      <c r="J1697" s="3" t="s">
        <v>14</v>
      </c>
      <c r="K1697" s="3" t="s">
        <v>14</v>
      </c>
      <c r="L1697" s="3" t="s">
        <v>117</v>
      </c>
      <c r="M1697" s="4">
        <v>46284</v>
      </c>
      <c r="N1697" s="3" t="s">
        <v>1589</v>
      </c>
      <c r="O1697" s="3" t="s">
        <v>148</v>
      </c>
      <c r="P1697" t="str">
        <f t="shared" si="26"/>
        <v>4500136984610</v>
      </c>
      <c r="Q1697" s="7" cm="1">
        <f t="array" ref="Q1697:S1697">VLOOKUP(P1697,Hoja1!C:F,{2,3,4},FALSE)</f>
        <v>46290</v>
      </c>
      <c r="R1697" t="str">
        <v>C03</v>
      </c>
      <c r="S1697" t="str">
        <v>1000001129 AGRONORTE S.R.L.</v>
      </c>
    </row>
    <row r="1698" spans="1:19" x14ac:dyDescent="0.3">
      <c r="A1698" s="2" t="s">
        <v>14</v>
      </c>
      <c r="B1698" s="3" t="s">
        <v>14</v>
      </c>
      <c r="C1698" s="3" t="s">
        <v>1588</v>
      </c>
      <c r="D1698" s="3" t="s">
        <v>14</v>
      </c>
      <c r="E1698" s="3" t="s">
        <v>466</v>
      </c>
      <c r="F1698" s="4">
        <v>46284</v>
      </c>
      <c r="G1698" s="3" t="s">
        <v>17</v>
      </c>
      <c r="H1698" s="5">
        <v>-23752.3</v>
      </c>
      <c r="I1698" s="3" t="s">
        <v>18</v>
      </c>
      <c r="J1698" s="3" t="s">
        <v>14</v>
      </c>
      <c r="K1698" s="3" t="s">
        <v>14</v>
      </c>
      <c r="L1698" s="3" t="s">
        <v>117</v>
      </c>
      <c r="M1698" s="4">
        <v>46284</v>
      </c>
      <c r="N1698" s="3" t="s">
        <v>1589</v>
      </c>
      <c r="O1698" s="3" t="s">
        <v>1598</v>
      </c>
      <c r="P1698" t="str">
        <f t="shared" si="26"/>
        <v>4500136984680</v>
      </c>
      <c r="Q1698" s="7" cm="1">
        <f t="array" ref="Q1698:S1698">VLOOKUP(P1698,Hoja1!C:F,{2,3,4},FALSE)</f>
        <v>46290</v>
      </c>
      <c r="R1698" t="str">
        <v>C03</v>
      </c>
      <c r="S1698" t="str">
        <v>1000001129 AGRONORTE S.R.L.</v>
      </c>
    </row>
    <row r="1699" spans="1:19" x14ac:dyDescent="0.3">
      <c r="A1699" s="2" t="s">
        <v>14</v>
      </c>
      <c r="B1699" s="3" t="s">
        <v>14</v>
      </c>
      <c r="C1699" s="3" t="s">
        <v>1588</v>
      </c>
      <c r="D1699" s="3" t="s">
        <v>14</v>
      </c>
      <c r="E1699" s="3" t="s">
        <v>466</v>
      </c>
      <c r="F1699" s="4">
        <v>46284</v>
      </c>
      <c r="G1699" s="3" t="s">
        <v>17</v>
      </c>
      <c r="H1699" s="5">
        <v>-16066.4</v>
      </c>
      <c r="I1699" s="3" t="s">
        <v>18</v>
      </c>
      <c r="J1699" s="3" t="s">
        <v>14</v>
      </c>
      <c r="K1699" s="3" t="s">
        <v>14</v>
      </c>
      <c r="L1699" s="3" t="s">
        <v>117</v>
      </c>
      <c r="M1699" s="4">
        <v>46284</v>
      </c>
      <c r="N1699" s="3" t="s">
        <v>1589</v>
      </c>
      <c r="O1699" s="3" t="s">
        <v>1162</v>
      </c>
      <c r="P1699" t="str">
        <f t="shared" si="26"/>
        <v>4500136984700</v>
      </c>
      <c r="Q1699" s="7" cm="1">
        <f t="array" ref="Q1699:S1699">VLOOKUP(P1699,Hoja1!C:F,{2,3,4},FALSE)</f>
        <v>46290</v>
      </c>
      <c r="R1699" t="str">
        <v>C03</v>
      </c>
      <c r="S1699" t="str">
        <v>1000001129 AGRONORTE S.R.L.</v>
      </c>
    </row>
    <row r="1700" spans="1:19" x14ac:dyDescent="0.3">
      <c r="A1700" s="2" t="s">
        <v>14</v>
      </c>
      <c r="B1700" s="3" t="s">
        <v>14</v>
      </c>
      <c r="C1700" s="3" t="s">
        <v>1588</v>
      </c>
      <c r="D1700" s="3" t="s">
        <v>14</v>
      </c>
      <c r="E1700" s="3" t="s">
        <v>466</v>
      </c>
      <c r="F1700" s="4">
        <v>46284</v>
      </c>
      <c r="G1700" s="3" t="s">
        <v>17</v>
      </c>
      <c r="H1700" s="5">
        <v>-16157</v>
      </c>
      <c r="I1700" s="3" t="s">
        <v>18</v>
      </c>
      <c r="J1700" s="3" t="s">
        <v>14</v>
      </c>
      <c r="K1700" s="3" t="s">
        <v>14</v>
      </c>
      <c r="L1700" s="3" t="s">
        <v>117</v>
      </c>
      <c r="M1700" s="4">
        <v>46284</v>
      </c>
      <c r="N1700" s="3" t="s">
        <v>1589</v>
      </c>
      <c r="O1700" s="3" t="s">
        <v>1599</v>
      </c>
      <c r="P1700" t="str">
        <f t="shared" si="26"/>
        <v>4500136984710</v>
      </c>
      <c r="Q1700" s="7" cm="1">
        <f t="array" ref="Q1700:S1700">VLOOKUP(P1700,Hoja1!C:F,{2,3,4},FALSE)</f>
        <v>46290</v>
      </c>
      <c r="R1700" t="str">
        <v>C03</v>
      </c>
      <c r="S1700" t="str">
        <v>1000001129 AGRONORTE S.R.L.</v>
      </c>
    </row>
    <row r="1701" spans="1:19" x14ac:dyDescent="0.3">
      <c r="A1701" s="2" t="s">
        <v>14</v>
      </c>
      <c r="B1701" s="3" t="s">
        <v>14</v>
      </c>
      <c r="C1701" s="3" t="s">
        <v>1588</v>
      </c>
      <c r="D1701" s="3" t="s">
        <v>14</v>
      </c>
      <c r="E1701" s="3" t="s">
        <v>466</v>
      </c>
      <c r="F1701" s="4">
        <v>46284</v>
      </c>
      <c r="G1701" s="3" t="s">
        <v>17</v>
      </c>
      <c r="H1701" s="5">
        <v>-9120.4</v>
      </c>
      <c r="I1701" s="3" t="s">
        <v>18</v>
      </c>
      <c r="J1701" s="3" t="s">
        <v>14</v>
      </c>
      <c r="K1701" s="3" t="s">
        <v>14</v>
      </c>
      <c r="L1701" s="3" t="s">
        <v>117</v>
      </c>
      <c r="M1701" s="4">
        <v>46284</v>
      </c>
      <c r="N1701" s="3" t="s">
        <v>1589</v>
      </c>
      <c r="O1701" s="3" t="s">
        <v>1600</v>
      </c>
      <c r="P1701" t="str">
        <f t="shared" si="26"/>
        <v>4500136984720</v>
      </c>
      <c r="Q1701" s="7" cm="1">
        <f t="array" ref="Q1701:S1701">VLOOKUP(P1701,Hoja1!C:F,{2,3,4},FALSE)</f>
        <v>46290</v>
      </c>
      <c r="R1701" t="str">
        <v>C03</v>
      </c>
      <c r="S1701" t="str">
        <v>1000001129 AGRONORTE S.R.L.</v>
      </c>
    </row>
    <row r="1702" spans="1:19" x14ac:dyDescent="0.3">
      <c r="A1702" s="2" t="s">
        <v>14</v>
      </c>
      <c r="B1702" s="3" t="s">
        <v>14</v>
      </c>
      <c r="C1702" s="3" t="s">
        <v>1588</v>
      </c>
      <c r="D1702" s="3" t="s">
        <v>14</v>
      </c>
      <c r="E1702" s="3" t="s">
        <v>466</v>
      </c>
      <c r="F1702" s="4">
        <v>46284</v>
      </c>
      <c r="G1702" s="3" t="s">
        <v>17</v>
      </c>
      <c r="H1702" s="5">
        <v>-3729.7</v>
      </c>
      <c r="I1702" s="3" t="s">
        <v>18</v>
      </c>
      <c r="J1702" s="3" t="s">
        <v>14</v>
      </c>
      <c r="K1702" s="3" t="s">
        <v>14</v>
      </c>
      <c r="L1702" s="3" t="s">
        <v>117</v>
      </c>
      <c r="M1702" s="4">
        <v>46284</v>
      </c>
      <c r="N1702" s="3" t="s">
        <v>1589</v>
      </c>
      <c r="O1702" s="3" t="s">
        <v>1601</v>
      </c>
      <c r="P1702" t="str">
        <f t="shared" si="26"/>
        <v>4500136984730</v>
      </c>
      <c r="Q1702" s="7" cm="1">
        <f t="array" ref="Q1702:S1702">VLOOKUP(P1702,Hoja1!C:F,{2,3,4},FALSE)</f>
        <v>46290</v>
      </c>
      <c r="R1702" t="str">
        <v>C03</v>
      </c>
      <c r="S1702" t="str">
        <v>1000001129 AGRONORTE S.R.L.</v>
      </c>
    </row>
    <row r="1703" spans="1:19" x14ac:dyDescent="0.3">
      <c r="A1703" s="2" t="s">
        <v>14</v>
      </c>
      <c r="B1703" s="3" t="s">
        <v>14</v>
      </c>
      <c r="C1703" s="3" t="s">
        <v>1588</v>
      </c>
      <c r="D1703" s="3" t="s">
        <v>14</v>
      </c>
      <c r="E1703" s="3" t="s">
        <v>466</v>
      </c>
      <c r="F1703" s="4">
        <v>46284</v>
      </c>
      <c r="G1703" s="3" t="s">
        <v>17</v>
      </c>
      <c r="H1703" s="5">
        <v>-352509.5</v>
      </c>
      <c r="I1703" s="3" t="s">
        <v>18</v>
      </c>
      <c r="J1703" s="3" t="s">
        <v>14</v>
      </c>
      <c r="K1703" s="3" t="s">
        <v>14</v>
      </c>
      <c r="L1703" s="3" t="s">
        <v>117</v>
      </c>
      <c r="M1703" s="4">
        <v>46284</v>
      </c>
      <c r="N1703" s="3" t="s">
        <v>1589</v>
      </c>
      <c r="O1703" s="3" t="s">
        <v>807</v>
      </c>
      <c r="P1703" t="str">
        <f t="shared" si="26"/>
        <v>4500136984780</v>
      </c>
      <c r="Q1703" s="7" cm="1">
        <f t="array" ref="Q1703:S1703">VLOOKUP(P1703,Hoja1!C:F,{2,3,4},FALSE)</f>
        <v>46290</v>
      </c>
      <c r="R1703" t="str">
        <v>C03</v>
      </c>
      <c r="S1703" t="str">
        <v>1000001129 AGRONORTE S.R.L.</v>
      </c>
    </row>
    <row r="1704" spans="1:19" x14ac:dyDescent="0.3">
      <c r="A1704" s="2" t="s">
        <v>14</v>
      </c>
      <c r="B1704" s="3" t="s">
        <v>14</v>
      </c>
      <c r="C1704" s="3" t="s">
        <v>1588</v>
      </c>
      <c r="D1704" s="3" t="s">
        <v>14</v>
      </c>
      <c r="E1704" s="3" t="s">
        <v>466</v>
      </c>
      <c r="F1704" s="4">
        <v>46284</v>
      </c>
      <c r="G1704" s="3" t="s">
        <v>17</v>
      </c>
      <c r="H1704" s="5">
        <v>-276012.90000000002</v>
      </c>
      <c r="I1704" s="3" t="s">
        <v>18</v>
      </c>
      <c r="J1704" s="3" t="s">
        <v>14</v>
      </c>
      <c r="K1704" s="3" t="s">
        <v>14</v>
      </c>
      <c r="L1704" s="3" t="s">
        <v>117</v>
      </c>
      <c r="M1704" s="4">
        <v>46284</v>
      </c>
      <c r="N1704" s="3" t="s">
        <v>1589</v>
      </c>
      <c r="O1704" s="3" t="s">
        <v>1602</v>
      </c>
      <c r="P1704" t="str">
        <f t="shared" si="26"/>
        <v>4500136984810</v>
      </c>
      <c r="Q1704" s="7" cm="1">
        <f t="array" ref="Q1704:S1704">VLOOKUP(P1704,Hoja1!C:F,{2,3,4},FALSE)</f>
        <v>46290</v>
      </c>
      <c r="R1704" t="str">
        <v>C03</v>
      </c>
      <c r="S1704" t="str">
        <v>1000001129 AGRONORTE S.R.L.</v>
      </c>
    </row>
    <row r="1705" spans="1:19" x14ac:dyDescent="0.3">
      <c r="A1705" s="2" t="s">
        <v>14</v>
      </c>
      <c r="B1705" s="3" t="s">
        <v>14</v>
      </c>
      <c r="C1705" s="3" t="s">
        <v>1588</v>
      </c>
      <c r="D1705" s="3" t="s">
        <v>14</v>
      </c>
      <c r="E1705" s="3" t="s">
        <v>466</v>
      </c>
      <c r="F1705" s="4">
        <v>46284</v>
      </c>
      <c r="G1705" s="3" t="s">
        <v>17</v>
      </c>
      <c r="H1705" s="5">
        <v>-231407.5</v>
      </c>
      <c r="I1705" s="3" t="s">
        <v>18</v>
      </c>
      <c r="J1705" s="3" t="s">
        <v>14</v>
      </c>
      <c r="K1705" s="3" t="s">
        <v>14</v>
      </c>
      <c r="L1705" s="3" t="s">
        <v>117</v>
      </c>
      <c r="M1705" s="4">
        <v>46284</v>
      </c>
      <c r="N1705" s="3" t="s">
        <v>1589</v>
      </c>
      <c r="O1705" s="3" t="s">
        <v>1603</v>
      </c>
      <c r="P1705" t="str">
        <f t="shared" si="26"/>
        <v>4500136984820</v>
      </c>
      <c r="Q1705" s="7" cm="1">
        <f t="array" ref="Q1705:S1705">VLOOKUP(P1705,Hoja1!C:F,{2,3,4},FALSE)</f>
        <v>46290</v>
      </c>
      <c r="R1705" t="str">
        <v>C03</v>
      </c>
      <c r="S1705" t="str">
        <v>1000001129 AGRONORTE S.R.L.</v>
      </c>
    </row>
    <row r="1706" spans="1:19" x14ac:dyDescent="0.3">
      <c r="A1706" s="2" t="s">
        <v>14</v>
      </c>
      <c r="B1706" s="3" t="s">
        <v>14</v>
      </c>
      <c r="C1706" s="3" t="s">
        <v>1588</v>
      </c>
      <c r="D1706" s="3" t="s">
        <v>14</v>
      </c>
      <c r="E1706" s="3" t="s">
        <v>466</v>
      </c>
      <c r="F1706" s="4">
        <v>46284</v>
      </c>
      <c r="G1706" s="3" t="s">
        <v>17</v>
      </c>
      <c r="H1706" s="5">
        <v>-126311.5</v>
      </c>
      <c r="I1706" s="3" t="s">
        <v>18</v>
      </c>
      <c r="J1706" s="3" t="s">
        <v>14</v>
      </c>
      <c r="K1706" s="3" t="s">
        <v>14</v>
      </c>
      <c r="L1706" s="3" t="s">
        <v>117</v>
      </c>
      <c r="M1706" s="4">
        <v>46284</v>
      </c>
      <c r="N1706" s="3" t="s">
        <v>1589</v>
      </c>
      <c r="O1706" s="3" t="s">
        <v>813</v>
      </c>
      <c r="P1706" t="str">
        <f t="shared" si="26"/>
        <v>4500136984830</v>
      </c>
      <c r="Q1706" s="7" cm="1">
        <f t="array" ref="Q1706:S1706">VLOOKUP(P1706,Hoja1!C:F,{2,3,4},FALSE)</f>
        <v>46290</v>
      </c>
      <c r="R1706" t="str">
        <v>C03</v>
      </c>
      <c r="S1706" t="str">
        <v>1000001129 AGRONORTE S.R.L.</v>
      </c>
    </row>
    <row r="1707" spans="1:19" x14ac:dyDescent="0.3">
      <c r="A1707" s="2" t="s">
        <v>14</v>
      </c>
      <c r="B1707" s="3" t="s">
        <v>14</v>
      </c>
      <c r="C1707" s="3" t="s">
        <v>1588</v>
      </c>
      <c r="D1707" s="3" t="s">
        <v>14</v>
      </c>
      <c r="E1707" s="3" t="s">
        <v>466</v>
      </c>
      <c r="F1707" s="4">
        <v>46284</v>
      </c>
      <c r="G1707" s="3" t="s">
        <v>17</v>
      </c>
      <c r="H1707" s="5">
        <v>-155681</v>
      </c>
      <c r="I1707" s="3" t="s">
        <v>18</v>
      </c>
      <c r="J1707" s="3" t="s">
        <v>14</v>
      </c>
      <c r="K1707" s="3" t="s">
        <v>14</v>
      </c>
      <c r="L1707" s="3" t="s">
        <v>117</v>
      </c>
      <c r="M1707" s="4">
        <v>46284</v>
      </c>
      <c r="N1707" s="3" t="s">
        <v>1589</v>
      </c>
      <c r="O1707" s="3" t="s">
        <v>1604</v>
      </c>
      <c r="P1707" t="str">
        <f t="shared" si="26"/>
        <v>4500136984840</v>
      </c>
      <c r="Q1707" s="7" cm="1">
        <f t="array" ref="Q1707:S1707">VLOOKUP(P1707,Hoja1!C:F,{2,3,4},FALSE)</f>
        <v>46290</v>
      </c>
      <c r="R1707" t="str">
        <v>C03</v>
      </c>
      <c r="S1707" t="str">
        <v>1000001129 AGRONORTE S.R.L.</v>
      </c>
    </row>
    <row r="1708" spans="1:19" x14ac:dyDescent="0.3">
      <c r="A1708" s="2" t="s">
        <v>14</v>
      </c>
      <c r="B1708" s="3" t="s">
        <v>14</v>
      </c>
      <c r="C1708" s="3" t="s">
        <v>1588</v>
      </c>
      <c r="D1708" s="3" t="s">
        <v>14</v>
      </c>
      <c r="E1708" s="3" t="s">
        <v>466</v>
      </c>
      <c r="F1708" s="4">
        <v>46284</v>
      </c>
      <c r="G1708" s="3" t="s">
        <v>17</v>
      </c>
      <c r="H1708" s="5">
        <v>-208606.5</v>
      </c>
      <c r="I1708" s="3" t="s">
        <v>18</v>
      </c>
      <c r="J1708" s="3" t="s">
        <v>14</v>
      </c>
      <c r="K1708" s="3" t="s">
        <v>14</v>
      </c>
      <c r="L1708" s="3" t="s">
        <v>117</v>
      </c>
      <c r="M1708" s="4">
        <v>46284</v>
      </c>
      <c r="N1708" s="3" t="s">
        <v>1589</v>
      </c>
      <c r="O1708" s="3" t="s">
        <v>1605</v>
      </c>
      <c r="P1708" t="str">
        <f t="shared" si="26"/>
        <v>4500136984870</v>
      </c>
      <c r="Q1708" s="7" cm="1">
        <f t="array" ref="Q1708:S1708">VLOOKUP(P1708,Hoja1!C:F,{2,3,4},FALSE)</f>
        <v>46290</v>
      </c>
      <c r="R1708" t="str">
        <v>C03</v>
      </c>
      <c r="S1708" t="str">
        <v>1000001129 AGRONORTE S.R.L.</v>
      </c>
    </row>
    <row r="1709" spans="1:19" x14ac:dyDescent="0.3">
      <c r="A1709" s="2" t="s">
        <v>14</v>
      </c>
      <c r="B1709" s="3" t="s">
        <v>14</v>
      </c>
      <c r="C1709" s="3" t="s">
        <v>1588</v>
      </c>
      <c r="D1709" s="3" t="s">
        <v>14</v>
      </c>
      <c r="E1709" s="3" t="s">
        <v>466</v>
      </c>
      <c r="F1709" s="4">
        <v>46284</v>
      </c>
      <c r="G1709" s="3" t="s">
        <v>17</v>
      </c>
      <c r="H1709" s="5">
        <v>-7160722</v>
      </c>
      <c r="I1709" s="3" t="s">
        <v>18</v>
      </c>
      <c r="J1709" s="3" t="s">
        <v>14</v>
      </c>
      <c r="K1709" s="3" t="s">
        <v>14</v>
      </c>
      <c r="L1709" s="3" t="s">
        <v>117</v>
      </c>
      <c r="M1709" s="4">
        <v>46284</v>
      </c>
      <c r="N1709" s="3" t="s">
        <v>1589</v>
      </c>
      <c r="O1709" s="3" t="s">
        <v>1606</v>
      </c>
      <c r="P1709" t="str">
        <f t="shared" si="26"/>
        <v>4500136984880</v>
      </c>
      <c r="Q1709" s="7" cm="1">
        <f t="array" ref="Q1709:S1709">VLOOKUP(P1709,Hoja1!C:F,{2,3,4},FALSE)</f>
        <v>46290</v>
      </c>
      <c r="R1709" t="str">
        <v>C03</v>
      </c>
      <c r="S1709" t="str">
        <v>1000001129 AGRONORTE S.R.L.</v>
      </c>
    </row>
    <row r="1710" spans="1:19" x14ac:dyDescent="0.3">
      <c r="A1710" s="2" t="s">
        <v>14</v>
      </c>
      <c r="B1710" s="3" t="s">
        <v>14</v>
      </c>
      <c r="C1710" s="3" t="s">
        <v>1588</v>
      </c>
      <c r="D1710" s="3" t="s">
        <v>14</v>
      </c>
      <c r="E1710" s="3" t="s">
        <v>466</v>
      </c>
      <c r="F1710" s="4">
        <v>46284</v>
      </c>
      <c r="G1710" s="3" t="s">
        <v>17</v>
      </c>
      <c r="H1710" s="5">
        <v>-29354.400000000001</v>
      </c>
      <c r="I1710" s="3" t="s">
        <v>18</v>
      </c>
      <c r="J1710" s="3" t="s">
        <v>14</v>
      </c>
      <c r="K1710" s="3" t="s">
        <v>14</v>
      </c>
      <c r="L1710" s="3" t="s">
        <v>117</v>
      </c>
      <c r="M1710" s="4">
        <v>46284</v>
      </c>
      <c r="N1710" s="3" t="s">
        <v>1589</v>
      </c>
      <c r="O1710" s="3" t="s">
        <v>1607</v>
      </c>
      <c r="P1710" t="str">
        <f t="shared" si="26"/>
        <v>4500136984900</v>
      </c>
      <c r="Q1710" s="7" cm="1">
        <f t="array" ref="Q1710:S1710">VLOOKUP(P1710,Hoja1!C:F,{2,3,4},FALSE)</f>
        <v>46290</v>
      </c>
      <c r="R1710" t="str">
        <v>C03</v>
      </c>
      <c r="S1710" t="str">
        <v>1000001129 AGRONORTE S.R.L.</v>
      </c>
    </row>
    <row r="1711" spans="1:19" x14ac:dyDescent="0.3">
      <c r="A1711" s="2" t="s">
        <v>14</v>
      </c>
      <c r="B1711" s="3" t="s">
        <v>14</v>
      </c>
      <c r="C1711" s="3" t="s">
        <v>1608</v>
      </c>
      <c r="D1711" s="3" t="s">
        <v>14</v>
      </c>
      <c r="E1711" s="3" t="s">
        <v>466</v>
      </c>
      <c r="F1711" s="4">
        <v>46284</v>
      </c>
      <c r="G1711" s="3" t="s">
        <v>17</v>
      </c>
      <c r="H1711" s="5">
        <v>-12024</v>
      </c>
      <c r="I1711" s="3" t="s">
        <v>18</v>
      </c>
      <c r="J1711" s="3" t="s">
        <v>14</v>
      </c>
      <c r="K1711" s="3" t="s">
        <v>14</v>
      </c>
      <c r="L1711" s="3" t="s">
        <v>892</v>
      </c>
      <c r="M1711" s="4">
        <v>46284</v>
      </c>
      <c r="N1711" s="3" t="s">
        <v>1275</v>
      </c>
      <c r="O1711" s="3" t="s">
        <v>138</v>
      </c>
      <c r="P1711" t="str">
        <f t="shared" si="26"/>
        <v>450013759390</v>
      </c>
      <c r="Q1711" s="7" cm="1">
        <f t="array" ref="Q1711:S1711">VLOOKUP(P1711,Hoja1!C:F,{2,3,4},FALSE)</f>
        <v>46275</v>
      </c>
      <c r="R1711" t="str">
        <v>C27</v>
      </c>
      <c r="S1711" t="str">
        <v>1000000894 FORTIN REPUBLICA SA</v>
      </c>
    </row>
    <row r="1712" spans="1:19" x14ac:dyDescent="0.3">
      <c r="A1712" s="2" t="s">
        <v>14</v>
      </c>
      <c r="B1712" s="3" t="s">
        <v>14</v>
      </c>
      <c r="C1712" s="3" t="s">
        <v>1609</v>
      </c>
      <c r="D1712" s="3" t="s">
        <v>14</v>
      </c>
      <c r="E1712" s="3" t="s">
        <v>466</v>
      </c>
      <c r="F1712" s="4">
        <v>46284</v>
      </c>
      <c r="G1712" s="3" t="s">
        <v>17</v>
      </c>
      <c r="H1712" s="5">
        <v>-328320</v>
      </c>
      <c r="I1712" s="3" t="s">
        <v>18</v>
      </c>
      <c r="J1712" s="3" t="s">
        <v>14</v>
      </c>
      <c r="K1712" s="3" t="s">
        <v>14</v>
      </c>
      <c r="L1712" s="3" t="s">
        <v>1441</v>
      </c>
      <c r="M1712" s="4">
        <v>46284</v>
      </c>
      <c r="N1712" s="3" t="s">
        <v>1442</v>
      </c>
      <c r="O1712" s="3" t="s">
        <v>30</v>
      </c>
      <c r="P1712" t="str">
        <f t="shared" si="26"/>
        <v>450013850510</v>
      </c>
      <c r="Q1712" s="7" cm="1">
        <f t="array" ref="Q1712:S1712">VLOOKUP(P1712,Hoja1!C:F,{2,3,4},FALSE)</f>
        <v>46290</v>
      </c>
      <c r="R1712" t="str">
        <v>C17</v>
      </c>
      <c r="S1712" t="str">
        <v>1000012812 FLORES JUAN MANUEL</v>
      </c>
    </row>
    <row r="1713" spans="1:19" x14ac:dyDescent="0.3">
      <c r="A1713" s="2" t="s">
        <v>14</v>
      </c>
      <c r="B1713" s="3" t="s">
        <v>14</v>
      </c>
      <c r="C1713" s="3" t="s">
        <v>1609</v>
      </c>
      <c r="D1713" s="3" t="s">
        <v>14</v>
      </c>
      <c r="E1713" s="3" t="s">
        <v>466</v>
      </c>
      <c r="F1713" s="4">
        <v>46284</v>
      </c>
      <c r="G1713" s="3" t="s">
        <v>17</v>
      </c>
      <c r="H1713" s="5">
        <v>-320625</v>
      </c>
      <c r="I1713" s="3" t="s">
        <v>18</v>
      </c>
      <c r="J1713" s="3" t="s">
        <v>14</v>
      </c>
      <c r="K1713" s="3" t="s">
        <v>14</v>
      </c>
      <c r="L1713" s="3" t="s">
        <v>1441</v>
      </c>
      <c r="M1713" s="4">
        <v>46284</v>
      </c>
      <c r="N1713" s="3" t="s">
        <v>1442</v>
      </c>
      <c r="O1713" s="3" t="s">
        <v>22</v>
      </c>
      <c r="P1713" t="str">
        <f t="shared" si="26"/>
        <v>450013850520</v>
      </c>
      <c r="Q1713" s="7" cm="1">
        <f t="array" ref="Q1713:S1713">VLOOKUP(P1713,Hoja1!C:F,{2,3,4},FALSE)</f>
        <v>46282</v>
      </c>
      <c r="R1713" t="str">
        <v>C17</v>
      </c>
      <c r="S1713" t="str">
        <v>1000012812 FLORES JUAN MANUEL</v>
      </c>
    </row>
    <row r="1714" spans="1:19" x14ac:dyDescent="0.3">
      <c r="A1714" s="2" t="s">
        <v>14</v>
      </c>
      <c r="B1714" s="3" t="s">
        <v>14</v>
      </c>
      <c r="C1714" s="3" t="s">
        <v>1610</v>
      </c>
      <c r="D1714" s="3" t="s">
        <v>14</v>
      </c>
      <c r="E1714" s="3" t="s">
        <v>466</v>
      </c>
      <c r="F1714" s="4">
        <v>46285</v>
      </c>
      <c r="G1714" s="3" t="s">
        <v>17</v>
      </c>
      <c r="H1714" s="5">
        <v>-477810</v>
      </c>
      <c r="I1714" s="3" t="s">
        <v>18</v>
      </c>
      <c r="J1714" s="3" t="s">
        <v>14</v>
      </c>
      <c r="K1714" s="3" t="s">
        <v>14</v>
      </c>
      <c r="L1714" s="3" t="s">
        <v>73</v>
      </c>
      <c r="M1714" s="4">
        <v>46285</v>
      </c>
      <c r="N1714" s="3" t="s">
        <v>402</v>
      </c>
      <c r="O1714" s="3" t="s">
        <v>30</v>
      </c>
      <c r="P1714" t="str">
        <f t="shared" si="26"/>
        <v>450013790610</v>
      </c>
      <c r="Q1714" s="7" cm="1">
        <f t="array" ref="Q1714:S1714">VLOOKUP(P1714,Hoja1!C:F,{2,3,4},FALSE)</f>
        <v>46295</v>
      </c>
      <c r="R1714" t="str">
        <v>C21</v>
      </c>
      <c r="S1714" t="str">
        <v>1000000808 GLOBAL OIL S.R.L.</v>
      </c>
    </row>
    <row r="1715" spans="1:19" x14ac:dyDescent="0.3">
      <c r="A1715" s="2" t="s">
        <v>14</v>
      </c>
      <c r="B1715" s="3" t="s">
        <v>14</v>
      </c>
      <c r="C1715" s="3" t="s">
        <v>1610</v>
      </c>
      <c r="D1715" s="3" t="s">
        <v>14</v>
      </c>
      <c r="E1715" s="3" t="s">
        <v>466</v>
      </c>
      <c r="F1715" s="4">
        <v>46285</v>
      </c>
      <c r="G1715" s="3" t="s">
        <v>17</v>
      </c>
      <c r="H1715" s="5">
        <v>-100560</v>
      </c>
      <c r="I1715" s="3" t="s">
        <v>18</v>
      </c>
      <c r="J1715" s="3" t="s">
        <v>14</v>
      </c>
      <c r="K1715" s="3" t="s">
        <v>14</v>
      </c>
      <c r="L1715" s="3" t="s">
        <v>73</v>
      </c>
      <c r="M1715" s="4">
        <v>46285</v>
      </c>
      <c r="N1715" s="3" t="s">
        <v>402</v>
      </c>
      <c r="O1715" s="3" t="s">
        <v>30</v>
      </c>
      <c r="P1715" t="str">
        <f t="shared" si="26"/>
        <v>450013790610</v>
      </c>
      <c r="Q1715" s="7" cm="1">
        <f t="array" ref="Q1715:S1715">VLOOKUP(P1715,Hoja1!C:F,{2,3,4},FALSE)</f>
        <v>46295</v>
      </c>
      <c r="R1715" t="str">
        <v>C21</v>
      </c>
      <c r="S1715" t="str">
        <v>1000000808 GLOBAL OIL S.R.L.</v>
      </c>
    </row>
    <row r="1716" spans="1:19" x14ac:dyDescent="0.3">
      <c r="A1716" s="2" t="s">
        <v>14</v>
      </c>
      <c r="B1716" s="3" t="s">
        <v>14</v>
      </c>
      <c r="C1716" s="3" t="s">
        <v>1611</v>
      </c>
      <c r="D1716" s="3" t="s">
        <v>14</v>
      </c>
      <c r="E1716" s="3" t="s">
        <v>466</v>
      </c>
      <c r="F1716" s="4">
        <v>46282</v>
      </c>
      <c r="G1716" s="3" t="s">
        <v>17</v>
      </c>
      <c r="H1716" s="5">
        <v>-645309.18999999994</v>
      </c>
      <c r="I1716" s="3" t="s">
        <v>18</v>
      </c>
      <c r="J1716" s="3" t="s">
        <v>14</v>
      </c>
      <c r="K1716" s="3" t="s">
        <v>14</v>
      </c>
      <c r="L1716" s="3" t="s">
        <v>1211</v>
      </c>
      <c r="M1716" s="4">
        <v>46286</v>
      </c>
      <c r="N1716" s="3" t="s">
        <v>1612</v>
      </c>
      <c r="O1716" s="3" t="s">
        <v>30</v>
      </c>
      <c r="P1716" t="str">
        <f t="shared" si="26"/>
        <v>450013714910</v>
      </c>
      <c r="Q1716" s="7" cm="1">
        <f t="array" ref="Q1716:S1716">VLOOKUP(P1716,Hoja1!C:F,{2,3,4},FALSE)</f>
        <v>46310</v>
      </c>
      <c r="R1716" t="str">
        <v>F06</v>
      </c>
      <c r="S1716" t="str">
        <v>1000000012 IGARRETA MAQUINAS S.A.</v>
      </c>
    </row>
    <row r="1717" spans="1:19" x14ac:dyDescent="0.3">
      <c r="A1717" s="2" t="s">
        <v>14</v>
      </c>
      <c r="B1717" s="3" t="s">
        <v>14</v>
      </c>
      <c r="C1717" s="3" t="s">
        <v>1613</v>
      </c>
      <c r="D1717" s="3" t="s">
        <v>14</v>
      </c>
      <c r="E1717" s="3" t="s">
        <v>466</v>
      </c>
      <c r="F1717" s="4">
        <v>46286</v>
      </c>
      <c r="G1717" s="3" t="s">
        <v>17</v>
      </c>
      <c r="H1717" s="5">
        <v>-128099.18</v>
      </c>
      <c r="I1717" s="3" t="s">
        <v>18</v>
      </c>
      <c r="J1717" s="3" t="s">
        <v>14</v>
      </c>
      <c r="K1717" s="3" t="s">
        <v>14</v>
      </c>
      <c r="L1717" s="3" t="s">
        <v>433</v>
      </c>
      <c r="M1717" s="4">
        <v>46286</v>
      </c>
      <c r="N1717" s="3" t="s">
        <v>1614</v>
      </c>
      <c r="O1717" s="3" t="s">
        <v>30</v>
      </c>
      <c r="P1717" t="str">
        <f t="shared" si="26"/>
        <v>450013899310</v>
      </c>
      <c r="Q1717" s="7" cm="1">
        <f t="array" ref="Q1717:S1717">VLOOKUP(P1717,Hoja1!C:F,{2,3,4},FALSE)</f>
        <v>46289</v>
      </c>
      <c r="R1717" t="str">
        <v>C03</v>
      </c>
      <c r="S1717" t="str">
        <v>1000000551 SADER AUTOPARTES S.A</v>
      </c>
    </row>
    <row r="1718" spans="1:19" x14ac:dyDescent="0.3">
      <c r="A1718" s="2" t="s">
        <v>14</v>
      </c>
      <c r="B1718" s="3" t="s">
        <v>14</v>
      </c>
      <c r="C1718" s="3" t="s">
        <v>1615</v>
      </c>
      <c r="D1718" s="3" t="s">
        <v>14</v>
      </c>
      <c r="E1718" s="3" t="s">
        <v>466</v>
      </c>
      <c r="F1718" s="4">
        <v>46286</v>
      </c>
      <c r="G1718" s="3" t="s">
        <v>17</v>
      </c>
      <c r="H1718" s="5">
        <v>-95939.1</v>
      </c>
      <c r="I1718" s="3" t="s">
        <v>18</v>
      </c>
      <c r="J1718" s="3" t="s">
        <v>14</v>
      </c>
      <c r="K1718" s="3" t="s">
        <v>14</v>
      </c>
      <c r="L1718" s="3" t="s">
        <v>892</v>
      </c>
      <c r="M1718" s="4">
        <v>46286</v>
      </c>
      <c r="N1718" s="3" t="s">
        <v>1275</v>
      </c>
      <c r="O1718" s="3" t="s">
        <v>22</v>
      </c>
      <c r="P1718" t="str">
        <f t="shared" si="26"/>
        <v>450013759320</v>
      </c>
      <c r="Q1718" s="7" cm="1">
        <f t="array" ref="Q1718:S1718">VLOOKUP(P1718,Hoja1!C:F,{2,3,4},FALSE)</f>
        <v>46275</v>
      </c>
      <c r="R1718" t="str">
        <v>C27</v>
      </c>
      <c r="S1718" t="str">
        <v>1000000894 FORTIN REPUBLICA SA</v>
      </c>
    </row>
    <row r="1719" spans="1:19" x14ac:dyDescent="0.3">
      <c r="A1719" s="2" t="s">
        <v>14</v>
      </c>
      <c r="B1719" s="3" t="s">
        <v>14</v>
      </c>
      <c r="C1719" s="3" t="s">
        <v>1616</v>
      </c>
      <c r="D1719" s="3" t="s">
        <v>14</v>
      </c>
      <c r="E1719" s="3" t="s">
        <v>466</v>
      </c>
      <c r="F1719" s="4">
        <v>46286</v>
      </c>
      <c r="G1719" s="3" t="s">
        <v>17</v>
      </c>
      <c r="H1719" s="5">
        <v>-389877.04</v>
      </c>
      <c r="I1719" s="3" t="s">
        <v>18</v>
      </c>
      <c r="J1719" s="3" t="s">
        <v>14</v>
      </c>
      <c r="K1719" s="3" t="s">
        <v>14</v>
      </c>
      <c r="L1719" s="3" t="s">
        <v>439</v>
      </c>
      <c r="M1719" s="4">
        <v>46286</v>
      </c>
      <c r="N1719" s="3" t="s">
        <v>1617</v>
      </c>
      <c r="O1719" s="3" t="s">
        <v>30</v>
      </c>
      <c r="P1719" t="str">
        <f t="shared" si="26"/>
        <v>450013899510</v>
      </c>
      <c r="Q1719" s="7" cm="1">
        <f t="array" ref="Q1719:S1719">VLOOKUP(P1719,Hoja1!C:F,{2,3,4},FALSE)</f>
        <v>46286</v>
      </c>
      <c r="R1719" t="str">
        <v>C03</v>
      </c>
      <c r="S1719" t="str">
        <v>1000000884 TRUCKSTORE S.A.</v>
      </c>
    </row>
    <row r="1720" spans="1:19" x14ac:dyDescent="0.3">
      <c r="A1720" s="2" t="s">
        <v>14</v>
      </c>
      <c r="B1720" s="3" t="s">
        <v>14</v>
      </c>
      <c r="C1720" s="3" t="s">
        <v>1618</v>
      </c>
      <c r="D1720" s="3" t="s">
        <v>14</v>
      </c>
      <c r="E1720" s="3" t="s">
        <v>466</v>
      </c>
      <c r="F1720" s="4">
        <v>46283</v>
      </c>
      <c r="G1720" s="3" t="s">
        <v>17</v>
      </c>
      <c r="H1720" s="5">
        <v>-153703.5</v>
      </c>
      <c r="I1720" s="3" t="s">
        <v>18</v>
      </c>
      <c r="J1720" s="3" t="s">
        <v>14</v>
      </c>
      <c r="K1720" s="3" t="s">
        <v>14</v>
      </c>
      <c r="L1720" s="3" t="s">
        <v>603</v>
      </c>
      <c r="M1720" s="4">
        <v>46286</v>
      </c>
      <c r="N1720" s="3" t="s">
        <v>1619</v>
      </c>
      <c r="O1720" s="3" t="s">
        <v>30</v>
      </c>
      <c r="P1720" t="str">
        <f t="shared" si="26"/>
        <v>450013890810</v>
      </c>
      <c r="Q1720" s="7" cm="1">
        <f t="array" ref="Q1720:S1720">VLOOKUP(P1720,Hoja1!C:F,{2,3,4},FALSE)</f>
        <v>46295</v>
      </c>
      <c r="R1720" t="str">
        <v>C03</v>
      </c>
      <c r="S1720" t="str">
        <v>1000000161 BOSCO GERMAN, BOSCO LUCIO Y BOSCO</v>
      </c>
    </row>
    <row r="1721" spans="1:19" x14ac:dyDescent="0.3">
      <c r="A1721" s="2" t="s">
        <v>14</v>
      </c>
      <c r="B1721" s="3" t="s">
        <v>14</v>
      </c>
      <c r="C1721" s="3" t="s">
        <v>1618</v>
      </c>
      <c r="D1721" s="3" t="s">
        <v>14</v>
      </c>
      <c r="E1721" s="3" t="s">
        <v>466</v>
      </c>
      <c r="F1721" s="4">
        <v>46283</v>
      </c>
      <c r="G1721" s="3" t="s">
        <v>17</v>
      </c>
      <c r="H1721" s="5">
        <v>-39783.599999999999</v>
      </c>
      <c r="I1721" s="3" t="s">
        <v>18</v>
      </c>
      <c r="J1721" s="3" t="s">
        <v>14</v>
      </c>
      <c r="K1721" s="3" t="s">
        <v>14</v>
      </c>
      <c r="L1721" s="3" t="s">
        <v>603</v>
      </c>
      <c r="M1721" s="4">
        <v>46286</v>
      </c>
      <c r="N1721" s="3" t="s">
        <v>1619</v>
      </c>
      <c r="O1721" s="3" t="s">
        <v>22</v>
      </c>
      <c r="P1721" t="str">
        <f t="shared" si="26"/>
        <v>450013890820</v>
      </c>
      <c r="Q1721" s="7" cm="1">
        <f t="array" ref="Q1721:S1721">VLOOKUP(P1721,Hoja1!C:F,{2,3,4},FALSE)</f>
        <v>46295</v>
      </c>
      <c r="R1721" t="str">
        <v>C03</v>
      </c>
      <c r="S1721" t="str">
        <v>1000000161 BOSCO GERMAN, BOSCO LUCIO Y BOSCO</v>
      </c>
    </row>
    <row r="1722" spans="1:19" x14ac:dyDescent="0.3">
      <c r="A1722" s="2" t="s">
        <v>14</v>
      </c>
      <c r="B1722" s="3" t="s">
        <v>14</v>
      </c>
      <c r="C1722" s="3" t="s">
        <v>1618</v>
      </c>
      <c r="D1722" s="3" t="s">
        <v>14</v>
      </c>
      <c r="E1722" s="3" t="s">
        <v>466</v>
      </c>
      <c r="F1722" s="4">
        <v>46283</v>
      </c>
      <c r="G1722" s="3" t="s">
        <v>17</v>
      </c>
      <c r="H1722" s="5">
        <v>-16987.2</v>
      </c>
      <c r="I1722" s="3" t="s">
        <v>18</v>
      </c>
      <c r="J1722" s="3" t="s">
        <v>14</v>
      </c>
      <c r="K1722" s="3" t="s">
        <v>14</v>
      </c>
      <c r="L1722" s="3" t="s">
        <v>603</v>
      </c>
      <c r="M1722" s="4">
        <v>46286</v>
      </c>
      <c r="N1722" s="3" t="s">
        <v>1619</v>
      </c>
      <c r="O1722" s="3" t="s">
        <v>35</v>
      </c>
      <c r="P1722" t="str">
        <f t="shared" si="26"/>
        <v>450013890830</v>
      </c>
      <c r="Q1722" s="7" cm="1">
        <f t="array" ref="Q1722:S1722">VLOOKUP(P1722,Hoja1!C:F,{2,3,4},FALSE)</f>
        <v>46295</v>
      </c>
      <c r="R1722" t="str">
        <v>C03</v>
      </c>
      <c r="S1722" t="str">
        <v>1000000161 BOSCO GERMAN, BOSCO LUCIO Y BOSCO</v>
      </c>
    </row>
    <row r="1723" spans="1:19" x14ac:dyDescent="0.3">
      <c r="A1723" s="2" t="s">
        <v>14</v>
      </c>
      <c r="B1723" s="3" t="s">
        <v>14</v>
      </c>
      <c r="C1723" s="3" t="s">
        <v>1620</v>
      </c>
      <c r="D1723" s="3" t="s">
        <v>14</v>
      </c>
      <c r="E1723" s="3" t="s">
        <v>466</v>
      </c>
      <c r="F1723" s="4">
        <v>46286</v>
      </c>
      <c r="G1723" s="3" t="s">
        <v>17</v>
      </c>
      <c r="H1723" s="5">
        <v>-31200</v>
      </c>
      <c r="I1723" s="3" t="s">
        <v>18</v>
      </c>
      <c r="J1723" s="3" t="s">
        <v>14</v>
      </c>
      <c r="K1723" s="3" t="s">
        <v>14</v>
      </c>
      <c r="L1723" s="3" t="s">
        <v>1549</v>
      </c>
      <c r="M1723" s="4">
        <v>46286</v>
      </c>
      <c r="N1723" s="3" t="s">
        <v>1550</v>
      </c>
      <c r="O1723" s="3" t="s">
        <v>141</v>
      </c>
      <c r="P1723" t="str">
        <f t="shared" si="26"/>
        <v>450013851360</v>
      </c>
      <c r="Q1723" s="7" cm="1">
        <f t="array" ref="Q1723:S1723">VLOOKUP(P1723,Hoja1!C:F,{2,3,4},FALSE)</f>
        <v>46283</v>
      </c>
      <c r="R1723" t="str">
        <v>C27</v>
      </c>
      <c r="S1723" t="str">
        <v>1000000577 IMPERIAL MOTOR S.A.</v>
      </c>
    </row>
    <row r="1724" spans="1:19" x14ac:dyDescent="0.3">
      <c r="A1724" s="2" t="s">
        <v>14</v>
      </c>
      <c r="B1724" s="3" t="s">
        <v>14</v>
      </c>
      <c r="C1724" s="3" t="s">
        <v>1620</v>
      </c>
      <c r="D1724" s="3" t="s">
        <v>14</v>
      </c>
      <c r="E1724" s="3" t="s">
        <v>466</v>
      </c>
      <c r="F1724" s="4">
        <v>46286</v>
      </c>
      <c r="G1724" s="3" t="s">
        <v>17</v>
      </c>
      <c r="H1724" s="5">
        <v>-33696</v>
      </c>
      <c r="I1724" s="3" t="s">
        <v>18</v>
      </c>
      <c r="J1724" s="3" t="s">
        <v>14</v>
      </c>
      <c r="K1724" s="3" t="s">
        <v>14</v>
      </c>
      <c r="L1724" s="3" t="s">
        <v>1549</v>
      </c>
      <c r="M1724" s="4">
        <v>46286</v>
      </c>
      <c r="N1724" s="3" t="s">
        <v>1550</v>
      </c>
      <c r="O1724" s="3" t="s">
        <v>134</v>
      </c>
      <c r="P1724" t="str">
        <f t="shared" si="26"/>
        <v>450013851370</v>
      </c>
      <c r="Q1724" s="7" cm="1">
        <f t="array" ref="Q1724:S1724">VLOOKUP(P1724,Hoja1!C:F,{2,3,4},FALSE)</f>
        <v>46283</v>
      </c>
      <c r="R1724" t="str">
        <v>C27</v>
      </c>
      <c r="S1724" t="str">
        <v>1000000577 IMPERIAL MOTOR S.A.</v>
      </c>
    </row>
    <row r="1725" spans="1:19" x14ac:dyDescent="0.3">
      <c r="A1725" s="2" t="s">
        <v>14</v>
      </c>
      <c r="B1725" s="3" t="s">
        <v>14</v>
      </c>
      <c r="C1725" s="3" t="s">
        <v>1620</v>
      </c>
      <c r="D1725" s="3" t="s">
        <v>14</v>
      </c>
      <c r="E1725" s="3" t="s">
        <v>466</v>
      </c>
      <c r="F1725" s="4">
        <v>46286</v>
      </c>
      <c r="G1725" s="3" t="s">
        <v>17</v>
      </c>
      <c r="H1725" s="5">
        <v>-38064</v>
      </c>
      <c r="I1725" s="3" t="s">
        <v>18</v>
      </c>
      <c r="J1725" s="3" t="s">
        <v>14</v>
      </c>
      <c r="K1725" s="3" t="s">
        <v>14</v>
      </c>
      <c r="L1725" s="3" t="s">
        <v>1549</v>
      </c>
      <c r="M1725" s="4">
        <v>46286</v>
      </c>
      <c r="N1725" s="3" t="s">
        <v>1550</v>
      </c>
      <c r="O1725" s="3" t="s">
        <v>52</v>
      </c>
      <c r="P1725" t="str">
        <f t="shared" si="26"/>
        <v>450013851380</v>
      </c>
      <c r="Q1725" s="7" cm="1">
        <f t="array" ref="Q1725:S1725">VLOOKUP(P1725,Hoja1!C:F,{2,3,4},FALSE)</f>
        <v>46283</v>
      </c>
      <c r="R1725" t="str">
        <v>C27</v>
      </c>
      <c r="S1725" t="str">
        <v>1000000577 IMPERIAL MOTOR S.A.</v>
      </c>
    </row>
    <row r="1726" spans="1:19" x14ac:dyDescent="0.3">
      <c r="A1726" s="2" t="s">
        <v>14</v>
      </c>
      <c r="B1726" s="3" t="s">
        <v>14</v>
      </c>
      <c r="C1726" s="3" t="s">
        <v>1620</v>
      </c>
      <c r="D1726" s="3" t="s">
        <v>14</v>
      </c>
      <c r="E1726" s="3" t="s">
        <v>466</v>
      </c>
      <c r="F1726" s="4">
        <v>46286</v>
      </c>
      <c r="G1726" s="3" t="s">
        <v>17</v>
      </c>
      <c r="H1726" s="5">
        <v>-17690.400000000001</v>
      </c>
      <c r="I1726" s="3" t="s">
        <v>18</v>
      </c>
      <c r="J1726" s="3" t="s">
        <v>14</v>
      </c>
      <c r="K1726" s="3" t="s">
        <v>14</v>
      </c>
      <c r="L1726" s="3" t="s">
        <v>1549</v>
      </c>
      <c r="M1726" s="4">
        <v>46286</v>
      </c>
      <c r="N1726" s="3" t="s">
        <v>1550</v>
      </c>
      <c r="O1726" s="3" t="s">
        <v>138</v>
      </c>
      <c r="P1726" t="str">
        <f t="shared" si="26"/>
        <v>450013851390</v>
      </c>
      <c r="Q1726" s="7" cm="1">
        <f t="array" ref="Q1726:S1726">VLOOKUP(P1726,Hoja1!C:F,{2,3,4},FALSE)</f>
        <v>46283</v>
      </c>
      <c r="R1726" t="str">
        <v>C27</v>
      </c>
      <c r="S1726" t="str">
        <v>1000000577 IMPERIAL MOTOR S.A.</v>
      </c>
    </row>
    <row r="1727" spans="1:19" x14ac:dyDescent="0.3">
      <c r="A1727" s="2" t="s">
        <v>14</v>
      </c>
      <c r="B1727" s="3" t="s">
        <v>14</v>
      </c>
      <c r="C1727" s="3" t="s">
        <v>1620</v>
      </c>
      <c r="D1727" s="3" t="s">
        <v>14</v>
      </c>
      <c r="E1727" s="3" t="s">
        <v>466</v>
      </c>
      <c r="F1727" s="4">
        <v>46286</v>
      </c>
      <c r="G1727" s="3" t="s">
        <v>17</v>
      </c>
      <c r="H1727" s="5">
        <v>-20030.400000000001</v>
      </c>
      <c r="I1727" s="3" t="s">
        <v>18</v>
      </c>
      <c r="J1727" s="3" t="s">
        <v>14</v>
      </c>
      <c r="K1727" s="3" t="s">
        <v>14</v>
      </c>
      <c r="L1727" s="3" t="s">
        <v>1549</v>
      </c>
      <c r="M1727" s="4">
        <v>46286</v>
      </c>
      <c r="N1727" s="3" t="s">
        <v>1550</v>
      </c>
      <c r="O1727" s="3" t="s">
        <v>156</v>
      </c>
      <c r="P1727" t="str">
        <f t="shared" si="26"/>
        <v>4500138513110</v>
      </c>
      <c r="Q1727" s="7" cm="1">
        <f t="array" ref="Q1727:S1727">VLOOKUP(P1727,Hoja1!C:F,{2,3,4},FALSE)</f>
        <v>46283</v>
      </c>
      <c r="R1727" t="str">
        <v>C27</v>
      </c>
      <c r="S1727" t="str">
        <v>1000000577 IMPERIAL MOTOR S.A.</v>
      </c>
    </row>
    <row r="1728" spans="1:19" x14ac:dyDescent="0.3">
      <c r="A1728" s="2" t="s">
        <v>14</v>
      </c>
      <c r="B1728" s="3" t="s">
        <v>14</v>
      </c>
      <c r="C1728" s="3" t="s">
        <v>1621</v>
      </c>
      <c r="D1728" s="3" t="s">
        <v>32</v>
      </c>
      <c r="E1728" s="3" t="s">
        <v>466</v>
      </c>
      <c r="F1728" s="4">
        <v>46286</v>
      </c>
      <c r="G1728" s="3" t="s">
        <v>17</v>
      </c>
      <c r="H1728" s="5">
        <v>-146500</v>
      </c>
      <c r="I1728" s="3" t="s">
        <v>18</v>
      </c>
      <c r="J1728" s="3" t="s">
        <v>14</v>
      </c>
      <c r="K1728" s="3" t="s">
        <v>14</v>
      </c>
      <c r="L1728" s="3" t="s">
        <v>1441</v>
      </c>
      <c r="M1728" s="4">
        <v>46286</v>
      </c>
      <c r="N1728" s="3" t="s">
        <v>1478</v>
      </c>
      <c r="O1728" s="3" t="s">
        <v>30</v>
      </c>
      <c r="P1728" t="str">
        <f t="shared" si="26"/>
        <v>450013859210</v>
      </c>
      <c r="Q1728" s="7" cm="1">
        <f t="array" ref="Q1728:S1728">VLOOKUP(P1728,Hoja1!C:F,{2,3,4},FALSE)</f>
        <v>46295</v>
      </c>
      <c r="R1728" t="str">
        <v>C17</v>
      </c>
      <c r="S1728" t="str">
        <v>1000012812 FLORES JUAN MANUEL</v>
      </c>
    </row>
    <row r="1729" spans="1:19" x14ac:dyDescent="0.3">
      <c r="A1729" s="2" t="s">
        <v>14</v>
      </c>
      <c r="B1729" s="3" t="s">
        <v>14</v>
      </c>
      <c r="C1729" s="3" t="s">
        <v>1622</v>
      </c>
      <c r="D1729" s="3" t="s">
        <v>14</v>
      </c>
      <c r="E1729" s="3" t="s">
        <v>466</v>
      </c>
      <c r="F1729" s="4">
        <v>46281</v>
      </c>
      <c r="G1729" s="3" t="s">
        <v>17</v>
      </c>
      <c r="H1729" s="5">
        <v>-67950</v>
      </c>
      <c r="I1729" s="3" t="s">
        <v>18</v>
      </c>
      <c r="J1729" s="3" t="s">
        <v>14</v>
      </c>
      <c r="K1729" s="3" t="s">
        <v>14</v>
      </c>
      <c r="L1729" s="3" t="s">
        <v>269</v>
      </c>
      <c r="M1729" s="4">
        <v>46286</v>
      </c>
      <c r="N1729" s="3" t="s">
        <v>1554</v>
      </c>
      <c r="O1729" s="3" t="s">
        <v>162</v>
      </c>
      <c r="P1729" t="str">
        <f t="shared" si="26"/>
        <v>4500138075370</v>
      </c>
      <c r="Q1729" s="7" cm="1">
        <f t="array" ref="Q1729:S1729">VLOOKUP(P1729,Hoja1!C:F,{2,3,4},FALSE)</f>
        <v>46290</v>
      </c>
      <c r="R1729" t="str">
        <v>C03</v>
      </c>
      <c r="S1729" t="str">
        <v>1000000190 FERNANDEZ INSUA S.A.</v>
      </c>
    </row>
    <row r="1730" spans="1:19" x14ac:dyDescent="0.3">
      <c r="A1730" s="2" t="s">
        <v>14</v>
      </c>
      <c r="B1730" s="3" t="s">
        <v>14</v>
      </c>
      <c r="C1730" s="3" t="s">
        <v>1622</v>
      </c>
      <c r="D1730" s="3" t="s">
        <v>14</v>
      </c>
      <c r="E1730" s="3" t="s">
        <v>466</v>
      </c>
      <c r="F1730" s="4">
        <v>46281</v>
      </c>
      <c r="G1730" s="3" t="s">
        <v>17</v>
      </c>
      <c r="H1730" s="5">
        <v>-60400</v>
      </c>
      <c r="I1730" s="3" t="s">
        <v>18</v>
      </c>
      <c r="J1730" s="3" t="s">
        <v>14</v>
      </c>
      <c r="K1730" s="3" t="s">
        <v>14</v>
      </c>
      <c r="L1730" s="3" t="s">
        <v>269</v>
      </c>
      <c r="M1730" s="4">
        <v>46286</v>
      </c>
      <c r="N1730" s="3" t="s">
        <v>1554</v>
      </c>
      <c r="O1730" s="3" t="s">
        <v>1132</v>
      </c>
      <c r="P1730" t="str">
        <f t="shared" si="26"/>
        <v>4500138075380</v>
      </c>
      <c r="Q1730" s="7" cm="1">
        <f t="array" ref="Q1730:S1730">VLOOKUP(P1730,Hoja1!C:F,{2,3,4},FALSE)</f>
        <v>46290</v>
      </c>
      <c r="R1730" t="str">
        <v>C03</v>
      </c>
      <c r="S1730" t="str">
        <v>1000000190 FERNANDEZ INSUA S.A.</v>
      </c>
    </row>
    <row r="1731" spans="1:19" x14ac:dyDescent="0.3">
      <c r="A1731" s="2" t="s">
        <v>14</v>
      </c>
      <c r="B1731" s="3" t="s">
        <v>14</v>
      </c>
      <c r="C1731" s="3" t="s">
        <v>1622</v>
      </c>
      <c r="D1731" s="3" t="s">
        <v>14</v>
      </c>
      <c r="E1731" s="3" t="s">
        <v>466</v>
      </c>
      <c r="F1731" s="4">
        <v>46281</v>
      </c>
      <c r="G1731" s="3" t="s">
        <v>17</v>
      </c>
      <c r="H1731" s="5">
        <v>-347300</v>
      </c>
      <c r="I1731" s="3" t="s">
        <v>18</v>
      </c>
      <c r="J1731" s="3" t="s">
        <v>14</v>
      </c>
      <c r="K1731" s="3" t="s">
        <v>14</v>
      </c>
      <c r="L1731" s="3" t="s">
        <v>269</v>
      </c>
      <c r="M1731" s="4">
        <v>46286</v>
      </c>
      <c r="N1731" s="3" t="s">
        <v>1554</v>
      </c>
      <c r="O1731" s="3" t="s">
        <v>158</v>
      </c>
      <c r="P1731" t="str">
        <f t="shared" ref="P1731:P1794" si="27">_xlfn.CONCAT(N1731:O1731)</f>
        <v>4500138075390</v>
      </c>
      <c r="Q1731" s="7" cm="1">
        <f t="array" ref="Q1731:S1731">VLOOKUP(P1731,Hoja1!C:F,{2,3,4},FALSE)</f>
        <v>46290</v>
      </c>
      <c r="R1731" t="str">
        <v>C03</v>
      </c>
      <c r="S1731" t="str">
        <v>1000000190 FERNANDEZ INSUA S.A.</v>
      </c>
    </row>
    <row r="1732" spans="1:19" x14ac:dyDescent="0.3">
      <c r="A1732" s="2" t="s">
        <v>14</v>
      </c>
      <c r="B1732" s="3" t="s">
        <v>14</v>
      </c>
      <c r="C1732" s="3" t="s">
        <v>1622</v>
      </c>
      <c r="D1732" s="3" t="s">
        <v>14</v>
      </c>
      <c r="E1732" s="3" t="s">
        <v>466</v>
      </c>
      <c r="F1732" s="4">
        <v>46281</v>
      </c>
      <c r="G1732" s="3" t="s">
        <v>17</v>
      </c>
      <c r="H1732" s="5">
        <v>-135900</v>
      </c>
      <c r="I1732" s="3" t="s">
        <v>18</v>
      </c>
      <c r="J1732" s="3" t="s">
        <v>14</v>
      </c>
      <c r="K1732" s="3" t="s">
        <v>14</v>
      </c>
      <c r="L1732" s="3" t="s">
        <v>269</v>
      </c>
      <c r="M1732" s="4">
        <v>46286</v>
      </c>
      <c r="N1732" s="3" t="s">
        <v>1554</v>
      </c>
      <c r="O1732" s="3" t="s">
        <v>178</v>
      </c>
      <c r="P1732" t="str">
        <f t="shared" si="27"/>
        <v>4500138075400</v>
      </c>
      <c r="Q1732" s="7" cm="1">
        <f t="array" ref="Q1732:S1732">VLOOKUP(P1732,Hoja1!C:F,{2,3,4},FALSE)</f>
        <v>46290</v>
      </c>
      <c r="R1732" t="str">
        <v>C03</v>
      </c>
      <c r="S1732" t="str">
        <v>1000000190 FERNANDEZ INSUA S.A.</v>
      </c>
    </row>
    <row r="1733" spans="1:19" x14ac:dyDescent="0.3">
      <c r="A1733" s="2" t="s">
        <v>14</v>
      </c>
      <c r="B1733" s="3" t="s">
        <v>14</v>
      </c>
      <c r="C1733" s="3" t="s">
        <v>1623</v>
      </c>
      <c r="D1733" s="3" t="s">
        <v>14</v>
      </c>
      <c r="E1733" s="3" t="s">
        <v>466</v>
      </c>
      <c r="F1733" s="4">
        <v>46286</v>
      </c>
      <c r="G1733" s="3" t="s">
        <v>17</v>
      </c>
      <c r="H1733" s="5">
        <v>-1928874</v>
      </c>
      <c r="I1733" s="3" t="s">
        <v>18</v>
      </c>
      <c r="J1733" s="3" t="s">
        <v>14</v>
      </c>
      <c r="K1733" s="3" t="s">
        <v>14</v>
      </c>
      <c r="L1733" s="3" t="s">
        <v>1289</v>
      </c>
      <c r="M1733" s="4">
        <v>46286</v>
      </c>
      <c r="N1733" s="3" t="s">
        <v>1624</v>
      </c>
      <c r="O1733" s="3" t="s">
        <v>30</v>
      </c>
      <c r="P1733" t="str">
        <f t="shared" si="27"/>
        <v>450013862010</v>
      </c>
      <c r="Q1733" s="7" cm="1">
        <f t="array" ref="Q1733:S1733">VLOOKUP(P1733,Hoja1!C:F,{2,3,4},FALSE)</f>
        <v>46290</v>
      </c>
      <c r="R1733" t="str">
        <v>G04</v>
      </c>
      <c r="S1733" t="str">
        <v>1000000907 SERVICIOS VIALES DE STA. FE SA</v>
      </c>
    </row>
    <row r="1734" spans="1:19" x14ac:dyDescent="0.3">
      <c r="A1734" s="2" t="s">
        <v>14</v>
      </c>
      <c r="B1734" s="3" t="s">
        <v>14</v>
      </c>
      <c r="C1734" s="3" t="s">
        <v>1625</v>
      </c>
      <c r="D1734" s="3" t="s">
        <v>14</v>
      </c>
      <c r="E1734" s="3" t="s">
        <v>466</v>
      </c>
      <c r="F1734" s="4">
        <v>46283</v>
      </c>
      <c r="G1734" s="3" t="s">
        <v>17</v>
      </c>
      <c r="H1734" s="5">
        <v>-145684.79999999999</v>
      </c>
      <c r="I1734" s="3" t="s">
        <v>18</v>
      </c>
      <c r="J1734" s="3" t="s">
        <v>14</v>
      </c>
      <c r="K1734" s="3" t="s">
        <v>14</v>
      </c>
      <c r="L1734" s="3" t="s">
        <v>399</v>
      </c>
      <c r="M1734" s="4">
        <v>46286</v>
      </c>
      <c r="N1734" s="3" t="s">
        <v>1626</v>
      </c>
      <c r="O1734" s="3" t="s">
        <v>30</v>
      </c>
      <c r="P1734" t="str">
        <f t="shared" si="27"/>
        <v>450013836510</v>
      </c>
      <c r="Q1734" s="7" cm="1">
        <f t="array" ref="Q1734:S1734">VLOOKUP(P1734,Hoja1!C:F,{2,3,4},FALSE)</f>
        <v>46307</v>
      </c>
      <c r="R1734" t="str">
        <v>C29</v>
      </c>
      <c r="S1734" t="str">
        <v>1000000561 ESCANDINAVIA DEL PLATA SA</v>
      </c>
    </row>
    <row r="1735" spans="1:19" x14ac:dyDescent="0.3">
      <c r="A1735" s="2" t="s">
        <v>14</v>
      </c>
      <c r="B1735" s="3" t="s">
        <v>14</v>
      </c>
      <c r="C1735" s="3" t="s">
        <v>1627</v>
      </c>
      <c r="D1735" s="3" t="s">
        <v>14</v>
      </c>
      <c r="E1735" s="3" t="s">
        <v>466</v>
      </c>
      <c r="F1735" s="4">
        <v>46283</v>
      </c>
      <c r="G1735" s="3" t="s">
        <v>17</v>
      </c>
      <c r="H1735" s="5">
        <v>-1864170.5</v>
      </c>
      <c r="I1735" s="3" t="s">
        <v>18</v>
      </c>
      <c r="J1735" s="3" t="s">
        <v>14</v>
      </c>
      <c r="K1735" s="3" t="s">
        <v>14</v>
      </c>
      <c r="L1735" s="3" t="s">
        <v>399</v>
      </c>
      <c r="M1735" s="4">
        <v>46286</v>
      </c>
      <c r="N1735" s="3" t="s">
        <v>1628</v>
      </c>
      <c r="O1735" s="3" t="s">
        <v>144</v>
      </c>
      <c r="P1735" t="str">
        <f t="shared" si="27"/>
        <v>450013450450</v>
      </c>
      <c r="Q1735" s="7" cm="1">
        <f t="array" ref="Q1735:S1735">VLOOKUP(P1735,Hoja1!C:F,{2,3,4},FALSE)</f>
        <v>46290</v>
      </c>
      <c r="R1735" t="str">
        <v>C03</v>
      </c>
      <c r="S1735" t="str">
        <v>1000000561 ESCANDINAVIA DEL PLATA SA</v>
      </c>
    </row>
    <row r="1736" spans="1:19" x14ac:dyDescent="0.3">
      <c r="A1736" s="2" t="s">
        <v>14</v>
      </c>
      <c r="B1736" s="3" t="s">
        <v>14</v>
      </c>
      <c r="C1736" s="3" t="s">
        <v>1629</v>
      </c>
      <c r="D1736" s="3" t="s">
        <v>14</v>
      </c>
      <c r="E1736" s="3" t="s">
        <v>466</v>
      </c>
      <c r="F1736" s="4">
        <v>46282</v>
      </c>
      <c r="G1736" s="3" t="s">
        <v>17</v>
      </c>
      <c r="H1736" s="5">
        <v>-286900</v>
      </c>
      <c r="I1736" s="3" t="s">
        <v>18</v>
      </c>
      <c r="J1736" s="3" t="s">
        <v>14</v>
      </c>
      <c r="K1736" s="3" t="s">
        <v>14</v>
      </c>
      <c r="L1736" s="3" t="s">
        <v>269</v>
      </c>
      <c r="M1736" s="4">
        <v>46286</v>
      </c>
      <c r="N1736" s="3" t="s">
        <v>1554</v>
      </c>
      <c r="O1736" s="3" t="s">
        <v>135</v>
      </c>
      <c r="P1736" t="str">
        <f t="shared" si="27"/>
        <v>4500138075340</v>
      </c>
      <c r="Q1736" s="7" cm="1">
        <f t="array" ref="Q1736:S1736">VLOOKUP(P1736,Hoja1!C:F,{2,3,4},FALSE)</f>
        <v>46290</v>
      </c>
      <c r="R1736" t="str">
        <v>C03</v>
      </c>
      <c r="S1736" t="str">
        <v>1000000190 FERNANDEZ INSUA S.A.</v>
      </c>
    </row>
    <row r="1737" spans="1:19" x14ac:dyDescent="0.3">
      <c r="A1737" s="2" t="s">
        <v>14</v>
      </c>
      <c r="B1737" s="3" t="s">
        <v>14</v>
      </c>
      <c r="C1737" s="3" t="s">
        <v>1629</v>
      </c>
      <c r="D1737" s="3" t="s">
        <v>14</v>
      </c>
      <c r="E1737" s="3" t="s">
        <v>466</v>
      </c>
      <c r="F1737" s="4">
        <v>46282</v>
      </c>
      <c r="G1737" s="3" t="s">
        <v>17</v>
      </c>
      <c r="H1737" s="5">
        <v>-181200</v>
      </c>
      <c r="I1737" s="3" t="s">
        <v>18</v>
      </c>
      <c r="J1737" s="3" t="s">
        <v>14</v>
      </c>
      <c r="K1737" s="3" t="s">
        <v>14</v>
      </c>
      <c r="L1737" s="3" t="s">
        <v>269</v>
      </c>
      <c r="M1737" s="4">
        <v>46286</v>
      </c>
      <c r="N1737" s="3" t="s">
        <v>1554</v>
      </c>
      <c r="O1737" s="3" t="s">
        <v>139</v>
      </c>
      <c r="P1737" t="str">
        <f t="shared" si="27"/>
        <v>4500138075350</v>
      </c>
      <c r="Q1737" s="7" cm="1">
        <f t="array" ref="Q1737:S1737">VLOOKUP(P1737,Hoja1!C:F,{2,3,4},FALSE)</f>
        <v>46290</v>
      </c>
      <c r="R1737" t="str">
        <v>C03</v>
      </c>
      <c r="S1737" t="str">
        <v>1000000190 FERNANDEZ INSUA S.A.</v>
      </c>
    </row>
    <row r="1738" spans="1:19" x14ac:dyDescent="0.3">
      <c r="A1738" s="2" t="s">
        <v>14</v>
      </c>
      <c r="B1738" s="3" t="s">
        <v>14</v>
      </c>
      <c r="C1738" s="3" t="s">
        <v>1629</v>
      </c>
      <c r="D1738" s="3" t="s">
        <v>14</v>
      </c>
      <c r="E1738" s="3" t="s">
        <v>466</v>
      </c>
      <c r="F1738" s="4">
        <v>46282</v>
      </c>
      <c r="G1738" s="3" t="s">
        <v>17</v>
      </c>
      <c r="H1738" s="5">
        <v>-226500</v>
      </c>
      <c r="I1738" s="3" t="s">
        <v>18</v>
      </c>
      <c r="J1738" s="3" t="s">
        <v>14</v>
      </c>
      <c r="K1738" s="3" t="s">
        <v>14</v>
      </c>
      <c r="L1738" s="3" t="s">
        <v>269</v>
      </c>
      <c r="M1738" s="4">
        <v>46286</v>
      </c>
      <c r="N1738" s="3" t="s">
        <v>1554</v>
      </c>
      <c r="O1738" s="3" t="s">
        <v>168</v>
      </c>
      <c r="P1738" t="str">
        <f t="shared" si="27"/>
        <v>4500138075360</v>
      </c>
      <c r="Q1738" s="7" cm="1">
        <f t="array" ref="Q1738:S1738">VLOOKUP(P1738,Hoja1!C:F,{2,3,4},FALSE)</f>
        <v>46290</v>
      </c>
      <c r="R1738" t="str">
        <v>C03</v>
      </c>
      <c r="S1738" t="str">
        <v>1000000190 FERNANDEZ INSUA S.A.</v>
      </c>
    </row>
    <row r="1739" spans="1:19" x14ac:dyDescent="0.3">
      <c r="A1739" s="2" t="s">
        <v>14</v>
      </c>
      <c r="B1739" s="3" t="s">
        <v>14</v>
      </c>
      <c r="C1739" s="3" t="s">
        <v>1630</v>
      </c>
      <c r="D1739" s="3" t="s">
        <v>25</v>
      </c>
      <c r="E1739" s="3" t="s">
        <v>466</v>
      </c>
      <c r="F1739" s="4">
        <v>46286</v>
      </c>
      <c r="G1739" s="3" t="s">
        <v>17</v>
      </c>
      <c r="H1739" s="5">
        <v>-1512868</v>
      </c>
      <c r="I1739" s="3" t="s">
        <v>18</v>
      </c>
      <c r="J1739" s="3" t="s">
        <v>14</v>
      </c>
      <c r="K1739" s="3" t="s">
        <v>14</v>
      </c>
      <c r="L1739" s="3" t="s">
        <v>1464</v>
      </c>
      <c r="M1739" s="4">
        <v>46286</v>
      </c>
      <c r="N1739" s="3" t="s">
        <v>1465</v>
      </c>
      <c r="O1739" s="3" t="s">
        <v>35</v>
      </c>
      <c r="P1739" t="str">
        <f t="shared" si="27"/>
        <v>450013592330</v>
      </c>
      <c r="Q1739" s="7" cm="1">
        <f t="array" ref="Q1739:S1739">VLOOKUP(P1739,Hoja1!C:F,{2,3,4},FALSE)</f>
        <v>46271</v>
      </c>
      <c r="R1739" t="str">
        <v>C14</v>
      </c>
      <c r="S1739" t="str">
        <v>1000001418 SEBRE SRL TRANSPORTE</v>
      </c>
    </row>
    <row r="1740" spans="1:19" x14ac:dyDescent="0.3">
      <c r="A1740" s="2" t="s">
        <v>14</v>
      </c>
      <c r="B1740" s="3" t="s">
        <v>14</v>
      </c>
      <c r="C1740" s="3" t="s">
        <v>1631</v>
      </c>
      <c r="D1740" s="3" t="s">
        <v>14</v>
      </c>
      <c r="E1740" s="3" t="s">
        <v>466</v>
      </c>
      <c r="F1740" s="4">
        <v>46286</v>
      </c>
      <c r="G1740" s="3" t="s">
        <v>17</v>
      </c>
      <c r="H1740" s="5">
        <v>-318715.2</v>
      </c>
      <c r="I1740" s="3" t="s">
        <v>18</v>
      </c>
      <c r="J1740" s="3" t="s">
        <v>14</v>
      </c>
      <c r="K1740" s="3" t="s">
        <v>14</v>
      </c>
      <c r="L1740" s="3" t="s">
        <v>73</v>
      </c>
      <c r="M1740" s="4">
        <v>46286</v>
      </c>
      <c r="N1740" s="3" t="s">
        <v>402</v>
      </c>
      <c r="O1740" s="3" t="s">
        <v>30</v>
      </c>
      <c r="P1740" t="str">
        <f t="shared" si="27"/>
        <v>450013790610</v>
      </c>
      <c r="Q1740" s="7" cm="1">
        <f t="array" ref="Q1740:S1740">VLOOKUP(P1740,Hoja1!C:F,{2,3,4},FALSE)</f>
        <v>46295</v>
      </c>
      <c r="R1740" t="str">
        <v>C21</v>
      </c>
      <c r="S1740" t="str">
        <v>1000000808 GLOBAL OIL S.R.L.</v>
      </c>
    </row>
    <row r="1741" spans="1:19" x14ac:dyDescent="0.3">
      <c r="A1741" s="2" t="s">
        <v>14</v>
      </c>
      <c r="B1741" s="3" t="s">
        <v>14</v>
      </c>
      <c r="C1741" s="3" t="s">
        <v>1631</v>
      </c>
      <c r="D1741" s="3" t="s">
        <v>14</v>
      </c>
      <c r="E1741" s="3" t="s">
        <v>466</v>
      </c>
      <c r="F1741" s="4">
        <v>46286</v>
      </c>
      <c r="G1741" s="3" t="s">
        <v>17</v>
      </c>
      <c r="H1741" s="5">
        <v>-67076.87</v>
      </c>
      <c r="I1741" s="3" t="s">
        <v>18</v>
      </c>
      <c r="J1741" s="3" t="s">
        <v>14</v>
      </c>
      <c r="K1741" s="3" t="s">
        <v>14</v>
      </c>
      <c r="L1741" s="3" t="s">
        <v>73</v>
      </c>
      <c r="M1741" s="4">
        <v>46286</v>
      </c>
      <c r="N1741" s="3" t="s">
        <v>402</v>
      </c>
      <c r="O1741" s="3" t="s">
        <v>30</v>
      </c>
      <c r="P1741" t="str">
        <f t="shared" si="27"/>
        <v>450013790610</v>
      </c>
      <c r="Q1741" s="7" cm="1">
        <f t="array" ref="Q1741:S1741">VLOOKUP(P1741,Hoja1!C:F,{2,3,4},FALSE)</f>
        <v>46295</v>
      </c>
      <c r="R1741" t="str">
        <v>C21</v>
      </c>
      <c r="S1741" t="str">
        <v>1000000808 GLOBAL OIL S.R.L.</v>
      </c>
    </row>
    <row r="1742" spans="1:19" x14ac:dyDescent="0.3">
      <c r="A1742" s="2" t="s">
        <v>14</v>
      </c>
      <c r="B1742" s="3" t="s">
        <v>14</v>
      </c>
      <c r="C1742" s="3" t="s">
        <v>1632</v>
      </c>
      <c r="D1742" s="3" t="s">
        <v>14</v>
      </c>
      <c r="E1742" s="3" t="s">
        <v>466</v>
      </c>
      <c r="F1742" s="4">
        <v>46281</v>
      </c>
      <c r="G1742" s="3" t="s">
        <v>17</v>
      </c>
      <c r="H1742" s="5">
        <v>-217971.8</v>
      </c>
      <c r="I1742" s="3" t="s">
        <v>18</v>
      </c>
      <c r="J1742" s="3" t="s">
        <v>14</v>
      </c>
      <c r="K1742" s="3" t="s">
        <v>14</v>
      </c>
      <c r="L1742" s="3" t="s">
        <v>269</v>
      </c>
      <c r="M1742" s="4">
        <v>46287</v>
      </c>
      <c r="N1742" s="3" t="s">
        <v>1528</v>
      </c>
      <c r="O1742" s="3" t="s">
        <v>53</v>
      </c>
      <c r="P1742" t="str">
        <f t="shared" si="27"/>
        <v>4500137950170</v>
      </c>
      <c r="Q1742" s="7" cm="1">
        <f t="array" ref="Q1742:S1742">VLOOKUP(P1742,Hoja1!C:F,{2,3,4},FALSE)</f>
        <v>46286</v>
      </c>
      <c r="R1742" t="str">
        <v>C03</v>
      </c>
      <c r="S1742" t="str">
        <v>1000000190 FERNANDEZ INSUA S.A.</v>
      </c>
    </row>
    <row r="1743" spans="1:19" x14ac:dyDescent="0.3">
      <c r="A1743" s="2" t="s">
        <v>14</v>
      </c>
      <c r="B1743" s="3" t="s">
        <v>14</v>
      </c>
      <c r="C1743" s="3" t="s">
        <v>1632</v>
      </c>
      <c r="D1743" s="3" t="s">
        <v>14</v>
      </c>
      <c r="E1743" s="3" t="s">
        <v>466</v>
      </c>
      <c r="F1743" s="4">
        <v>46281</v>
      </c>
      <c r="G1743" s="3" t="s">
        <v>17</v>
      </c>
      <c r="H1743" s="5">
        <v>-401527</v>
      </c>
      <c r="I1743" s="3" t="s">
        <v>18</v>
      </c>
      <c r="J1743" s="3" t="s">
        <v>14</v>
      </c>
      <c r="K1743" s="3" t="s">
        <v>14</v>
      </c>
      <c r="L1743" s="3" t="s">
        <v>269</v>
      </c>
      <c r="M1743" s="4">
        <v>46287</v>
      </c>
      <c r="N1743" s="3" t="s">
        <v>1528</v>
      </c>
      <c r="O1743" s="3" t="s">
        <v>130</v>
      </c>
      <c r="P1743" t="str">
        <f t="shared" si="27"/>
        <v>4500137950180</v>
      </c>
      <c r="Q1743" s="7" cm="1">
        <f t="array" ref="Q1743:S1743">VLOOKUP(P1743,Hoja1!C:F,{2,3,4},FALSE)</f>
        <v>46287</v>
      </c>
      <c r="R1743" t="str">
        <v>C03</v>
      </c>
      <c r="S1743" t="str">
        <v>1000000190 FERNANDEZ INSUA S.A.</v>
      </c>
    </row>
    <row r="1744" spans="1:19" x14ac:dyDescent="0.3">
      <c r="A1744" s="2" t="s">
        <v>14</v>
      </c>
      <c r="B1744" s="3" t="s">
        <v>14</v>
      </c>
      <c r="C1744" s="3" t="s">
        <v>1632</v>
      </c>
      <c r="D1744" s="3" t="s">
        <v>14</v>
      </c>
      <c r="E1744" s="3" t="s">
        <v>466</v>
      </c>
      <c r="F1744" s="4">
        <v>46281</v>
      </c>
      <c r="G1744" s="3" t="s">
        <v>17</v>
      </c>
      <c r="H1744" s="5">
        <v>-114722</v>
      </c>
      <c r="I1744" s="3" t="s">
        <v>18</v>
      </c>
      <c r="J1744" s="3" t="s">
        <v>14</v>
      </c>
      <c r="K1744" s="3" t="s">
        <v>14</v>
      </c>
      <c r="L1744" s="3" t="s">
        <v>269</v>
      </c>
      <c r="M1744" s="4">
        <v>46287</v>
      </c>
      <c r="N1744" s="3" t="s">
        <v>1528</v>
      </c>
      <c r="O1744" s="3" t="s">
        <v>127</v>
      </c>
      <c r="P1744" t="str">
        <f t="shared" si="27"/>
        <v>4500137950190</v>
      </c>
      <c r="Q1744" s="7" cm="1">
        <f t="array" ref="Q1744:S1744">VLOOKUP(P1744,Hoja1!C:F,{2,3,4},FALSE)</f>
        <v>46295</v>
      </c>
      <c r="R1744" t="str">
        <v>C03</v>
      </c>
      <c r="S1744" t="str">
        <v>1000000190 FERNANDEZ INSUA S.A.</v>
      </c>
    </row>
    <row r="1745" spans="1:19" x14ac:dyDescent="0.3">
      <c r="A1745" s="2" t="s">
        <v>14</v>
      </c>
      <c r="B1745" s="3" t="s">
        <v>14</v>
      </c>
      <c r="C1745" s="3" t="s">
        <v>1633</v>
      </c>
      <c r="D1745" s="3" t="s">
        <v>14</v>
      </c>
      <c r="E1745" s="3" t="s">
        <v>466</v>
      </c>
      <c r="F1745" s="4">
        <v>46281</v>
      </c>
      <c r="G1745" s="3" t="s">
        <v>17</v>
      </c>
      <c r="H1745" s="5">
        <v>-60380</v>
      </c>
      <c r="I1745" s="3" t="s">
        <v>18</v>
      </c>
      <c r="J1745" s="3" t="s">
        <v>14</v>
      </c>
      <c r="K1745" s="3" t="s">
        <v>14</v>
      </c>
      <c r="L1745" s="3" t="s">
        <v>269</v>
      </c>
      <c r="M1745" s="4">
        <v>46287</v>
      </c>
      <c r="N1745" s="3" t="s">
        <v>1634</v>
      </c>
      <c r="O1745" s="3" t="s">
        <v>30</v>
      </c>
      <c r="P1745" t="str">
        <f t="shared" si="27"/>
        <v>450013677010</v>
      </c>
      <c r="Q1745" s="7" cm="1">
        <f t="array" ref="Q1745:S1745">VLOOKUP(P1745,Hoja1!C:F,{2,3,4},FALSE)</f>
        <v>46269</v>
      </c>
      <c r="R1745" t="str">
        <v>C03</v>
      </c>
      <c r="S1745" t="str">
        <v>1000000190 FERNANDEZ INSUA S.A.</v>
      </c>
    </row>
    <row r="1746" spans="1:19" x14ac:dyDescent="0.3">
      <c r="A1746" s="2" t="s">
        <v>14</v>
      </c>
      <c r="B1746" s="3" t="s">
        <v>14</v>
      </c>
      <c r="C1746" s="3" t="s">
        <v>1633</v>
      </c>
      <c r="D1746" s="3" t="s">
        <v>14</v>
      </c>
      <c r="E1746" s="3" t="s">
        <v>466</v>
      </c>
      <c r="F1746" s="4">
        <v>46281</v>
      </c>
      <c r="G1746" s="3" t="s">
        <v>17</v>
      </c>
      <c r="H1746" s="5">
        <v>-105665</v>
      </c>
      <c r="I1746" s="3" t="s">
        <v>18</v>
      </c>
      <c r="J1746" s="3" t="s">
        <v>14</v>
      </c>
      <c r="K1746" s="3" t="s">
        <v>14</v>
      </c>
      <c r="L1746" s="3" t="s">
        <v>269</v>
      </c>
      <c r="M1746" s="4">
        <v>46287</v>
      </c>
      <c r="N1746" s="3" t="s">
        <v>1634</v>
      </c>
      <c r="O1746" s="3" t="s">
        <v>35</v>
      </c>
      <c r="P1746" t="str">
        <f t="shared" si="27"/>
        <v>450013677030</v>
      </c>
      <c r="Q1746" s="7" cm="1">
        <f t="array" ref="Q1746:S1746">VLOOKUP(P1746,Hoja1!C:F,{2,3,4},FALSE)</f>
        <v>46269</v>
      </c>
      <c r="R1746" t="str">
        <v>C03</v>
      </c>
      <c r="S1746" t="str">
        <v>1000000190 FERNANDEZ INSUA S.A.</v>
      </c>
    </row>
    <row r="1747" spans="1:19" x14ac:dyDescent="0.3">
      <c r="A1747" s="2" t="s">
        <v>14</v>
      </c>
      <c r="B1747" s="3" t="s">
        <v>14</v>
      </c>
      <c r="C1747" s="3" t="s">
        <v>1635</v>
      </c>
      <c r="D1747" s="3" t="s">
        <v>14</v>
      </c>
      <c r="E1747" s="3" t="s">
        <v>466</v>
      </c>
      <c r="F1747" s="4">
        <v>46287</v>
      </c>
      <c r="G1747" s="3" t="s">
        <v>17</v>
      </c>
      <c r="H1747" s="5">
        <v>-271710</v>
      </c>
      <c r="I1747" s="3" t="s">
        <v>18</v>
      </c>
      <c r="J1747" s="3" t="s">
        <v>14</v>
      </c>
      <c r="K1747" s="3" t="s">
        <v>14</v>
      </c>
      <c r="L1747" s="3" t="s">
        <v>269</v>
      </c>
      <c r="M1747" s="4">
        <v>46287</v>
      </c>
      <c r="N1747" s="3" t="s">
        <v>1636</v>
      </c>
      <c r="O1747" s="3" t="s">
        <v>141</v>
      </c>
      <c r="P1747" t="str">
        <f t="shared" si="27"/>
        <v>450013690660</v>
      </c>
      <c r="Q1747" s="7" cm="1">
        <f t="array" ref="Q1747:S1747">VLOOKUP(P1747,Hoja1!C:F,{2,3,4},FALSE)</f>
        <v>46268</v>
      </c>
      <c r="R1747" t="str">
        <v>C03</v>
      </c>
      <c r="S1747" t="str">
        <v>1000000190 FERNANDEZ INSUA S.A.</v>
      </c>
    </row>
    <row r="1748" spans="1:19" x14ac:dyDescent="0.3">
      <c r="A1748" s="2" t="s">
        <v>14</v>
      </c>
      <c r="B1748" s="3" t="s">
        <v>14</v>
      </c>
      <c r="C1748" s="3" t="s">
        <v>1637</v>
      </c>
      <c r="D1748" s="3" t="s">
        <v>14</v>
      </c>
      <c r="E1748" s="3" t="s">
        <v>466</v>
      </c>
      <c r="F1748" s="4">
        <v>46287</v>
      </c>
      <c r="G1748" s="3" t="s">
        <v>17</v>
      </c>
      <c r="H1748" s="5">
        <v>-392470</v>
      </c>
      <c r="I1748" s="3" t="s">
        <v>18</v>
      </c>
      <c r="J1748" s="3" t="s">
        <v>14</v>
      </c>
      <c r="K1748" s="3" t="s">
        <v>14</v>
      </c>
      <c r="L1748" s="3" t="s">
        <v>720</v>
      </c>
      <c r="M1748" s="4">
        <v>46287</v>
      </c>
      <c r="N1748" s="3" t="s">
        <v>1638</v>
      </c>
      <c r="O1748" s="3" t="s">
        <v>22</v>
      </c>
      <c r="P1748" t="str">
        <f t="shared" si="27"/>
        <v>450013864420</v>
      </c>
      <c r="Q1748" s="7" cm="1">
        <f t="array" ref="Q1748:S1748">VLOOKUP(P1748,Hoja1!C:F,{2,3,4},FALSE)</f>
        <v>46296</v>
      </c>
      <c r="R1748" t="str">
        <v>C38</v>
      </c>
      <c r="S1748" t="str">
        <v>1000001379 TECNO CONSULTING SA</v>
      </c>
    </row>
    <row r="1749" spans="1:19" x14ac:dyDescent="0.3">
      <c r="A1749" s="2" t="s">
        <v>14</v>
      </c>
      <c r="B1749" s="3" t="s">
        <v>14</v>
      </c>
      <c r="C1749" s="3" t="s">
        <v>1639</v>
      </c>
      <c r="D1749" s="3" t="s">
        <v>32</v>
      </c>
      <c r="E1749" s="3" t="s">
        <v>466</v>
      </c>
      <c r="F1749" s="4">
        <v>46286</v>
      </c>
      <c r="G1749" s="3" t="s">
        <v>17</v>
      </c>
      <c r="H1749" s="5">
        <v>-75475</v>
      </c>
      <c r="I1749" s="3" t="s">
        <v>18</v>
      </c>
      <c r="J1749" s="3" t="s">
        <v>14</v>
      </c>
      <c r="K1749" s="3" t="s">
        <v>14</v>
      </c>
      <c r="L1749" s="3" t="s">
        <v>822</v>
      </c>
      <c r="M1749" s="4">
        <v>46287</v>
      </c>
      <c r="N1749" s="3" t="s">
        <v>1640</v>
      </c>
      <c r="O1749" s="3" t="s">
        <v>23</v>
      </c>
      <c r="P1749" t="str">
        <f t="shared" si="27"/>
        <v>450013901040</v>
      </c>
      <c r="Q1749" s="7" cm="1">
        <f t="array" ref="Q1749:S1749">VLOOKUP(P1749,Hoja1!C:F,{2,3,4},FALSE)</f>
        <v>46287</v>
      </c>
      <c r="R1749" t="str">
        <v>377</v>
      </c>
      <c r="S1749" t="str">
        <v>1000009543 AC SAT S.R.L.</v>
      </c>
    </row>
    <row r="1750" spans="1:19" x14ac:dyDescent="0.3">
      <c r="A1750" s="2" t="s">
        <v>14</v>
      </c>
      <c r="B1750" s="3" t="s">
        <v>14</v>
      </c>
      <c r="C1750" s="3" t="s">
        <v>1641</v>
      </c>
      <c r="D1750" s="3" t="s">
        <v>14</v>
      </c>
      <c r="E1750" s="3" t="s">
        <v>466</v>
      </c>
      <c r="F1750" s="4">
        <v>46281</v>
      </c>
      <c r="G1750" s="3" t="s">
        <v>17</v>
      </c>
      <c r="H1750" s="5">
        <v>-45285</v>
      </c>
      <c r="I1750" s="3" t="s">
        <v>18</v>
      </c>
      <c r="J1750" s="3" t="s">
        <v>14</v>
      </c>
      <c r="K1750" s="3" t="s">
        <v>14</v>
      </c>
      <c r="L1750" s="3" t="s">
        <v>269</v>
      </c>
      <c r="M1750" s="4">
        <v>46287</v>
      </c>
      <c r="N1750" s="3" t="s">
        <v>1554</v>
      </c>
      <c r="O1750" s="3" t="s">
        <v>30</v>
      </c>
      <c r="P1750" t="str">
        <f t="shared" si="27"/>
        <v>450013807510</v>
      </c>
      <c r="Q1750" s="7" cm="1">
        <f t="array" ref="Q1750:S1750">VLOOKUP(P1750,Hoja1!C:F,{2,3,4},FALSE)</f>
        <v>46290</v>
      </c>
      <c r="R1750" t="str">
        <v>C03</v>
      </c>
      <c r="S1750" t="str">
        <v>1000000190 FERNANDEZ INSUA S.A.</v>
      </c>
    </row>
    <row r="1751" spans="1:19" x14ac:dyDescent="0.3">
      <c r="A1751" s="2" t="s">
        <v>14</v>
      </c>
      <c r="B1751" s="3" t="s">
        <v>14</v>
      </c>
      <c r="C1751" s="3" t="s">
        <v>1641</v>
      </c>
      <c r="D1751" s="3" t="s">
        <v>14</v>
      </c>
      <c r="E1751" s="3" t="s">
        <v>466</v>
      </c>
      <c r="F1751" s="4">
        <v>46281</v>
      </c>
      <c r="G1751" s="3" t="s">
        <v>17</v>
      </c>
      <c r="H1751" s="5">
        <v>-52832.5</v>
      </c>
      <c r="I1751" s="3" t="s">
        <v>18</v>
      </c>
      <c r="J1751" s="3" t="s">
        <v>14</v>
      </c>
      <c r="K1751" s="3" t="s">
        <v>14</v>
      </c>
      <c r="L1751" s="3" t="s">
        <v>269</v>
      </c>
      <c r="M1751" s="4">
        <v>46287</v>
      </c>
      <c r="N1751" s="3" t="s">
        <v>1554</v>
      </c>
      <c r="O1751" s="3" t="s">
        <v>22</v>
      </c>
      <c r="P1751" t="str">
        <f t="shared" si="27"/>
        <v>450013807520</v>
      </c>
      <c r="Q1751" s="7" cm="1">
        <f t="array" ref="Q1751:S1751">VLOOKUP(P1751,Hoja1!C:F,{2,3,4},FALSE)</f>
        <v>46290</v>
      </c>
      <c r="R1751" t="str">
        <v>C03</v>
      </c>
      <c r="S1751" t="str">
        <v>1000000190 FERNANDEZ INSUA S.A.</v>
      </c>
    </row>
    <row r="1752" spans="1:19" x14ac:dyDescent="0.3">
      <c r="A1752" s="2" t="s">
        <v>14</v>
      </c>
      <c r="B1752" s="3" t="s">
        <v>14</v>
      </c>
      <c r="C1752" s="3" t="s">
        <v>1641</v>
      </c>
      <c r="D1752" s="3" t="s">
        <v>14</v>
      </c>
      <c r="E1752" s="3" t="s">
        <v>466</v>
      </c>
      <c r="F1752" s="4">
        <v>46281</v>
      </c>
      <c r="G1752" s="3" t="s">
        <v>17</v>
      </c>
      <c r="H1752" s="5">
        <v>-362280</v>
      </c>
      <c r="I1752" s="3" t="s">
        <v>18</v>
      </c>
      <c r="J1752" s="3" t="s">
        <v>14</v>
      </c>
      <c r="K1752" s="3" t="s">
        <v>14</v>
      </c>
      <c r="L1752" s="3" t="s">
        <v>269</v>
      </c>
      <c r="M1752" s="4">
        <v>46287</v>
      </c>
      <c r="N1752" s="3" t="s">
        <v>1554</v>
      </c>
      <c r="O1752" s="3" t="s">
        <v>35</v>
      </c>
      <c r="P1752" t="str">
        <f t="shared" si="27"/>
        <v>450013807530</v>
      </c>
      <c r="Q1752" s="7" cm="1">
        <f t="array" ref="Q1752:S1752">VLOOKUP(P1752,Hoja1!C:F,{2,3,4},FALSE)</f>
        <v>46290</v>
      </c>
      <c r="R1752" t="str">
        <v>C03</v>
      </c>
      <c r="S1752" t="str">
        <v>1000000190 FERNANDEZ INSUA S.A.</v>
      </c>
    </row>
    <row r="1753" spans="1:19" x14ac:dyDescent="0.3">
      <c r="A1753" s="2" t="s">
        <v>14</v>
      </c>
      <c r="B1753" s="3" t="s">
        <v>14</v>
      </c>
      <c r="C1753" s="3" t="s">
        <v>1641</v>
      </c>
      <c r="D1753" s="3" t="s">
        <v>14</v>
      </c>
      <c r="E1753" s="3" t="s">
        <v>466</v>
      </c>
      <c r="F1753" s="4">
        <v>46281</v>
      </c>
      <c r="G1753" s="3" t="s">
        <v>17</v>
      </c>
      <c r="H1753" s="5">
        <v>-120760</v>
      </c>
      <c r="I1753" s="3" t="s">
        <v>18</v>
      </c>
      <c r="J1753" s="3" t="s">
        <v>14</v>
      </c>
      <c r="K1753" s="3" t="s">
        <v>14</v>
      </c>
      <c r="L1753" s="3" t="s">
        <v>269</v>
      </c>
      <c r="M1753" s="4">
        <v>46287</v>
      </c>
      <c r="N1753" s="3" t="s">
        <v>1554</v>
      </c>
      <c r="O1753" s="3" t="s">
        <v>144</v>
      </c>
      <c r="P1753" t="str">
        <f t="shared" si="27"/>
        <v>450013807550</v>
      </c>
      <c r="Q1753" s="7" cm="1">
        <f t="array" ref="Q1753:S1753">VLOOKUP(P1753,Hoja1!C:F,{2,3,4},FALSE)</f>
        <v>46290</v>
      </c>
      <c r="R1753" t="str">
        <v>C03</v>
      </c>
      <c r="S1753" t="str">
        <v>1000000190 FERNANDEZ INSUA S.A.</v>
      </c>
    </row>
    <row r="1754" spans="1:19" x14ac:dyDescent="0.3">
      <c r="A1754" s="2" t="s">
        <v>14</v>
      </c>
      <c r="B1754" s="3" t="s">
        <v>14</v>
      </c>
      <c r="C1754" s="3" t="s">
        <v>1641</v>
      </c>
      <c r="D1754" s="3" t="s">
        <v>14</v>
      </c>
      <c r="E1754" s="3" t="s">
        <v>466</v>
      </c>
      <c r="F1754" s="4">
        <v>46281</v>
      </c>
      <c r="G1754" s="3" t="s">
        <v>17</v>
      </c>
      <c r="H1754" s="5">
        <v>-52832.5</v>
      </c>
      <c r="I1754" s="3" t="s">
        <v>18</v>
      </c>
      <c r="J1754" s="3" t="s">
        <v>14</v>
      </c>
      <c r="K1754" s="3" t="s">
        <v>14</v>
      </c>
      <c r="L1754" s="3" t="s">
        <v>269</v>
      </c>
      <c r="M1754" s="4">
        <v>46287</v>
      </c>
      <c r="N1754" s="3" t="s">
        <v>1554</v>
      </c>
      <c r="O1754" s="3" t="s">
        <v>134</v>
      </c>
      <c r="P1754" t="str">
        <f t="shared" si="27"/>
        <v>450013807570</v>
      </c>
      <c r="Q1754" s="7" cm="1">
        <f t="array" ref="Q1754:S1754">VLOOKUP(P1754,Hoja1!C:F,{2,3,4},FALSE)</f>
        <v>46290</v>
      </c>
      <c r="R1754" t="str">
        <v>C03</v>
      </c>
      <c r="S1754" t="str">
        <v>1000000190 FERNANDEZ INSUA S.A.</v>
      </c>
    </row>
    <row r="1755" spans="1:19" x14ac:dyDescent="0.3">
      <c r="A1755" s="2" t="s">
        <v>14</v>
      </c>
      <c r="B1755" s="3" t="s">
        <v>14</v>
      </c>
      <c r="C1755" s="3" t="s">
        <v>1641</v>
      </c>
      <c r="D1755" s="3" t="s">
        <v>14</v>
      </c>
      <c r="E1755" s="3" t="s">
        <v>466</v>
      </c>
      <c r="F1755" s="4">
        <v>46281</v>
      </c>
      <c r="G1755" s="3" t="s">
        <v>17</v>
      </c>
      <c r="H1755" s="5">
        <v>-45285</v>
      </c>
      <c r="I1755" s="3" t="s">
        <v>18</v>
      </c>
      <c r="J1755" s="3" t="s">
        <v>14</v>
      </c>
      <c r="K1755" s="3" t="s">
        <v>14</v>
      </c>
      <c r="L1755" s="3" t="s">
        <v>269</v>
      </c>
      <c r="M1755" s="4">
        <v>46287</v>
      </c>
      <c r="N1755" s="3" t="s">
        <v>1554</v>
      </c>
      <c r="O1755" s="3" t="s">
        <v>138</v>
      </c>
      <c r="P1755" t="str">
        <f t="shared" si="27"/>
        <v>450013807590</v>
      </c>
      <c r="Q1755" s="7" cm="1">
        <f t="array" ref="Q1755:S1755">VLOOKUP(P1755,Hoja1!C:F,{2,3,4},FALSE)</f>
        <v>46290</v>
      </c>
      <c r="R1755" t="str">
        <v>C03</v>
      </c>
      <c r="S1755" t="str">
        <v>1000000190 FERNANDEZ INSUA S.A.</v>
      </c>
    </row>
    <row r="1756" spans="1:19" x14ac:dyDescent="0.3">
      <c r="A1756" s="2" t="s">
        <v>14</v>
      </c>
      <c r="B1756" s="3" t="s">
        <v>14</v>
      </c>
      <c r="C1756" s="3" t="s">
        <v>1641</v>
      </c>
      <c r="D1756" s="3" t="s">
        <v>14</v>
      </c>
      <c r="E1756" s="3" t="s">
        <v>466</v>
      </c>
      <c r="F1756" s="4">
        <v>46281</v>
      </c>
      <c r="G1756" s="3" t="s">
        <v>17</v>
      </c>
      <c r="H1756" s="5">
        <v>-633990</v>
      </c>
      <c r="I1756" s="3" t="s">
        <v>18</v>
      </c>
      <c r="J1756" s="3" t="s">
        <v>14</v>
      </c>
      <c r="K1756" s="3" t="s">
        <v>14</v>
      </c>
      <c r="L1756" s="3" t="s">
        <v>269</v>
      </c>
      <c r="M1756" s="4">
        <v>46287</v>
      </c>
      <c r="N1756" s="3" t="s">
        <v>1554</v>
      </c>
      <c r="O1756" s="3" t="s">
        <v>45</v>
      </c>
      <c r="P1756" t="str">
        <f t="shared" si="27"/>
        <v>4500138075100</v>
      </c>
      <c r="Q1756" s="7" cm="1">
        <f t="array" ref="Q1756:S1756">VLOOKUP(P1756,Hoja1!C:F,{2,3,4},FALSE)</f>
        <v>46290</v>
      </c>
      <c r="R1756" t="str">
        <v>C03</v>
      </c>
      <c r="S1756" t="str">
        <v>1000000190 FERNANDEZ INSUA S.A.</v>
      </c>
    </row>
    <row r="1757" spans="1:19" x14ac:dyDescent="0.3">
      <c r="A1757" s="2" t="s">
        <v>14</v>
      </c>
      <c r="B1757" s="3" t="s">
        <v>14</v>
      </c>
      <c r="C1757" s="3" t="s">
        <v>1641</v>
      </c>
      <c r="D1757" s="3" t="s">
        <v>14</v>
      </c>
      <c r="E1757" s="3" t="s">
        <v>466</v>
      </c>
      <c r="F1757" s="4">
        <v>46281</v>
      </c>
      <c r="G1757" s="3" t="s">
        <v>17</v>
      </c>
      <c r="H1757" s="5">
        <v>-4528.5</v>
      </c>
      <c r="I1757" s="3" t="s">
        <v>18</v>
      </c>
      <c r="J1757" s="3" t="s">
        <v>14</v>
      </c>
      <c r="K1757" s="3" t="s">
        <v>14</v>
      </c>
      <c r="L1757" s="3" t="s">
        <v>269</v>
      </c>
      <c r="M1757" s="4">
        <v>46287</v>
      </c>
      <c r="N1757" s="3" t="s">
        <v>1554</v>
      </c>
      <c r="O1757" s="3" t="s">
        <v>132</v>
      </c>
      <c r="P1757" t="str">
        <f t="shared" si="27"/>
        <v>4500138075120</v>
      </c>
      <c r="Q1757" s="7" cm="1">
        <f t="array" ref="Q1757:S1757">VLOOKUP(P1757,Hoja1!C:F,{2,3,4},FALSE)</f>
        <v>46290</v>
      </c>
      <c r="R1757" t="str">
        <v>C03</v>
      </c>
      <c r="S1757" t="str">
        <v>1000000190 FERNANDEZ INSUA S.A.</v>
      </c>
    </row>
    <row r="1758" spans="1:19" x14ac:dyDescent="0.3">
      <c r="A1758" s="2" t="s">
        <v>14</v>
      </c>
      <c r="B1758" s="3" t="s">
        <v>14</v>
      </c>
      <c r="C1758" s="3" t="s">
        <v>1641</v>
      </c>
      <c r="D1758" s="3" t="s">
        <v>14</v>
      </c>
      <c r="E1758" s="3" t="s">
        <v>466</v>
      </c>
      <c r="F1758" s="4">
        <v>46281</v>
      </c>
      <c r="G1758" s="3" t="s">
        <v>17</v>
      </c>
      <c r="H1758" s="5">
        <v>-1358.55</v>
      </c>
      <c r="I1758" s="3" t="s">
        <v>18</v>
      </c>
      <c r="J1758" s="3" t="s">
        <v>14</v>
      </c>
      <c r="K1758" s="3" t="s">
        <v>14</v>
      </c>
      <c r="L1758" s="3" t="s">
        <v>269</v>
      </c>
      <c r="M1758" s="4">
        <v>46287</v>
      </c>
      <c r="N1758" s="3" t="s">
        <v>1554</v>
      </c>
      <c r="O1758" s="3" t="s">
        <v>142</v>
      </c>
      <c r="P1758" t="str">
        <f t="shared" si="27"/>
        <v>4500138075130</v>
      </c>
      <c r="Q1758" s="7" cm="1">
        <f t="array" ref="Q1758:S1758">VLOOKUP(P1758,Hoja1!C:F,{2,3,4},FALSE)</f>
        <v>46290</v>
      </c>
      <c r="R1758" t="str">
        <v>C03</v>
      </c>
      <c r="S1758" t="str">
        <v>1000000190 FERNANDEZ INSUA S.A.</v>
      </c>
    </row>
    <row r="1759" spans="1:19" x14ac:dyDescent="0.3">
      <c r="A1759" s="2" t="s">
        <v>14</v>
      </c>
      <c r="B1759" s="3" t="s">
        <v>14</v>
      </c>
      <c r="C1759" s="3" t="s">
        <v>1641</v>
      </c>
      <c r="D1759" s="3" t="s">
        <v>14</v>
      </c>
      <c r="E1759" s="3" t="s">
        <v>466</v>
      </c>
      <c r="F1759" s="4">
        <v>46281</v>
      </c>
      <c r="G1759" s="3" t="s">
        <v>17</v>
      </c>
      <c r="H1759" s="5">
        <v>-54342</v>
      </c>
      <c r="I1759" s="3" t="s">
        <v>18</v>
      </c>
      <c r="J1759" s="3" t="s">
        <v>14</v>
      </c>
      <c r="K1759" s="3" t="s">
        <v>14</v>
      </c>
      <c r="L1759" s="3" t="s">
        <v>269</v>
      </c>
      <c r="M1759" s="4">
        <v>46287</v>
      </c>
      <c r="N1759" s="3" t="s">
        <v>1554</v>
      </c>
      <c r="O1759" s="3" t="s">
        <v>131</v>
      </c>
      <c r="P1759" t="str">
        <f t="shared" si="27"/>
        <v>4500138075140</v>
      </c>
      <c r="Q1759" s="7" cm="1">
        <f t="array" ref="Q1759:S1759">VLOOKUP(P1759,Hoja1!C:F,{2,3,4},FALSE)</f>
        <v>46290</v>
      </c>
      <c r="R1759" t="str">
        <v>C03</v>
      </c>
      <c r="S1759" t="str">
        <v>1000000190 FERNANDEZ INSUA S.A.</v>
      </c>
    </row>
    <row r="1760" spans="1:19" x14ac:dyDescent="0.3">
      <c r="A1760" s="2" t="s">
        <v>14</v>
      </c>
      <c r="B1760" s="3" t="s">
        <v>14</v>
      </c>
      <c r="C1760" s="3" t="s">
        <v>1641</v>
      </c>
      <c r="D1760" s="3" t="s">
        <v>14</v>
      </c>
      <c r="E1760" s="3" t="s">
        <v>466</v>
      </c>
      <c r="F1760" s="4">
        <v>46281</v>
      </c>
      <c r="G1760" s="3" t="s">
        <v>17</v>
      </c>
      <c r="H1760" s="5">
        <v>-422660</v>
      </c>
      <c r="I1760" s="3" t="s">
        <v>18</v>
      </c>
      <c r="J1760" s="3" t="s">
        <v>14</v>
      </c>
      <c r="K1760" s="3" t="s">
        <v>14</v>
      </c>
      <c r="L1760" s="3" t="s">
        <v>269</v>
      </c>
      <c r="M1760" s="4">
        <v>46287</v>
      </c>
      <c r="N1760" s="3" t="s">
        <v>1554</v>
      </c>
      <c r="O1760" s="3" t="s">
        <v>68</v>
      </c>
      <c r="P1760" t="str">
        <f t="shared" si="27"/>
        <v>4500138075150</v>
      </c>
      <c r="Q1760" s="7" cm="1">
        <f t="array" ref="Q1760:S1760">VLOOKUP(P1760,Hoja1!C:F,{2,3,4},FALSE)</f>
        <v>46290</v>
      </c>
      <c r="R1760" t="str">
        <v>C03</v>
      </c>
      <c r="S1760" t="str">
        <v>1000000190 FERNANDEZ INSUA S.A.</v>
      </c>
    </row>
    <row r="1761" spans="1:19" x14ac:dyDescent="0.3">
      <c r="A1761" s="2" t="s">
        <v>14</v>
      </c>
      <c r="B1761" s="3" t="s">
        <v>14</v>
      </c>
      <c r="C1761" s="3" t="s">
        <v>1642</v>
      </c>
      <c r="D1761" s="3" t="s">
        <v>32</v>
      </c>
      <c r="E1761" s="3" t="s">
        <v>466</v>
      </c>
      <c r="F1761" s="4">
        <v>46287</v>
      </c>
      <c r="G1761" s="3" t="s">
        <v>17</v>
      </c>
      <c r="H1761" s="5">
        <v>-161621</v>
      </c>
      <c r="I1761" s="3" t="s">
        <v>18</v>
      </c>
      <c r="J1761" s="3" t="s">
        <v>14</v>
      </c>
      <c r="K1761" s="3" t="s">
        <v>14</v>
      </c>
      <c r="L1761" s="3" t="s">
        <v>1643</v>
      </c>
      <c r="M1761" s="4">
        <v>46287</v>
      </c>
      <c r="N1761" s="3" t="s">
        <v>1644</v>
      </c>
      <c r="O1761" s="3" t="s">
        <v>23</v>
      </c>
      <c r="P1761" t="str">
        <f t="shared" si="27"/>
        <v>450013674740</v>
      </c>
      <c r="Q1761" s="7" cm="1">
        <f t="array" ref="Q1761:S1761">VLOOKUP(P1761,Hoja1!C:F,{2,3,4},FALSE)</f>
        <v>46290</v>
      </c>
      <c r="R1761" t="str">
        <v>C18</v>
      </c>
      <c r="S1761" t="str">
        <v>1000012967 PATAGONIA MAXIM SAS</v>
      </c>
    </row>
    <row r="1762" spans="1:19" x14ac:dyDescent="0.3">
      <c r="A1762" s="2" t="s">
        <v>14</v>
      </c>
      <c r="B1762" s="3" t="s">
        <v>14</v>
      </c>
      <c r="C1762" s="3" t="s">
        <v>1642</v>
      </c>
      <c r="D1762" s="3" t="s">
        <v>32</v>
      </c>
      <c r="E1762" s="3" t="s">
        <v>466</v>
      </c>
      <c r="F1762" s="4">
        <v>46287</v>
      </c>
      <c r="G1762" s="3" t="s">
        <v>17</v>
      </c>
      <c r="H1762" s="5">
        <v>-2881410</v>
      </c>
      <c r="I1762" s="3" t="s">
        <v>18</v>
      </c>
      <c r="J1762" s="3" t="s">
        <v>14</v>
      </c>
      <c r="K1762" s="3" t="s">
        <v>14</v>
      </c>
      <c r="L1762" s="3" t="s">
        <v>1643</v>
      </c>
      <c r="M1762" s="4">
        <v>46287</v>
      </c>
      <c r="N1762" s="3" t="s">
        <v>1644</v>
      </c>
      <c r="O1762" s="3" t="s">
        <v>141</v>
      </c>
      <c r="P1762" t="str">
        <f t="shared" si="27"/>
        <v>450013674760</v>
      </c>
      <c r="Q1762" s="7" cm="1">
        <f t="array" ref="Q1762:S1762">VLOOKUP(P1762,Hoja1!C:F,{2,3,4},FALSE)</f>
        <v>46310</v>
      </c>
      <c r="R1762" t="str">
        <v>C18</v>
      </c>
      <c r="S1762" t="str">
        <v>1000012967 PATAGONIA MAXIM SAS</v>
      </c>
    </row>
    <row r="1763" spans="1:19" x14ac:dyDescent="0.3">
      <c r="A1763" s="2" t="s">
        <v>14</v>
      </c>
      <c r="B1763" s="3" t="s">
        <v>14</v>
      </c>
      <c r="C1763" s="3" t="s">
        <v>1642</v>
      </c>
      <c r="D1763" s="3" t="s">
        <v>32</v>
      </c>
      <c r="E1763" s="3" t="s">
        <v>466</v>
      </c>
      <c r="F1763" s="4">
        <v>46287</v>
      </c>
      <c r="G1763" s="3" t="s">
        <v>17</v>
      </c>
      <c r="H1763" s="5">
        <v>-973128</v>
      </c>
      <c r="I1763" s="3" t="s">
        <v>18</v>
      </c>
      <c r="J1763" s="3" t="s">
        <v>14</v>
      </c>
      <c r="K1763" s="3" t="s">
        <v>14</v>
      </c>
      <c r="L1763" s="3" t="s">
        <v>1643</v>
      </c>
      <c r="M1763" s="4">
        <v>46287</v>
      </c>
      <c r="N1763" s="3" t="s">
        <v>1644</v>
      </c>
      <c r="O1763" s="3" t="s">
        <v>134</v>
      </c>
      <c r="P1763" t="str">
        <f t="shared" si="27"/>
        <v>450013674770</v>
      </c>
      <c r="Q1763" s="7" cm="1">
        <f t="array" ref="Q1763:S1763">VLOOKUP(P1763,Hoja1!C:F,{2,3,4},FALSE)</f>
        <v>46310</v>
      </c>
      <c r="R1763" t="str">
        <v>C18</v>
      </c>
      <c r="S1763" t="str">
        <v>1000012967 PATAGONIA MAXIM SAS</v>
      </c>
    </row>
    <row r="1764" spans="1:19" x14ac:dyDescent="0.3">
      <c r="A1764" s="2" t="s">
        <v>14</v>
      </c>
      <c r="B1764" s="3" t="s">
        <v>14</v>
      </c>
      <c r="C1764" s="3" t="s">
        <v>1642</v>
      </c>
      <c r="D1764" s="3" t="s">
        <v>32</v>
      </c>
      <c r="E1764" s="3" t="s">
        <v>466</v>
      </c>
      <c r="F1764" s="4">
        <v>46287</v>
      </c>
      <c r="G1764" s="3" t="s">
        <v>17</v>
      </c>
      <c r="H1764" s="5">
        <v>-1275956</v>
      </c>
      <c r="I1764" s="3" t="s">
        <v>18</v>
      </c>
      <c r="J1764" s="3" t="s">
        <v>14</v>
      </c>
      <c r="K1764" s="3" t="s">
        <v>14</v>
      </c>
      <c r="L1764" s="3" t="s">
        <v>1643</v>
      </c>
      <c r="M1764" s="4">
        <v>46287</v>
      </c>
      <c r="N1764" s="3" t="s">
        <v>1644</v>
      </c>
      <c r="O1764" s="3" t="s">
        <v>132</v>
      </c>
      <c r="P1764" t="str">
        <f t="shared" si="27"/>
        <v>4500136747120</v>
      </c>
      <c r="Q1764" s="7" cm="1">
        <f t="array" ref="Q1764:S1764">VLOOKUP(P1764,Hoja1!C:F,{2,3,4},FALSE)</f>
        <v>46310</v>
      </c>
      <c r="R1764" t="str">
        <v>C18</v>
      </c>
      <c r="S1764" t="str">
        <v>1000012967 PATAGONIA MAXIM SAS</v>
      </c>
    </row>
    <row r="1765" spans="1:19" x14ac:dyDescent="0.3">
      <c r="A1765" s="2" t="s">
        <v>14</v>
      </c>
      <c r="B1765" s="3" t="s">
        <v>14</v>
      </c>
      <c r="C1765" s="3" t="s">
        <v>1642</v>
      </c>
      <c r="D1765" s="3" t="s">
        <v>32</v>
      </c>
      <c r="E1765" s="3" t="s">
        <v>466</v>
      </c>
      <c r="F1765" s="4">
        <v>46287</v>
      </c>
      <c r="G1765" s="3" t="s">
        <v>17</v>
      </c>
      <c r="H1765" s="5">
        <v>-1173880</v>
      </c>
      <c r="I1765" s="3" t="s">
        <v>18</v>
      </c>
      <c r="J1765" s="3" t="s">
        <v>14</v>
      </c>
      <c r="K1765" s="3" t="s">
        <v>14</v>
      </c>
      <c r="L1765" s="3" t="s">
        <v>1643</v>
      </c>
      <c r="M1765" s="4">
        <v>46287</v>
      </c>
      <c r="N1765" s="3" t="s">
        <v>1644</v>
      </c>
      <c r="O1765" s="3" t="s">
        <v>131</v>
      </c>
      <c r="P1765" t="str">
        <f t="shared" si="27"/>
        <v>4500136747140</v>
      </c>
      <c r="Q1765" s="7" cm="1">
        <f t="array" ref="Q1765:S1765">VLOOKUP(P1765,Hoja1!C:F,{2,3,4},FALSE)</f>
        <v>46310</v>
      </c>
      <c r="R1765" t="str">
        <v>C18</v>
      </c>
      <c r="S1765" t="str">
        <v>1000012967 PATAGONIA MAXIM SAS</v>
      </c>
    </row>
    <row r="1766" spans="1:19" x14ac:dyDescent="0.3">
      <c r="A1766" s="2" t="s">
        <v>14</v>
      </c>
      <c r="B1766" s="3" t="s">
        <v>14</v>
      </c>
      <c r="C1766" s="3" t="s">
        <v>1645</v>
      </c>
      <c r="D1766" s="3" t="s">
        <v>14</v>
      </c>
      <c r="E1766" s="3" t="s">
        <v>466</v>
      </c>
      <c r="F1766" s="4">
        <v>46282</v>
      </c>
      <c r="G1766" s="3" t="s">
        <v>17</v>
      </c>
      <c r="H1766" s="5">
        <v>-30190</v>
      </c>
      <c r="I1766" s="3" t="s">
        <v>18</v>
      </c>
      <c r="J1766" s="3" t="s">
        <v>14</v>
      </c>
      <c r="K1766" s="3" t="s">
        <v>14</v>
      </c>
      <c r="L1766" s="3" t="s">
        <v>269</v>
      </c>
      <c r="M1766" s="4">
        <v>46287</v>
      </c>
      <c r="N1766" s="3" t="s">
        <v>1554</v>
      </c>
      <c r="O1766" s="3" t="s">
        <v>23</v>
      </c>
      <c r="P1766" t="str">
        <f t="shared" si="27"/>
        <v>450013807540</v>
      </c>
      <c r="Q1766" s="7" cm="1">
        <f t="array" ref="Q1766:S1766">VLOOKUP(P1766,Hoja1!C:F,{2,3,4},FALSE)</f>
        <v>46290</v>
      </c>
      <c r="R1766" t="str">
        <v>C03</v>
      </c>
      <c r="S1766" t="str">
        <v>1000000190 FERNANDEZ INSUA S.A.</v>
      </c>
    </row>
    <row r="1767" spans="1:19" x14ac:dyDescent="0.3">
      <c r="A1767" s="2" t="s">
        <v>14</v>
      </c>
      <c r="B1767" s="3" t="s">
        <v>14</v>
      </c>
      <c r="C1767" s="3" t="s">
        <v>1645</v>
      </c>
      <c r="D1767" s="3" t="s">
        <v>14</v>
      </c>
      <c r="E1767" s="3" t="s">
        <v>466</v>
      </c>
      <c r="F1767" s="4">
        <v>46282</v>
      </c>
      <c r="G1767" s="3" t="s">
        <v>17</v>
      </c>
      <c r="H1767" s="5">
        <v>-301900</v>
      </c>
      <c r="I1767" s="3" t="s">
        <v>18</v>
      </c>
      <c r="J1767" s="3" t="s">
        <v>14</v>
      </c>
      <c r="K1767" s="3" t="s">
        <v>14</v>
      </c>
      <c r="L1767" s="3" t="s">
        <v>269</v>
      </c>
      <c r="M1767" s="4">
        <v>46287</v>
      </c>
      <c r="N1767" s="3" t="s">
        <v>1554</v>
      </c>
      <c r="O1767" s="3" t="s">
        <v>141</v>
      </c>
      <c r="P1767" t="str">
        <f t="shared" si="27"/>
        <v>450013807560</v>
      </c>
      <c r="Q1767" s="7" cm="1">
        <f t="array" ref="Q1767:S1767">VLOOKUP(P1767,Hoja1!C:F,{2,3,4},FALSE)</f>
        <v>46290</v>
      </c>
      <c r="R1767" t="str">
        <v>C03</v>
      </c>
      <c r="S1767" t="str">
        <v>1000000190 FERNANDEZ INSUA S.A.</v>
      </c>
    </row>
    <row r="1768" spans="1:19" x14ac:dyDescent="0.3">
      <c r="A1768" s="2" t="s">
        <v>14</v>
      </c>
      <c r="B1768" s="3" t="s">
        <v>14</v>
      </c>
      <c r="C1768" s="3" t="s">
        <v>1645</v>
      </c>
      <c r="D1768" s="3" t="s">
        <v>14</v>
      </c>
      <c r="E1768" s="3" t="s">
        <v>466</v>
      </c>
      <c r="F1768" s="4">
        <v>46282</v>
      </c>
      <c r="G1768" s="3" t="s">
        <v>17</v>
      </c>
      <c r="H1768" s="5">
        <v>-271710</v>
      </c>
      <c r="I1768" s="3" t="s">
        <v>18</v>
      </c>
      <c r="J1768" s="3" t="s">
        <v>14</v>
      </c>
      <c r="K1768" s="3" t="s">
        <v>14</v>
      </c>
      <c r="L1768" s="3" t="s">
        <v>269</v>
      </c>
      <c r="M1768" s="4">
        <v>46287</v>
      </c>
      <c r="N1768" s="3" t="s">
        <v>1554</v>
      </c>
      <c r="O1768" s="3" t="s">
        <v>52</v>
      </c>
      <c r="P1768" t="str">
        <f t="shared" si="27"/>
        <v>450013807580</v>
      </c>
      <c r="Q1768" s="7" cm="1">
        <f t="array" ref="Q1768:S1768">VLOOKUP(P1768,Hoja1!C:F,{2,3,4},FALSE)</f>
        <v>46290</v>
      </c>
      <c r="R1768" t="str">
        <v>C03</v>
      </c>
      <c r="S1768" t="str">
        <v>1000000190 FERNANDEZ INSUA S.A.</v>
      </c>
    </row>
    <row r="1769" spans="1:19" x14ac:dyDescent="0.3">
      <c r="A1769" s="2" t="s">
        <v>14</v>
      </c>
      <c r="B1769" s="3" t="s">
        <v>14</v>
      </c>
      <c r="C1769" s="3" t="s">
        <v>1646</v>
      </c>
      <c r="D1769" s="3" t="s">
        <v>14</v>
      </c>
      <c r="E1769" s="3" t="s">
        <v>466</v>
      </c>
      <c r="F1769" s="4">
        <v>46287</v>
      </c>
      <c r="G1769" s="3" t="s">
        <v>17</v>
      </c>
      <c r="H1769" s="5">
        <v>-5578.5</v>
      </c>
      <c r="I1769" s="3" t="s">
        <v>18</v>
      </c>
      <c r="J1769" s="3" t="s">
        <v>14</v>
      </c>
      <c r="K1769" s="3" t="s">
        <v>14</v>
      </c>
      <c r="L1769" s="3" t="s">
        <v>1647</v>
      </c>
      <c r="M1769" s="4">
        <v>46287</v>
      </c>
      <c r="N1769" s="3" t="s">
        <v>1648</v>
      </c>
      <c r="O1769" s="3" t="s">
        <v>23</v>
      </c>
      <c r="P1769" t="str">
        <f t="shared" si="27"/>
        <v>450013856340</v>
      </c>
      <c r="Q1769" s="7" cm="1">
        <f t="array" ref="Q1769:S1769">VLOOKUP(P1769,Hoja1!C:F,{2,3,4},FALSE)</f>
        <v>46287</v>
      </c>
      <c r="R1769" t="str">
        <v>C17</v>
      </c>
      <c r="S1769" t="str">
        <v>1000012179 TINTA NEGRA S. A. S.</v>
      </c>
    </row>
    <row r="1770" spans="1:19" x14ac:dyDescent="0.3">
      <c r="A1770" s="2" t="s">
        <v>14</v>
      </c>
      <c r="B1770" s="3" t="s">
        <v>14</v>
      </c>
      <c r="C1770" s="3" t="s">
        <v>1646</v>
      </c>
      <c r="D1770" s="3" t="s">
        <v>14</v>
      </c>
      <c r="E1770" s="3" t="s">
        <v>466</v>
      </c>
      <c r="F1770" s="4">
        <v>46287</v>
      </c>
      <c r="G1770" s="3" t="s">
        <v>17</v>
      </c>
      <c r="H1770" s="5">
        <v>-61983.48</v>
      </c>
      <c r="I1770" s="3" t="s">
        <v>18</v>
      </c>
      <c r="J1770" s="3" t="s">
        <v>14</v>
      </c>
      <c r="K1770" s="3" t="s">
        <v>14</v>
      </c>
      <c r="L1770" s="3" t="s">
        <v>1647</v>
      </c>
      <c r="M1770" s="4">
        <v>46287</v>
      </c>
      <c r="N1770" s="3" t="s">
        <v>1648</v>
      </c>
      <c r="O1770" s="3" t="s">
        <v>144</v>
      </c>
      <c r="P1770" t="str">
        <f t="shared" si="27"/>
        <v>450013856350</v>
      </c>
      <c r="Q1770" s="7" cm="1">
        <f t="array" ref="Q1770:S1770">VLOOKUP(P1770,Hoja1!C:F,{2,3,4},FALSE)</f>
        <v>46287</v>
      </c>
      <c r="R1770" t="str">
        <v>C17</v>
      </c>
      <c r="S1770" t="str">
        <v>1000012179 TINTA NEGRA S. A. S.</v>
      </c>
    </row>
    <row r="1771" spans="1:19" x14ac:dyDescent="0.3">
      <c r="A1771" s="2" t="s">
        <v>14</v>
      </c>
      <c r="B1771" s="3" t="s">
        <v>14</v>
      </c>
      <c r="C1771" s="3" t="s">
        <v>1646</v>
      </c>
      <c r="D1771" s="3" t="s">
        <v>14</v>
      </c>
      <c r="E1771" s="3" t="s">
        <v>466</v>
      </c>
      <c r="F1771" s="4">
        <v>46287</v>
      </c>
      <c r="G1771" s="3" t="s">
        <v>17</v>
      </c>
      <c r="H1771" s="5">
        <v>-35950.410000000003</v>
      </c>
      <c r="I1771" s="3" t="s">
        <v>18</v>
      </c>
      <c r="J1771" s="3" t="s">
        <v>14</v>
      </c>
      <c r="K1771" s="3" t="s">
        <v>14</v>
      </c>
      <c r="L1771" s="3" t="s">
        <v>1647</v>
      </c>
      <c r="M1771" s="4">
        <v>46287</v>
      </c>
      <c r="N1771" s="3" t="s">
        <v>1648</v>
      </c>
      <c r="O1771" s="3" t="s">
        <v>141</v>
      </c>
      <c r="P1771" t="str">
        <f t="shared" si="27"/>
        <v>450013856360</v>
      </c>
      <c r="Q1771" s="7" cm="1">
        <f t="array" ref="Q1771:S1771">VLOOKUP(P1771,Hoja1!C:F,{2,3,4},FALSE)</f>
        <v>46287</v>
      </c>
      <c r="R1771" t="str">
        <v>C17</v>
      </c>
      <c r="S1771" t="str">
        <v>1000012179 TINTA NEGRA S. A. S.</v>
      </c>
    </row>
    <row r="1772" spans="1:19" x14ac:dyDescent="0.3">
      <c r="A1772" s="2" t="s">
        <v>14</v>
      </c>
      <c r="B1772" s="3" t="s">
        <v>14</v>
      </c>
      <c r="C1772" s="3" t="s">
        <v>1646</v>
      </c>
      <c r="D1772" s="3" t="s">
        <v>14</v>
      </c>
      <c r="E1772" s="3" t="s">
        <v>466</v>
      </c>
      <c r="F1772" s="4">
        <v>46287</v>
      </c>
      <c r="G1772" s="3" t="s">
        <v>17</v>
      </c>
      <c r="H1772" s="5">
        <v>-73140.5</v>
      </c>
      <c r="I1772" s="3" t="s">
        <v>18</v>
      </c>
      <c r="J1772" s="3" t="s">
        <v>14</v>
      </c>
      <c r="K1772" s="3" t="s">
        <v>14</v>
      </c>
      <c r="L1772" s="3" t="s">
        <v>1647</v>
      </c>
      <c r="M1772" s="4">
        <v>46287</v>
      </c>
      <c r="N1772" s="3" t="s">
        <v>1648</v>
      </c>
      <c r="O1772" s="3" t="s">
        <v>134</v>
      </c>
      <c r="P1772" t="str">
        <f t="shared" si="27"/>
        <v>450013856370</v>
      </c>
      <c r="Q1772" s="7" cm="1">
        <f t="array" ref="Q1772:S1772">VLOOKUP(P1772,Hoja1!C:F,{2,3,4},FALSE)</f>
        <v>46287</v>
      </c>
      <c r="R1772" t="str">
        <v>C17</v>
      </c>
      <c r="S1772" t="str">
        <v>1000012179 TINTA NEGRA S. A. S.</v>
      </c>
    </row>
    <row r="1773" spans="1:19" x14ac:dyDescent="0.3">
      <c r="A1773" s="2" t="s">
        <v>14</v>
      </c>
      <c r="B1773" s="3" t="s">
        <v>14</v>
      </c>
      <c r="C1773" s="3" t="s">
        <v>1649</v>
      </c>
      <c r="D1773" s="3" t="s">
        <v>14</v>
      </c>
      <c r="E1773" s="3" t="s">
        <v>466</v>
      </c>
      <c r="F1773" s="4">
        <v>46287</v>
      </c>
      <c r="G1773" s="3" t="s">
        <v>17</v>
      </c>
      <c r="H1773" s="5">
        <v>-1236775.1399999999</v>
      </c>
      <c r="I1773" s="3" t="s">
        <v>18</v>
      </c>
      <c r="J1773" s="3" t="s">
        <v>14</v>
      </c>
      <c r="K1773" s="3" t="s">
        <v>14</v>
      </c>
      <c r="L1773" s="3" t="s">
        <v>1650</v>
      </c>
      <c r="M1773" s="4">
        <v>46287</v>
      </c>
      <c r="N1773" s="3" t="s">
        <v>1651</v>
      </c>
      <c r="O1773" s="3" t="s">
        <v>30</v>
      </c>
      <c r="P1773" t="str">
        <f t="shared" si="27"/>
        <v>450013901210</v>
      </c>
      <c r="Q1773" s="7" cm="1">
        <f t="array" ref="Q1773:S1773">VLOOKUP(P1773,Hoja1!C:F,{2,3,4},FALSE)</f>
        <v>46288</v>
      </c>
      <c r="R1773" t="str">
        <v>C19</v>
      </c>
      <c r="S1773" t="str">
        <v>1000000074 BLAS MARTINUCCI E HIJOS S.A.</v>
      </c>
    </row>
    <row r="1774" spans="1:19" x14ac:dyDescent="0.3">
      <c r="A1774" s="2" t="s">
        <v>14</v>
      </c>
      <c r="B1774" s="3" t="s">
        <v>14</v>
      </c>
      <c r="C1774" s="3" t="s">
        <v>1652</v>
      </c>
      <c r="D1774" s="3" t="s">
        <v>14</v>
      </c>
      <c r="E1774" s="3" t="s">
        <v>466</v>
      </c>
      <c r="F1774" s="4">
        <v>46287</v>
      </c>
      <c r="G1774" s="3" t="s">
        <v>17</v>
      </c>
      <c r="H1774" s="5">
        <v>-144525.98000000001</v>
      </c>
      <c r="I1774" s="3" t="s">
        <v>18</v>
      </c>
      <c r="J1774" s="3" t="s">
        <v>14</v>
      </c>
      <c r="K1774" s="3" t="s">
        <v>14</v>
      </c>
      <c r="L1774" s="3" t="s">
        <v>434</v>
      </c>
      <c r="M1774" s="4">
        <v>46287</v>
      </c>
      <c r="N1774" s="3" t="s">
        <v>1653</v>
      </c>
      <c r="O1774" s="3" t="s">
        <v>30</v>
      </c>
      <c r="P1774" t="str">
        <f t="shared" si="27"/>
        <v>450013894910</v>
      </c>
      <c r="Q1774" s="7" cm="1">
        <f t="array" ref="Q1774:S1774">VLOOKUP(P1774,Hoja1!C:F,{2,3,4},FALSE)</f>
        <v>46295</v>
      </c>
      <c r="R1774" t="str">
        <v>C03</v>
      </c>
      <c r="S1774" t="str">
        <v>1000000488 BETA S.A.</v>
      </c>
    </row>
    <row r="1775" spans="1:19" x14ac:dyDescent="0.3">
      <c r="A1775" s="2" t="s">
        <v>14</v>
      </c>
      <c r="B1775" s="3" t="s">
        <v>14</v>
      </c>
      <c r="C1775" s="3" t="s">
        <v>1652</v>
      </c>
      <c r="D1775" s="3" t="s">
        <v>14</v>
      </c>
      <c r="E1775" s="3" t="s">
        <v>466</v>
      </c>
      <c r="F1775" s="4">
        <v>46287</v>
      </c>
      <c r="G1775" s="3" t="s">
        <v>17</v>
      </c>
      <c r="H1775" s="5">
        <v>-4077.32</v>
      </c>
      <c r="I1775" s="3" t="s">
        <v>18</v>
      </c>
      <c r="J1775" s="3" t="s">
        <v>14</v>
      </c>
      <c r="K1775" s="3" t="s">
        <v>14</v>
      </c>
      <c r="L1775" s="3" t="s">
        <v>434</v>
      </c>
      <c r="M1775" s="4">
        <v>46287</v>
      </c>
      <c r="N1775" s="3" t="s">
        <v>1653</v>
      </c>
      <c r="O1775" s="3" t="s">
        <v>35</v>
      </c>
      <c r="P1775" t="str">
        <f t="shared" si="27"/>
        <v>450013894930</v>
      </c>
      <c r="Q1775" s="7" cm="1">
        <f t="array" ref="Q1775:S1775">VLOOKUP(P1775,Hoja1!C:F,{2,3,4},FALSE)</f>
        <v>46295</v>
      </c>
      <c r="R1775" t="str">
        <v>C03</v>
      </c>
      <c r="S1775" t="str">
        <v>1000000488 BETA S.A.</v>
      </c>
    </row>
    <row r="1776" spans="1:19" x14ac:dyDescent="0.3">
      <c r="A1776" s="2" t="s">
        <v>14</v>
      </c>
      <c r="B1776" s="3" t="s">
        <v>14</v>
      </c>
      <c r="C1776" s="3" t="s">
        <v>1652</v>
      </c>
      <c r="D1776" s="3" t="s">
        <v>14</v>
      </c>
      <c r="E1776" s="3" t="s">
        <v>466</v>
      </c>
      <c r="F1776" s="4">
        <v>46287</v>
      </c>
      <c r="G1776" s="3" t="s">
        <v>17</v>
      </c>
      <c r="H1776" s="5">
        <v>-4647.72</v>
      </c>
      <c r="I1776" s="3" t="s">
        <v>18</v>
      </c>
      <c r="J1776" s="3" t="s">
        <v>14</v>
      </c>
      <c r="K1776" s="3" t="s">
        <v>14</v>
      </c>
      <c r="L1776" s="3" t="s">
        <v>434</v>
      </c>
      <c r="M1776" s="4">
        <v>46287</v>
      </c>
      <c r="N1776" s="3" t="s">
        <v>1653</v>
      </c>
      <c r="O1776" s="3" t="s">
        <v>23</v>
      </c>
      <c r="P1776" t="str">
        <f t="shared" si="27"/>
        <v>450013894940</v>
      </c>
      <c r="Q1776" s="7" cm="1">
        <f t="array" ref="Q1776:S1776">VLOOKUP(P1776,Hoja1!C:F,{2,3,4},FALSE)</f>
        <v>46295</v>
      </c>
      <c r="R1776" t="str">
        <v>C03</v>
      </c>
      <c r="S1776" t="str">
        <v>1000000488 BETA S.A.</v>
      </c>
    </row>
    <row r="1777" spans="1:19" x14ac:dyDescent="0.3">
      <c r="A1777" s="2" t="s">
        <v>14</v>
      </c>
      <c r="B1777" s="3" t="s">
        <v>14</v>
      </c>
      <c r="C1777" s="3" t="s">
        <v>1654</v>
      </c>
      <c r="D1777" s="3" t="s">
        <v>14</v>
      </c>
      <c r="E1777" s="3" t="s">
        <v>466</v>
      </c>
      <c r="F1777" s="4">
        <v>46287</v>
      </c>
      <c r="G1777" s="3" t="s">
        <v>17</v>
      </c>
      <c r="H1777" s="5">
        <v>-111954.96</v>
      </c>
      <c r="I1777" s="3" t="s">
        <v>18</v>
      </c>
      <c r="J1777" s="3" t="s">
        <v>14</v>
      </c>
      <c r="K1777" s="3" t="s">
        <v>14</v>
      </c>
      <c r="L1777" s="3" t="s">
        <v>1655</v>
      </c>
      <c r="M1777" s="4">
        <v>46287</v>
      </c>
      <c r="N1777" s="3" t="s">
        <v>1656</v>
      </c>
      <c r="O1777" s="3" t="s">
        <v>30</v>
      </c>
      <c r="P1777" t="str">
        <f t="shared" si="27"/>
        <v>450012141110</v>
      </c>
      <c r="Q1777" s="7" cm="1">
        <f t="array" ref="Q1777:S1777">VLOOKUP(P1777,Hoja1!C:F,{2,3,4},FALSE)</f>
        <v>46387</v>
      </c>
      <c r="R1777" t="str">
        <v>C25</v>
      </c>
      <c r="S1777" t="str">
        <v>1000000454 IRT- MEDICINA P/EMPRESAS S.A.</v>
      </c>
    </row>
    <row r="1778" spans="1:19" x14ac:dyDescent="0.3">
      <c r="A1778" s="2" t="s">
        <v>14</v>
      </c>
      <c r="B1778" s="3" t="s">
        <v>14</v>
      </c>
      <c r="C1778" s="3" t="s">
        <v>1657</v>
      </c>
      <c r="D1778" s="3" t="s">
        <v>14</v>
      </c>
      <c r="E1778" s="3" t="s">
        <v>466</v>
      </c>
      <c r="F1778" s="4">
        <v>46287</v>
      </c>
      <c r="G1778" s="3" t="s">
        <v>17</v>
      </c>
      <c r="H1778" s="5">
        <v>-28752</v>
      </c>
      <c r="I1778" s="3" t="s">
        <v>18</v>
      </c>
      <c r="J1778" s="3" t="s">
        <v>14</v>
      </c>
      <c r="K1778" s="3" t="s">
        <v>14</v>
      </c>
      <c r="L1778" s="3" t="s">
        <v>1658</v>
      </c>
      <c r="M1778" s="4">
        <v>46287</v>
      </c>
      <c r="N1778" s="3" t="s">
        <v>1659</v>
      </c>
      <c r="O1778" s="3" t="s">
        <v>30</v>
      </c>
      <c r="P1778" t="str">
        <f t="shared" si="27"/>
        <v>450013918710</v>
      </c>
      <c r="Q1778" s="7" cm="1">
        <f t="array" ref="Q1778:S1778">VLOOKUP(P1778,Hoja1!C:F,{2,3,4},FALSE)</f>
        <v>46295</v>
      </c>
      <c r="R1778" t="str">
        <v>C42</v>
      </c>
      <c r="S1778" t="str">
        <v>1000000487 GRUPO AUTOPARTISTA S.A.</v>
      </c>
    </row>
    <row r="1779" spans="1:19" x14ac:dyDescent="0.3">
      <c r="A1779" s="2" t="s">
        <v>14</v>
      </c>
      <c r="B1779" s="3" t="s">
        <v>14</v>
      </c>
      <c r="C1779" s="3" t="s">
        <v>1660</v>
      </c>
      <c r="D1779" s="3" t="s">
        <v>14</v>
      </c>
      <c r="E1779" s="3" t="s">
        <v>466</v>
      </c>
      <c r="F1779" s="4">
        <v>46287</v>
      </c>
      <c r="G1779" s="3" t="s">
        <v>17</v>
      </c>
      <c r="H1779" s="5">
        <v>-207827.96</v>
      </c>
      <c r="I1779" s="3" t="s">
        <v>18</v>
      </c>
      <c r="J1779" s="3" t="s">
        <v>14</v>
      </c>
      <c r="K1779" s="3" t="s">
        <v>14</v>
      </c>
      <c r="L1779" s="3" t="s">
        <v>117</v>
      </c>
      <c r="M1779" s="4">
        <v>46287</v>
      </c>
      <c r="N1779" s="3" t="s">
        <v>1661</v>
      </c>
      <c r="O1779" s="3" t="s">
        <v>178</v>
      </c>
      <c r="P1779" t="str">
        <f t="shared" si="27"/>
        <v>4500138507400</v>
      </c>
      <c r="Q1779" s="7" cm="1">
        <f t="array" ref="Q1779:S1779">VLOOKUP(P1779,Hoja1!C:F,{2,3,4},FALSE)</f>
        <v>46283</v>
      </c>
      <c r="R1779" t="str">
        <v>C03</v>
      </c>
      <c r="S1779" t="str">
        <v>1000001129 AGRONORTE S.R.L.</v>
      </c>
    </row>
    <row r="1780" spans="1:19" x14ac:dyDescent="0.3">
      <c r="A1780" s="2" t="s">
        <v>14</v>
      </c>
      <c r="B1780" s="3" t="s">
        <v>14</v>
      </c>
      <c r="C1780" s="3" t="s">
        <v>1660</v>
      </c>
      <c r="D1780" s="3" t="s">
        <v>14</v>
      </c>
      <c r="E1780" s="3" t="s">
        <v>466</v>
      </c>
      <c r="F1780" s="4">
        <v>46287</v>
      </c>
      <c r="G1780" s="3" t="s">
        <v>17</v>
      </c>
      <c r="H1780" s="5">
        <v>-17495.11</v>
      </c>
      <c r="I1780" s="3" t="s">
        <v>18</v>
      </c>
      <c r="J1780" s="3" t="s">
        <v>14</v>
      </c>
      <c r="K1780" s="3" t="s">
        <v>14</v>
      </c>
      <c r="L1780" s="3" t="s">
        <v>117</v>
      </c>
      <c r="M1780" s="4">
        <v>46287</v>
      </c>
      <c r="N1780" s="3" t="s">
        <v>1661</v>
      </c>
      <c r="O1780" s="3" t="s">
        <v>133</v>
      </c>
      <c r="P1780" t="str">
        <f t="shared" si="27"/>
        <v>4500138507280</v>
      </c>
      <c r="Q1780" s="7" cm="1">
        <f t="array" ref="Q1780:S1780">VLOOKUP(P1780,Hoja1!C:F,{2,3,4},FALSE)</f>
        <v>46283</v>
      </c>
      <c r="R1780" t="str">
        <v>C03</v>
      </c>
      <c r="S1780" t="str">
        <v>1000001129 AGRONORTE S.R.L.</v>
      </c>
    </row>
    <row r="1781" spans="1:19" x14ac:dyDescent="0.3">
      <c r="A1781" s="2" t="s">
        <v>14</v>
      </c>
      <c r="B1781" s="3" t="s">
        <v>14</v>
      </c>
      <c r="C1781" s="3" t="s">
        <v>1660</v>
      </c>
      <c r="D1781" s="3" t="s">
        <v>14</v>
      </c>
      <c r="E1781" s="3" t="s">
        <v>466</v>
      </c>
      <c r="F1781" s="4">
        <v>46287</v>
      </c>
      <c r="G1781" s="3" t="s">
        <v>17</v>
      </c>
      <c r="H1781" s="5">
        <v>-2717.1</v>
      </c>
      <c r="I1781" s="3" t="s">
        <v>18</v>
      </c>
      <c r="J1781" s="3" t="s">
        <v>14</v>
      </c>
      <c r="K1781" s="3" t="s">
        <v>14</v>
      </c>
      <c r="L1781" s="3" t="s">
        <v>117</v>
      </c>
      <c r="M1781" s="4">
        <v>46287</v>
      </c>
      <c r="N1781" s="3" t="s">
        <v>1661</v>
      </c>
      <c r="O1781" s="3" t="s">
        <v>147</v>
      </c>
      <c r="P1781" t="str">
        <f t="shared" si="27"/>
        <v>4500138507310</v>
      </c>
      <c r="Q1781" s="7" cm="1">
        <f t="array" ref="Q1781:S1781">VLOOKUP(P1781,Hoja1!C:F,{2,3,4},FALSE)</f>
        <v>46283</v>
      </c>
      <c r="R1781" t="str">
        <v>C03</v>
      </c>
      <c r="S1781" t="str">
        <v>1000001129 AGRONORTE S.R.L.</v>
      </c>
    </row>
    <row r="1782" spans="1:19" x14ac:dyDescent="0.3">
      <c r="A1782" s="2" t="s">
        <v>14</v>
      </c>
      <c r="B1782" s="3" t="s">
        <v>14</v>
      </c>
      <c r="C1782" s="3" t="s">
        <v>1660</v>
      </c>
      <c r="D1782" s="3" t="s">
        <v>14</v>
      </c>
      <c r="E1782" s="3" t="s">
        <v>466</v>
      </c>
      <c r="F1782" s="4">
        <v>46287</v>
      </c>
      <c r="G1782" s="3" t="s">
        <v>17</v>
      </c>
      <c r="H1782" s="5">
        <v>-11411.82</v>
      </c>
      <c r="I1782" s="3" t="s">
        <v>18</v>
      </c>
      <c r="J1782" s="3" t="s">
        <v>14</v>
      </c>
      <c r="K1782" s="3" t="s">
        <v>14</v>
      </c>
      <c r="L1782" s="3" t="s">
        <v>117</v>
      </c>
      <c r="M1782" s="4">
        <v>46287</v>
      </c>
      <c r="N1782" s="3" t="s">
        <v>1661</v>
      </c>
      <c r="O1782" s="3" t="s">
        <v>22</v>
      </c>
      <c r="P1782" t="str">
        <f t="shared" si="27"/>
        <v>450013850720</v>
      </c>
      <c r="Q1782" s="7" cm="1">
        <f t="array" ref="Q1782:S1782">VLOOKUP(P1782,Hoja1!C:F,{2,3,4},FALSE)</f>
        <v>46283</v>
      </c>
      <c r="R1782" t="str">
        <v>C03</v>
      </c>
      <c r="S1782" t="str">
        <v>1000001129 AGRONORTE S.R.L.</v>
      </c>
    </row>
    <row r="1783" spans="1:19" x14ac:dyDescent="0.3">
      <c r="A1783" s="2" t="s">
        <v>14</v>
      </c>
      <c r="B1783" s="3" t="s">
        <v>14</v>
      </c>
      <c r="C1783" s="3" t="s">
        <v>1660</v>
      </c>
      <c r="D1783" s="3" t="s">
        <v>14</v>
      </c>
      <c r="E1783" s="3" t="s">
        <v>466</v>
      </c>
      <c r="F1783" s="4">
        <v>46287</v>
      </c>
      <c r="G1783" s="3" t="s">
        <v>17</v>
      </c>
      <c r="H1783" s="5">
        <v>-72637.14</v>
      </c>
      <c r="I1783" s="3" t="s">
        <v>18</v>
      </c>
      <c r="J1783" s="3" t="s">
        <v>14</v>
      </c>
      <c r="K1783" s="3" t="s">
        <v>14</v>
      </c>
      <c r="L1783" s="3" t="s">
        <v>117</v>
      </c>
      <c r="M1783" s="4">
        <v>46287</v>
      </c>
      <c r="N1783" s="3" t="s">
        <v>1661</v>
      </c>
      <c r="O1783" s="3" t="s">
        <v>170</v>
      </c>
      <c r="P1783" t="str">
        <f t="shared" si="27"/>
        <v>4500138507460</v>
      </c>
      <c r="Q1783" s="7" cm="1">
        <f t="array" ref="Q1783:S1783">VLOOKUP(P1783,Hoja1!C:F,{2,3,4},FALSE)</f>
        <v>46283</v>
      </c>
      <c r="R1783" t="str">
        <v>C03</v>
      </c>
      <c r="S1783" t="str">
        <v>1000001129 AGRONORTE S.R.L.</v>
      </c>
    </row>
    <row r="1784" spans="1:19" x14ac:dyDescent="0.3">
      <c r="A1784" s="2" t="s">
        <v>14</v>
      </c>
      <c r="B1784" s="3" t="s">
        <v>14</v>
      </c>
      <c r="C1784" s="3" t="s">
        <v>1660</v>
      </c>
      <c r="D1784" s="3" t="s">
        <v>14</v>
      </c>
      <c r="E1784" s="3" t="s">
        <v>466</v>
      </c>
      <c r="F1784" s="4">
        <v>46287</v>
      </c>
      <c r="G1784" s="3" t="s">
        <v>17</v>
      </c>
      <c r="H1784" s="5">
        <v>-26914.39</v>
      </c>
      <c r="I1784" s="3" t="s">
        <v>18</v>
      </c>
      <c r="J1784" s="3" t="s">
        <v>14</v>
      </c>
      <c r="K1784" s="3" t="s">
        <v>14</v>
      </c>
      <c r="L1784" s="3" t="s">
        <v>117</v>
      </c>
      <c r="M1784" s="4">
        <v>46287</v>
      </c>
      <c r="N1784" s="3" t="s">
        <v>1661</v>
      </c>
      <c r="O1784" s="3" t="s">
        <v>150</v>
      </c>
      <c r="P1784" t="str">
        <f t="shared" si="27"/>
        <v>4500138507320</v>
      </c>
      <c r="Q1784" s="7" cm="1">
        <f t="array" ref="Q1784:S1784">VLOOKUP(P1784,Hoja1!C:F,{2,3,4},FALSE)</f>
        <v>46283</v>
      </c>
      <c r="R1784" t="str">
        <v>C03</v>
      </c>
      <c r="S1784" t="str">
        <v>1000001129 AGRONORTE S.R.L.</v>
      </c>
    </row>
    <row r="1785" spans="1:19" x14ac:dyDescent="0.3">
      <c r="A1785" s="2" t="s">
        <v>14</v>
      </c>
      <c r="B1785" s="3" t="s">
        <v>14</v>
      </c>
      <c r="C1785" s="3" t="s">
        <v>1660</v>
      </c>
      <c r="D1785" s="3" t="s">
        <v>14</v>
      </c>
      <c r="E1785" s="3" t="s">
        <v>466</v>
      </c>
      <c r="F1785" s="4">
        <v>46287</v>
      </c>
      <c r="G1785" s="3" t="s">
        <v>17</v>
      </c>
      <c r="H1785" s="5">
        <v>-37707.31</v>
      </c>
      <c r="I1785" s="3" t="s">
        <v>18</v>
      </c>
      <c r="J1785" s="3" t="s">
        <v>14</v>
      </c>
      <c r="K1785" s="3" t="s">
        <v>14</v>
      </c>
      <c r="L1785" s="3" t="s">
        <v>117</v>
      </c>
      <c r="M1785" s="4">
        <v>46287</v>
      </c>
      <c r="N1785" s="3" t="s">
        <v>1661</v>
      </c>
      <c r="O1785" s="3" t="s">
        <v>128</v>
      </c>
      <c r="P1785" t="str">
        <f t="shared" si="27"/>
        <v>4500138507250</v>
      </c>
      <c r="Q1785" s="7" cm="1">
        <f t="array" ref="Q1785:S1785">VLOOKUP(P1785,Hoja1!C:F,{2,3,4},FALSE)</f>
        <v>46283</v>
      </c>
      <c r="R1785" t="str">
        <v>C03</v>
      </c>
      <c r="S1785" t="str">
        <v>1000001129 AGRONORTE S.R.L.</v>
      </c>
    </row>
    <row r="1786" spans="1:19" x14ac:dyDescent="0.3">
      <c r="A1786" s="2" t="s">
        <v>14</v>
      </c>
      <c r="B1786" s="3" t="s">
        <v>14</v>
      </c>
      <c r="C1786" s="3" t="s">
        <v>1660</v>
      </c>
      <c r="D1786" s="3" t="s">
        <v>14</v>
      </c>
      <c r="E1786" s="3" t="s">
        <v>466</v>
      </c>
      <c r="F1786" s="4">
        <v>46287</v>
      </c>
      <c r="G1786" s="3" t="s">
        <v>17</v>
      </c>
      <c r="H1786" s="5">
        <v>-74629.679999999993</v>
      </c>
      <c r="I1786" s="3" t="s">
        <v>18</v>
      </c>
      <c r="J1786" s="3" t="s">
        <v>14</v>
      </c>
      <c r="K1786" s="3" t="s">
        <v>14</v>
      </c>
      <c r="L1786" s="3" t="s">
        <v>117</v>
      </c>
      <c r="M1786" s="4">
        <v>46287</v>
      </c>
      <c r="N1786" s="3" t="s">
        <v>1661</v>
      </c>
      <c r="O1786" s="3" t="s">
        <v>171</v>
      </c>
      <c r="P1786" t="str">
        <f t="shared" si="27"/>
        <v>4500138507470</v>
      </c>
      <c r="Q1786" s="7" cm="1">
        <f t="array" ref="Q1786:S1786">VLOOKUP(P1786,Hoja1!C:F,{2,3,4},FALSE)</f>
        <v>46283</v>
      </c>
      <c r="R1786" t="str">
        <v>C03</v>
      </c>
      <c r="S1786" t="str">
        <v>1000001129 AGRONORTE S.R.L.</v>
      </c>
    </row>
    <row r="1787" spans="1:19" x14ac:dyDescent="0.3">
      <c r="A1787" s="2" t="s">
        <v>14</v>
      </c>
      <c r="B1787" s="3" t="s">
        <v>14</v>
      </c>
      <c r="C1787" s="3" t="s">
        <v>1660</v>
      </c>
      <c r="D1787" s="3" t="s">
        <v>14</v>
      </c>
      <c r="E1787" s="3" t="s">
        <v>466</v>
      </c>
      <c r="F1787" s="4">
        <v>46287</v>
      </c>
      <c r="G1787" s="3" t="s">
        <v>17</v>
      </c>
      <c r="H1787" s="5">
        <v>-24604.85</v>
      </c>
      <c r="I1787" s="3" t="s">
        <v>18</v>
      </c>
      <c r="J1787" s="3" t="s">
        <v>14</v>
      </c>
      <c r="K1787" s="3" t="s">
        <v>14</v>
      </c>
      <c r="L1787" s="3" t="s">
        <v>117</v>
      </c>
      <c r="M1787" s="4">
        <v>46287</v>
      </c>
      <c r="N1787" s="3" t="s">
        <v>1661</v>
      </c>
      <c r="O1787" s="3" t="s">
        <v>140</v>
      </c>
      <c r="P1787" t="str">
        <f t="shared" si="27"/>
        <v>4500138507220</v>
      </c>
      <c r="Q1787" s="7" cm="1">
        <f t="array" ref="Q1787:S1787">VLOOKUP(P1787,Hoja1!C:F,{2,3,4},FALSE)</f>
        <v>46283</v>
      </c>
      <c r="R1787" t="str">
        <v>C03</v>
      </c>
      <c r="S1787" t="str">
        <v>1000001129 AGRONORTE S.R.L.</v>
      </c>
    </row>
    <row r="1788" spans="1:19" x14ac:dyDescent="0.3">
      <c r="A1788" s="2" t="s">
        <v>14</v>
      </c>
      <c r="B1788" s="3" t="s">
        <v>14</v>
      </c>
      <c r="C1788" s="3" t="s">
        <v>1660</v>
      </c>
      <c r="D1788" s="3" t="s">
        <v>14</v>
      </c>
      <c r="E1788" s="3" t="s">
        <v>466</v>
      </c>
      <c r="F1788" s="4">
        <v>46287</v>
      </c>
      <c r="G1788" s="3" t="s">
        <v>17</v>
      </c>
      <c r="H1788" s="5">
        <v>-333448.55</v>
      </c>
      <c r="I1788" s="3" t="s">
        <v>18</v>
      </c>
      <c r="J1788" s="3" t="s">
        <v>14</v>
      </c>
      <c r="K1788" s="3" t="s">
        <v>14</v>
      </c>
      <c r="L1788" s="3" t="s">
        <v>117</v>
      </c>
      <c r="M1788" s="4">
        <v>46287</v>
      </c>
      <c r="N1788" s="3" t="s">
        <v>1661</v>
      </c>
      <c r="O1788" s="3" t="s">
        <v>161</v>
      </c>
      <c r="P1788" t="str">
        <f t="shared" si="27"/>
        <v>4500138507200</v>
      </c>
      <c r="Q1788" s="7" cm="1">
        <f t="array" ref="Q1788:S1788">VLOOKUP(P1788,Hoja1!C:F,{2,3,4},FALSE)</f>
        <v>46283</v>
      </c>
      <c r="R1788" t="str">
        <v>C03</v>
      </c>
      <c r="S1788" t="str">
        <v>1000001129 AGRONORTE S.R.L.</v>
      </c>
    </row>
    <row r="1789" spans="1:19" x14ac:dyDescent="0.3">
      <c r="A1789" s="2" t="s">
        <v>14</v>
      </c>
      <c r="B1789" s="3" t="s">
        <v>14</v>
      </c>
      <c r="C1789" s="3" t="s">
        <v>1660</v>
      </c>
      <c r="D1789" s="3" t="s">
        <v>14</v>
      </c>
      <c r="E1789" s="3" t="s">
        <v>466</v>
      </c>
      <c r="F1789" s="4">
        <v>46287</v>
      </c>
      <c r="G1789" s="3" t="s">
        <v>17</v>
      </c>
      <c r="H1789" s="5">
        <v>-6853.13</v>
      </c>
      <c r="I1789" s="3" t="s">
        <v>18</v>
      </c>
      <c r="J1789" s="3" t="s">
        <v>14</v>
      </c>
      <c r="K1789" s="3" t="s">
        <v>14</v>
      </c>
      <c r="L1789" s="3" t="s">
        <v>117</v>
      </c>
      <c r="M1789" s="4">
        <v>46287</v>
      </c>
      <c r="N1789" s="3" t="s">
        <v>1661</v>
      </c>
      <c r="O1789" s="3" t="s">
        <v>68</v>
      </c>
      <c r="P1789" t="str">
        <f t="shared" si="27"/>
        <v>4500138507150</v>
      </c>
      <c r="Q1789" s="7" cm="1">
        <f t="array" ref="Q1789:S1789">VLOOKUP(P1789,Hoja1!C:F,{2,3,4},FALSE)</f>
        <v>46283</v>
      </c>
      <c r="R1789" t="str">
        <v>C03</v>
      </c>
      <c r="S1789" t="str">
        <v>1000001129 AGRONORTE S.R.L.</v>
      </c>
    </row>
    <row r="1790" spans="1:19" x14ac:dyDescent="0.3">
      <c r="A1790" s="2" t="s">
        <v>14</v>
      </c>
      <c r="B1790" s="3" t="s">
        <v>14</v>
      </c>
      <c r="C1790" s="3" t="s">
        <v>1660</v>
      </c>
      <c r="D1790" s="3" t="s">
        <v>14</v>
      </c>
      <c r="E1790" s="3" t="s">
        <v>466</v>
      </c>
      <c r="F1790" s="4">
        <v>46287</v>
      </c>
      <c r="G1790" s="3" t="s">
        <v>17</v>
      </c>
      <c r="H1790" s="5">
        <v>-2626.53</v>
      </c>
      <c r="I1790" s="3" t="s">
        <v>18</v>
      </c>
      <c r="J1790" s="3" t="s">
        <v>14</v>
      </c>
      <c r="K1790" s="3" t="s">
        <v>14</v>
      </c>
      <c r="L1790" s="3" t="s">
        <v>117</v>
      </c>
      <c r="M1790" s="4">
        <v>46287</v>
      </c>
      <c r="N1790" s="3" t="s">
        <v>1661</v>
      </c>
      <c r="O1790" s="3" t="s">
        <v>142</v>
      </c>
      <c r="P1790" t="str">
        <f t="shared" si="27"/>
        <v>4500138507130</v>
      </c>
      <c r="Q1790" s="7" cm="1">
        <f t="array" ref="Q1790:S1790">VLOOKUP(P1790,Hoja1!C:F,{2,3,4},FALSE)</f>
        <v>46283</v>
      </c>
      <c r="R1790" t="str">
        <v>C03</v>
      </c>
      <c r="S1790" t="str">
        <v>1000001129 AGRONORTE S.R.L.</v>
      </c>
    </row>
    <row r="1791" spans="1:19" x14ac:dyDescent="0.3">
      <c r="A1791" s="2" t="s">
        <v>14</v>
      </c>
      <c r="B1791" s="3" t="s">
        <v>14</v>
      </c>
      <c r="C1791" s="3" t="s">
        <v>1660</v>
      </c>
      <c r="D1791" s="3" t="s">
        <v>14</v>
      </c>
      <c r="E1791" s="3" t="s">
        <v>466</v>
      </c>
      <c r="F1791" s="4">
        <v>46287</v>
      </c>
      <c r="G1791" s="3" t="s">
        <v>17</v>
      </c>
      <c r="H1791" s="5">
        <v>-8906.0499999999993</v>
      </c>
      <c r="I1791" s="3" t="s">
        <v>18</v>
      </c>
      <c r="J1791" s="3" t="s">
        <v>14</v>
      </c>
      <c r="K1791" s="3" t="s">
        <v>14</v>
      </c>
      <c r="L1791" s="3" t="s">
        <v>117</v>
      </c>
      <c r="M1791" s="4">
        <v>46287</v>
      </c>
      <c r="N1791" s="3" t="s">
        <v>1661</v>
      </c>
      <c r="O1791" s="3" t="s">
        <v>141</v>
      </c>
      <c r="P1791" t="str">
        <f t="shared" si="27"/>
        <v>450013850760</v>
      </c>
      <c r="Q1791" s="7" cm="1">
        <f t="array" ref="Q1791:S1791">VLOOKUP(P1791,Hoja1!C:F,{2,3,4},FALSE)</f>
        <v>46283</v>
      </c>
      <c r="R1791" t="str">
        <v>C03</v>
      </c>
      <c r="S1791" t="str">
        <v>1000001129 AGRONORTE S.R.L.</v>
      </c>
    </row>
    <row r="1792" spans="1:19" x14ac:dyDescent="0.3">
      <c r="A1792" s="2" t="s">
        <v>14</v>
      </c>
      <c r="B1792" s="3" t="s">
        <v>14</v>
      </c>
      <c r="C1792" s="3" t="s">
        <v>1660</v>
      </c>
      <c r="D1792" s="3" t="s">
        <v>14</v>
      </c>
      <c r="E1792" s="3" t="s">
        <v>466</v>
      </c>
      <c r="F1792" s="4">
        <v>46287</v>
      </c>
      <c r="G1792" s="3" t="s">
        <v>17</v>
      </c>
      <c r="H1792" s="5">
        <v>-423158.14</v>
      </c>
      <c r="I1792" s="3" t="s">
        <v>18</v>
      </c>
      <c r="J1792" s="3" t="s">
        <v>14</v>
      </c>
      <c r="K1792" s="3" t="s">
        <v>14</v>
      </c>
      <c r="L1792" s="3" t="s">
        <v>117</v>
      </c>
      <c r="M1792" s="4">
        <v>46287</v>
      </c>
      <c r="N1792" s="3" t="s">
        <v>1661</v>
      </c>
      <c r="O1792" s="3" t="s">
        <v>145</v>
      </c>
      <c r="P1792" t="str">
        <f t="shared" si="27"/>
        <v>4500138507300</v>
      </c>
      <c r="Q1792" s="7" cm="1">
        <f t="array" ref="Q1792:S1792">VLOOKUP(P1792,Hoja1!C:F,{2,3,4},FALSE)</f>
        <v>46283</v>
      </c>
      <c r="R1792" t="str">
        <v>C03</v>
      </c>
      <c r="S1792" t="str">
        <v>1000001129 AGRONORTE S.R.L.</v>
      </c>
    </row>
    <row r="1793" spans="1:19" x14ac:dyDescent="0.3">
      <c r="A1793" s="2" t="s">
        <v>14</v>
      </c>
      <c r="B1793" s="3" t="s">
        <v>14</v>
      </c>
      <c r="C1793" s="3" t="s">
        <v>1660</v>
      </c>
      <c r="D1793" s="3" t="s">
        <v>14</v>
      </c>
      <c r="E1793" s="3" t="s">
        <v>466</v>
      </c>
      <c r="F1793" s="4">
        <v>46287</v>
      </c>
      <c r="G1793" s="3" t="s">
        <v>17</v>
      </c>
      <c r="H1793" s="5">
        <v>-57149.67</v>
      </c>
      <c r="I1793" s="3" t="s">
        <v>18</v>
      </c>
      <c r="J1793" s="3" t="s">
        <v>14</v>
      </c>
      <c r="K1793" s="3" t="s">
        <v>14</v>
      </c>
      <c r="L1793" s="3" t="s">
        <v>117</v>
      </c>
      <c r="M1793" s="4">
        <v>46287</v>
      </c>
      <c r="N1793" s="3" t="s">
        <v>1661</v>
      </c>
      <c r="O1793" s="3" t="s">
        <v>23</v>
      </c>
      <c r="P1793" t="str">
        <f t="shared" si="27"/>
        <v>450013850740</v>
      </c>
      <c r="Q1793" s="7" cm="1">
        <f t="array" ref="Q1793:S1793">VLOOKUP(P1793,Hoja1!C:F,{2,3,4},FALSE)</f>
        <v>46283</v>
      </c>
      <c r="R1793" t="str">
        <v>C03</v>
      </c>
      <c r="S1793" t="str">
        <v>1000001129 AGRONORTE S.R.L.</v>
      </c>
    </row>
    <row r="1794" spans="1:19" x14ac:dyDescent="0.3">
      <c r="A1794" s="2" t="s">
        <v>14</v>
      </c>
      <c r="B1794" s="3" t="s">
        <v>14</v>
      </c>
      <c r="C1794" s="3" t="s">
        <v>1660</v>
      </c>
      <c r="D1794" s="3" t="s">
        <v>14</v>
      </c>
      <c r="E1794" s="3" t="s">
        <v>466</v>
      </c>
      <c r="F1794" s="4">
        <v>46287</v>
      </c>
      <c r="G1794" s="3" t="s">
        <v>17</v>
      </c>
      <c r="H1794" s="5">
        <v>-10264.6</v>
      </c>
      <c r="I1794" s="3" t="s">
        <v>18</v>
      </c>
      <c r="J1794" s="3" t="s">
        <v>14</v>
      </c>
      <c r="K1794" s="3" t="s">
        <v>14</v>
      </c>
      <c r="L1794" s="3" t="s">
        <v>117</v>
      </c>
      <c r="M1794" s="4">
        <v>46287</v>
      </c>
      <c r="N1794" s="3" t="s">
        <v>1661</v>
      </c>
      <c r="O1794" s="3" t="s">
        <v>154</v>
      </c>
      <c r="P1794" t="str">
        <f t="shared" si="27"/>
        <v>4500138507330</v>
      </c>
      <c r="Q1794" s="7" cm="1">
        <f t="array" ref="Q1794:S1794">VLOOKUP(P1794,Hoja1!C:F,{2,3,4},FALSE)</f>
        <v>46283</v>
      </c>
      <c r="R1794" t="str">
        <v>C03</v>
      </c>
      <c r="S1794" t="str">
        <v>1000001129 AGRONORTE S.R.L.</v>
      </c>
    </row>
    <row r="1795" spans="1:19" x14ac:dyDescent="0.3">
      <c r="A1795" s="2" t="s">
        <v>14</v>
      </c>
      <c r="B1795" s="3" t="s">
        <v>14</v>
      </c>
      <c r="C1795" s="3" t="s">
        <v>1660</v>
      </c>
      <c r="D1795" s="3" t="s">
        <v>14</v>
      </c>
      <c r="E1795" s="3" t="s">
        <v>466</v>
      </c>
      <c r="F1795" s="4">
        <v>46287</v>
      </c>
      <c r="G1795" s="3" t="s">
        <v>17</v>
      </c>
      <c r="H1795" s="5">
        <v>-4453.03</v>
      </c>
      <c r="I1795" s="3" t="s">
        <v>18</v>
      </c>
      <c r="J1795" s="3" t="s">
        <v>14</v>
      </c>
      <c r="K1795" s="3" t="s">
        <v>14</v>
      </c>
      <c r="L1795" s="3" t="s">
        <v>117</v>
      </c>
      <c r="M1795" s="4">
        <v>46287</v>
      </c>
      <c r="N1795" s="3" t="s">
        <v>1661</v>
      </c>
      <c r="O1795" s="3" t="s">
        <v>173</v>
      </c>
      <c r="P1795" t="str">
        <f t="shared" ref="P1795:P1858" si="28">_xlfn.CONCAT(N1795:O1795)</f>
        <v>4500138507290</v>
      </c>
      <c r="Q1795" s="7" cm="1">
        <f t="array" ref="Q1795:S1795">VLOOKUP(P1795,Hoja1!C:F,{2,3,4},FALSE)</f>
        <v>46283</v>
      </c>
      <c r="R1795" t="str">
        <v>C03</v>
      </c>
      <c r="S1795" t="str">
        <v>1000001129 AGRONORTE S.R.L.</v>
      </c>
    </row>
    <row r="1796" spans="1:19" x14ac:dyDescent="0.3">
      <c r="A1796" s="2" t="s">
        <v>14</v>
      </c>
      <c r="B1796" s="3" t="s">
        <v>14</v>
      </c>
      <c r="C1796" s="3" t="s">
        <v>1660</v>
      </c>
      <c r="D1796" s="3" t="s">
        <v>14</v>
      </c>
      <c r="E1796" s="3" t="s">
        <v>466</v>
      </c>
      <c r="F1796" s="4">
        <v>46287</v>
      </c>
      <c r="G1796" s="3" t="s">
        <v>17</v>
      </c>
      <c r="H1796" s="5">
        <v>-2717.1</v>
      </c>
      <c r="I1796" s="3" t="s">
        <v>18</v>
      </c>
      <c r="J1796" s="3" t="s">
        <v>14</v>
      </c>
      <c r="K1796" s="3" t="s">
        <v>14</v>
      </c>
      <c r="L1796" s="3" t="s">
        <v>117</v>
      </c>
      <c r="M1796" s="4">
        <v>46287</v>
      </c>
      <c r="N1796" s="3" t="s">
        <v>1661</v>
      </c>
      <c r="O1796" s="3" t="s">
        <v>146</v>
      </c>
      <c r="P1796" t="str">
        <f t="shared" si="28"/>
        <v>4500138507270</v>
      </c>
      <c r="Q1796" s="7" cm="1">
        <f t="array" ref="Q1796:S1796">VLOOKUP(P1796,Hoja1!C:F,{2,3,4},FALSE)</f>
        <v>46283</v>
      </c>
      <c r="R1796" t="str">
        <v>C03</v>
      </c>
      <c r="S1796" t="str">
        <v>1000001129 AGRONORTE S.R.L.</v>
      </c>
    </row>
    <row r="1797" spans="1:19" x14ac:dyDescent="0.3">
      <c r="A1797" s="2" t="s">
        <v>14</v>
      </c>
      <c r="B1797" s="3" t="s">
        <v>14</v>
      </c>
      <c r="C1797" s="3" t="s">
        <v>1660</v>
      </c>
      <c r="D1797" s="3" t="s">
        <v>14</v>
      </c>
      <c r="E1797" s="3" t="s">
        <v>466</v>
      </c>
      <c r="F1797" s="4">
        <v>46287</v>
      </c>
      <c r="G1797" s="3" t="s">
        <v>17</v>
      </c>
      <c r="H1797" s="5">
        <v>-32937.29</v>
      </c>
      <c r="I1797" s="3" t="s">
        <v>18</v>
      </c>
      <c r="J1797" s="3" t="s">
        <v>14</v>
      </c>
      <c r="K1797" s="3" t="s">
        <v>14</v>
      </c>
      <c r="L1797" s="3" t="s">
        <v>117</v>
      </c>
      <c r="M1797" s="4">
        <v>46287</v>
      </c>
      <c r="N1797" s="3" t="s">
        <v>1661</v>
      </c>
      <c r="O1797" s="3" t="s">
        <v>155</v>
      </c>
      <c r="P1797" t="str">
        <f t="shared" si="28"/>
        <v>4500138507420</v>
      </c>
      <c r="Q1797" s="7" cm="1">
        <f t="array" ref="Q1797:S1797">VLOOKUP(P1797,Hoja1!C:F,{2,3,4},FALSE)</f>
        <v>46283</v>
      </c>
      <c r="R1797" t="str">
        <v>C03</v>
      </c>
      <c r="S1797" t="str">
        <v>1000001129 AGRONORTE S.R.L.</v>
      </c>
    </row>
    <row r="1798" spans="1:19" x14ac:dyDescent="0.3">
      <c r="A1798" s="2" t="s">
        <v>14</v>
      </c>
      <c r="B1798" s="3" t="s">
        <v>14</v>
      </c>
      <c r="C1798" s="3" t="s">
        <v>1660</v>
      </c>
      <c r="D1798" s="3" t="s">
        <v>14</v>
      </c>
      <c r="E1798" s="3" t="s">
        <v>466</v>
      </c>
      <c r="F1798" s="4">
        <v>46287</v>
      </c>
      <c r="G1798" s="3" t="s">
        <v>17</v>
      </c>
      <c r="H1798" s="5">
        <v>-143689.31</v>
      </c>
      <c r="I1798" s="3" t="s">
        <v>18</v>
      </c>
      <c r="J1798" s="3" t="s">
        <v>14</v>
      </c>
      <c r="K1798" s="3" t="s">
        <v>14</v>
      </c>
      <c r="L1798" s="3" t="s">
        <v>117</v>
      </c>
      <c r="M1798" s="4">
        <v>46287</v>
      </c>
      <c r="N1798" s="3" t="s">
        <v>1661</v>
      </c>
      <c r="O1798" s="3" t="s">
        <v>166</v>
      </c>
      <c r="P1798" t="str">
        <f t="shared" si="28"/>
        <v>4500138507430</v>
      </c>
      <c r="Q1798" s="7" cm="1">
        <f t="array" ref="Q1798:S1798">VLOOKUP(P1798,Hoja1!C:F,{2,3,4},FALSE)</f>
        <v>46283</v>
      </c>
      <c r="R1798" t="str">
        <v>C03</v>
      </c>
      <c r="S1798" t="str">
        <v>1000001129 AGRONORTE S.R.L.</v>
      </c>
    </row>
    <row r="1799" spans="1:19" x14ac:dyDescent="0.3">
      <c r="A1799" s="2" t="s">
        <v>14</v>
      </c>
      <c r="B1799" s="3" t="s">
        <v>14</v>
      </c>
      <c r="C1799" s="3" t="s">
        <v>1660</v>
      </c>
      <c r="D1799" s="3" t="s">
        <v>14</v>
      </c>
      <c r="E1799" s="3" t="s">
        <v>466</v>
      </c>
      <c r="F1799" s="4">
        <v>46287</v>
      </c>
      <c r="G1799" s="3" t="s">
        <v>17</v>
      </c>
      <c r="H1799" s="5">
        <v>-8151.3</v>
      </c>
      <c r="I1799" s="3" t="s">
        <v>18</v>
      </c>
      <c r="J1799" s="3" t="s">
        <v>14</v>
      </c>
      <c r="K1799" s="3" t="s">
        <v>14</v>
      </c>
      <c r="L1799" s="3" t="s">
        <v>117</v>
      </c>
      <c r="M1799" s="4">
        <v>46287</v>
      </c>
      <c r="N1799" s="3" t="s">
        <v>1661</v>
      </c>
      <c r="O1799" s="3" t="s">
        <v>169</v>
      </c>
      <c r="P1799" t="str">
        <f t="shared" si="28"/>
        <v>4500138507450</v>
      </c>
      <c r="Q1799" s="7" cm="1">
        <f t="array" ref="Q1799:S1799">VLOOKUP(P1799,Hoja1!C:F,{2,3,4},FALSE)</f>
        <v>46283</v>
      </c>
      <c r="R1799" t="str">
        <v>C03</v>
      </c>
      <c r="S1799" t="str">
        <v>1000001129 AGRONORTE S.R.L.</v>
      </c>
    </row>
    <row r="1800" spans="1:19" x14ac:dyDescent="0.3">
      <c r="A1800" s="2" t="s">
        <v>14</v>
      </c>
      <c r="B1800" s="3" t="s">
        <v>14</v>
      </c>
      <c r="C1800" s="3" t="s">
        <v>1660</v>
      </c>
      <c r="D1800" s="3" t="s">
        <v>14</v>
      </c>
      <c r="E1800" s="3" t="s">
        <v>466</v>
      </c>
      <c r="F1800" s="4">
        <v>46287</v>
      </c>
      <c r="G1800" s="3" t="s">
        <v>17</v>
      </c>
      <c r="H1800" s="5">
        <v>-18778.18</v>
      </c>
      <c r="I1800" s="3" t="s">
        <v>18</v>
      </c>
      <c r="J1800" s="3" t="s">
        <v>14</v>
      </c>
      <c r="K1800" s="3" t="s">
        <v>14</v>
      </c>
      <c r="L1800" s="3" t="s">
        <v>117</v>
      </c>
      <c r="M1800" s="4">
        <v>46287</v>
      </c>
      <c r="N1800" s="3" t="s">
        <v>1661</v>
      </c>
      <c r="O1800" s="3" t="s">
        <v>35</v>
      </c>
      <c r="P1800" t="str">
        <f t="shared" si="28"/>
        <v>450013850730</v>
      </c>
      <c r="Q1800" s="7" cm="1">
        <f t="array" ref="Q1800:S1800">VLOOKUP(P1800,Hoja1!C:F,{2,3,4},FALSE)</f>
        <v>46283</v>
      </c>
      <c r="R1800" t="str">
        <v>C03</v>
      </c>
      <c r="S1800" t="str">
        <v>1000001129 AGRONORTE S.R.L.</v>
      </c>
    </row>
    <row r="1801" spans="1:19" x14ac:dyDescent="0.3">
      <c r="A1801" s="2" t="s">
        <v>14</v>
      </c>
      <c r="B1801" s="3" t="s">
        <v>14</v>
      </c>
      <c r="C1801" s="3" t="s">
        <v>1660</v>
      </c>
      <c r="D1801" s="3" t="s">
        <v>14</v>
      </c>
      <c r="E1801" s="3" t="s">
        <v>466</v>
      </c>
      <c r="F1801" s="4">
        <v>46287</v>
      </c>
      <c r="G1801" s="3" t="s">
        <v>17</v>
      </c>
      <c r="H1801" s="5">
        <v>-29646.58</v>
      </c>
      <c r="I1801" s="3" t="s">
        <v>18</v>
      </c>
      <c r="J1801" s="3" t="s">
        <v>14</v>
      </c>
      <c r="K1801" s="3" t="s">
        <v>14</v>
      </c>
      <c r="L1801" s="3" t="s">
        <v>117</v>
      </c>
      <c r="M1801" s="4">
        <v>46287</v>
      </c>
      <c r="N1801" s="3" t="s">
        <v>1661</v>
      </c>
      <c r="O1801" s="3" t="s">
        <v>144</v>
      </c>
      <c r="P1801" t="str">
        <f t="shared" si="28"/>
        <v>450013850750</v>
      </c>
      <c r="Q1801" s="7" cm="1">
        <f t="array" ref="Q1801:S1801">VLOOKUP(P1801,Hoja1!C:F,{2,3,4},FALSE)</f>
        <v>46283</v>
      </c>
      <c r="R1801" t="str">
        <v>C03</v>
      </c>
      <c r="S1801" t="str">
        <v>1000001129 AGRONORTE S.R.L.</v>
      </c>
    </row>
    <row r="1802" spans="1:19" x14ac:dyDescent="0.3">
      <c r="A1802" s="2" t="s">
        <v>14</v>
      </c>
      <c r="B1802" s="3" t="s">
        <v>14</v>
      </c>
      <c r="C1802" s="3" t="s">
        <v>1660</v>
      </c>
      <c r="D1802" s="3" t="s">
        <v>14</v>
      </c>
      <c r="E1802" s="3" t="s">
        <v>466</v>
      </c>
      <c r="F1802" s="4">
        <v>46287</v>
      </c>
      <c r="G1802" s="3" t="s">
        <v>17</v>
      </c>
      <c r="H1802" s="5">
        <v>-132685.04999999999</v>
      </c>
      <c r="I1802" s="3" t="s">
        <v>18</v>
      </c>
      <c r="J1802" s="3" t="s">
        <v>14</v>
      </c>
      <c r="K1802" s="3" t="s">
        <v>14</v>
      </c>
      <c r="L1802" s="3" t="s">
        <v>117</v>
      </c>
      <c r="M1802" s="4">
        <v>46287</v>
      </c>
      <c r="N1802" s="3" t="s">
        <v>1661</v>
      </c>
      <c r="O1802" s="3" t="s">
        <v>134</v>
      </c>
      <c r="P1802" t="str">
        <f t="shared" si="28"/>
        <v>450013850770</v>
      </c>
      <c r="Q1802" s="7" cm="1">
        <f t="array" ref="Q1802:S1802">VLOOKUP(P1802,Hoja1!C:F,{2,3,4},FALSE)</f>
        <v>46283</v>
      </c>
      <c r="R1802" t="str">
        <v>C03</v>
      </c>
      <c r="S1802" t="str">
        <v>1000001129 AGRONORTE S.R.L.</v>
      </c>
    </row>
    <row r="1803" spans="1:19" x14ac:dyDescent="0.3">
      <c r="A1803" s="2" t="s">
        <v>14</v>
      </c>
      <c r="B1803" s="3" t="s">
        <v>14</v>
      </c>
      <c r="C1803" s="3" t="s">
        <v>1660</v>
      </c>
      <c r="D1803" s="3" t="s">
        <v>14</v>
      </c>
      <c r="E1803" s="3" t="s">
        <v>466</v>
      </c>
      <c r="F1803" s="4">
        <v>46287</v>
      </c>
      <c r="G1803" s="3" t="s">
        <v>17</v>
      </c>
      <c r="H1803" s="5">
        <v>-1237.79</v>
      </c>
      <c r="I1803" s="3" t="s">
        <v>18</v>
      </c>
      <c r="J1803" s="3" t="s">
        <v>14</v>
      </c>
      <c r="K1803" s="3" t="s">
        <v>14</v>
      </c>
      <c r="L1803" s="3" t="s">
        <v>117</v>
      </c>
      <c r="M1803" s="4">
        <v>46287</v>
      </c>
      <c r="N1803" s="3" t="s">
        <v>1661</v>
      </c>
      <c r="O1803" s="3" t="s">
        <v>138</v>
      </c>
      <c r="P1803" t="str">
        <f t="shared" si="28"/>
        <v>450013850790</v>
      </c>
      <c r="Q1803" s="7" cm="1">
        <f t="array" ref="Q1803:S1803">VLOOKUP(P1803,Hoja1!C:F,{2,3,4},FALSE)</f>
        <v>46283</v>
      </c>
      <c r="R1803" t="str">
        <v>C03</v>
      </c>
      <c r="S1803" t="str">
        <v>1000001129 AGRONORTE S.R.L.</v>
      </c>
    </row>
    <row r="1804" spans="1:19" x14ac:dyDescent="0.3">
      <c r="A1804" s="2" t="s">
        <v>14</v>
      </c>
      <c r="B1804" s="3" t="s">
        <v>14</v>
      </c>
      <c r="C1804" s="3" t="s">
        <v>1660</v>
      </c>
      <c r="D1804" s="3" t="s">
        <v>14</v>
      </c>
      <c r="E1804" s="3" t="s">
        <v>466</v>
      </c>
      <c r="F1804" s="4">
        <v>46287</v>
      </c>
      <c r="G1804" s="3" t="s">
        <v>17</v>
      </c>
      <c r="H1804" s="5">
        <v>-25540.74</v>
      </c>
      <c r="I1804" s="3" t="s">
        <v>18</v>
      </c>
      <c r="J1804" s="3" t="s">
        <v>14</v>
      </c>
      <c r="K1804" s="3" t="s">
        <v>14</v>
      </c>
      <c r="L1804" s="3" t="s">
        <v>117</v>
      </c>
      <c r="M1804" s="4">
        <v>46287</v>
      </c>
      <c r="N1804" s="3" t="s">
        <v>1661</v>
      </c>
      <c r="O1804" s="3" t="s">
        <v>45</v>
      </c>
      <c r="P1804" t="str">
        <f t="shared" si="28"/>
        <v>4500138507100</v>
      </c>
      <c r="Q1804" s="7" cm="1">
        <f t="array" ref="Q1804:S1804">VLOOKUP(P1804,Hoja1!C:F,{2,3,4},FALSE)</f>
        <v>46283</v>
      </c>
      <c r="R1804" t="str">
        <v>C03</v>
      </c>
      <c r="S1804" t="str">
        <v>1000001129 AGRONORTE S.R.L.</v>
      </c>
    </row>
    <row r="1805" spans="1:19" x14ac:dyDescent="0.3">
      <c r="A1805" s="2" t="s">
        <v>14</v>
      </c>
      <c r="B1805" s="3" t="s">
        <v>14</v>
      </c>
      <c r="C1805" s="3" t="s">
        <v>1660</v>
      </c>
      <c r="D1805" s="3" t="s">
        <v>14</v>
      </c>
      <c r="E1805" s="3" t="s">
        <v>466</v>
      </c>
      <c r="F1805" s="4">
        <v>46287</v>
      </c>
      <c r="G1805" s="3" t="s">
        <v>17</v>
      </c>
      <c r="H1805" s="5">
        <v>-39096.050000000003</v>
      </c>
      <c r="I1805" s="3" t="s">
        <v>18</v>
      </c>
      <c r="J1805" s="3" t="s">
        <v>14</v>
      </c>
      <c r="K1805" s="3" t="s">
        <v>14</v>
      </c>
      <c r="L1805" s="3" t="s">
        <v>117</v>
      </c>
      <c r="M1805" s="4">
        <v>46287</v>
      </c>
      <c r="N1805" s="3" t="s">
        <v>1661</v>
      </c>
      <c r="O1805" s="3" t="s">
        <v>156</v>
      </c>
      <c r="P1805" t="str">
        <f t="shared" si="28"/>
        <v>4500138507110</v>
      </c>
      <c r="Q1805" s="7" cm="1">
        <f t="array" ref="Q1805:S1805">VLOOKUP(P1805,Hoja1!C:F,{2,3,4},FALSE)</f>
        <v>46283</v>
      </c>
      <c r="R1805" t="str">
        <v>C03</v>
      </c>
      <c r="S1805" t="str">
        <v>1000001129 AGRONORTE S.R.L.</v>
      </c>
    </row>
    <row r="1806" spans="1:19" x14ac:dyDescent="0.3">
      <c r="A1806" s="2" t="s">
        <v>14</v>
      </c>
      <c r="B1806" s="3" t="s">
        <v>14</v>
      </c>
      <c r="C1806" s="3" t="s">
        <v>1660</v>
      </c>
      <c r="D1806" s="3" t="s">
        <v>14</v>
      </c>
      <c r="E1806" s="3" t="s">
        <v>466</v>
      </c>
      <c r="F1806" s="4">
        <v>46287</v>
      </c>
      <c r="G1806" s="3" t="s">
        <v>17</v>
      </c>
      <c r="H1806" s="5">
        <v>-20453.73</v>
      </c>
      <c r="I1806" s="3" t="s">
        <v>18</v>
      </c>
      <c r="J1806" s="3" t="s">
        <v>14</v>
      </c>
      <c r="K1806" s="3" t="s">
        <v>14</v>
      </c>
      <c r="L1806" s="3" t="s">
        <v>117</v>
      </c>
      <c r="M1806" s="4">
        <v>46287</v>
      </c>
      <c r="N1806" s="3" t="s">
        <v>1661</v>
      </c>
      <c r="O1806" s="3" t="s">
        <v>132</v>
      </c>
      <c r="P1806" t="str">
        <f t="shared" si="28"/>
        <v>4500138507120</v>
      </c>
      <c r="Q1806" s="7" cm="1">
        <f t="array" ref="Q1806:S1806">VLOOKUP(P1806,Hoja1!C:F,{2,3,4},FALSE)</f>
        <v>46283</v>
      </c>
      <c r="R1806" t="str">
        <v>C03</v>
      </c>
      <c r="S1806" t="str">
        <v>1000001129 AGRONORTE S.R.L.</v>
      </c>
    </row>
    <row r="1807" spans="1:19" x14ac:dyDescent="0.3">
      <c r="A1807" s="2" t="s">
        <v>14</v>
      </c>
      <c r="B1807" s="3" t="s">
        <v>14</v>
      </c>
      <c r="C1807" s="3" t="s">
        <v>1660</v>
      </c>
      <c r="D1807" s="3" t="s">
        <v>14</v>
      </c>
      <c r="E1807" s="3" t="s">
        <v>466</v>
      </c>
      <c r="F1807" s="4">
        <v>46287</v>
      </c>
      <c r="G1807" s="3" t="s">
        <v>17</v>
      </c>
      <c r="H1807" s="5">
        <v>-97392.94</v>
      </c>
      <c r="I1807" s="3" t="s">
        <v>18</v>
      </c>
      <c r="J1807" s="3" t="s">
        <v>14</v>
      </c>
      <c r="K1807" s="3" t="s">
        <v>14</v>
      </c>
      <c r="L1807" s="3" t="s">
        <v>117</v>
      </c>
      <c r="M1807" s="4">
        <v>46287</v>
      </c>
      <c r="N1807" s="3" t="s">
        <v>1661</v>
      </c>
      <c r="O1807" s="3" t="s">
        <v>53</v>
      </c>
      <c r="P1807" t="str">
        <f t="shared" si="28"/>
        <v>4500138507170</v>
      </c>
      <c r="Q1807" s="7" cm="1">
        <f t="array" ref="Q1807:S1807">VLOOKUP(P1807,Hoja1!C:F,{2,3,4},FALSE)</f>
        <v>46283</v>
      </c>
      <c r="R1807" t="str">
        <v>C03</v>
      </c>
      <c r="S1807" t="str">
        <v>1000001129 AGRONORTE S.R.L.</v>
      </c>
    </row>
    <row r="1808" spans="1:19" x14ac:dyDescent="0.3">
      <c r="A1808" s="2" t="s">
        <v>14</v>
      </c>
      <c r="B1808" s="3" t="s">
        <v>14</v>
      </c>
      <c r="C1808" s="3" t="s">
        <v>1660</v>
      </c>
      <c r="D1808" s="3" t="s">
        <v>14</v>
      </c>
      <c r="E1808" s="3" t="s">
        <v>466</v>
      </c>
      <c r="F1808" s="4">
        <v>46287</v>
      </c>
      <c r="G1808" s="3" t="s">
        <v>17</v>
      </c>
      <c r="H1808" s="5">
        <v>-17963.05</v>
      </c>
      <c r="I1808" s="3" t="s">
        <v>18</v>
      </c>
      <c r="J1808" s="3" t="s">
        <v>14</v>
      </c>
      <c r="K1808" s="3" t="s">
        <v>14</v>
      </c>
      <c r="L1808" s="3" t="s">
        <v>117</v>
      </c>
      <c r="M1808" s="4">
        <v>46287</v>
      </c>
      <c r="N1808" s="3" t="s">
        <v>1661</v>
      </c>
      <c r="O1808" s="3" t="s">
        <v>130</v>
      </c>
      <c r="P1808" t="str">
        <f t="shared" si="28"/>
        <v>4500138507180</v>
      </c>
      <c r="Q1808" s="7" cm="1">
        <f t="array" ref="Q1808:S1808">VLOOKUP(P1808,Hoja1!C:F,{2,3,4},FALSE)</f>
        <v>46283</v>
      </c>
      <c r="R1808" t="str">
        <v>C03</v>
      </c>
      <c r="S1808" t="str">
        <v>1000001129 AGRONORTE S.R.L.</v>
      </c>
    </row>
    <row r="1809" spans="1:19" x14ac:dyDescent="0.3">
      <c r="A1809" s="2" t="s">
        <v>14</v>
      </c>
      <c r="B1809" s="3" t="s">
        <v>14</v>
      </c>
      <c r="C1809" s="3" t="s">
        <v>1660</v>
      </c>
      <c r="D1809" s="3" t="s">
        <v>14</v>
      </c>
      <c r="E1809" s="3" t="s">
        <v>466</v>
      </c>
      <c r="F1809" s="4">
        <v>46287</v>
      </c>
      <c r="G1809" s="3" t="s">
        <v>17</v>
      </c>
      <c r="H1809" s="5">
        <v>-1917.07</v>
      </c>
      <c r="I1809" s="3" t="s">
        <v>18</v>
      </c>
      <c r="J1809" s="3" t="s">
        <v>14</v>
      </c>
      <c r="K1809" s="3" t="s">
        <v>14</v>
      </c>
      <c r="L1809" s="3" t="s">
        <v>117</v>
      </c>
      <c r="M1809" s="4">
        <v>46287</v>
      </c>
      <c r="N1809" s="3" t="s">
        <v>1661</v>
      </c>
      <c r="O1809" s="3" t="s">
        <v>127</v>
      </c>
      <c r="P1809" t="str">
        <f t="shared" si="28"/>
        <v>4500138507190</v>
      </c>
      <c r="Q1809" s="7" cm="1">
        <f t="array" ref="Q1809:S1809">VLOOKUP(P1809,Hoja1!C:F,{2,3,4},FALSE)</f>
        <v>46283</v>
      </c>
      <c r="R1809" t="str">
        <v>C03</v>
      </c>
      <c r="S1809" t="str">
        <v>1000001129 AGRONORTE S.R.L.</v>
      </c>
    </row>
    <row r="1810" spans="1:19" x14ac:dyDescent="0.3">
      <c r="A1810" s="2" t="s">
        <v>14</v>
      </c>
      <c r="B1810" s="3" t="s">
        <v>14</v>
      </c>
      <c r="C1810" s="3" t="s">
        <v>1660</v>
      </c>
      <c r="D1810" s="3" t="s">
        <v>14</v>
      </c>
      <c r="E1810" s="3" t="s">
        <v>466</v>
      </c>
      <c r="F1810" s="4">
        <v>46287</v>
      </c>
      <c r="G1810" s="3" t="s">
        <v>17</v>
      </c>
      <c r="H1810" s="5">
        <v>-26929.48</v>
      </c>
      <c r="I1810" s="3" t="s">
        <v>18</v>
      </c>
      <c r="J1810" s="3" t="s">
        <v>14</v>
      </c>
      <c r="K1810" s="3" t="s">
        <v>14</v>
      </c>
      <c r="L1810" s="3" t="s">
        <v>117</v>
      </c>
      <c r="M1810" s="4">
        <v>46287</v>
      </c>
      <c r="N1810" s="3" t="s">
        <v>1661</v>
      </c>
      <c r="O1810" s="3" t="s">
        <v>136</v>
      </c>
      <c r="P1810" t="str">
        <f t="shared" si="28"/>
        <v>4500138507210</v>
      </c>
      <c r="Q1810" s="7" cm="1">
        <f t="array" ref="Q1810:S1810">VLOOKUP(P1810,Hoja1!C:F,{2,3,4},FALSE)</f>
        <v>46283</v>
      </c>
      <c r="R1810" t="str">
        <v>C03</v>
      </c>
      <c r="S1810" t="str">
        <v>1000001129 AGRONORTE S.R.L.</v>
      </c>
    </row>
    <row r="1811" spans="1:19" x14ac:dyDescent="0.3">
      <c r="A1811" s="2" t="s">
        <v>14</v>
      </c>
      <c r="B1811" s="3" t="s">
        <v>14</v>
      </c>
      <c r="C1811" s="3" t="s">
        <v>1660</v>
      </c>
      <c r="D1811" s="3" t="s">
        <v>14</v>
      </c>
      <c r="E1811" s="3" t="s">
        <v>466</v>
      </c>
      <c r="F1811" s="4">
        <v>46287</v>
      </c>
      <c r="G1811" s="3" t="s">
        <v>17</v>
      </c>
      <c r="H1811" s="5">
        <v>-24982.23</v>
      </c>
      <c r="I1811" s="3" t="s">
        <v>18</v>
      </c>
      <c r="J1811" s="3" t="s">
        <v>14</v>
      </c>
      <c r="K1811" s="3" t="s">
        <v>14</v>
      </c>
      <c r="L1811" s="3" t="s">
        <v>117</v>
      </c>
      <c r="M1811" s="4">
        <v>46287</v>
      </c>
      <c r="N1811" s="3" t="s">
        <v>1661</v>
      </c>
      <c r="O1811" s="3" t="s">
        <v>137</v>
      </c>
      <c r="P1811" t="str">
        <f t="shared" si="28"/>
        <v>4500138507230</v>
      </c>
      <c r="Q1811" s="7" cm="1">
        <f t="array" ref="Q1811:S1811">VLOOKUP(P1811,Hoja1!C:F,{2,3,4},FALSE)</f>
        <v>46283</v>
      </c>
      <c r="R1811" t="str">
        <v>C03</v>
      </c>
      <c r="S1811" t="str">
        <v>1000001129 AGRONORTE S.R.L.</v>
      </c>
    </row>
    <row r="1812" spans="1:19" x14ac:dyDescent="0.3">
      <c r="A1812" s="2" t="s">
        <v>14</v>
      </c>
      <c r="B1812" s="3" t="s">
        <v>14</v>
      </c>
      <c r="C1812" s="3" t="s">
        <v>1660</v>
      </c>
      <c r="D1812" s="3" t="s">
        <v>14</v>
      </c>
      <c r="E1812" s="3" t="s">
        <v>466</v>
      </c>
      <c r="F1812" s="4">
        <v>46287</v>
      </c>
      <c r="G1812" s="3" t="s">
        <v>17</v>
      </c>
      <c r="H1812" s="5">
        <v>-366763.22</v>
      </c>
      <c r="I1812" s="3" t="s">
        <v>18</v>
      </c>
      <c r="J1812" s="3" t="s">
        <v>14</v>
      </c>
      <c r="K1812" s="3" t="s">
        <v>14</v>
      </c>
      <c r="L1812" s="3" t="s">
        <v>117</v>
      </c>
      <c r="M1812" s="4">
        <v>46287</v>
      </c>
      <c r="N1812" s="3" t="s">
        <v>1661</v>
      </c>
      <c r="O1812" s="3" t="s">
        <v>135</v>
      </c>
      <c r="P1812" t="str">
        <f t="shared" si="28"/>
        <v>4500138507340</v>
      </c>
      <c r="Q1812" s="7" cm="1">
        <f t="array" ref="Q1812:S1812">VLOOKUP(P1812,Hoja1!C:F,{2,3,4},FALSE)</f>
        <v>46283</v>
      </c>
      <c r="R1812" t="str">
        <v>C03</v>
      </c>
      <c r="S1812" t="str">
        <v>1000001129 AGRONORTE S.R.L.</v>
      </c>
    </row>
    <row r="1813" spans="1:19" x14ac:dyDescent="0.3">
      <c r="A1813" s="2" t="s">
        <v>14</v>
      </c>
      <c r="B1813" s="3" t="s">
        <v>14</v>
      </c>
      <c r="C1813" s="3" t="s">
        <v>1660</v>
      </c>
      <c r="D1813" s="3" t="s">
        <v>14</v>
      </c>
      <c r="E1813" s="3" t="s">
        <v>466</v>
      </c>
      <c r="F1813" s="4">
        <v>46287</v>
      </c>
      <c r="G1813" s="3" t="s">
        <v>17</v>
      </c>
      <c r="H1813" s="5">
        <v>-26808.720000000001</v>
      </c>
      <c r="I1813" s="3" t="s">
        <v>18</v>
      </c>
      <c r="J1813" s="3" t="s">
        <v>14</v>
      </c>
      <c r="K1813" s="3" t="s">
        <v>14</v>
      </c>
      <c r="L1813" s="3" t="s">
        <v>117</v>
      </c>
      <c r="M1813" s="4">
        <v>46287</v>
      </c>
      <c r="N1813" s="3" t="s">
        <v>1661</v>
      </c>
      <c r="O1813" s="3" t="s">
        <v>168</v>
      </c>
      <c r="P1813" t="str">
        <f t="shared" si="28"/>
        <v>4500138507360</v>
      </c>
      <c r="Q1813" s="7" cm="1">
        <f t="array" ref="Q1813:S1813">VLOOKUP(P1813,Hoja1!C:F,{2,3,4},FALSE)</f>
        <v>46283</v>
      </c>
      <c r="R1813" t="str">
        <v>C03</v>
      </c>
      <c r="S1813" t="str">
        <v>1000001129 AGRONORTE S.R.L.</v>
      </c>
    </row>
    <row r="1814" spans="1:19" x14ac:dyDescent="0.3">
      <c r="A1814" s="2" t="s">
        <v>14</v>
      </c>
      <c r="B1814" s="3" t="s">
        <v>14</v>
      </c>
      <c r="C1814" s="3" t="s">
        <v>1660</v>
      </c>
      <c r="D1814" s="3" t="s">
        <v>14</v>
      </c>
      <c r="E1814" s="3" t="s">
        <v>466</v>
      </c>
      <c r="F1814" s="4">
        <v>46287</v>
      </c>
      <c r="G1814" s="3" t="s">
        <v>17</v>
      </c>
      <c r="H1814" s="5">
        <v>-348860.55</v>
      </c>
      <c r="I1814" s="3" t="s">
        <v>18</v>
      </c>
      <c r="J1814" s="3" t="s">
        <v>14</v>
      </c>
      <c r="K1814" s="3" t="s">
        <v>14</v>
      </c>
      <c r="L1814" s="3" t="s">
        <v>117</v>
      </c>
      <c r="M1814" s="4">
        <v>46287</v>
      </c>
      <c r="N1814" s="3" t="s">
        <v>1661</v>
      </c>
      <c r="O1814" s="3" t="s">
        <v>162</v>
      </c>
      <c r="P1814" t="str">
        <f t="shared" si="28"/>
        <v>4500138507370</v>
      </c>
      <c r="Q1814" s="7" cm="1">
        <f t="array" ref="Q1814:S1814">VLOOKUP(P1814,Hoja1!C:F,{2,3,4},FALSE)</f>
        <v>46283</v>
      </c>
      <c r="R1814" t="str">
        <v>C03</v>
      </c>
      <c r="S1814" t="str">
        <v>1000001129 AGRONORTE S.R.L.</v>
      </c>
    </row>
    <row r="1815" spans="1:19" x14ac:dyDescent="0.3">
      <c r="A1815" s="2" t="s">
        <v>14</v>
      </c>
      <c r="B1815" s="3" t="s">
        <v>14</v>
      </c>
      <c r="C1815" s="3" t="s">
        <v>1660</v>
      </c>
      <c r="D1815" s="3" t="s">
        <v>14</v>
      </c>
      <c r="E1815" s="3" t="s">
        <v>466</v>
      </c>
      <c r="F1815" s="4">
        <v>46287</v>
      </c>
      <c r="G1815" s="3" t="s">
        <v>17</v>
      </c>
      <c r="H1815" s="5">
        <v>-464246.73</v>
      </c>
      <c r="I1815" s="3" t="s">
        <v>18</v>
      </c>
      <c r="J1815" s="3" t="s">
        <v>14</v>
      </c>
      <c r="K1815" s="3" t="s">
        <v>14</v>
      </c>
      <c r="L1815" s="3" t="s">
        <v>117</v>
      </c>
      <c r="M1815" s="4">
        <v>46287</v>
      </c>
      <c r="N1815" s="3" t="s">
        <v>1661</v>
      </c>
      <c r="O1815" s="3" t="s">
        <v>1132</v>
      </c>
      <c r="P1815" t="str">
        <f t="shared" si="28"/>
        <v>4500138507380</v>
      </c>
      <c r="Q1815" s="7" cm="1">
        <f t="array" ref="Q1815:S1815">VLOOKUP(P1815,Hoja1!C:F,{2,3,4},FALSE)</f>
        <v>46283</v>
      </c>
      <c r="R1815" t="str">
        <v>C03</v>
      </c>
      <c r="S1815" t="str">
        <v>1000001129 AGRONORTE S.R.L.</v>
      </c>
    </row>
    <row r="1816" spans="1:19" x14ac:dyDescent="0.3">
      <c r="A1816" s="2" t="s">
        <v>14</v>
      </c>
      <c r="B1816" s="3" t="s">
        <v>14</v>
      </c>
      <c r="C1816" s="3" t="s">
        <v>1660</v>
      </c>
      <c r="D1816" s="3" t="s">
        <v>14</v>
      </c>
      <c r="E1816" s="3" t="s">
        <v>466</v>
      </c>
      <c r="F1816" s="4">
        <v>46287</v>
      </c>
      <c r="G1816" s="3" t="s">
        <v>17</v>
      </c>
      <c r="H1816" s="5">
        <v>-68833.2</v>
      </c>
      <c r="I1816" s="3" t="s">
        <v>18</v>
      </c>
      <c r="J1816" s="3" t="s">
        <v>14</v>
      </c>
      <c r="K1816" s="3" t="s">
        <v>14</v>
      </c>
      <c r="L1816" s="3" t="s">
        <v>117</v>
      </c>
      <c r="M1816" s="4">
        <v>46287</v>
      </c>
      <c r="N1816" s="3" t="s">
        <v>1661</v>
      </c>
      <c r="O1816" s="3" t="s">
        <v>158</v>
      </c>
      <c r="P1816" t="str">
        <f t="shared" si="28"/>
        <v>4500138507390</v>
      </c>
      <c r="Q1816" s="7" cm="1">
        <f t="array" ref="Q1816:S1816">VLOOKUP(P1816,Hoja1!C:F,{2,3,4},FALSE)</f>
        <v>46283</v>
      </c>
      <c r="R1816" t="str">
        <v>C03</v>
      </c>
      <c r="S1816" t="str">
        <v>1000001129 AGRONORTE S.R.L.</v>
      </c>
    </row>
    <row r="1817" spans="1:19" x14ac:dyDescent="0.3">
      <c r="A1817" s="2" t="s">
        <v>14</v>
      </c>
      <c r="B1817" s="3" t="s">
        <v>14</v>
      </c>
      <c r="C1817" s="3" t="s">
        <v>1660</v>
      </c>
      <c r="D1817" s="3" t="s">
        <v>14</v>
      </c>
      <c r="E1817" s="3" t="s">
        <v>466</v>
      </c>
      <c r="F1817" s="4">
        <v>46287</v>
      </c>
      <c r="G1817" s="3" t="s">
        <v>17</v>
      </c>
      <c r="H1817" s="5">
        <v>-191419.7</v>
      </c>
      <c r="I1817" s="3" t="s">
        <v>18</v>
      </c>
      <c r="J1817" s="3" t="s">
        <v>14</v>
      </c>
      <c r="K1817" s="3" t="s">
        <v>14</v>
      </c>
      <c r="L1817" s="3" t="s">
        <v>117</v>
      </c>
      <c r="M1817" s="4">
        <v>46287</v>
      </c>
      <c r="N1817" s="3" t="s">
        <v>1661</v>
      </c>
      <c r="O1817" s="3" t="s">
        <v>157</v>
      </c>
      <c r="P1817" t="str">
        <f t="shared" si="28"/>
        <v>4500138507410</v>
      </c>
      <c r="Q1817" s="7" cm="1">
        <f t="array" ref="Q1817:S1817">VLOOKUP(P1817,Hoja1!C:F,{2,3,4},FALSE)</f>
        <v>46283</v>
      </c>
      <c r="R1817" t="str">
        <v>C03</v>
      </c>
      <c r="S1817" t="str">
        <v>1000001129 AGRONORTE S.R.L.</v>
      </c>
    </row>
    <row r="1818" spans="1:19" x14ac:dyDescent="0.3">
      <c r="A1818" s="2" t="s">
        <v>14</v>
      </c>
      <c r="B1818" s="3" t="s">
        <v>14</v>
      </c>
      <c r="C1818" s="3" t="s">
        <v>1662</v>
      </c>
      <c r="D1818" s="3" t="s">
        <v>14</v>
      </c>
      <c r="E1818" s="3" t="s">
        <v>466</v>
      </c>
      <c r="F1818" s="4">
        <v>46287</v>
      </c>
      <c r="G1818" s="3" t="s">
        <v>17</v>
      </c>
      <c r="H1818" s="5">
        <v>-432662</v>
      </c>
      <c r="I1818" s="3" t="s">
        <v>18</v>
      </c>
      <c r="J1818" s="3" t="s">
        <v>14</v>
      </c>
      <c r="K1818" s="3" t="s">
        <v>14</v>
      </c>
      <c r="L1818" s="3" t="s">
        <v>1663</v>
      </c>
      <c r="M1818" s="4">
        <v>46287</v>
      </c>
      <c r="N1818" s="3" t="s">
        <v>1664</v>
      </c>
      <c r="O1818" s="3" t="s">
        <v>30</v>
      </c>
      <c r="P1818" t="str">
        <f t="shared" si="28"/>
        <v>450013885710</v>
      </c>
      <c r="Q1818" s="7" cm="1">
        <f t="array" ref="Q1818:S1818">VLOOKUP(P1818,Hoja1!C:F,{2,3,4},FALSE)</f>
        <v>46295</v>
      </c>
      <c r="R1818" t="str">
        <v>C03</v>
      </c>
      <c r="S1818" t="str">
        <v>1000000797 FICAMEN SA</v>
      </c>
    </row>
    <row r="1819" spans="1:19" x14ac:dyDescent="0.3">
      <c r="A1819" s="2" t="s">
        <v>14</v>
      </c>
      <c r="B1819" s="3" t="s">
        <v>14</v>
      </c>
      <c r="C1819" s="3" t="s">
        <v>1662</v>
      </c>
      <c r="D1819" s="3" t="s">
        <v>14</v>
      </c>
      <c r="E1819" s="3" t="s">
        <v>466</v>
      </c>
      <c r="F1819" s="4">
        <v>46287</v>
      </c>
      <c r="G1819" s="3" t="s">
        <v>17</v>
      </c>
      <c r="H1819" s="5">
        <v>-402144.44</v>
      </c>
      <c r="I1819" s="3" t="s">
        <v>18</v>
      </c>
      <c r="J1819" s="3" t="s">
        <v>14</v>
      </c>
      <c r="K1819" s="3" t="s">
        <v>14</v>
      </c>
      <c r="L1819" s="3" t="s">
        <v>1663</v>
      </c>
      <c r="M1819" s="4">
        <v>46287</v>
      </c>
      <c r="N1819" s="3" t="s">
        <v>1664</v>
      </c>
      <c r="O1819" s="3" t="s">
        <v>22</v>
      </c>
      <c r="P1819" t="str">
        <f t="shared" si="28"/>
        <v>450013885720</v>
      </c>
      <c r="Q1819" s="7" cm="1">
        <f t="array" ref="Q1819:S1819">VLOOKUP(P1819,Hoja1!C:F,{2,3,4},FALSE)</f>
        <v>46295</v>
      </c>
      <c r="R1819" t="str">
        <v>C03</v>
      </c>
      <c r="S1819" t="str">
        <v>1000000797 FICAMEN SA</v>
      </c>
    </row>
    <row r="1820" spans="1:19" x14ac:dyDescent="0.3">
      <c r="A1820" s="2" t="s">
        <v>14</v>
      </c>
      <c r="B1820" s="3" t="s">
        <v>14</v>
      </c>
      <c r="C1820" s="3" t="s">
        <v>1665</v>
      </c>
      <c r="D1820" s="3" t="s">
        <v>32</v>
      </c>
      <c r="E1820" s="3" t="s">
        <v>466</v>
      </c>
      <c r="F1820" s="4">
        <v>46287</v>
      </c>
      <c r="G1820" s="3" t="s">
        <v>17</v>
      </c>
      <c r="H1820" s="5">
        <v>-3629925</v>
      </c>
      <c r="I1820" s="3" t="s">
        <v>18</v>
      </c>
      <c r="J1820" s="3" t="s">
        <v>14</v>
      </c>
      <c r="K1820" s="3" t="s">
        <v>14</v>
      </c>
      <c r="L1820" s="3" t="s">
        <v>1666</v>
      </c>
      <c r="M1820" s="4">
        <v>46287</v>
      </c>
      <c r="N1820" s="3" t="s">
        <v>1667</v>
      </c>
      <c r="O1820" s="3" t="s">
        <v>30</v>
      </c>
      <c r="P1820" t="str">
        <f t="shared" si="28"/>
        <v>450013858210</v>
      </c>
      <c r="Q1820" s="7" cm="1">
        <f t="array" ref="Q1820:S1820">VLOOKUP(P1820,Hoja1!C:F,{2,3,4},FALSE)</f>
        <v>46290</v>
      </c>
      <c r="R1820" t="str">
        <v>377</v>
      </c>
      <c r="S1820" t="str">
        <v>1000000435 NUEVO SUR S.A</v>
      </c>
    </row>
    <row r="1821" spans="1:19" x14ac:dyDescent="0.3">
      <c r="A1821" s="2" t="s">
        <v>14</v>
      </c>
      <c r="B1821" s="3" t="s">
        <v>14</v>
      </c>
      <c r="C1821" s="3" t="s">
        <v>1668</v>
      </c>
      <c r="D1821" s="3" t="s">
        <v>14</v>
      </c>
      <c r="E1821" s="3" t="s">
        <v>466</v>
      </c>
      <c r="F1821" s="4">
        <v>46287</v>
      </c>
      <c r="G1821" s="3" t="s">
        <v>17</v>
      </c>
      <c r="H1821" s="5">
        <v>-2690940.37</v>
      </c>
      <c r="I1821" s="3" t="s">
        <v>18</v>
      </c>
      <c r="J1821" s="3" t="s">
        <v>14</v>
      </c>
      <c r="K1821" s="3" t="s">
        <v>14</v>
      </c>
      <c r="L1821" s="3" t="s">
        <v>117</v>
      </c>
      <c r="M1821" s="4">
        <v>46287</v>
      </c>
      <c r="N1821" s="3" t="s">
        <v>1661</v>
      </c>
      <c r="O1821" s="3" t="s">
        <v>30</v>
      </c>
      <c r="P1821" t="str">
        <f t="shared" si="28"/>
        <v>450013850710</v>
      </c>
      <c r="Q1821" s="7" cm="1">
        <f t="array" ref="Q1821:S1821">VLOOKUP(P1821,Hoja1!C:F,{2,3,4},FALSE)</f>
        <v>46283</v>
      </c>
      <c r="R1821" t="str">
        <v>C03</v>
      </c>
      <c r="S1821" t="str">
        <v>1000001129 AGRONORTE S.R.L.</v>
      </c>
    </row>
    <row r="1822" spans="1:19" x14ac:dyDescent="0.3">
      <c r="A1822" s="2" t="s">
        <v>14</v>
      </c>
      <c r="B1822" s="3" t="s">
        <v>14</v>
      </c>
      <c r="C1822" s="3" t="s">
        <v>1668</v>
      </c>
      <c r="D1822" s="3" t="s">
        <v>14</v>
      </c>
      <c r="E1822" s="3" t="s">
        <v>466</v>
      </c>
      <c r="F1822" s="4">
        <v>46287</v>
      </c>
      <c r="G1822" s="3" t="s">
        <v>17</v>
      </c>
      <c r="H1822" s="5">
        <v>-12619.42</v>
      </c>
      <c r="I1822" s="3" t="s">
        <v>18</v>
      </c>
      <c r="J1822" s="3" t="s">
        <v>14</v>
      </c>
      <c r="K1822" s="3" t="s">
        <v>14</v>
      </c>
      <c r="L1822" s="3" t="s">
        <v>117</v>
      </c>
      <c r="M1822" s="4">
        <v>46287</v>
      </c>
      <c r="N1822" s="3" t="s">
        <v>1661</v>
      </c>
      <c r="O1822" s="3" t="s">
        <v>52</v>
      </c>
      <c r="P1822" t="str">
        <f t="shared" si="28"/>
        <v>450013850780</v>
      </c>
      <c r="Q1822" s="7" cm="1">
        <f t="array" ref="Q1822:S1822">VLOOKUP(P1822,Hoja1!C:F,{2,3,4},FALSE)</f>
        <v>46283</v>
      </c>
      <c r="R1822" t="str">
        <v>C03</v>
      </c>
      <c r="S1822" t="str">
        <v>1000001129 AGRONORTE S.R.L.</v>
      </c>
    </row>
    <row r="1823" spans="1:19" x14ac:dyDescent="0.3">
      <c r="A1823" s="2" t="s">
        <v>14</v>
      </c>
      <c r="B1823" s="3" t="s">
        <v>14</v>
      </c>
      <c r="C1823" s="3" t="s">
        <v>1668</v>
      </c>
      <c r="D1823" s="3" t="s">
        <v>14</v>
      </c>
      <c r="E1823" s="3" t="s">
        <v>466</v>
      </c>
      <c r="F1823" s="4">
        <v>46287</v>
      </c>
      <c r="G1823" s="3" t="s">
        <v>17</v>
      </c>
      <c r="H1823" s="5">
        <v>-270185.40999999997</v>
      </c>
      <c r="I1823" s="3" t="s">
        <v>18</v>
      </c>
      <c r="J1823" s="3" t="s">
        <v>14</v>
      </c>
      <c r="K1823" s="3" t="s">
        <v>14</v>
      </c>
      <c r="L1823" s="3" t="s">
        <v>117</v>
      </c>
      <c r="M1823" s="4">
        <v>46287</v>
      </c>
      <c r="N1823" s="3" t="s">
        <v>1661</v>
      </c>
      <c r="O1823" s="3" t="s">
        <v>131</v>
      </c>
      <c r="P1823" t="str">
        <f t="shared" si="28"/>
        <v>4500138507140</v>
      </c>
      <c r="Q1823" s="7" cm="1">
        <f t="array" ref="Q1823:S1823">VLOOKUP(P1823,Hoja1!C:F,{2,3,4},FALSE)</f>
        <v>46283</v>
      </c>
      <c r="R1823" t="str">
        <v>C03</v>
      </c>
      <c r="S1823" t="str">
        <v>1000001129 AGRONORTE S.R.L.</v>
      </c>
    </row>
    <row r="1824" spans="1:19" x14ac:dyDescent="0.3">
      <c r="A1824" s="2" t="s">
        <v>14</v>
      </c>
      <c r="B1824" s="3" t="s">
        <v>14</v>
      </c>
      <c r="C1824" s="3" t="s">
        <v>1668</v>
      </c>
      <c r="D1824" s="3" t="s">
        <v>14</v>
      </c>
      <c r="E1824" s="3" t="s">
        <v>466</v>
      </c>
      <c r="F1824" s="4">
        <v>46287</v>
      </c>
      <c r="G1824" s="3" t="s">
        <v>17</v>
      </c>
      <c r="H1824" s="5">
        <v>-446600.67</v>
      </c>
      <c r="I1824" s="3" t="s">
        <v>18</v>
      </c>
      <c r="J1824" s="3" t="s">
        <v>14</v>
      </c>
      <c r="K1824" s="3" t="s">
        <v>14</v>
      </c>
      <c r="L1824" s="3" t="s">
        <v>117</v>
      </c>
      <c r="M1824" s="4">
        <v>46287</v>
      </c>
      <c r="N1824" s="3" t="s">
        <v>1661</v>
      </c>
      <c r="O1824" s="3" t="s">
        <v>139</v>
      </c>
      <c r="P1824" t="str">
        <f t="shared" si="28"/>
        <v>4500138507350</v>
      </c>
      <c r="Q1824" s="7" cm="1">
        <f t="array" ref="Q1824:S1824">VLOOKUP(P1824,Hoja1!C:F,{2,3,4},FALSE)</f>
        <v>46283</v>
      </c>
      <c r="R1824" t="str">
        <v>C03</v>
      </c>
      <c r="S1824" t="str">
        <v>1000001129 AGRONORTE S.R.L.</v>
      </c>
    </row>
    <row r="1825" spans="1:19" x14ac:dyDescent="0.3">
      <c r="A1825" s="2" t="s">
        <v>14</v>
      </c>
      <c r="B1825" s="3" t="s">
        <v>14</v>
      </c>
      <c r="C1825" s="3" t="s">
        <v>1669</v>
      </c>
      <c r="D1825" s="3" t="s">
        <v>14</v>
      </c>
      <c r="E1825" s="3" t="s">
        <v>466</v>
      </c>
      <c r="F1825" s="4">
        <v>46287</v>
      </c>
      <c r="G1825" s="3" t="s">
        <v>17</v>
      </c>
      <c r="H1825" s="5">
        <v>-1030576.7</v>
      </c>
      <c r="I1825" s="3" t="s">
        <v>18</v>
      </c>
      <c r="J1825" s="3" t="s">
        <v>14</v>
      </c>
      <c r="K1825" s="3" t="s">
        <v>14</v>
      </c>
      <c r="L1825" s="3" t="s">
        <v>1670</v>
      </c>
      <c r="M1825" s="4">
        <v>46287</v>
      </c>
      <c r="N1825" s="3" t="s">
        <v>1671</v>
      </c>
      <c r="O1825" s="3" t="s">
        <v>23</v>
      </c>
      <c r="P1825" t="str">
        <f t="shared" si="28"/>
        <v>450013863440</v>
      </c>
      <c r="Q1825" s="7" cm="1">
        <f t="array" ref="Q1825:S1825">VLOOKUP(P1825,Hoja1!C:F,{2,3,4},FALSE)</f>
        <v>46283</v>
      </c>
      <c r="R1825" t="str">
        <v>C17</v>
      </c>
      <c r="S1825" t="str">
        <v>1000012006 MORALES MIGUEL ALBERTO</v>
      </c>
    </row>
    <row r="1826" spans="1:19" x14ac:dyDescent="0.3">
      <c r="A1826" s="2" t="s">
        <v>14</v>
      </c>
      <c r="B1826" s="3" t="s">
        <v>14</v>
      </c>
      <c r="C1826" s="3" t="s">
        <v>1672</v>
      </c>
      <c r="D1826" s="3" t="s">
        <v>14</v>
      </c>
      <c r="E1826" s="3" t="s">
        <v>466</v>
      </c>
      <c r="F1826" s="4">
        <v>46281</v>
      </c>
      <c r="G1826" s="3" t="s">
        <v>17</v>
      </c>
      <c r="H1826" s="5">
        <v>-60380</v>
      </c>
      <c r="I1826" s="3" t="s">
        <v>18</v>
      </c>
      <c r="J1826" s="3" t="s">
        <v>14</v>
      </c>
      <c r="K1826" s="3" t="s">
        <v>14</v>
      </c>
      <c r="L1826" s="3" t="s">
        <v>269</v>
      </c>
      <c r="M1826" s="4">
        <v>46288</v>
      </c>
      <c r="N1826" s="3" t="s">
        <v>1554</v>
      </c>
      <c r="O1826" s="3" t="s">
        <v>53</v>
      </c>
      <c r="P1826" t="str">
        <f t="shared" si="28"/>
        <v>4500138075170</v>
      </c>
      <c r="Q1826" s="7" cm="1">
        <f t="array" ref="Q1826:S1826">VLOOKUP(P1826,Hoja1!C:F,{2,3,4},FALSE)</f>
        <v>46290</v>
      </c>
      <c r="R1826" t="str">
        <v>C03</v>
      </c>
      <c r="S1826" t="str">
        <v>1000000190 FERNANDEZ INSUA S.A.</v>
      </c>
    </row>
    <row r="1827" spans="1:19" x14ac:dyDescent="0.3">
      <c r="A1827" s="2" t="s">
        <v>14</v>
      </c>
      <c r="B1827" s="3" t="s">
        <v>14</v>
      </c>
      <c r="C1827" s="3" t="s">
        <v>1672</v>
      </c>
      <c r="D1827" s="3" t="s">
        <v>14</v>
      </c>
      <c r="E1827" s="3" t="s">
        <v>466</v>
      </c>
      <c r="F1827" s="4">
        <v>46281</v>
      </c>
      <c r="G1827" s="3" t="s">
        <v>17</v>
      </c>
      <c r="H1827" s="5">
        <v>-9057</v>
      </c>
      <c r="I1827" s="3" t="s">
        <v>18</v>
      </c>
      <c r="J1827" s="3" t="s">
        <v>14</v>
      </c>
      <c r="K1827" s="3" t="s">
        <v>14</v>
      </c>
      <c r="L1827" s="3" t="s">
        <v>269</v>
      </c>
      <c r="M1827" s="4">
        <v>46288</v>
      </c>
      <c r="N1827" s="3" t="s">
        <v>1554</v>
      </c>
      <c r="O1827" s="3" t="s">
        <v>127</v>
      </c>
      <c r="P1827" t="str">
        <f t="shared" si="28"/>
        <v>4500138075190</v>
      </c>
      <c r="Q1827" s="7" cm="1">
        <f t="array" ref="Q1827:S1827">VLOOKUP(P1827,Hoja1!C:F,{2,3,4},FALSE)</f>
        <v>46290</v>
      </c>
      <c r="R1827" t="str">
        <v>C03</v>
      </c>
      <c r="S1827" t="str">
        <v>1000000190 FERNANDEZ INSUA S.A.</v>
      </c>
    </row>
    <row r="1828" spans="1:19" x14ac:dyDescent="0.3">
      <c r="A1828" s="2" t="s">
        <v>14</v>
      </c>
      <c r="B1828" s="3" t="s">
        <v>14</v>
      </c>
      <c r="C1828" s="3" t="s">
        <v>1672</v>
      </c>
      <c r="D1828" s="3" t="s">
        <v>14</v>
      </c>
      <c r="E1828" s="3" t="s">
        <v>466</v>
      </c>
      <c r="F1828" s="4">
        <v>46281</v>
      </c>
      <c r="G1828" s="3" t="s">
        <v>17</v>
      </c>
      <c r="H1828" s="5">
        <v>-6038</v>
      </c>
      <c r="I1828" s="3" t="s">
        <v>18</v>
      </c>
      <c r="J1828" s="3" t="s">
        <v>14</v>
      </c>
      <c r="K1828" s="3" t="s">
        <v>14</v>
      </c>
      <c r="L1828" s="3" t="s">
        <v>269</v>
      </c>
      <c r="M1828" s="4">
        <v>46288</v>
      </c>
      <c r="N1828" s="3" t="s">
        <v>1554</v>
      </c>
      <c r="O1828" s="3" t="s">
        <v>161</v>
      </c>
      <c r="P1828" t="str">
        <f t="shared" si="28"/>
        <v>4500138075200</v>
      </c>
      <c r="Q1828" s="7" cm="1">
        <f t="array" ref="Q1828:S1828">VLOOKUP(P1828,Hoja1!C:F,{2,3,4},FALSE)</f>
        <v>46290</v>
      </c>
      <c r="R1828" t="str">
        <v>C03</v>
      </c>
      <c r="S1828" t="str">
        <v>1000000190 FERNANDEZ INSUA S.A.</v>
      </c>
    </row>
    <row r="1829" spans="1:19" x14ac:dyDescent="0.3">
      <c r="A1829" s="2" t="s">
        <v>14</v>
      </c>
      <c r="B1829" s="3" t="s">
        <v>14</v>
      </c>
      <c r="C1829" s="3" t="s">
        <v>1672</v>
      </c>
      <c r="D1829" s="3" t="s">
        <v>14</v>
      </c>
      <c r="E1829" s="3" t="s">
        <v>466</v>
      </c>
      <c r="F1829" s="4">
        <v>46281</v>
      </c>
      <c r="G1829" s="3" t="s">
        <v>17</v>
      </c>
      <c r="H1829" s="5">
        <v>-6038</v>
      </c>
      <c r="I1829" s="3" t="s">
        <v>18</v>
      </c>
      <c r="J1829" s="3" t="s">
        <v>14</v>
      </c>
      <c r="K1829" s="3" t="s">
        <v>14</v>
      </c>
      <c r="L1829" s="3" t="s">
        <v>269</v>
      </c>
      <c r="M1829" s="4">
        <v>46288</v>
      </c>
      <c r="N1829" s="3" t="s">
        <v>1554</v>
      </c>
      <c r="O1829" s="3" t="s">
        <v>136</v>
      </c>
      <c r="P1829" t="str">
        <f t="shared" si="28"/>
        <v>4500138075210</v>
      </c>
      <c r="Q1829" s="7" cm="1">
        <f t="array" ref="Q1829:S1829">VLOOKUP(P1829,Hoja1!C:F,{2,3,4},FALSE)</f>
        <v>46290</v>
      </c>
      <c r="R1829" t="str">
        <v>C03</v>
      </c>
      <c r="S1829" t="str">
        <v>1000000190 FERNANDEZ INSUA S.A.</v>
      </c>
    </row>
    <row r="1830" spans="1:19" x14ac:dyDescent="0.3">
      <c r="A1830" s="2" t="s">
        <v>14</v>
      </c>
      <c r="B1830" s="3" t="s">
        <v>14</v>
      </c>
      <c r="C1830" s="3" t="s">
        <v>1672</v>
      </c>
      <c r="D1830" s="3" t="s">
        <v>14</v>
      </c>
      <c r="E1830" s="3" t="s">
        <v>466</v>
      </c>
      <c r="F1830" s="4">
        <v>46281</v>
      </c>
      <c r="G1830" s="3" t="s">
        <v>17</v>
      </c>
      <c r="H1830" s="5">
        <v>-3019</v>
      </c>
      <c r="I1830" s="3" t="s">
        <v>18</v>
      </c>
      <c r="J1830" s="3" t="s">
        <v>14</v>
      </c>
      <c r="K1830" s="3" t="s">
        <v>14</v>
      </c>
      <c r="L1830" s="3" t="s">
        <v>269</v>
      </c>
      <c r="M1830" s="4">
        <v>46288</v>
      </c>
      <c r="N1830" s="3" t="s">
        <v>1554</v>
      </c>
      <c r="O1830" s="3" t="s">
        <v>133</v>
      </c>
      <c r="P1830" t="str">
        <f t="shared" si="28"/>
        <v>4500138075280</v>
      </c>
      <c r="Q1830" s="7" cm="1">
        <f t="array" ref="Q1830:S1830">VLOOKUP(P1830,Hoja1!C:F,{2,3,4},FALSE)</f>
        <v>46290</v>
      </c>
      <c r="R1830" t="str">
        <v>C03</v>
      </c>
      <c r="S1830" t="str">
        <v>1000000190 FERNANDEZ INSUA S.A.</v>
      </c>
    </row>
    <row r="1831" spans="1:19" x14ac:dyDescent="0.3">
      <c r="A1831" s="2" t="s">
        <v>14</v>
      </c>
      <c r="B1831" s="3" t="s">
        <v>14</v>
      </c>
      <c r="C1831" s="3" t="s">
        <v>1672</v>
      </c>
      <c r="D1831" s="3" t="s">
        <v>14</v>
      </c>
      <c r="E1831" s="3" t="s">
        <v>466</v>
      </c>
      <c r="F1831" s="4">
        <v>46281</v>
      </c>
      <c r="G1831" s="3" t="s">
        <v>17</v>
      </c>
      <c r="H1831" s="5">
        <v>-45285</v>
      </c>
      <c r="I1831" s="3" t="s">
        <v>18</v>
      </c>
      <c r="J1831" s="3" t="s">
        <v>14</v>
      </c>
      <c r="K1831" s="3" t="s">
        <v>14</v>
      </c>
      <c r="L1831" s="3" t="s">
        <v>269</v>
      </c>
      <c r="M1831" s="4">
        <v>46288</v>
      </c>
      <c r="N1831" s="3" t="s">
        <v>1554</v>
      </c>
      <c r="O1831" s="3" t="s">
        <v>145</v>
      </c>
      <c r="P1831" t="str">
        <f t="shared" si="28"/>
        <v>4500138075300</v>
      </c>
      <c r="Q1831" s="7" cm="1">
        <f t="array" ref="Q1831:S1831">VLOOKUP(P1831,Hoja1!C:F,{2,3,4},FALSE)</f>
        <v>46290</v>
      </c>
      <c r="R1831" t="str">
        <v>C03</v>
      </c>
      <c r="S1831" t="str">
        <v>1000000190 FERNANDEZ INSUA S.A.</v>
      </c>
    </row>
    <row r="1832" spans="1:19" x14ac:dyDescent="0.3">
      <c r="A1832" s="2" t="s">
        <v>14</v>
      </c>
      <c r="B1832" s="3" t="s">
        <v>14</v>
      </c>
      <c r="C1832" s="3" t="s">
        <v>1672</v>
      </c>
      <c r="D1832" s="3" t="s">
        <v>14</v>
      </c>
      <c r="E1832" s="3" t="s">
        <v>466</v>
      </c>
      <c r="F1832" s="4">
        <v>46281</v>
      </c>
      <c r="G1832" s="3" t="s">
        <v>17</v>
      </c>
      <c r="H1832" s="5">
        <v>-66418</v>
      </c>
      <c r="I1832" s="3" t="s">
        <v>18</v>
      </c>
      <c r="J1832" s="3" t="s">
        <v>14</v>
      </c>
      <c r="K1832" s="3" t="s">
        <v>14</v>
      </c>
      <c r="L1832" s="3" t="s">
        <v>269</v>
      </c>
      <c r="M1832" s="4">
        <v>46288</v>
      </c>
      <c r="N1832" s="3" t="s">
        <v>1554</v>
      </c>
      <c r="O1832" s="3" t="s">
        <v>147</v>
      </c>
      <c r="P1832" t="str">
        <f t="shared" si="28"/>
        <v>4500138075310</v>
      </c>
      <c r="Q1832" s="7" cm="1">
        <f t="array" ref="Q1832:S1832">VLOOKUP(P1832,Hoja1!C:F,{2,3,4},FALSE)</f>
        <v>46290</v>
      </c>
      <c r="R1832" t="str">
        <v>C03</v>
      </c>
      <c r="S1832" t="str">
        <v>1000000190 FERNANDEZ INSUA S.A.</v>
      </c>
    </row>
    <row r="1833" spans="1:19" x14ac:dyDescent="0.3">
      <c r="A1833" s="2" t="s">
        <v>14</v>
      </c>
      <c r="B1833" s="3" t="s">
        <v>14</v>
      </c>
      <c r="C1833" s="3" t="s">
        <v>1673</v>
      </c>
      <c r="D1833" s="3" t="s">
        <v>14</v>
      </c>
      <c r="E1833" s="3" t="s">
        <v>466</v>
      </c>
      <c r="F1833" s="4">
        <v>46288</v>
      </c>
      <c r="G1833" s="3" t="s">
        <v>17</v>
      </c>
      <c r="H1833" s="5">
        <v>-11472.2</v>
      </c>
      <c r="I1833" s="3" t="s">
        <v>18</v>
      </c>
      <c r="J1833" s="3" t="s">
        <v>14</v>
      </c>
      <c r="K1833" s="3" t="s">
        <v>14</v>
      </c>
      <c r="L1833" s="3" t="s">
        <v>269</v>
      </c>
      <c r="M1833" s="4">
        <v>46288</v>
      </c>
      <c r="N1833" s="3" t="s">
        <v>1528</v>
      </c>
      <c r="O1833" s="3" t="s">
        <v>52</v>
      </c>
      <c r="P1833" t="str">
        <f t="shared" si="28"/>
        <v>450013795080</v>
      </c>
      <c r="Q1833" s="7" cm="1">
        <f t="array" ref="Q1833:S1833">VLOOKUP(P1833,Hoja1!C:F,{2,3,4},FALSE)</f>
        <v>46286</v>
      </c>
      <c r="R1833" t="str">
        <v>C03</v>
      </c>
      <c r="S1833" t="str">
        <v>1000000190 FERNANDEZ INSUA S.A.</v>
      </c>
    </row>
    <row r="1834" spans="1:19" x14ac:dyDescent="0.3">
      <c r="A1834" s="2" t="s">
        <v>14</v>
      </c>
      <c r="B1834" s="3" t="s">
        <v>14</v>
      </c>
      <c r="C1834" s="3" t="s">
        <v>1673</v>
      </c>
      <c r="D1834" s="3" t="s">
        <v>14</v>
      </c>
      <c r="E1834" s="3" t="s">
        <v>466</v>
      </c>
      <c r="F1834" s="4">
        <v>46288</v>
      </c>
      <c r="G1834" s="3" t="s">
        <v>17</v>
      </c>
      <c r="H1834" s="5">
        <v>-22944.400000000001</v>
      </c>
      <c r="I1834" s="3" t="s">
        <v>18</v>
      </c>
      <c r="J1834" s="3" t="s">
        <v>14</v>
      </c>
      <c r="K1834" s="3" t="s">
        <v>14</v>
      </c>
      <c r="L1834" s="3" t="s">
        <v>269</v>
      </c>
      <c r="M1834" s="4">
        <v>46288</v>
      </c>
      <c r="N1834" s="3" t="s">
        <v>1528</v>
      </c>
      <c r="O1834" s="3" t="s">
        <v>45</v>
      </c>
      <c r="P1834" t="str">
        <f t="shared" si="28"/>
        <v>4500137950100</v>
      </c>
      <c r="Q1834" s="7" cm="1">
        <f t="array" ref="Q1834:S1834">VLOOKUP(P1834,Hoja1!C:F,{2,3,4},FALSE)</f>
        <v>46286</v>
      </c>
      <c r="R1834" t="str">
        <v>C03</v>
      </c>
      <c r="S1834" t="str">
        <v>1000000190 FERNANDEZ INSUA S.A.</v>
      </c>
    </row>
    <row r="1835" spans="1:19" x14ac:dyDescent="0.3">
      <c r="A1835" s="2" t="s">
        <v>14</v>
      </c>
      <c r="B1835" s="3" t="s">
        <v>14</v>
      </c>
      <c r="C1835" s="3" t="s">
        <v>1673</v>
      </c>
      <c r="D1835" s="3" t="s">
        <v>14</v>
      </c>
      <c r="E1835" s="3" t="s">
        <v>466</v>
      </c>
      <c r="F1835" s="4">
        <v>46288</v>
      </c>
      <c r="G1835" s="3" t="s">
        <v>17</v>
      </c>
      <c r="H1835" s="5">
        <v>-22944.400000000001</v>
      </c>
      <c r="I1835" s="3" t="s">
        <v>18</v>
      </c>
      <c r="J1835" s="3" t="s">
        <v>14</v>
      </c>
      <c r="K1835" s="3" t="s">
        <v>14</v>
      </c>
      <c r="L1835" s="3" t="s">
        <v>269</v>
      </c>
      <c r="M1835" s="4">
        <v>46288</v>
      </c>
      <c r="N1835" s="3" t="s">
        <v>1528</v>
      </c>
      <c r="O1835" s="3" t="s">
        <v>156</v>
      </c>
      <c r="P1835" t="str">
        <f t="shared" si="28"/>
        <v>4500137950110</v>
      </c>
      <c r="Q1835" s="7" cm="1">
        <f t="array" ref="Q1835:S1835">VLOOKUP(P1835,Hoja1!C:F,{2,3,4},FALSE)</f>
        <v>46286</v>
      </c>
      <c r="R1835" t="str">
        <v>C03</v>
      </c>
      <c r="S1835" t="str">
        <v>1000000190 FERNANDEZ INSUA S.A.</v>
      </c>
    </row>
    <row r="1836" spans="1:19" x14ac:dyDescent="0.3">
      <c r="A1836" s="2" t="s">
        <v>14</v>
      </c>
      <c r="B1836" s="3" t="s">
        <v>14</v>
      </c>
      <c r="C1836" s="3" t="s">
        <v>1673</v>
      </c>
      <c r="D1836" s="3" t="s">
        <v>14</v>
      </c>
      <c r="E1836" s="3" t="s">
        <v>466</v>
      </c>
      <c r="F1836" s="4">
        <v>46288</v>
      </c>
      <c r="G1836" s="3" t="s">
        <v>17</v>
      </c>
      <c r="H1836" s="5">
        <v>-8604.15</v>
      </c>
      <c r="I1836" s="3" t="s">
        <v>18</v>
      </c>
      <c r="J1836" s="3" t="s">
        <v>14</v>
      </c>
      <c r="K1836" s="3" t="s">
        <v>14</v>
      </c>
      <c r="L1836" s="3" t="s">
        <v>269</v>
      </c>
      <c r="M1836" s="4">
        <v>46288</v>
      </c>
      <c r="N1836" s="3" t="s">
        <v>1528</v>
      </c>
      <c r="O1836" s="3" t="s">
        <v>132</v>
      </c>
      <c r="P1836" t="str">
        <f t="shared" si="28"/>
        <v>4500137950120</v>
      </c>
      <c r="Q1836" s="7" cm="1">
        <f t="array" ref="Q1836:S1836">VLOOKUP(P1836,Hoja1!C:F,{2,3,4},FALSE)</f>
        <v>46286</v>
      </c>
      <c r="R1836" t="str">
        <v>C03</v>
      </c>
      <c r="S1836" t="str">
        <v>1000000190 FERNANDEZ INSUA S.A.</v>
      </c>
    </row>
    <row r="1837" spans="1:19" x14ac:dyDescent="0.3">
      <c r="A1837" s="2" t="s">
        <v>14</v>
      </c>
      <c r="B1837" s="3" t="s">
        <v>14</v>
      </c>
      <c r="C1837" s="3" t="s">
        <v>1674</v>
      </c>
      <c r="D1837" s="3" t="s">
        <v>14</v>
      </c>
      <c r="E1837" s="3" t="s">
        <v>466</v>
      </c>
      <c r="F1837" s="4">
        <v>46288</v>
      </c>
      <c r="G1837" s="3" t="s">
        <v>17</v>
      </c>
      <c r="H1837" s="5">
        <v>-5133.84</v>
      </c>
      <c r="I1837" s="3" t="s">
        <v>18</v>
      </c>
      <c r="J1837" s="3" t="s">
        <v>14</v>
      </c>
      <c r="K1837" s="3" t="s">
        <v>14</v>
      </c>
      <c r="L1837" s="3" t="s">
        <v>47</v>
      </c>
      <c r="M1837" s="4">
        <v>46288</v>
      </c>
      <c r="N1837" s="3" t="s">
        <v>1675</v>
      </c>
      <c r="O1837" s="3" t="s">
        <v>30</v>
      </c>
      <c r="P1837" t="str">
        <f t="shared" si="28"/>
        <v>450013924810</v>
      </c>
      <c r="Q1837" s="7" cm="1">
        <f t="array" ref="Q1837:S1837">VLOOKUP(P1837,Hoja1!C:F,{2,3,4},FALSE)</f>
        <v>46295</v>
      </c>
      <c r="R1837" t="str">
        <v>C42</v>
      </c>
      <c r="S1837" t="str">
        <v>1000000010 GASES ROSARIO S.R.L.</v>
      </c>
    </row>
    <row r="1838" spans="1:19" x14ac:dyDescent="0.3">
      <c r="A1838" s="2" t="s">
        <v>14</v>
      </c>
      <c r="B1838" s="3" t="s">
        <v>14</v>
      </c>
      <c r="C1838" s="3" t="s">
        <v>1676</v>
      </c>
      <c r="D1838" s="3" t="s">
        <v>32</v>
      </c>
      <c r="E1838" s="3" t="s">
        <v>466</v>
      </c>
      <c r="F1838" s="4">
        <v>46288</v>
      </c>
      <c r="G1838" s="3" t="s">
        <v>17</v>
      </c>
      <c r="H1838" s="5">
        <v>-540000</v>
      </c>
      <c r="I1838" s="3" t="s">
        <v>18</v>
      </c>
      <c r="J1838" s="3" t="s">
        <v>14</v>
      </c>
      <c r="K1838" s="3" t="s">
        <v>14</v>
      </c>
      <c r="L1838" s="3" t="s">
        <v>1643</v>
      </c>
      <c r="M1838" s="4">
        <v>46288</v>
      </c>
      <c r="N1838" s="3" t="s">
        <v>1677</v>
      </c>
      <c r="O1838" s="3" t="s">
        <v>30</v>
      </c>
      <c r="P1838" t="str">
        <f t="shared" si="28"/>
        <v>450013780710</v>
      </c>
      <c r="Q1838" s="7" cm="1">
        <f t="array" ref="Q1838:S1838">VLOOKUP(P1838,Hoja1!C:F,{2,3,4},FALSE)</f>
        <v>46289</v>
      </c>
      <c r="R1838" t="str">
        <v>374</v>
      </c>
      <c r="S1838" t="str">
        <v>1000012967 PATAGONIA MAXIM SAS</v>
      </c>
    </row>
    <row r="1839" spans="1:19" x14ac:dyDescent="0.3">
      <c r="A1839" s="2" t="s">
        <v>14</v>
      </c>
      <c r="B1839" s="3" t="s">
        <v>14</v>
      </c>
      <c r="C1839" s="3" t="s">
        <v>1678</v>
      </c>
      <c r="D1839" s="3" t="s">
        <v>14</v>
      </c>
      <c r="E1839" s="3" t="s">
        <v>466</v>
      </c>
      <c r="F1839" s="4">
        <v>46288</v>
      </c>
      <c r="G1839" s="3" t="s">
        <v>17</v>
      </c>
      <c r="H1839" s="5">
        <v>-160000</v>
      </c>
      <c r="I1839" s="3" t="s">
        <v>18</v>
      </c>
      <c r="J1839" s="3" t="s">
        <v>14</v>
      </c>
      <c r="K1839" s="3" t="s">
        <v>14</v>
      </c>
      <c r="L1839" s="3" t="s">
        <v>1679</v>
      </c>
      <c r="M1839" s="4">
        <v>46288</v>
      </c>
      <c r="N1839" s="3" t="s">
        <v>1680</v>
      </c>
      <c r="O1839" s="3" t="s">
        <v>30</v>
      </c>
      <c r="P1839" t="str">
        <f t="shared" si="28"/>
        <v>450013885510</v>
      </c>
      <c r="Q1839" s="7" cm="1">
        <f t="array" ref="Q1839:S1839">VLOOKUP(P1839,Hoja1!C:F,{2,3,4},FALSE)</f>
        <v>46290</v>
      </c>
      <c r="R1839" t="str">
        <v>C38</v>
      </c>
      <c r="S1839" t="str">
        <v>1000012365 VARELA GERARDO DANIEL</v>
      </c>
    </row>
    <row r="1840" spans="1:19" x14ac:dyDescent="0.3">
      <c r="A1840" s="2" t="s">
        <v>14</v>
      </c>
      <c r="B1840" s="3" t="s">
        <v>14</v>
      </c>
      <c r="C1840" s="3" t="s">
        <v>1681</v>
      </c>
      <c r="D1840" s="3" t="s">
        <v>14</v>
      </c>
      <c r="E1840" s="3" t="s">
        <v>466</v>
      </c>
      <c r="F1840" s="4">
        <v>46288</v>
      </c>
      <c r="G1840" s="3" t="s">
        <v>17</v>
      </c>
      <c r="H1840" s="5">
        <v>-187583.47</v>
      </c>
      <c r="I1840" s="3" t="s">
        <v>18</v>
      </c>
      <c r="J1840" s="3" t="s">
        <v>14</v>
      </c>
      <c r="K1840" s="3" t="s">
        <v>14</v>
      </c>
      <c r="L1840" s="3" t="s">
        <v>844</v>
      </c>
      <c r="M1840" s="4">
        <v>46288</v>
      </c>
      <c r="N1840" s="3" t="s">
        <v>1682</v>
      </c>
      <c r="O1840" s="3" t="s">
        <v>30</v>
      </c>
      <c r="P1840" t="str">
        <f t="shared" si="28"/>
        <v>450013871810</v>
      </c>
      <c r="Q1840" s="7" cm="1">
        <f t="array" ref="Q1840:S1840">VLOOKUP(P1840,Hoja1!C:F,{2,3,4},FALSE)</f>
        <v>46296</v>
      </c>
      <c r="R1840" t="str">
        <v>EFO</v>
      </c>
      <c r="S1840" t="str">
        <v>1000006585 SALDAÑA LEANDRO EZEQUIEL</v>
      </c>
    </row>
    <row r="1841" spans="1:19" x14ac:dyDescent="0.3">
      <c r="A1841" s="2" t="s">
        <v>14</v>
      </c>
      <c r="B1841" s="3" t="s">
        <v>14</v>
      </c>
      <c r="C1841" s="3" t="s">
        <v>1683</v>
      </c>
      <c r="D1841" s="3" t="s">
        <v>14</v>
      </c>
      <c r="E1841" s="3" t="s">
        <v>466</v>
      </c>
      <c r="F1841" s="4">
        <v>46288</v>
      </c>
      <c r="G1841" s="3" t="s">
        <v>17</v>
      </c>
      <c r="H1841" s="5">
        <v>-247933.88</v>
      </c>
      <c r="I1841" s="3" t="s">
        <v>18</v>
      </c>
      <c r="J1841" s="3" t="s">
        <v>14</v>
      </c>
      <c r="K1841" s="3" t="s">
        <v>14</v>
      </c>
      <c r="L1841" s="3" t="s">
        <v>844</v>
      </c>
      <c r="M1841" s="4">
        <v>46288</v>
      </c>
      <c r="N1841" s="3" t="s">
        <v>1684</v>
      </c>
      <c r="O1841" s="3" t="s">
        <v>30</v>
      </c>
      <c r="P1841" t="str">
        <f t="shared" si="28"/>
        <v>450013848510</v>
      </c>
      <c r="Q1841" s="7" cm="1">
        <f t="array" ref="Q1841:S1841">VLOOKUP(P1841,Hoja1!C:F,{2,3,4},FALSE)</f>
        <v>46297</v>
      </c>
      <c r="R1841" t="str">
        <v>EFO</v>
      </c>
      <c r="S1841" t="str">
        <v>1000006585 SALDAÑA LEANDRO EZEQUIEL</v>
      </c>
    </row>
    <row r="1842" spans="1:19" x14ac:dyDescent="0.3">
      <c r="A1842" s="2" t="s">
        <v>14</v>
      </c>
      <c r="B1842" s="3" t="s">
        <v>14</v>
      </c>
      <c r="C1842" s="3" t="s">
        <v>1683</v>
      </c>
      <c r="D1842" s="3" t="s">
        <v>14</v>
      </c>
      <c r="E1842" s="3" t="s">
        <v>466</v>
      </c>
      <c r="F1842" s="4">
        <v>46288</v>
      </c>
      <c r="G1842" s="3" t="s">
        <v>17</v>
      </c>
      <c r="H1842" s="5">
        <v>-69421.48</v>
      </c>
      <c r="I1842" s="3" t="s">
        <v>18</v>
      </c>
      <c r="J1842" s="3" t="s">
        <v>14</v>
      </c>
      <c r="K1842" s="3" t="s">
        <v>14</v>
      </c>
      <c r="L1842" s="3" t="s">
        <v>844</v>
      </c>
      <c r="M1842" s="4">
        <v>46288</v>
      </c>
      <c r="N1842" s="3" t="s">
        <v>1684</v>
      </c>
      <c r="O1842" s="3" t="s">
        <v>22</v>
      </c>
      <c r="P1842" t="str">
        <f t="shared" si="28"/>
        <v>450013848520</v>
      </c>
      <c r="Q1842" s="7" cm="1">
        <f t="array" ref="Q1842:S1842">VLOOKUP(P1842,Hoja1!C:F,{2,3,4},FALSE)</f>
        <v>46297</v>
      </c>
      <c r="R1842" t="str">
        <v>EFO</v>
      </c>
      <c r="S1842" t="str">
        <v>1000006585 SALDAÑA LEANDRO EZEQUIEL</v>
      </c>
    </row>
    <row r="1843" spans="1:19" x14ac:dyDescent="0.3">
      <c r="A1843" s="2" t="s">
        <v>14</v>
      </c>
      <c r="B1843" s="3" t="s">
        <v>14</v>
      </c>
      <c r="C1843" s="3" t="s">
        <v>1685</v>
      </c>
      <c r="D1843" s="3" t="s">
        <v>14</v>
      </c>
      <c r="E1843" s="3" t="s">
        <v>466</v>
      </c>
      <c r="F1843" s="4">
        <v>46288</v>
      </c>
      <c r="G1843" s="3" t="s">
        <v>17</v>
      </c>
      <c r="H1843" s="5">
        <v>-2840.56</v>
      </c>
      <c r="I1843" s="3" t="s">
        <v>18</v>
      </c>
      <c r="J1843" s="3" t="s">
        <v>14</v>
      </c>
      <c r="K1843" s="3" t="s">
        <v>14</v>
      </c>
      <c r="L1843" s="3" t="s">
        <v>892</v>
      </c>
      <c r="M1843" s="4">
        <v>46288</v>
      </c>
      <c r="N1843" s="3" t="s">
        <v>1292</v>
      </c>
      <c r="O1843" s="3" t="s">
        <v>52</v>
      </c>
      <c r="P1843" t="str">
        <f t="shared" si="28"/>
        <v>450013638680</v>
      </c>
      <c r="Q1843" s="7" cm="1">
        <f t="array" ref="Q1843:S1843">VLOOKUP(P1843,Hoja1!C:F,{2,3,4},FALSE)</f>
        <v>46269</v>
      </c>
      <c r="R1843" t="str">
        <v>C27</v>
      </c>
      <c r="S1843" t="str">
        <v>1000000894 FORTIN REPUBLICA SA</v>
      </c>
    </row>
    <row r="1844" spans="1:19" x14ac:dyDescent="0.3">
      <c r="A1844" s="2" t="s">
        <v>14</v>
      </c>
      <c r="B1844" s="3" t="s">
        <v>14</v>
      </c>
      <c r="C1844" s="3" t="s">
        <v>1687</v>
      </c>
      <c r="D1844" s="3" t="s">
        <v>14</v>
      </c>
      <c r="E1844" s="3" t="s">
        <v>466</v>
      </c>
      <c r="F1844" s="4">
        <v>46288</v>
      </c>
      <c r="G1844" s="3" t="s">
        <v>17</v>
      </c>
      <c r="H1844" s="5">
        <v>-240413.42</v>
      </c>
      <c r="I1844" s="3" t="s">
        <v>18</v>
      </c>
      <c r="J1844" s="3" t="s">
        <v>14</v>
      </c>
      <c r="K1844" s="3" t="s">
        <v>14</v>
      </c>
      <c r="L1844" s="3" t="s">
        <v>892</v>
      </c>
      <c r="M1844" s="4">
        <v>46288</v>
      </c>
      <c r="N1844" s="3" t="s">
        <v>1275</v>
      </c>
      <c r="O1844" s="3" t="s">
        <v>134</v>
      </c>
      <c r="P1844" t="str">
        <f t="shared" si="28"/>
        <v>450013759370</v>
      </c>
      <c r="Q1844" s="7" cm="1">
        <f t="array" ref="Q1844:S1844">VLOOKUP(P1844,Hoja1!C:F,{2,3,4},FALSE)</f>
        <v>46275</v>
      </c>
      <c r="R1844" t="str">
        <v>C27</v>
      </c>
      <c r="S1844" t="str">
        <v>1000000894 FORTIN REPUBLICA SA</v>
      </c>
    </row>
    <row r="1845" spans="1:19" x14ac:dyDescent="0.3">
      <c r="A1845" s="2" t="s">
        <v>14</v>
      </c>
      <c r="B1845" s="3" t="s">
        <v>14</v>
      </c>
      <c r="C1845" s="3" t="s">
        <v>1688</v>
      </c>
      <c r="D1845" s="3" t="s">
        <v>14</v>
      </c>
      <c r="E1845" s="3" t="s">
        <v>466</v>
      </c>
      <c r="F1845" s="4">
        <v>46288</v>
      </c>
      <c r="G1845" s="3" t="s">
        <v>17</v>
      </c>
      <c r="H1845" s="5">
        <v>-125545.12</v>
      </c>
      <c r="I1845" s="3" t="s">
        <v>18</v>
      </c>
      <c r="J1845" s="3" t="s">
        <v>14</v>
      </c>
      <c r="K1845" s="3" t="s">
        <v>14</v>
      </c>
      <c r="L1845" s="3" t="s">
        <v>117</v>
      </c>
      <c r="M1845" s="4">
        <v>46288</v>
      </c>
      <c r="N1845" s="3" t="s">
        <v>1661</v>
      </c>
      <c r="O1845" s="3" t="s">
        <v>164</v>
      </c>
      <c r="P1845" t="str">
        <f t="shared" si="28"/>
        <v>4500138507440</v>
      </c>
      <c r="Q1845" s="7" cm="1">
        <f t="array" ref="Q1845:S1845">VLOOKUP(P1845,Hoja1!C:F,{2,3,4},FALSE)</f>
        <v>46283</v>
      </c>
      <c r="R1845" t="str">
        <v>C03</v>
      </c>
      <c r="S1845" t="str">
        <v>1000001129 AGRONORTE S.R.L.</v>
      </c>
    </row>
    <row r="1846" spans="1:19" x14ac:dyDescent="0.3">
      <c r="A1846" s="2" t="s">
        <v>14</v>
      </c>
      <c r="B1846" s="3" t="s">
        <v>14</v>
      </c>
      <c r="C1846" s="3" t="s">
        <v>1688</v>
      </c>
      <c r="D1846" s="3" t="s">
        <v>14</v>
      </c>
      <c r="E1846" s="3" t="s">
        <v>466</v>
      </c>
      <c r="F1846" s="4">
        <v>46288</v>
      </c>
      <c r="G1846" s="3" t="s">
        <v>17</v>
      </c>
      <c r="H1846" s="5">
        <v>-37329.94</v>
      </c>
      <c r="I1846" s="3" t="s">
        <v>18</v>
      </c>
      <c r="J1846" s="3" t="s">
        <v>14</v>
      </c>
      <c r="K1846" s="3" t="s">
        <v>14</v>
      </c>
      <c r="L1846" s="3" t="s">
        <v>117</v>
      </c>
      <c r="M1846" s="4">
        <v>46288</v>
      </c>
      <c r="N1846" s="3" t="s">
        <v>1661</v>
      </c>
      <c r="O1846" s="3" t="s">
        <v>126</v>
      </c>
      <c r="P1846" t="str">
        <f t="shared" si="28"/>
        <v>4500138507260</v>
      </c>
      <c r="Q1846" s="7" cm="1">
        <f t="array" ref="Q1846:S1846">VLOOKUP(P1846,Hoja1!C:F,{2,3,4},FALSE)</f>
        <v>46283</v>
      </c>
      <c r="R1846" t="str">
        <v>C03</v>
      </c>
      <c r="S1846" t="str">
        <v>1000001129 AGRONORTE S.R.L.</v>
      </c>
    </row>
    <row r="1847" spans="1:19" x14ac:dyDescent="0.3">
      <c r="A1847" s="2" t="s">
        <v>14</v>
      </c>
      <c r="B1847" s="3" t="s">
        <v>14</v>
      </c>
      <c r="C1847" s="3" t="s">
        <v>1689</v>
      </c>
      <c r="D1847" s="3" t="s">
        <v>14</v>
      </c>
      <c r="E1847" s="3" t="s">
        <v>466</v>
      </c>
      <c r="F1847" s="4">
        <v>46288</v>
      </c>
      <c r="G1847" s="3" t="s">
        <v>17</v>
      </c>
      <c r="H1847" s="5">
        <v>-1900000</v>
      </c>
      <c r="I1847" s="3" t="s">
        <v>18</v>
      </c>
      <c r="J1847" s="3" t="s">
        <v>14</v>
      </c>
      <c r="K1847" s="3" t="s">
        <v>14</v>
      </c>
      <c r="L1847" s="3" t="s">
        <v>1690</v>
      </c>
      <c r="M1847" s="4">
        <v>46288</v>
      </c>
      <c r="N1847" s="3" t="s">
        <v>1691</v>
      </c>
      <c r="O1847" s="3" t="s">
        <v>30</v>
      </c>
      <c r="P1847" t="str">
        <f t="shared" si="28"/>
        <v>450013910810</v>
      </c>
      <c r="Q1847" s="7" cm="1">
        <f t="array" ref="Q1847:S1847">VLOOKUP(P1847,Hoja1!C:F,{2,3,4},FALSE)</f>
        <v>46295</v>
      </c>
      <c r="R1847" t="str">
        <v>C26</v>
      </c>
      <c r="S1847" t="str">
        <v>1000013647 BRENT ENERGIA Y SERVICIOS S.A</v>
      </c>
    </row>
    <row r="1848" spans="1:19" x14ac:dyDescent="0.3">
      <c r="A1848" s="2" t="s">
        <v>14</v>
      </c>
      <c r="B1848" s="3" t="s">
        <v>14</v>
      </c>
      <c r="C1848" s="3" t="s">
        <v>1692</v>
      </c>
      <c r="D1848" s="3" t="s">
        <v>14</v>
      </c>
      <c r="E1848" s="3" t="s">
        <v>466</v>
      </c>
      <c r="F1848" s="4">
        <v>46288</v>
      </c>
      <c r="G1848" s="3" t="s">
        <v>17</v>
      </c>
      <c r="H1848" s="5">
        <v>-3441660</v>
      </c>
      <c r="I1848" s="3" t="s">
        <v>18</v>
      </c>
      <c r="J1848" s="3" t="s">
        <v>14</v>
      </c>
      <c r="K1848" s="3" t="s">
        <v>14</v>
      </c>
      <c r="L1848" s="3" t="s">
        <v>1693</v>
      </c>
      <c r="M1848" s="4">
        <v>46288</v>
      </c>
      <c r="N1848" s="3" t="s">
        <v>1694</v>
      </c>
      <c r="O1848" s="3" t="s">
        <v>30</v>
      </c>
      <c r="P1848" t="str">
        <f t="shared" si="28"/>
        <v>450013751010</v>
      </c>
      <c r="Q1848" s="7" cm="1">
        <f t="array" ref="Q1848:S1848">VLOOKUP(P1848,Hoja1!C:F,{2,3,4},FALSE)</f>
        <v>46281</v>
      </c>
      <c r="R1848" t="str">
        <v>C29</v>
      </c>
      <c r="S1848" t="str">
        <v>1000000125 SYLWAN S.A. BOMBAS</v>
      </c>
    </row>
    <row r="1849" spans="1:19" x14ac:dyDescent="0.3">
      <c r="A1849" s="2" t="s">
        <v>14</v>
      </c>
      <c r="B1849" s="3" t="s">
        <v>14</v>
      </c>
      <c r="C1849" s="3" t="s">
        <v>1695</v>
      </c>
      <c r="D1849" s="3" t="s">
        <v>14</v>
      </c>
      <c r="E1849" s="3" t="s">
        <v>466</v>
      </c>
      <c r="F1849" s="4">
        <v>46288</v>
      </c>
      <c r="G1849" s="3" t="s">
        <v>17</v>
      </c>
      <c r="H1849" s="5">
        <v>-332090</v>
      </c>
      <c r="I1849" s="3" t="s">
        <v>18</v>
      </c>
      <c r="J1849" s="3" t="s">
        <v>14</v>
      </c>
      <c r="K1849" s="3" t="s">
        <v>14</v>
      </c>
      <c r="L1849" s="3" t="s">
        <v>269</v>
      </c>
      <c r="M1849" s="4">
        <v>46288</v>
      </c>
      <c r="N1849" s="3" t="s">
        <v>1696</v>
      </c>
      <c r="O1849" s="3" t="s">
        <v>30</v>
      </c>
      <c r="P1849" t="str">
        <f t="shared" si="28"/>
        <v>450013832710</v>
      </c>
      <c r="Q1849" s="7" cm="1">
        <f t="array" ref="Q1849:S1849">VLOOKUP(P1849,Hoja1!C:F,{2,3,4},FALSE)</f>
        <v>46295</v>
      </c>
      <c r="R1849" t="str">
        <v>C03</v>
      </c>
      <c r="S1849" t="str">
        <v>1000000190 FERNANDEZ INSUA S.A.</v>
      </c>
    </row>
    <row r="1850" spans="1:19" x14ac:dyDescent="0.3">
      <c r="A1850" s="2" t="s">
        <v>14</v>
      </c>
      <c r="B1850" s="3" t="s">
        <v>14</v>
      </c>
      <c r="C1850" s="3" t="s">
        <v>1695</v>
      </c>
      <c r="D1850" s="3" t="s">
        <v>14</v>
      </c>
      <c r="E1850" s="3" t="s">
        <v>466</v>
      </c>
      <c r="F1850" s="4">
        <v>46288</v>
      </c>
      <c r="G1850" s="3" t="s">
        <v>17</v>
      </c>
      <c r="H1850" s="5">
        <v>-63399</v>
      </c>
      <c r="I1850" s="3" t="s">
        <v>18</v>
      </c>
      <c r="J1850" s="3" t="s">
        <v>14</v>
      </c>
      <c r="K1850" s="3" t="s">
        <v>14</v>
      </c>
      <c r="L1850" s="3" t="s">
        <v>269</v>
      </c>
      <c r="M1850" s="4">
        <v>46288</v>
      </c>
      <c r="N1850" s="3" t="s">
        <v>1696</v>
      </c>
      <c r="O1850" s="3" t="s">
        <v>22</v>
      </c>
      <c r="P1850" t="str">
        <f t="shared" si="28"/>
        <v>450013832720</v>
      </c>
      <c r="Q1850" s="7" cm="1">
        <f t="array" ref="Q1850:S1850">VLOOKUP(P1850,Hoja1!C:F,{2,3,4},FALSE)</f>
        <v>46295</v>
      </c>
      <c r="R1850" t="str">
        <v>C03</v>
      </c>
      <c r="S1850" t="str">
        <v>1000000190 FERNANDEZ INSUA S.A.</v>
      </c>
    </row>
    <row r="1851" spans="1:19" x14ac:dyDescent="0.3">
      <c r="A1851" s="2" t="s">
        <v>14</v>
      </c>
      <c r="B1851" s="3" t="s">
        <v>14</v>
      </c>
      <c r="C1851" s="3" t="s">
        <v>1695</v>
      </c>
      <c r="D1851" s="3" t="s">
        <v>14</v>
      </c>
      <c r="E1851" s="3" t="s">
        <v>466</v>
      </c>
      <c r="F1851" s="4">
        <v>46288</v>
      </c>
      <c r="G1851" s="3" t="s">
        <v>17</v>
      </c>
      <c r="H1851" s="5">
        <v>-120760</v>
      </c>
      <c r="I1851" s="3" t="s">
        <v>18</v>
      </c>
      <c r="J1851" s="3" t="s">
        <v>14</v>
      </c>
      <c r="K1851" s="3" t="s">
        <v>14</v>
      </c>
      <c r="L1851" s="3" t="s">
        <v>269</v>
      </c>
      <c r="M1851" s="4">
        <v>46288</v>
      </c>
      <c r="N1851" s="3" t="s">
        <v>1696</v>
      </c>
      <c r="O1851" s="3" t="s">
        <v>35</v>
      </c>
      <c r="P1851" t="str">
        <f t="shared" si="28"/>
        <v>450013832730</v>
      </c>
      <c r="Q1851" s="7" cm="1">
        <f t="array" ref="Q1851:S1851">VLOOKUP(P1851,Hoja1!C:F,{2,3,4},FALSE)</f>
        <v>46295</v>
      </c>
      <c r="R1851" t="str">
        <v>C03</v>
      </c>
      <c r="S1851" t="str">
        <v>1000000190 FERNANDEZ INSUA S.A.</v>
      </c>
    </row>
    <row r="1852" spans="1:19" x14ac:dyDescent="0.3">
      <c r="A1852" s="2" t="s">
        <v>14</v>
      </c>
      <c r="B1852" s="3" t="s">
        <v>14</v>
      </c>
      <c r="C1852" s="3" t="s">
        <v>1695</v>
      </c>
      <c r="D1852" s="3" t="s">
        <v>14</v>
      </c>
      <c r="E1852" s="3" t="s">
        <v>466</v>
      </c>
      <c r="F1852" s="4">
        <v>46288</v>
      </c>
      <c r="G1852" s="3" t="s">
        <v>17</v>
      </c>
      <c r="H1852" s="5">
        <v>-498135</v>
      </c>
      <c r="I1852" s="3" t="s">
        <v>18</v>
      </c>
      <c r="J1852" s="3" t="s">
        <v>14</v>
      </c>
      <c r="K1852" s="3" t="s">
        <v>14</v>
      </c>
      <c r="L1852" s="3" t="s">
        <v>269</v>
      </c>
      <c r="M1852" s="4">
        <v>46288</v>
      </c>
      <c r="N1852" s="3" t="s">
        <v>1696</v>
      </c>
      <c r="O1852" s="3" t="s">
        <v>23</v>
      </c>
      <c r="P1852" t="str">
        <f t="shared" si="28"/>
        <v>450013832740</v>
      </c>
      <c r="Q1852" s="7" cm="1">
        <f t="array" ref="Q1852:S1852">VLOOKUP(P1852,Hoja1!C:F,{2,3,4},FALSE)</f>
        <v>46295</v>
      </c>
      <c r="R1852" t="str">
        <v>C03</v>
      </c>
      <c r="S1852" t="str">
        <v>1000000190 FERNANDEZ INSUA S.A.</v>
      </c>
    </row>
    <row r="1853" spans="1:19" x14ac:dyDescent="0.3">
      <c r="A1853" s="2" t="s">
        <v>14</v>
      </c>
      <c r="B1853" s="3" t="s">
        <v>14</v>
      </c>
      <c r="C1853" s="3" t="s">
        <v>1695</v>
      </c>
      <c r="D1853" s="3" t="s">
        <v>14</v>
      </c>
      <c r="E1853" s="3" t="s">
        <v>466</v>
      </c>
      <c r="F1853" s="4">
        <v>46288</v>
      </c>
      <c r="G1853" s="3" t="s">
        <v>17</v>
      </c>
      <c r="H1853" s="5">
        <v>-196235</v>
      </c>
      <c r="I1853" s="3" t="s">
        <v>18</v>
      </c>
      <c r="J1853" s="3" t="s">
        <v>14</v>
      </c>
      <c r="K1853" s="3" t="s">
        <v>14</v>
      </c>
      <c r="L1853" s="3" t="s">
        <v>269</v>
      </c>
      <c r="M1853" s="4">
        <v>46288</v>
      </c>
      <c r="N1853" s="3" t="s">
        <v>1696</v>
      </c>
      <c r="O1853" s="3" t="s">
        <v>144</v>
      </c>
      <c r="P1853" t="str">
        <f t="shared" si="28"/>
        <v>450013832750</v>
      </c>
      <c r="Q1853" s="7" cm="1">
        <f t="array" ref="Q1853:S1853">VLOOKUP(P1853,Hoja1!C:F,{2,3,4},FALSE)</f>
        <v>46295</v>
      </c>
      <c r="R1853" t="str">
        <v>C03</v>
      </c>
      <c r="S1853" t="str">
        <v>1000000190 FERNANDEZ INSUA S.A.</v>
      </c>
    </row>
    <row r="1854" spans="1:19" x14ac:dyDescent="0.3">
      <c r="A1854" s="2" t="s">
        <v>14</v>
      </c>
      <c r="B1854" s="3" t="s">
        <v>14</v>
      </c>
      <c r="C1854" s="3" t="s">
        <v>1695</v>
      </c>
      <c r="D1854" s="3" t="s">
        <v>14</v>
      </c>
      <c r="E1854" s="3" t="s">
        <v>466</v>
      </c>
      <c r="F1854" s="4">
        <v>46288</v>
      </c>
      <c r="G1854" s="3" t="s">
        <v>17</v>
      </c>
      <c r="H1854" s="5">
        <v>-22642.5</v>
      </c>
      <c r="I1854" s="3" t="s">
        <v>18</v>
      </c>
      <c r="J1854" s="3" t="s">
        <v>14</v>
      </c>
      <c r="K1854" s="3" t="s">
        <v>14</v>
      </c>
      <c r="L1854" s="3" t="s">
        <v>269</v>
      </c>
      <c r="M1854" s="4">
        <v>46288</v>
      </c>
      <c r="N1854" s="3" t="s">
        <v>1696</v>
      </c>
      <c r="O1854" s="3" t="s">
        <v>141</v>
      </c>
      <c r="P1854" t="str">
        <f t="shared" si="28"/>
        <v>450013832760</v>
      </c>
      <c r="Q1854" s="7" cm="1">
        <f t="array" ref="Q1854:S1854">VLOOKUP(P1854,Hoja1!C:F,{2,3,4},FALSE)</f>
        <v>46295</v>
      </c>
      <c r="R1854" t="str">
        <v>C03</v>
      </c>
      <c r="S1854" t="str">
        <v>1000000190 FERNANDEZ INSUA S.A.</v>
      </c>
    </row>
    <row r="1855" spans="1:19" x14ac:dyDescent="0.3">
      <c r="A1855" s="2" t="s">
        <v>14</v>
      </c>
      <c r="B1855" s="3" t="s">
        <v>14</v>
      </c>
      <c r="C1855" s="3" t="s">
        <v>1695</v>
      </c>
      <c r="D1855" s="3" t="s">
        <v>14</v>
      </c>
      <c r="E1855" s="3" t="s">
        <v>466</v>
      </c>
      <c r="F1855" s="4">
        <v>46288</v>
      </c>
      <c r="G1855" s="3" t="s">
        <v>17</v>
      </c>
      <c r="H1855" s="5">
        <v>-483040</v>
      </c>
      <c r="I1855" s="3" t="s">
        <v>18</v>
      </c>
      <c r="J1855" s="3" t="s">
        <v>14</v>
      </c>
      <c r="K1855" s="3" t="s">
        <v>14</v>
      </c>
      <c r="L1855" s="3" t="s">
        <v>269</v>
      </c>
      <c r="M1855" s="4">
        <v>46288</v>
      </c>
      <c r="N1855" s="3" t="s">
        <v>1696</v>
      </c>
      <c r="O1855" s="3" t="s">
        <v>134</v>
      </c>
      <c r="P1855" t="str">
        <f t="shared" si="28"/>
        <v>450013832770</v>
      </c>
      <c r="Q1855" s="7" cm="1">
        <f t="array" ref="Q1855:S1855">VLOOKUP(P1855,Hoja1!C:F,{2,3,4},FALSE)</f>
        <v>46295</v>
      </c>
      <c r="R1855" t="str">
        <v>C03</v>
      </c>
      <c r="S1855" t="str">
        <v>1000000190 FERNANDEZ INSUA S.A.</v>
      </c>
    </row>
    <row r="1856" spans="1:19" x14ac:dyDescent="0.3">
      <c r="A1856" s="2" t="s">
        <v>14</v>
      </c>
      <c r="B1856" s="3" t="s">
        <v>14</v>
      </c>
      <c r="C1856" s="3" t="s">
        <v>1695</v>
      </c>
      <c r="D1856" s="3" t="s">
        <v>14</v>
      </c>
      <c r="E1856" s="3" t="s">
        <v>466</v>
      </c>
      <c r="F1856" s="4">
        <v>46288</v>
      </c>
      <c r="G1856" s="3" t="s">
        <v>17</v>
      </c>
      <c r="H1856" s="5">
        <v>-1056650</v>
      </c>
      <c r="I1856" s="3" t="s">
        <v>18</v>
      </c>
      <c r="J1856" s="3" t="s">
        <v>14</v>
      </c>
      <c r="K1856" s="3" t="s">
        <v>14</v>
      </c>
      <c r="L1856" s="3" t="s">
        <v>269</v>
      </c>
      <c r="M1856" s="4">
        <v>46288</v>
      </c>
      <c r="N1856" s="3" t="s">
        <v>1696</v>
      </c>
      <c r="O1856" s="3" t="s">
        <v>52</v>
      </c>
      <c r="P1856" t="str">
        <f t="shared" si="28"/>
        <v>450013832780</v>
      </c>
      <c r="Q1856" s="7" cm="1">
        <f t="array" ref="Q1856:S1856">VLOOKUP(P1856,Hoja1!C:F,{2,3,4},FALSE)</f>
        <v>46295</v>
      </c>
      <c r="R1856" t="str">
        <v>C03</v>
      </c>
      <c r="S1856" t="str">
        <v>1000000190 FERNANDEZ INSUA S.A.</v>
      </c>
    </row>
    <row r="1857" spans="1:19" x14ac:dyDescent="0.3">
      <c r="A1857" s="2" t="s">
        <v>14</v>
      </c>
      <c r="B1857" s="3" t="s">
        <v>14</v>
      </c>
      <c r="C1857" s="3" t="s">
        <v>1695</v>
      </c>
      <c r="D1857" s="3" t="s">
        <v>14</v>
      </c>
      <c r="E1857" s="3" t="s">
        <v>466</v>
      </c>
      <c r="F1857" s="4">
        <v>46288</v>
      </c>
      <c r="G1857" s="3" t="s">
        <v>17</v>
      </c>
      <c r="H1857" s="5">
        <v>-120760</v>
      </c>
      <c r="I1857" s="3" t="s">
        <v>18</v>
      </c>
      <c r="J1857" s="3" t="s">
        <v>14</v>
      </c>
      <c r="K1857" s="3" t="s">
        <v>14</v>
      </c>
      <c r="L1857" s="3" t="s">
        <v>269</v>
      </c>
      <c r="M1857" s="4">
        <v>46288</v>
      </c>
      <c r="N1857" s="3" t="s">
        <v>1696</v>
      </c>
      <c r="O1857" s="3" t="s">
        <v>138</v>
      </c>
      <c r="P1857" t="str">
        <f t="shared" si="28"/>
        <v>450013832790</v>
      </c>
      <c r="Q1857" s="7" cm="1">
        <f t="array" ref="Q1857:S1857">VLOOKUP(P1857,Hoja1!C:F,{2,3,4},FALSE)</f>
        <v>46295</v>
      </c>
      <c r="R1857" t="str">
        <v>C03</v>
      </c>
      <c r="S1857" t="str">
        <v>1000000190 FERNANDEZ INSUA S.A.</v>
      </c>
    </row>
    <row r="1858" spans="1:19" x14ac:dyDescent="0.3">
      <c r="A1858" s="2" t="s">
        <v>14</v>
      </c>
      <c r="B1858" s="3" t="s">
        <v>14</v>
      </c>
      <c r="C1858" s="3" t="s">
        <v>1695</v>
      </c>
      <c r="D1858" s="3" t="s">
        <v>14</v>
      </c>
      <c r="E1858" s="3" t="s">
        <v>466</v>
      </c>
      <c r="F1858" s="4">
        <v>46288</v>
      </c>
      <c r="G1858" s="3" t="s">
        <v>17</v>
      </c>
      <c r="H1858" s="5">
        <v>-24152</v>
      </c>
      <c r="I1858" s="3" t="s">
        <v>18</v>
      </c>
      <c r="J1858" s="3" t="s">
        <v>14</v>
      </c>
      <c r="K1858" s="3" t="s">
        <v>14</v>
      </c>
      <c r="L1858" s="3" t="s">
        <v>269</v>
      </c>
      <c r="M1858" s="4">
        <v>46288</v>
      </c>
      <c r="N1858" s="3" t="s">
        <v>1696</v>
      </c>
      <c r="O1858" s="3" t="s">
        <v>45</v>
      </c>
      <c r="P1858" t="str">
        <f t="shared" si="28"/>
        <v>4500138327100</v>
      </c>
      <c r="Q1858" s="7" cm="1">
        <f t="array" ref="Q1858:S1858">VLOOKUP(P1858,Hoja1!C:F,{2,3,4},FALSE)</f>
        <v>46295</v>
      </c>
      <c r="R1858" t="str">
        <v>C03</v>
      </c>
      <c r="S1858" t="str">
        <v>1000000190 FERNANDEZ INSUA S.A.</v>
      </c>
    </row>
    <row r="1859" spans="1:19" x14ac:dyDescent="0.3">
      <c r="A1859" s="2" t="s">
        <v>14</v>
      </c>
      <c r="B1859" s="3" t="s">
        <v>14</v>
      </c>
      <c r="C1859" s="3" t="s">
        <v>1695</v>
      </c>
      <c r="D1859" s="3" t="s">
        <v>14</v>
      </c>
      <c r="E1859" s="3" t="s">
        <v>466</v>
      </c>
      <c r="F1859" s="4">
        <v>46288</v>
      </c>
      <c r="G1859" s="3" t="s">
        <v>17</v>
      </c>
      <c r="H1859" s="5">
        <v>-21133</v>
      </c>
      <c r="I1859" s="3" t="s">
        <v>18</v>
      </c>
      <c r="J1859" s="3" t="s">
        <v>14</v>
      </c>
      <c r="K1859" s="3" t="s">
        <v>14</v>
      </c>
      <c r="L1859" s="3" t="s">
        <v>269</v>
      </c>
      <c r="M1859" s="4">
        <v>46288</v>
      </c>
      <c r="N1859" s="3" t="s">
        <v>1696</v>
      </c>
      <c r="O1859" s="3" t="s">
        <v>156</v>
      </c>
      <c r="P1859" t="str">
        <f t="shared" ref="P1859:P1922" si="29">_xlfn.CONCAT(N1859:O1859)</f>
        <v>4500138327110</v>
      </c>
      <c r="Q1859" s="7" cm="1">
        <f t="array" ref="Q1859:S1859">VLOOKUP(P1859,Hoja1!C:F,{2,3,4},FALSE)</f>
        <v>46295</v>
      </c>
      <c r="R1859" t="str">
        <v>C03</v>
      </c>
      <c r="S1859" t="str">
        <v>1000000190 FERNANDEZ INSUA S.A.</v>
      </c>
    </row>
    <row r="1860" spans="1:19" x14ac:dyDescent="0.3">
      <c r="A1860" s="2" t="s">
        <v>14</v>
      </c>
      <c r="B1860" s="3" t="s">
        <v>14</v>
      </c>
      <c r="C1860" s="3" t="s">
        <v>1695</v>
      </c>
      <c r="D1860" s="3" t="s">
        <v>14</v>
      </c>
      <c r="E1860" s="3" t="s">
        <v>466</v>
      </c>
      <c r="F1860" s="4">
        <v>46288</v>
      </c>
      <c r="G1860" s="3" t="s">
        <v>17</v>
      </c>
      <c r="H1860" s="5">
        <v>-93589</v>
      </c>
      <c r="I1860" s="3" t="s">
        <v>18</v>
      </c>
      <c r="J1860" s="3" t="s">
        <v>14</v>
      </c>
      <c r="K1860" s="3" t="s">
        <v>14</v>
      </c>
      <c r="L1860" s="3" t="s">
        <v>269</v>
      </c>
      <c r="M1860" s="4">
        <v>46288</v>
      </c>
      <c r="N1860" s="3" t="s">
        <v>1696</v>
      </c>
      <c r="O1860" s="3" t="s">
        <v>132</v>
      </c>
      <c r="P1860" t="str">
        <f t="shared" si="29"/>
        <v>4500138327120</v>
      </c>
      <c r="Q1860" s="7" cm="1">
        <f t="array" ref="Q1860:S1860">VLOOKUP(P1860,Hoja1!C:F,{2,3,4},FALSE)</f>
        <v>46295</v>
      </c>
      <c r="R1860" t="str">
        <v>C03</v>
      </c>
      <c r="S1860" t="str">
        <v>1000000190 FERNANDEZ INSUA S.A.</v>
      </c>
    </row>
    <row r="1861" spans="1:19" x14ac:dyDescent="0.3">
      <c r="A1861" s="2" t="s">
        <v>14</v>
      </c>
      <c r="B1861" s="3" t="s">
        <v>14</v>
      </c>
      <c r="C1861" s="3" t="s">
        <v>1695</v>
      </c>
      <c r="D1861" s="3" t="s">
        <v>14</v>
      </c>
      <c r="E1861" s="3" t="s">
        <v>466</v>
      </c>
      <c r="F1861" s="4">
        <v>46288</v>
      </c>
      <c r="G1861" s="3" t="s">
        <v>17</v>
      </c>
      <c r="H1861" s="5">
        <v>-48304</v>
      </c>
      <c r="I1861" s="3" t="s">
        <v>18</v>
      </c>
      <c r="J1861" s="3" t="s">
        <v>14</v>
      </c>
      <c r="K1861" s="3" t="s">
        <v>14</v>
      </c>
      <c r="L1861" s="3" t="s">
        <v>269</v>
      </c>
      <c r="M1861" s="4">
        <v>46288</v>
      </c>
      <c r="N1861" s="3" t="s">
        <v>1696</v>
      </c>
      <c r="O1861" s="3" t="s">
        <v>142</v>
      </c>
      <c r="P1861" t="str">
        <f t="shared" si="29"/>
        <v>4500138327130</v>
      </c>
      <c r="Q1861" s="7" cm="1">
        <f t="array" ref="Q1861:S1861">VLOOKUP(P1861,Hoja1!C:F,{2,3,4},FALSE)</f>
        <v>46295</v>
      </c>
      <c r="R1861" t="str">
        <v>C03</v>
      </c>
      <c r="S1861" t="str">
        <v>1000000190 FERNANDEZ INSUA S.A.</v>
      </c>
    </row>
    <row r="1862" spans="1:19" x14ac:dyDescent="0.3">
      <c r="A1862" s="2" t="s">
        <v>14</v>
      </c>
      <c r="B1862" s="3" t="s">
        <v>14</v>
      </c>
      <c r="C1862" s="3" t="s">
        <v>1695</v>
      </c>
      <c r="D1862" s="3" t="s">
        <v>14</v>
      </c>
      <c r="E1862" s="3" t="s">
        <v>466</v>
      </c>
      <c r="F1862" s="4">
        <v>46288</v>
      </c>
      <c r="G1862" s="3" t="s">
        <v>17</v>
      </c>
      <c r="H1862" s="5">
        <v>-588705</v>
      </c>
      <c r="I1862" s="3" t="s">
        <v>18</v>
      </c>
      <c r="J1862" s="3" t="s">
        <v>14</v>
      </c>
      <c r="K1862" s="3" t="s">
        <v>14</v>
      </c>
      <c r="L1862" s="3" t="s">
        <v>269</v>
      </c>
      <c r="M1862" s="4">
        <v>46288</v>
      </c>
      <c r="N1862" s="3" t="s">
        <v>1696</v>
      </c>
      <c r="O1862" s="3" t="s">
        <v>131</v>
      </c>
      <c r="P1862" t="str">
        <f t="shared" si="29"/>
        <v>4500138327140</v>
      </c>
      <c r="Q1862" s="7" cm="1">
        <f t="array" ref="Q1862:S1862">VLOOKUP(P1862,Hoja1!C:F,{2,3,4},FALSE)</f>
        <v>46295</v>
      </c>
      <c r="R1862" t="str">
        <v>C03</v>
      </c>
      <c r="S1862" t="str">
        <v>1000000190 FERNANDEZ INSUA S.A.</v>
      </c>
    </row>
    <row r="1863" spans="1:19" x14ac:dyDescent="0.3">
      <c r="A1863" s="2" t="s">
        <v>14</v>
      </c>
      <c r="B1863" s="3" t="s">
        <v>14</v>
      </c>
      <c r="C1863" s="3" t="s">
        <v>1695</v>
      </c>
      <c r="D1863" s="3" t="s">
        <v>14</v>
      </c>
      <c r="E1863" s="3" t="s">
        <v>466</v>
      </c>
      <c r="F1863" s="4">
        <v>46288</v>
      </c>
      <c r="G1863" s="3" t="s">
        <v>17</v>
      </c>
      <c r="H1863" s="5">
        <v>-211330</v>
      </c>
      <c r="I1863" s="3" t="s">
        <v>18</v>
      </c>
      <c r="J1863" s="3" t="s">
        <v>14</v>
      </c>
      <c r="K1863" s="3" t="s">
        <v>14</v>
      </c>
      <c r="L1863" s="3" t="s">
        <v>269</v>
      </c>
      <c r="M1863" s="4">
        <v>46288</v>
      </c>
      <c r="N1863" s="3" t="s">
        <v>1696</v>
      </c>
      <c r="O1863" s="3" t="s">
        <v>68</v>
      </c>
      <c r="P1863" t="str">
        <f t="shared" si="29"/>
        <v>4500138327150</v>
      </c>
      <c r="Q1863" s="7" cm="1">
        <f t="array" ref="Q1863:S1863">VLOOKUP(P1863,Hoja1!C:F,{2,3,4},FALSE)</f>
        <v>46295</v>
      </c>
      <c r="R1863" t="str">
        <v>C03</v>
      </c>
      <c r="S1863" t="str">
        <v>1000000190 FERNANDEZ INSUA S.A.</v>
      </c>
    </row>
    <row r="1864" spans="1:19" x14ac:dyDescent="0.3">
      <c r="A1864" s="2" t="s">
        <v>14</v>
      </c>
      <c r="B1864" s="3" t="s">
        <v>14</v>
      </c>
      <c r="C1864" s="3" t="s">
        <v>1695</v>
      </c>
      <c r="D1864" s="3" t="s">
        <v>14</v>
      </c>
      <c r="E1864" s="3" t="s">
        <v>466</v>
      </c>
      <c r="F1864" s="4">
        <v>46288</v>
      </c>
      <c r="G1864" s="3" t="s">
        <v>17</v>
      </c>
      <c r="H1864" s="5">
        <v>-96608</v>
      </c>
      <c r="I1864" s="3" t="s">
        <v>18</v>
      </c>
      <c r="J1864" s="3" t="s">
        <v>14</v>
      </c>
      <c r="K1864" s="3" t="s">
        <v>14</v>
      </c>
      <c r="L1864" s="3" t="s">
        <v>269</v>
      </c>
      <c r="M1864" s="4">
        <v>46288</v>
      </c>
      <c r="N1864" s="3" t="s">
        <v>1696</v>
      </c>
      <c r="O1864" s="3" t="s">
        <v>129</v>
      </c>
      <c r="P1864" t="str">
        <f t="shared" si="29"/>
        <v>4500138327160</v>
      </c>
      <c r="Q1864" s="7" cm="1">
        <f t="array" ref="Q1864:S1864">VLOOKUP(P1864,Hoja1!C:F,{2,3,4},FALSE)</f>
        <v>46295</v>
      </c>
      <c r="R1864" t="str">
        <v>C03</v>
      </c>
      <c r="S1864" t="str">
        <v>1000000190 FERNANDEZ INSUA S.A.</v>
      </c>
    </row>
    <row r="1865" spans="1:19" x14ac:dyDescent="0.3">
      <c r="A1865" s="2" t="s">
        <v>14</v>
      </c>
      <c r="B1865" s="3" t="s">
        <v>14</v>
      </c>
      <c r="C1865" s="3" t="s">
        <v>1695</v>
      </c>
      <c r="D1865" s="3" t="s">
        <v>14</v>
      </c>
      <c r="E1865" s="3" t="s">
        <v>466</v>
      </c>
      <c r="F1865" s="4">
        <v>46288</v>
      </c>
      <c r="G1865" s="3" t="s">
        <v>17</v>
      </c>
      <c r="H1865" s="5">
        <v>-187178</v>
      </c>
      <c r="I1865" s="3" t="s">
        <v>18</v>
      </c>
      <c r="J1865" s="3" t="s">
        <v>14</v>
      </c>
      <c r="K1865" s="3" t="s">
        <v>14</v>
      </c>
      <c r="L1865" s="3" t="s">
        <v>269</v>
      </c>
      <c r="M1865" s="4">
        <v>46288</v>
      </c>
      <c r="N1865" s="3" t="s">
        <v>1696</v>
      </c>
      <c r="O1865" s="3" t="s">
        <v>53</v>
      </c>
      <c r="P1865" t="str">
        <f t="shared" si="29"/>
        <v>4500138327170</v>
      </c>
      <c r="Q1865" s="7" cm="1">
        <f t="array" ref="Q1865:S1865">VLOOKUP(P1865,Hoja1!C:F,{2,3,4},FALSE)</f>
        <v>46295</v>
      </c>
      <c r="R1865" t="str">
        <v>C03</v>
      </c>
      <c r="S1865" t="str">
        <v>1000000190 FERNANDEZ INSUA S.A.</v>
      </c>
    </row>
    <row r="1866" spans="1:19" x14ac:dyDescent="0.3">
      <c r="A1866" s="2" t="s">
        <v>14</v>
      </c>
      <c r="B1866" s="3" t="s">
        <v>14</v>
      </c>
      <c r="C1866" s="3" t="s">
        <v>1695</v>
      </c>
      <c r="D1866" s="3" t="s">
        <v>14</v>
      </c>
      <c r="E1866" s="3" t="s">
        <v>466</v>
      </c>
      <c r="F1866" s="4">
        <v>46288</v>
      </c>
      <c r="G1866" s="3" t="s">
        <v>17</v>
      </c>
      <c r="H1866" s="5">
        <v>-135855</v>
      </c>
      <c r="I1866" s="3" t="s">
        <v>18</v>
      </c>
      <c r="J1866" s="3" t="s">
        <v>14</v>
      </c>
      <c r="K1866" s="3" t="s">
        <v>14</v>
      </c>
      <c r="L1866" s="3" t="s">
        <v>269</v>
      </c>
      <c r="M1866" s="4">
        <v>46288</v>
      </c>
      <c r="N1866" s="3" t="s">
        <v>1696</v>
      </c>
      <c r="O1866" s="3" t="s">
        <v>130</v>
      </c>
      <c r="P1866" t="str">
        <f t="shared" si="29"/>
        <v>4500138327180</v>
      </c>
      <c r="Q1866" s="7" cm="1">
        <f t="array" ref="Q1866:S1866">VLOOKUP(P1866,Hoja1!C:F,{2,3,4},FALSE)</f>
        <v>46295</v>
      </c>
      <c r="R1866" t="str">
        <v>C03</v>
      </c>
      <c r="S1866" t="str">
        <v>1000000190 FERNANDEZ INSUA S.A.</v>
      </c>
    </row>
    <row r="1867" spans="1:19" x14ac:dyDescent="0.3">
      <c r="A1867" s="2" t="s">
        <v>14</v>
      </c>
      <c r="B1867" s="3" t="s">
        <v>14</v>
      </c>
      <c r="C1867" s="3" t="s">
        <v>1695</v>
      </c>
      <c r="D1867" s="3" t="s">
        <v>14</v>
      </c>
      <c r="E1867" s="3" t="s">
        <v>466</v>
      </c>
      <c r="F1867" s="4">
        <v>46288</v>
      </c>
      <c r="G1867" s="3" t="s">
        <v>17</v>
      </c>
      <c r="H1867" s="5">
        <v>-45285</v>
      </c>
      <c r="I1867" s="3" t="s">
        <v>18</v>
      </c>
      <c r="J1867" s="3" t="s">
        <v>14</v>
      </c>
      <c r="K1867" s="3" t="s">
        <v>14</v>
      </c>
      <c r="L1867" s="3" t="s">
        <v>269</v>
      </c>
      <c r="M1867" s="4">
        <v>46288</v>
      </c>
      <c r="N1867" s="3" t="s">
        <v>1696</v>
      </c>
      <c r="O1867" s="3" t="s">
        <v>161</v>
      </c>
      <c r="P1867" t="str">
        <f t="shared" si="29"/>
        <v>4500138327200</v>
      </c>
      <c r="Q1867" s="7" cm="1">
        <f t="array" ref="Q1867:S1867">VLOOKUP(P1867,Hoja1!C:F,{2,3,4},FALSE)</f>
        <v>46295</v>
      </c>
      <c r="R1867" t="str">
        <v>C03</v>
      </c>
      <c r="S1867" t="str">
        <v>1000000190 FERNANDEZ INSUA S.A.</v>
      </c>
    </row>
    <row r="1868" spans="1:19" x14ac:dyDescent="0.3">
      <c r="A1868" s="2" t="s">
        <v>14</v>
      </c>
      <c r="B1868" s="3" t="s">
        <v>14</v>
      </c>
      <c r="C1868" s="3" t="s">
        <v>1695</v>
      </c>
      <c r="D1868" s="3" t="s">
        <v>14</v>
      </c>
      <c r="E1868" s="3" t="s">
        <v>466</v>
      </c>
      <c r="F1868" s="4">
        <v>46288</v>
      </c>
      <c r="G1868" s="3" t="s">
        <v>17</v>
      </c>
      <c r="H1868" s="5">
        <v>-561534</v>
      </c>
      <c r="I1868" s="3" t="s">
        <v>18</v>
      </c>
      <c r="J1868" s="3" t="s">
        <v>14</v>
      </c>
      <c r="K1868" s="3" t="s">
        <v>14</v>
      </c>
      <c r="L1868" s="3" t="s">
        <v>269</v>
      </c>
      <c r="M1868" s="4">
        <v>46288</v>
      </c>
      <c r="N1868" s="3" t="s">
        <v>1696</v>
      </c>
      <c r="O1868" s="3" t="s">
        <v>136</v>
      </c>
      <c r="P1868" t="str">
        <f t="shared" si="29"/>
        <v>4500138327210</v>
      </c>
      <c r="Q1868" s="7" cm="1">
        <f t="array" ref="Q1868:S1868">VLOOKUP(P1868,Hoja1!C:F,{2,3,4},FALSE)</f>
        <v>46295</v>
      </c>
      <c r="R1868" t="str">
        <v>C03</v>
      </c>
      <c r="S1868" t="str">
        <v>1000000190 FERNANDEZ INSUA S.A.</v>
      </c>
    </row>
    <row r="1869" spans="1:19" x14ac:dyDescent="0.3">
      <c r="A1869" s="2" t="s">
        <v>14</v>
      </c>
      <c r="B1869" s="3" t="s">
        <v>14</v>
      </c>
      <c r="C1869" s="3" t="s">
        <v>1695</v>
      </c>
      <c r="D1869" s="3" t="s">
        <v>14</v>
      </c>
      <c r="E1869" s="3" t="s">
        <v>466</v>
      </c>
      <c r="F1869" s="4">
        <v>46288</v>
      </c>
      <c r="G1869" s="3" t="s">
        <v>17</v>
      </c>
      <c r="H1869" s="5">
        <v>-18114</v>
      </c>
      <c r="I1869" s="3" t="s">
        <v>18</v>
      </c>
      <c r="J1869" s="3" t="s">
        <v>14</v>
      </c>
      <c r="K1869" s="3" t="s">
        <v>14</v>
      </c>
      <c r="L1869" s="3" t="s">
        <v>269</v>
      </c>
      <c r="M1869" s="4">
        <v>46288</v>
      </c>
      <c r="N1869" s="3" t="s">
        <v>1696</v>
      </c>
      <c r="O1869" s="3" t="s">
        <v>140</v>
      </c>
      <c r="P1869" t="str">
        <f t="shared" si="29"/>
        <v>4500138327220</v>
      </c>
      <c r="Q1869" s="7" cm="1">
        <f t="array" ref="Q1869:S1869">VLOOKUP(P1869,Hoja1!C:F,{2,3,4},FALSE)</f>
        <v>46295</v>
      </c>
      <c r="R1869" t="str">
        <v>C03</v>
      </c>
      <c r="S1869" t="str">
        <v>1000000190 FERNANDEZ INSUA S.A.</v>
      </c>
    </row>
    <row r="1870" spans="1:19" x14ac:dyDescent="0.3">
      <c r="A1870" s="2" t="s">
        <v>14</v>
      </c>
      <c r="B1870" s="3" t="s">
        <v>14</v>
      </c>
      <c r="C1870" s="3" t="s">
        <v>1695</v>
      </c>
      <c r="D1870" s="3" t="s">
        <v>14</v>
      </c>
      <c r="E1870" s="3" t="s">
        <v>466</v>
      </c>
      <c r="F1870" s="4">
        <v>46288</v>
      </c>
      <c r="G1870" s="3" t="s">
        <v>17</v>
      </c>
      <c r="H1870" s="5">
        <v>-22642.5</v>
      </c>
      <c r="I1870" s="3" t="s">
        <v>18</v>
      </c>
      <c r="J1870" s="3" t="s">
        <v>14</v>
      </c>
      <c r="K1870" s="3" t="s">
        <v>14</v>
      </c>
      <c r="L1870" s="3" t="s">
        <v>269</v>
      </c>
      <c r="M1870" s="4">
        <v>46288</v>
      </c>
      <c r="N1870" s="3" t="s">
        <v>1696</v>
      </c>
      <c r="O1870" s="3" t="s">
        <v>137</v>
      </c>
      <c r="P1870" t="str">
        <f t="shared" si="29"/>
        <v>4500138327230</v>
      </c>
      <c r="Q1870" s="7" cm="1">
        <f t="array" ref="Q1870:S1870">VLOOKUP(P1870,Hoja1!C:F,{2,3,4},FALSE)</f>
        <v>46295</v>
      </c>
      <c r="R1870" t="str">
        <v>C03</v>
      </c>
      <c r="S1870" t="str">
        <v>1000000190 FERNANDEZ INSUA S.A.</v>
      </c>
    </row>
    <row r="1871" spans="1:19" x14ac:dyDescent="0.3">
      <c r="A1871" s="2" t="s">
        <v>14</v>
      </c>
      <c r="B1871" s="3" t="s">
        <v>14</v>
      </c>
      <c r="C1871" s="3" t="s">
        <v>1697</v>
      </c>
      <c r="D1871" s="3" t="s">
        <v>14</v>
      </c>
      <c r="E1871" s="3" t="s">
        <v>466</v>
      </c>
      <c r="F1871" s="4">
        <v>46287</v>
      </c>
      <c r="G1871" s="3" t="s">
        <v>17</v>
      </c>
      <c r="H1871" s="5">
        <v>-17961.84</v>
      </c>
      <c r="I1871" s="3" t="s">
        <v>18</v>
      </c>
      <c r="J1871" s="3" t="s">
        <v>14</v>
      </c>
      <c r="K1871" s="3" t="s">
        <v>14</v>
      </c>
      <c r="L1871" s="3" t="s">
        <v>1211</v>
      </c>
      <c r="M1871" s="4">
        <v>46288</v>
      </c>
      <c r="N1871" s="3" t="s">
        <v>1698</v>
      </c>
      <c r="O1871" s="3" t="s">
        <v>68</v>
      </c>
      <c r="P1871" t="str">
        <f t="shared" si="29"/>
        <v>4500136658150</v>
      </c>
      <c r="Q1871" s="7" cm="1">
        <f t="array" ref="Q1871:S1871">VLOOKUP(P1871,Hoja1!C:F,{2,3,4},FALSE)</f>
        <v>46310</v>
      </c>
      <c r="R1871" t="str">
        <v>C03</v>
      </c>
      <c r="S1871" t="str">
        <v>1000000012 IGARRETA MAQUINAS S.A.</v>
      </c>
    </row>
    <row r="1872" spans="1:19" x14ac:dyDescent="0.3">
      <c r="A1872" s="2" t="s">
        <v>14</v>
      </c>
      <c r="B1872" s="3" t="s">
        <v>14</v>
      </c>
      <c r="C1872" s="3" t="s">
        <v>1697</v>
      </c>
      <c r="D1872" s="3" t="s">
        <v>14</v>
      </c>
      <c r="E1872" s="3" t="s">
        <v>466</v>
      </c>
      <c r="F1872" s="4">
        <v>46287</v>
      </c>
      <c r="G1872" s="3" t="s">
        <v>17</v>
      </c>
      <c r="H1872" s="5">
        <v>-423053.16</v>
      </c>
      <c r="I1872" s="3" t="s">
        <v>18</v>
      </c>
      <c r="J1872" s="3" t="s">
        <v>14</v>
      </c>
      <c r="K1872" s="3" t="s">
        <v>14</v>
      </c>
      <c r="L1872" s="3" t="s">
        <v>1211</v>
      </c>
      <c r="M1872" s="4">
        <v>46288</v>
      </c>
      <c r="N1872" s="3" t="s">
        <v>1698</v>
      </c>
      <c r="O1872" s="3" t="s">
        <v>135</v>
      </c>
      <c r="P1872" t="str">
        <f t="shared" si="29"/>
        <v>4500136658340</v>
      </c>
      <c r="Q1872" s="7" cm="1">
        <f t="array" ref="Q1872:S1872">VLOOKUP(P1872,Hoja1!C:F,{2,3,4},FALSE)</f>
        <v>46310</v>
      </c>
      <c r="R1872" t="str">
        <v>C03</v>
      </c>
      <c r="S1872" t="str">
        <v>1000000012 IGARRETA MAQUINAS S.A.</v>
      </c>
    </row>
    <row r="1873" spans="1:19" x14ac:dyDescent="0.3">
      <c r="A1873" s="2" t="s">
        <v>14</v>
      </c>
      <c r="B1873" s="3" t="s">
        <v>14</v>
      </c>
      <c r="C1873" s="3" t="s">
        <v>1697</v>
      </c>
      <c r="D1873" s="3" t="s">
        <v>14</v>
      </c>
      <c r="E1873" s="3" t="s">
        <v>466</v>
      </c>
      <c r="F1873" s="4">
        <v>46287</v>
      </c>
      <c r="G1873" s="3" t="s">
        <v>17</v>
      </c>
      <c r="H1873" s="5">
        <v>-1137139.94</v>
      </c>
      <c r="I1873" s="3" t="s">
        <v>18</v>
      </c>
      <c r="J1873" s="3" t="s">
        <v>14</v>
      </c>
      <c r="K1873" s="3" t="s">
        <v>14</v>
      </c>
      <c r="L1873" s="3" t="s">
        <v>1211</v>
      </c>
      <c r="M1873" s="4">
        <v>46288</v>
      </c>
      <c r="N1873" s="3" t="s">
        <v>1698</v>
      </c>
      <c r="O1873" s="3" t="s">
        <v>150</v>
      </c>
      <c r="P1873" t="str">
        <f t="shared" si="29"/>
        <v>4500136658320</v>
      </c>
      <c r="Q1873" s="7" cm="1">
        <f t="array" ref="Q1873:S1873">VLOOKUP(P1873,Hoja1!C:F,{2,3,4},FALSE)</f>
        <v>46310</v>
      </c>
      <c r="R1873" t="str">
        <v>C03</v>
      </c>
      <c r="S1873" t="str">
        <v>1000000012 IGARRETA MAQUINAS S.A.</v>
      </c>
    </row>
    <row r="1874" spans="1:19" x14ac:dyDescent="0.3">
      <c r="A1874" s="2" t="s">
        <v>14</v>
      </c>
      <c r="B1874" s="3" t="s">
        <v>14</v>
      </c>
      <c r="C1874" s="3" t="s">
        <v>1697</v>
      </c>
      <c r="D1874" s="3" t="s">
        <v>14</v>
      </c>
      <c r="E1874" s="3" t="s">
        <v>466</v>
      </c>
      <c r="F1874" s="4">
        <v>46287</v>
      </c>
      <c r="G1874" s="3" t="s">
        <v>17</v>
      </c>
      <c r="H1874" s="5">
        <v>-357043.39</v>
      </c>
      <c r="I1874" s="3" t="s">
        <v>18</v>
      </c>
      <c r="J1874" s="3" t="s">
        <v>14</v>
      </c>
      <c r="K1874" s="3" t="s">
        <v>14</v>
      </c>
      <c r="L1874" s="3" t="s">
        <v>1211</v>
      </c>
      <c r="M1874" s="4">
        <v>46288</v>
      </c>
      <c r="N1874" s="3" t="s">
        <v>1698</v>
      </c>
      <c r="O1874" s="3" t="s">
        <v>145</v>
      </c>
      <c r="P1874" t="str">
        <f t="shared" si="29"/>
        <v>4500136658300</v>
      </c>
      <c r="Q1874" s="7" cm="1">
        <f t="array" ref="Q1874:S1874">VLOOKUP(P1874,Hoja1!C:F,{2,3,4},FALSE)</f>
        <v>46310</v>
      </c>
      <c r="R1874" t="str">
        <v>C03</v>
      </c>
      <c r="S1874" t="str">
        <v>1000000012 IGARRETA MAQUINAS S.A.</v>
      </c>
    </row>
    <row r="1875" spans="1:19" x14ac:dyDescent="0.3">
      <c r="A1875" s="2" t="s">
        <v>14</v>
      </c>
      <c r="B1875" s="3" t="s">
        <v>14</v>
      </c>
      <c r="C1875" s="3" t="s">
        <v>1697</v>
      </c>
      <c r="D1875" s="3" t="s">
        <v>14</v>
      </c>
      <c r="E1875" s="3" t="s">
        <v>466</v>
      </c>
      <c r="F1875" s="4">
        <v>46287</v>
      </c>
      <c r="G1875" s="3" t="s">
        <v>17</v>
      </c>
      <c r="H1875" s="5">
        <v>-729078.02</v>
      </c>
      <c r="I1875" s="3" t="s">
        <v>18</v>
      </c>
      <c r="J1875" s="3" t="s">
        <v>14</v>
      </c>
      <c r="K1875" s="3" t="s">
        <v>14</v>
      </c>
      <c r="L1875" s="3" t="s">
        <v>1211</v>
      </c>
      <c r="M1875" s="4">
        <v>46288</v>
      </c>
      <c r="N1875" s="3" t="s">
        <v>1698</v>
      </c>
      <c r="O1875" s="3" t="s">
        <v>143</v>
      </c>
      <c r="P1875" t="str">
        <f t="shared" si="29"/>
        <v>4500136658240</v>
      </c>
      <c r="Q1875" s="7" cm="1">
        <f t="array" ref="Q1875:S1875">VLOOKUP(P1875,Hoja1!C:F,{2,3,4},FALSE)</f>
        <v>46310</v>
      </c>
      <c r="R1875" t="str">
        <v>C03</v>
      </c>
      <c r="S1875" t="str">
        <v>1000000012 IGARRETA MAQUINAS S.A.</v>
      </c>
    </row>
    <row r="1876" spans="1:19" x14ac:dyDescent="0.3">
      <c r="A1876" s="2" t="s">
        <v>14</v>
      </c>
      <c r="B1876" s="3" t="s">
        <v>14</v>
      </c>
      <c r="C1876" s="3" t="s">
        <v>1697</v>
      </c>
      <c r="D1876" s="3" t="s">
        <v>14</v>
      </c>
      <c r="E1876" s="3" t="s">
        <v>466</v>
      </c>
      <c r="F1876" s="4">
        <v>46287</v>
      </c>
      <c r="G1876" s="3" t="s">
        <v>17</v>
      </c>
      <c r="H1876" s="5">
        <v>-285023.32</v>
      </c>
      <c r="I1876" s="3" t="s">
        <v>18</v>
      </c>
      <c r="J1876" s="3" t="s">
        <v>14</v>
      </c>
      <c r="K1876" s="3" t="s">
        <v>14</v>
      </c>
      <c r="L1876" s="3" t="s">
        <v>1211</v>
      </c>
      <c r="M1876" s="4">
        <v>46288</v>
      </c>
      <c r="N1876" s="3" t="s">
        <v>1698</v>
      </c>
      <c r="O1876" s="3" t="s">
        <v>137</v>
      </c>
      <c r="P1876" t="str">
        <f t="shared" si="29"/>
        <v>4500136658230</v>
      </c>
      <c r="Q1876" s="7" cm="1">
        <f t="array" ref="Q1876:S1876">VLOOKUP(P1876,Hoja1!C:F,{2,3,4},FALSE)</f>
        <v>46310</v>
      </c>
      <c r="R1876" t="str">
        <v>C03</v>
      </c>
      <c r="S1876" t="str">
        <v>1000000012 IGARRETA MAQUINAS S.A.</v>
      </c>
    </row>
    <row r="1877" spans="1:19" x14ac:dyDescent="0.3">
      <c r="A1877" s="2" t="s">
        <v>14</v>
      </c>
      <c r="B1877" s="3" t="s">
        <v>14</v>
      </c>
      <c r="C1877" s="3" t="s">
        <v>1697</v>
      </c>
      <c r="D1877" s="3" t="s">
        <v>14</v>
      </c>
      <c r="E1877" s="3" t="s">
        <v>466</v>
      </c>
      <c r="F1877" s="4">
        <v>46287</v>
      </c>
      <c r="G1877" s="3" t="s">
        <v>17</v>
      </c>
      <c r="H1877" s="5">
        <v>-483069.88</v>
      </c>
      <c r="I1877" s="3" t="s">
        <v>18</v>
      </c>
      <c r="J1877" s="3" t="s">
        <v>14</v>
      </c>
      <c r="K1877" s="3" t="s">
        <v>14</v>
      </c>
      <c r="L1877" s="3" t="s">
        <v>1211</v>
      </c>
      <c r="M1877" s="4">
        <v>46288</v>
      </c>
      <c r="N1877" s="3" t="s">
        <v>1698</v>
      </c>
      <c r="O1877" s="3" t="s">
        <v>140</v>
      </c>
      <c r="P1877" t="str">
        <f t="shared" si="29"/>
        <v>4500136658220</v>
      </c>
      <c r="Q1877" s="7" cm="1">
        <f t="array" ref="Q1877:S1877">VLOOKUP(P1877,Hoja1!C:F,{2,3,4},FALSE)</f>
        <v>46310</v>
      </c>
      <c r="R1877" t="str">
        <v>C03</v>
      </c>
      <c r="S1877" t="str">
        <v>1000000012 IGARRETA MAQUINAS S.A.</v>
      </c>
    </row>
    <row r="1878" spans="1:19" x14ac:dyDescent="0.3">
      <c r="A1878" s="2" t="s">
        <v>14</v>
      </c>
      <c r="B1878" s="3" t="s">
        <v>14</v>
      </c>
      <c r="C1878" s="3" t="s">
        <v>1697</v>
      </c>
      <c r="D1878" s="3" t="s">
        <v>14</v>
      </c>
      <c r="E1878" s="3" t="s">
        <v>466</v>
      </c>
      <c r="F1878" s="4">
        <v>46287</v>
      </c>
      <c r="G1878" s="3" t="s">
        <v>17</v>
      </c>
      <c r="H1878" s="5">
        <v>-27339.99</v>
      </c>
      <c r="I1878" s="3" t="s">
        <v>18</v>
      </c>
      <c r="J1878" s="3" t="s">
        <v>14</v>
      </c>
      <c r="K1878" s="3" t="s">
        <v>14</v>
      </c>
      <c r="L1878" s="3" t="s">
        <v>1211</v>
      </c>
      <c r="M1878" s="4">
        <v>46288</v>
      </c>
      <c r="N1878" s="3" t="s">
        <v>1698</v>
      </c>
      <c r="O1878" s="3" t="s">
        <v>161</v>
      </c>
      <c r="P1878" t="str">
        <f t="shared" si="29"/>
        <v>4500136658200</v>
      </c>
      <c r="Q1878" s="7" cm="1">
        <f t="array" ref="Q1878:S1878">VLOOKUP(P1878,Hoja1!C:F,{2,3,4},FALSE)</f>
        <v>46310</v>
      </c>
      <c r="R1878" t="str">
        <v>C03</v>
      </c>
      <c r="S1878" t="str">
        <v>1000000012 IGARRETA MAQUINAS S.A.</v>
      </c>
    </row>
    <row r="1879" spans="1:19" x14ac:dyDescent="0.3">
      <c r="A1879" s="2" t="s">
        <v>14</v>
      </c>
      <c r="B1879" s="3" t="s">
        <v>14</v>
      </c>
      <c r="C1879" s="3" t="s">
        <v>1697</v>
      </c>
      <c r="D1879" s="3" t="s">
        <v>14</v>
      </c>
      <c r="E1879" s="3" t="s">
        <v>466</v>
      </c>
      <c r="F1879" s="4">
        <v>46287</v>
      </c>
      <c r="G1879" s="3" t="s">
        <v>17</v>
      </c>
      <c r="H1879" s="5">
        <v>-69602.13</v>
      </c>
      <c r="I1879" s="3" t="s">
        <v>18</v>
      </c>
      <c r="J1879" s="3" t="s">
        <v>14</v>
      </c>
      <c r="K1879" s="3" t="s">
        <v>14</v>
      </c>
      <c r="L1879" s="3" t="s">
        <v>1211</v>
      </c>
      <c r="M1879" s="4">
        <v>46288</v>
      </c>
      <c r="N1879" s="3" t="s">
        <v>1698</v>
      </c>
      <c r="O1879" s="3" t="s">
        <v>53</v>
      </c>
      <c r="P1879" t="str">
        <f t="shared" si="29"/>
        <v>4500136658170</v>
      </c>
      <c r="Q1879" s="7" cm="1">
        <f t="array" ref="Q1879:S1879">VLOOKUP(P1879,Hoja1!C:F,{2,3,4},FALSE)</f>
        <v>46310</v>
      </c>
      <c r="R1879" t="str">
        <v>C03</v>
      </c>
      <c r="S1879" t="str">
        <v>1000000012 IGARRETA MAQUINAS S.A.</v>
      </c>
    </row>
    <row r="1880" spans="1:19" x14ac:dyDescent="0.3">
      <c r="A1880" s="2" t="s">
        <v>14</v>
      </c>
      <c r="B1880" s="3" t="s">
        <v>14</v>
      </c>
      <c r="C1880" s="3" t="s">
        <v>1697</v>
      </c>
      <c r="D1880" s="3" t="s">
        <v>14</v>
      </c>
      <c r="E1880" s="3" t="s">
        <v>466</v>
      </c>
      <c r="F1880" s="4">
        <v>46287</v>
      </c>
      <c r="G1880" s="3" t="s">
        <v>17</v>
      </c>
      <c r="H1880" s="5">
        <v>-186043.22</v>
      </c>
      <c r="I1880" s="3" t="s">
        <v>18</v>
      </c>
      <c r="J1880" s="3" t="s">
        <v>14</v>
      </c>
      <c r="K1880" s="3" t="s">
        <v>14</v>
      </c>
      <c r="L1880" s="3" t="s">
        <v>1211</v>
      </c>
      <c r="M1880" s="4">
        <v>46288</v>
      </c>
      <c r="N1880" s="3" t="s">
        <v>1698</v>
      </c>
      <c r="O1880" s="3" t="s">
        <v>129</v>
      </c>
      <c r="P1880" t="str">
        <f t="shared" si="29"/>
        <v>4500136658160</v>
      </c>
      <c r="Q1880" s="7" cm="1">
        <f t="array" ref="Q1880:S1880">VLOOKUP(P1880,Hoja1!C:F,{2,3,4},FALSE)</f>
        <v>46310</v>
      </c>
      <c r="R1880" t="str">
        <v>C03</v>
      </c>
      <c r="S1880" t="str">
        <v>1000000012 IGARRETA MAQUINAS S.A.</v>
      </c>
    </row>
    <row r="1881" spans="1:19" x14ac:dyDescent="0.3">
      <c r="A1881" s="2" t="s">
        <v>14</v>
      </c>
      <c r="B1881" s="3" t="s">
        <v>14</v>
      </c>
      <c r="C1881" s="3" t="s">
        <v>1697</v>
      </c>
      <c r="D1881" s="3" t="s">
        <v>14</v>
      </c>
      <c r="E1881" s="3" t="s">
        <v>466</v>
      </c>
      <c r="F1881" s="4">
        <v>46287</v>
      </c>
      <c r="G1881" s="3" t="s">
        <v>17</v>
      </c>
      <c r="H1881" s="5">
        <v>-6210824.4900000002</v>
      </c>
      <c r="I1881" s="3" t="s">
        <v>18</v>
      </c>
      <c r="J1881" s="3" t="s">
        <v>14</v>
      </c>
      <c r="K1881" s="3" t="s">
        <v>14</v>
      </c>
      <c r="L1881" s="3" t="s">
        <v>1211</v>
      </c>
      <c r="M1881" s="4">
        <v>46288</v>
      </c>
      <c r="N1881" s="3" t="s">
        <v>1698</v>
      </c>
      <c r="O1881" s="3" t="s">
        <v>144</v>
      </c>
      <c r="P1881" t="str">
        <f t="shared" si="29"/>
        <v>450013665850</v>
      </c>
      <c r="Q1881" s="7" cm="1">
        <f t="array" ref="Q1881:S1881">VLOOKUP(P1881,Hoja1!C:F,{2,3,4},FALSE)</f>
        <v>46310</v>
      </c>
      <c r="R1881" t="str">
        <v>C03</v>
      </c>
      <c r="S1881" t="str">
        <v>1000000012 IGARRETA MAQUINAS S.A.</v>
      </c>
    </row>
    <row r="1882" spans="1:19" x14ac:dyDescent="0.3">
      <c r="A1882" s="2" t="s">
        <v>14</v>
      </c>
      <c r="B1882" s="3" t="s">
        <v>14</v>
      </c>
      <c r="C1882" s="3" t="s">
        <v>1697</v>
      </c>
      <c r="D1882" s="3" t="s">
        <v>14</v>
      </c>
      <c r="E1882" s="3" t="s">
        <v>466</v>
      </c>
      <c r="F1882" s="4">
        <v>46287</v>
      </c>
      <c r="G1882" s="3" t="s">
        <v>17</v>
      </c>
      <c r="H1882" s="5">
        <v>-8551131.4100000001</v>
      </c>
      <c r="I1882" s="3" t="s">
        <v>18</v>
      </c>
      <c r="J1882" s="3" t="s">
        <v>14</v>
      </c>
      <c r="K1882" s="3" t="s">
        <v>14</v>
      </c>
      <c r="L1882" s="3" t="s">
        <v>1211</v>
      </c>
      <c r="M1882" s="4">
        <v>46288</v>
      </c>
      <c r="N1882" s="3" t="s">
        <v>1698</v>
      </c>
      <c r="O1882" s="3" t="s">
        <v>30</v>
      </c>
      <c r="P1882" t="str">
        <f t="shared" si="29"/>
        <v>450013665810</v>
      </c>
      <c r="Q1882" s="7" cm="1">
        <f t="array" ref="Q1882:S1882">VLOOKUP(P1882,Hoja1!C:F,{2,3,4},FALSE)</f>
        <v>46310</v>
      </c>
      <c r="R1882" t="str">
        <v>C03</v>
      </c>
      <c r="S1882" t="str">
        <v>1000000012 IGARRETA MAQUINAS S.A.</v>
      </c>
    </row>
    <row r="1883" spans="1:19" x14ac:dyDescent="0.3">
      <c r="A1883" s="2" t="s">
        <v>14</v>
      </c>
      <c r="B1883" s="3" t="s">
        <v>14</v>
      </c>
      <c r="C1883" s="3" t="s">
        <v>1699</v>
      </c>
      <c r="D1883" s="3" t="s">
        <v>14</v>
      </c>
      <c r="E1883" s="3" t="s">
        <v>466</v>
      </c>
      <c r="F1883" s="4">
        <v>46288</v>
      </c>
      <c r="G1883" s="3" t="s">
        <v>17</v>
      </c>
      <c r="H1883" s="5">
        <v>-1580000</v>
      </c>
      <c r="I1883" s="3" t="s">
        <v>18</v>
      </c>
      <c r="J1883" s="3" t="s">
        <v>14</v>
      </c>
      <c r="K1883" s="3" t="s">
        <v>14</v>
      </c>
      <c r="L1883" s="3" t="s">
        <v>1700</v>
      </c>
      <c r="M1883" s="4">
        <v>46288</v>
      </c>
      <c r="N1883" s="3" t="s">
        <v>1701</v>
      </c>
      <c r="O1883" s="3" t="s">
        <v>30</v>
      </c>
      <c r="P1883" t="str">
        <f t="shared" si="29"/>
        <v>450013697910</v>
      </c>
      <c r="Q1883" s="7" cm="1">
        <f t="array" ref="Q1883:S1883">VLOOKUP(P1883,Hoja1!C:F,{2,3,4},FALSE)</f>
        <v>46275</v>
      </c>
      <c r="R1883" t="str">
        <v>C22</v>
      </c>
      <c r="S1883" t="str">
        <v>1000000707 FIDEICOMISO MUJERES ARGENTINAS</v>
      </c>
    </row>
    <row r="1884" spans="1:19" x14ac:dyDescent="0.3">
      <c r="A1884" s="2" t="s">
        <v>14</v>
      </c>
      <c r="B1884" s="3" t="s">
        <v>14</v>
      </c>
      <c r="C1884" s="3" t="s">
        <v>1702</v>
      </c>
      <c r="D1884" s="3" t="s">
        <v>14</v>
      </c>
      <c r="E1884" s="3" t="s">
        <v>466</v>
      </c>
      <c r="F1884" s="4">
        <v>46288</v>
      </c>
      <c r="G1884" s="3" t="s">
        <v>17</v>
      </c>
      <c r="H1884" s="5">
        <v>-5449295</v>
      </c>
      <c r="I1884" s="3" t="s">
        <v>18</v>
      </c>
      <c r="J1884" s="3" t="s">
        <v>14</v>
      </c>
      <c r="K1884" s="3" t="s">
        <v>14</v>
      </c>
      <c r="L1884" s="3" t="s">
        <v>269</v>
      </c>
      <c r="M1884" s="4">
        <v>46288</v>
      </c>
      <c r="N1884" s="3" t="s">
        <v>1528</v>
      </c>
      <c r="O1884" s="3" t="s">
        <v>30</v>
      </c>
      <c r="P1884" t="str">
        <f t="shared" si="29"/>
        <v>450013795010</v>
      </c>
      <c r="Q1884" s="7" cm="1">
        <f t="array" ref="Q1884:S1884">VLOOKUP(P1884,Hoja1!C:F,{2,3,4},FALSE)</f>
        <v>46286</v>
      </c>
      <c r="R1884" t="str">
        <v>C03</v>
      </c>
      <c r="S1884" t="str">
        <v>1000000190 FERNANDEZ INSUA S.A.</v>
      </c>
    </row>
    <row r="1885" spans="1:19" x14ac:dyDescent="0.3">
      <c r="A1885" s="2" t="s">
        <v>14</v>
      </c>
      <c r="B1885" s="3" t="s">
        <v>14</v>
      </c>
      <c r="C1885" s="3" t="s">
        <v>1702</v>
      </c>
      <c r="D1885" s="3" t="s">
        <v>14</v>
      </c>
      <c r="E1885" s="3" t="s">
        <v>466</v>
      </c>
      <c r="F1885" s="4">
        <v>46288</v>
      </c>
      <c r="G1885" s="3" t="s">
        <v>17</v>
      </c>
      <c r="H1885" s="5">
        <v>-6711237</v>
      </c>
      <c r="I1885" s="3" t="s">
        <v>18</v>
      </c>
      <c r="J1885" s="3" t="s">
        <v>14</v>
      </c>
      <c r="K1885" s="3" t="s">
        <v>14</v>
      </c>
      <c r="L1885" s="3" t="s">
        <v>269</v>
      </c>
      <c r="M1885" s="4">
        <v>46288</v>
      </c>
      <c r="N1885" s="3" t="s">
        <v>1528</v>
      </c>
      <c r="O1885" s="3" t="s">
        <v>22</v>
      </c>
      <c r="P1885" t="str">
        <f t="shared" si="29"/>
        <v>450013795020</v>
      </c>
      <c r="Q1885" s="7" cm="1">
        <f t="array" ref="Q1885:S1885">VLOOKUP(P1885,Hoja1!C:F,{2,3,4},FALSE)</f>
        <v>46286</v>
      </c>
      <c r="R1885" t="str">
        <v>C03</v>
      </c>
      <c r="S1885" t="str">
        <v>1000000190 FERNANDEZ INSUA S.A.</v>
      </c>
    </row>
    <row r="1886" spans="1:19" x14ac:dyDescent="0.3">
      <c r="A1886" s="2" t="s">
        <v>14</v>
      </c>
      <c r="B1886" s="3" t="s">
        <v>14</v>
      </c>
      <c r="C1886" s="3" t="s">
        <v>1702</v>
      </c>
      <c r="D1886" s="3" t="s">
        <v>14</v>
      </c>
      <c r="E1886" s="3" t="s">
        <v>466</v>
      </c>
      <c r="F1886" s="4">
        <v>46288</v>
      </c>
      <c r="G1886" s="3" t="s">
        <v>17</v>
      </c>
      <c r="H1886" s="5">
        <v>-1135747.8</v>
      </c>
      <c r="I1886" s="3" t="s">
        <v>18</v>
      </c>
      <c r="J1886" s="3" t="s">
        <v>14</v>
      </c>
      <c r="K1886" s="3" t="s">
        <v>14</v>
      </c>
      <c r="L1886" s="3" t="s">
        <v>269</v>
      </c>
      <c r="M1886" s="4">
        <v>46288</v>
      </c>
      <c r="N1886" s="3" t="s">
        <v>1528</v>
      </c>
      <c r="O1886" s="3" t="s">
        <v>35</v>
      </c>
      <c r="P1886" t="str">
        <f t="shared" si="29"/>
        <v>450013795030</v>
      </c>
      <c r="Q1886" s="7" cm="1">
        <f t="array" ref="Q1886:S1886">VLOOKUP(P1886,Hoja1!C:F,{2,3,4},FALSE)</f>
        <v>46286</v>
      </c>
      <c r="R1886" t="str">
        <v>C03</v>
      </c>
      <c r="S1886" t="str">
        <v>1000000190 FERNANDEZ INSUA S.A.</v>
      </c>
    </row>
    <row r="1887" spans="1:19" x14ac:dyDescent="0.3">
      <c r="A1887" s="2" t="s">
        <v>14</v>
      </c>
      <c r="B1887" s="3" t="s">
        <v>14</v>
      </c>
      <c r="C1887" s="3" t="s">
        <v>1702</v>
      </c>
      <c r="D1887" s="3" t="s">
        <v>14</v>
      </c>
      <c r="E1887" s="3" t="s">
        <v>466</v>
      </c>
      <c r="F1887" s="4">
        <v>46288</v>
      </c>
      <c r="G1887" s="3" t="s">
        <v>17</v>
      </c>
      <c r="H1887" s="5">
        <v>-412999.2</v>
      </c>
      <c r="I1887" s="3" t="s">
        <v>18</v>
      </c>
      <c r="J1887" s="3" t="s">
        <v>14</v>
      </c>
      <c r="K1887" s="3" t="s">
        <v>14</v>
      </c>
      <c r="L1887" s="3" t="s">
        <v>269</v>
      </c>
      <c r="M1887" s="4">
        <v>46288</v>
      </c>
      <c r="N1887" s="3" t="s">
        <v>1528</v>
      </c>
      <c r="O1887" s="3" t="s">
        <v>23</v>
      </c>
      <c r="P1887" t="str">
        <f t="shared" si="29"/>
        <v>450013795040</v>
      </c>
      <c r="Q1887" s="7" cm="1">
        <f t="array" ref="Q1887:S1887">VLOOKUP(P1887,Hoja1!C:F,{2,3,4},FALSE)</f>
        <v>46286</v>
      </c>
      <c r="R1887" t="str">
        <v>C03</v>
      </c>
      <c r="S1887" t="str">
        <v>1000000190 FERNANDEZ INSUA S.A.</v>
      </c>
    </row>
    <row r="1888" spans="1:19" x14ac:dyDescent="0.3">
      <c r="A1888" s="2" t="s">
        <v>14</v>
      </c>
      <c r="B1888" s="3" t="s">
        <v>14</v>
      </c>
      <c r="C1888" s="3" t="s">
        <v>1702</v>
      </c>
      <c r="D1888" s="3" t="s">
        <v>14</v>
      </c>
      <c r="E1888" s="3" t="s">
        <v>466</v>
      </c>
      <c r="F1888" s="4">
        <v>46288</v>
      </c>
      <c r="G1888" s="3" t="s">
        <v>17</v>
      </c>
      <c r="H1888" s="5">
        <v>-137666.4</v>
      </c>
      <c r="I1888" s="3" t="s">
        <v>18</v>
      </c>
      <c r="J1888" s="3" t="s">
        <v>14</v>
      </c>
      <c r="K1888" s="3" t="s">
        <v>14</v>
      </c>
      <c r="L1888" s="3" t="s">
        <v>269</v>
      </c>
      <c r="M1888" s="4">
        <v>46288</v>
      </c>
      <c r="N1888" s="3" t="s">
        <v>1528</v>
      </c>
      <c r="O1888" s="3" t="s">
        <v>141</v>
      </c>
      <c r="P1888" t="str">
        <f t="shared" si="29"/>
        <v>450013795060</v>
      </c>
      <c r="Q1888" s="7" cm="1">
        <f t="array" ref="Q1888:S1888">VLOOKUP(P1888,Hoja1!C:F,{2,3,4},FALSE)</f>
        <v>46286</v>
      </c>
      <c r="R1888" t="str">
        <v>C03</v>
      </c>
      <c r="S1888" t="str">
        <v>1000000190 FERNANDEZ INSUA S.A.</v>
      </c>
    </row>
    <row r="1889" spans="1:19" x14ac:dyDescent="0.3">
      <c r="A1889" s="2" t="s">
        <v>14</v>
      </c>
      <c r="B1889" s="3" t="s">
        <v>14</v>
      </c>
      <c r="C1889" s="3" t="s">
        <v>1702</v>
      </c>
      <c r="D1889" s="3" t="s">
        <v>14</v>
      </c>
      <c r="E1889" s="3" t="s">
        <v>466</v>
      </c>
      <c r="F1889" s="4">
        <v>46288</v>
      </c>
      <c r="G1889" s="3" t="s">
        <v>17</v>
      </c>
      <c r="H1889" s="5">
        <v>-1376664</v>
      </c>
      <c r="I1889" s="3" t="s">
        <v>18</v>
      </c>
      <c r="J1889" s="3" t="s">
        <v>14</v>
      </c>
      <c r="K1889" s="3" t="s">
        <v>14</v>
      </c>
      <c r="L1889" s="3" t="s">
        <v>269</v>
      </c>
      <c r="M1889" s="4">
        <v>46288</v>
      </c>
      <c r="N1889" s="3" t="s">
        <v>1528</v>
      </c>
      <c r="O1889" s="3" t="s">
        <v>142</v>
      </c>
      <c r="P1889" t="str">
        <f t="shared" si="29"/>
        <v>4500137950130</v>
      </c>
      <c r="Q1889" s="7" cm="1">
        <f t="array" ref="Q1889:S1889">VLOOKUP(P1889,Hoja1!C:F,{2,3,4},FALSE)</f>
        <v>46286</v>
      </c>
      <c r="R1889" t="str">
        <v>C03</v>
      </c>
      <c r="S1889" t="str">
        <v>1000000190 FERNANDEZ INSUA S.A.</v>
      </c>
    </row>
    <row r="1890" spans="1:19" x14ac:dyDescent="0.3">
      <c r="A1890" s="2" t="s">
        <v>14</v>
      </c>
      <c r="B1890" s="3" t="s">
        <v>14</v>
      </c>
      <c r="C1890" s="3" t="s">
        <v>1702</v>
      </c>
      <c r="D1890" s="3" t="s">
        <v>14</v>
      </c>
      <c r="E1890" s="3" t="s">
        <v>466</v>
      </c>
      <c r="F1890" s="4">
        <v>46288</v>
      </c>
      <c r="G1890" s="3" t="s">
        <v>17</v>
      </c>
      <c r="H1890" s="5">
        <v>-2911070.75</v>
      </c>
      <c r="I1890" s="3" t="s">
        <v>18</v>
      </c>
      <c r="J1890" s="3" t="s">
        <v>14</v>
      </c>
      <c r="K1890" s="3" t="s">
        <v>14</v>
      </c>
      <c r="L1890" s="3" t="s">
        <v>269</v>
      </c>
      <c r="M1890" s="4">
        <v>46288</v>
      </c>
      <c r="N1890" s="3" t="s">
        <v>1528</v>
      </c>
      <c r="O1890" s="3" t="s">
        <v>131</v>
      </c>
      <c r="P1890" t="str">
        <f t="shared" si="29"/>
        <v>4500137950140</v>
      </c>
      <c r="Q1890" s="7" cm="1">
        <f t="array" ref="Q1890:S1890">VLOOKUP(P1890,Hoja1!C:F,{2,3,4},FALSE)</f>
        <v>46286</v>
      </c>
      <c r="R1890" t="str">
        <v>C03</v>
      </c>
      <c r="S1890" t="str">
        <v>1000000190 FERNANDEZ INSUA S.A.</v>
      </c>
    </row>
    <row r="1891" spans="1:19" x14ac:dyDescent="0.3">
      <c r="A1891" s="2" t="s">
        <v>14</v>
      </c>
      <c r="B1891" s="3" t="s">
        <v>14</v>
      </c>
      <c r="C1891" s="3" t="s">
        <v>1702</v>
      </c>
      <c r="D1891" s="3" t="s">
        <v>14</v>
      </c>
      <c r="E1891" s="3" t="s">
        <v>466</v>
      </c>
      <c r="F1891" s="4">
        <v>46288</v>
      </c>
      <c r="G1891" s="3" t="s">
        <v>17</v>
      </c>
      <c r="H1891" s="5">
        <v>-803054</v>
      </c>
      <c r="I1891" s="3" t="s">
        <v>18</v>
      </c>
      <c r="J1891" s="3" t="s">
        <v>14</v>
      </c>
      <c r="K1891" s="3" t="s">
        <v>14</v>
      </c>
      <c r="L1891" s="3" t="s">
        <v>269</v>
      </c>
      <c r="M1891" s="4">
        <v>46288</v>
      </c>
      <c r="N1891" s="3" t="s">
        <v>1528</v>
      </c>
      <c r="O1891" s="3" t="s">
        <v>68</v>
      </c>
      <c r="P1891" t="str">
        <f t="shared" si="29"/>
        <v>4500137950150</v>
      </c>
      <c r="Q1891" s="7" cm="1">
        <f t="array" ref="Q1891:S1891">VLOOKUP(P1891,Hoja1!C:F,{2,3,4},FALSE)</f>
        <v>46286</v>
      </c>
      <c r="R1891" t="str">
        <v>C03</v>
      </c>
      <c r="S1891" t="str">
        <v>1000000190 FERNANDEZ INSUA S.A.</v>
      </c>
    </row>
    <row r="1892" spans="1:19" x14ac:dyDescent="0.3">
      <c r="A1892" s="2" t="s">
        <v>14</v>
      </c>
      <c r="B1892" s="3" t="s">
        <v>14</v>
      </c>
      <c r="C1892" s="3" t="s">
        <v>1702</v>
      </c>
      <c r="D1892" s="3" t="s">
        <v>14</v>
      </c>
      <c r="E1892" s="3" t="s">
        <v>466</v>
      </c>
      <c r="F1892" s="4">
        <v>46288</v>
      </c>
      <c r="G1892" s="3" t="s">
        <v>17</v>
      </c>
      <c r="H1892" s="5">
        <v>-387186.75</v>
      </c>
      <c r="I1892" s="3" t="s">
        <v>18</v>
      </c>
      <c r="J1892" s="3" t="s">
        <v>14</v>
      </c>
      <c r="K1892" s="3" t="s">
        <v>14</v>
      </c>
      <c r="L1892" s="3" t="s">
        <v>269</v>
      </c>
      <c r="M1892" s="4">
        <v>46288</v>
      </c>
      <c r="N1892" s="3" t="s">
        <v>1528</v>
      </c>
      <c r="O1892" s="3" t="s">
        <v>129</v>
      </c>
      <c r="P1892" t="str">
        <f t="shared" si="29"/>
        <v>4500137950160</v>
      </c>
      <c r="Q1892" s="7" cm="1">
        <f t="array" ref="Q1892:S1892">VLOOKUP(P1892,Hoja1!C:F,{2,3,4},FALSE)</f>
        <v>46286</v>
      </c>
      <c r="R1892" t="str">
        <v>C03</v>
      </c>
      <c r="S1892" t="str">
        <v>1000000190 FERNANDEZ INSUA S.A.</v>
      </c>
    </row>
    <row r="1893" spans="1:19" x14ac:dyDescent="0.3">
      <c r="A1893" s="2" t="s">
        <v>14</v>
      </c>
      <c r="B1893" s="3" t="s">
        <v>14</v>
      </c>
      <c r="C1893" s="3" t="s">
        <v>1703</v>
      </c>
      <c r="D1893" s="3" t="s">
        <v>14</v>
      </c>
      <c r="E1893" s="3" t="s">
        <v>466</v>
      </c>
      <c r="F1893" s="4">
        <v>46287</v>
      </c>
      <c r="G1893" s="3" t="s">
        <v>17</v>
      </c>
      <c r="H1893" s="5">
        <v>-44490.1</v>
      </c>
      <c r="I1893" s="3" t="s">
        <v>18</v>
      </c>
      <c r="J1893" s="3" t="s">
        <v>14</v>
      </c>
      <c r="K1893" s="3" t="s">
        <v>14</v>
      </c>
      <c r="L1893" s="3" t="s">
        <v>1211</v>
      </c>
      <c r="M1893" s="4">
        <v>46288</v>
      </c>
      <c r="N1893" s="3" t="s">
        <v>1704</v>
      </c>
      <c r="O1893" s="3" t="s">
        <v>30</v>
      </c>
      <c r="P1893" t="str">
        <f t="shared" si="29"/>
        <v>450013740510</v>
      </c>
      <c r="Q1893" s="7" cm="1">
        <f t="array" ref="Q1893:S1893">VLOOKUP(P1893,Hoja1!C:F,{2,3,4},FALSE)</f>
        <v>46295</v>
      </c>
      <c r="R1893" t="str">
        <v>C29</v>
      </c>
      <c r="S1893" t="str">
        <v>1000000012 IGARRETA MAQUINAS S.A.</v>
      </c>
    </row>
    <row r="1894" spans="1:19" x14ac:dyDescent="0.3">
      <c r="A1894" s="2" t="s">
        <v>14</v>
      </c>
      <c r="B1894" s="3" t="s">
        <v>14</v>
      </c>
      <c r="C1894" s="3" t="s">
        <v>1705</v>
      </c>
      <c r="D1894" s="3" t="s">
        <v>14</v>
      </c>
      <c r="E1894" s="3" t="s">
        <v>466</v>
      </c>
      <c r="F1894" s="4">
        <v>46287</v>
      </c>
      <c r="G1894" s="3" t="s">
        <v>17</v>
      </c>
      <c r="H1894" s="5">
        <v>-34084.51</v>
      </c>
      <c r="I1894" s="3" t="s">
        <v>18</v>
      </c>
      <c r="J1894" s="3" t="s">
        <v>14</v>
      </c>
      <c r="K1894" s="3" t="s">
        <v>14</v>
      </c>
      <c r="L1894" s="3" t="s">
        <v>1211</v>
      </c>
      <c r="M1894" s="4">
        <v>46288</v>
      </c>
      <c r="N1894" s="3" t="s">
        <v>1706</v>
      </c>
      <c r="O1894" s="3" t="s">
        <v>144</v>
      </c>
      <c r="P1894" t="str">
        <f t="shared" si="29"/>
        <v>450013711850</v>
      </c>
      <c r="Q1894" s="7" cm="1">
        <f t="array" ref="Q1894:S1894">VLOOKUP(P1894,Hoja1!C:F,{2,3,4},FALSE)</f>
        <v>46295</v>
      </c>
      <c r="R1894" t="str">
        <v>C03</v>
      </c>
      <c r="S1894" t="str">
        <v>1000000012 IGARRETA MAQUINAS S.A.</v>
      </c>
    </row>
    <row r="1895" spans="1:19" x14ac:dyDescent="0.3">
      <c r="A1895" s="2" t="s">
        <v>14</v>
      </c>
      <c r="B1895" s="3" t="s">
        <v>14</v>
      </c>
      <c r="C1895" s="3" t="s">
        <v>1707</v>
      </c>
      <c r="D1895" s="3" t="s">
        <v>14</v>
      </c>
      <c r="E1895" s="3" t="s">
        <v>466</v>
      </c>
      <c r="F1895" s="4">
        <v>46287</v>
      </c>
      <c r="G1895" s="3" t="s">
        <v>17</v>
      </c>
      <c r="H1895" s="5">
        <v>-23608.58</v>
      </c>
      <c r="I1895" s="3" t="s">
        <v>18</v>
      </c>
      <c r="J1895" s="3" t="s">
        <v>14</v>
      </c>
      <c r="K1895" s="3" t="s">
        <v>14</v>
      </c>
      <c r="L1895" s="3" t="s">
        <v>1211</v>
      </c>
      <c r="M1895" s="4">
        <v>46288</v>
      </c>
      <c r="N1895" s="3" t="s">
        <v>1459</v>
      </c>
      <c r="O1895" s="3" t="s">
        <v>138</v>
      </c>
      <c r="P1895" t="str">
        <f t="shared" si="29"/>
        <v>450013807790</v>
      </c>
      <c r="Q1895" s="7" cm="1">
        <f t="array" ref="Q1895:S1895">VLOOKUP(P1895,Hoja1!C:F,{2,3,4},FALSE)</f>
        <v>46304</v>
      </c>
      <c r="R1895" t="str">
        <v>C03</v>
      </c>
      <c r="S1895" t="str">
        <v>1000000012 IGARRETA MAQUINAS S.A.</v>
      </c>
    </row>
    <row r="1896" spans="1:19" x14ac:dyDescent="0.3">
      <c r="A1896" s="2" t="s">
        <v>14</v>
      </c>
      <c r="B1896" s="3" t="s">
        <v>14</v>
      </c>
      <c r="C1896" s="3" t="s">
        <v>1708</v>
      </c>
      <c r="D1896" s="3" t="s">
        <v>14</v>
      </c>
      <c r="E1896" s="3" t="s">
        <v>466</v>
      </c>
      <c r="F1896" s="4">
        <v>46287</v>
      </c>
      <c r="G1896" s="3" t="s">
        <v>17</v>
      </c>
      <c r="H1896" s="5">
        <v>-1058574.1599999999</v>
      </c>
      <c r="I1896" s="3" t="s">
        <v>18</v>
      </c>
      <c r="J1896" s="3" t="s">
        <v>14</v>
      </c>
      <c r="K1896" s="3" t="s">
        <v>14</v>
      </c>
      <c r="L1896" s="3" t="s">
        <v>1211</v>
      </c>
      <c r="M1896" s="4">
        <v>46288</v>
      </c>
      <c r="N1896" s="3" t="s">
        <v>1451</v>
      </c>
      <c r="O1896" s="3" t="s">
        <v>141</v>
      </c>
      <c r="P1896" t="str">
        <f t="shared" si="29"/>
        <v>450013836660</v>
      </c>
      <c r="Q1896" s="7" cm="1">
        <f t="array" ref="Q1896:S1896">VLOOKUP(P1896,Hoja1!C:F,{2,3,4},FALSE)</f>
        <v>46295</v>
      </c>
      <c r="R1896" t="str">
        <v>C03</v>
      </c>
      <c r="S1896" t="str">
        <v>1000000012 IGARRETA MAQUINAS S.A.</v>
      </c>
    </row>
    <row r="1897" spans="1:19" x14ac:dyDescent="0.3">
      <c r="A1897" s="2" t="s">
        <v>14</v>
      </c>
      <c r="B1897" s="3" t="s">
        <v>14</v>
      </c>
      <c r="C1897" s="3" t="s">
        <v>1709</v>
      </c>
      <c r="D1897" s="3" t="s">
        <v>14</v>
      </c>
      <c r="E1897" s="3" t="s">
        <v>466</v>
      </c>
      <c r="F1897" s="4">
        <v>46287</v>
      </c>
      <c r="G1897" s="3" t="s">
        <v>17</v>
      </c>
      <c r="H1897" s="5">
        <v>-504088.69</v>
      </c>
      <c r="I1897" s="3" t="s">
        <v>18</v>
      </c>
      <c r="J1897" s="3" t="s">
        <v>14</v>
      </c>
      <c r="K1897" s="3" t="s">
        <v>14</v>
      </c>
      <c r="L1897" s="3" t="s">
        <v>1211</v>
      </c>
      <c r="M1897" s="4">
        <v>46288</v>
      </c>
      <c r="N1897" s="3" t="s">
        <v>1710</v>
      </c>
      <c r="O1897" s="3" t="s">
        <v>22</v>
      </c>
      <c r="P1897" t="str">
        <f t="shared" si="29"/>
        <v>450013522620</v>
      </c>
      <c r="Q1897" s="7" cm="1">
        <f t="array" ref="Q1897:S1897">VLOOKUP(P1897,Hoja1!C:F,{2,3,4},FALSE)</f>
        <v>46295</v>
      </c>
      <c r="R1897" t="str">
        <v>C29</v>
      </c>
      <c r="S1897" t="str">
        <v>1000000012 IGARRETA MAQUINAS S.A.</v>
      </c>
    </row>
    <row r="1898" spans="1:19" x14ac:dyDescent="0.3">
      <c r="A1898" s="2" t="s">
        <v>14</v>
      </c>
      <c r="B1898" s="3" t="s">
        <v>14</v>
      </c>
      <c r="C1898" s="3" t="s">
        <v>1711</v>
      </c>
      <c r="D1898" s="3" t="s">
        <v>32</v>
      </c>
      <c r="E1898" s="3" t="s">
        <v>466</v>
      </c>
      <c r="F1898" s="4">
        <v>46288</v>
      </c>
      <c r="G1898" s="3" t="s">
        <v>17</v>
      </c>
      <c r="H1898" s="5">
        <v>-136102</v>
      </c>
      <c r="I1898" s="3" t="s">
        <v>18</v>
      </c>
      <c r="J1898" s="3" t="s">
        <v>14</v>
      </c>
      <c r="K1898" s="3" t="s">
        <v>14</v>
      </c>
      <c r="L1898" s="3" t="s">
        <v>1206</v>
      </c>
      <c r="M1898" s="4">
        <v>46288</v>
      </c>
      <c r="N1898" s="3" t="s">
        <v>1712</v>
      </c>
      <c r="O1898" s="3" t="s">
        <v>30</v>
      </c>
      <c r="P1898" t="str">
        <f t="shared" si="29"/>
        <v>450013904510</v>
      </c>
      <c r="Q1898" s="7" cm="1">
        <f t="array" ref="Q1898:S1898">VLOOKUP(P1898,Hoja1!C:F,{2,3,4},FALSE)</f>
        <v>46290</v>
      </c>
      <c r="R1898" t="str">
        <v>374</v>
      </c>
      <c r="S1898" t="str">
        <v>1000010380 BUSTOS MARIA LORENA</v>
      </c>
    </row>
    <row r="1899" spans="1:19" x14ac:dyDescent="0.3">
      <c r="A1899" s="2" t="s">
        <v>14</v>
      </c>
      <c r="B1899" s="3" t="s">
        <v>14</v>
      </c>
      <c r="C1899" s="3" t="s">
        <v>1713</v>
      </c>
      <c r="D1899" s="3" t="s">
        <v>14</v>
      </c>
      <c r="E1899" s="3" t="s">
        <v>466</v>
      </c>
      <c r="F1899" s="4">
        <v>46288</v>
      </c>
      <c r="G1899" s="3" t="s">
        <v>17</v>
      </c>
      <c r="H1899" s="5">
        <v>-255543.4</v>
      </c>
      <c r="I1899" s="3" t="s">
        <v>18</v>
      </c>
      <c r="J1899" s="3" t="s">
        <v>14</v>
      </c>
      <c r="K1899" s="3" t="s">
        <v>14</v>
      </c>
      <c r="L1899" s="3" t="s">
        <v>1714</v>
      </c>
      <c r="M1899" s="4">
        <v>46288</v>
      </c>
      <c r="N1899" s="3" t="s">
        <v>1715</v>
      </c>
      <c r="O1899" s="3" t="s">
        <v>30</v>
      </c>
      <c r="P1899" t="str">
        <f t="shared" si="29"/>
        <v>450013921710</v>
      </c>
      <c r="Q1899" s="7" cm="1">
        <f t="array" ref="Q1899:S1899">VLOOKUP(P1899,Hoja1!C:F,{2,3,4},FALSE)</f>
        <v>46288</v>
      </c>
      <c r="R1899" t="str">
        <v>377</v>
      </c>
      <c r="S1899" t="str">
        <v>1000000501 COMERCIAL ARGENTINA SRL</v>
      </c>
    </row>
    <row r="1900" spans="1:19" x14ac:dyDescent="0.3">
      <c r="A1900" s="2" t="s">
        <v>14</v>
      </c>
      <c r="B1900" s="3" t="s">
        <v>14</v>
      </c>
      <c r="C1900" s="3" t="s">
        <v>1713</v>
      </c>
      <c r="D1900" s="3" t="s">
        <v>14</v>
      </c>
      <c r="E1900" s="3" t="s">
        <v>466</v>
      </c>
      <c r="F1900" s="4">
        <v>46288</v>
      </c>
      <c r="G1900" s="3" t="s">
        <v>17</v>
      </c>
      <c r="H1900" s="5">
        <v>-255543.4</v>
      </c>
      <c r="I1900" s="3" t="s">
        <v>18</v>
      </c>
      <c r="J1900" s="3" t="s">
        <v>14</v>
      </c>
      <c r="K1900" s="3" t="s">
        <v>14</v>
      </c>
      <c r="L1900" s="3" t="s">
        <v>1714</v>
      </c>
      <c r="M1900" s="4">
        <v>46288</v>
      </c>
      <c r="N1900" s="3" t="s">
        <v>1715</v>
      </c>
      <c r="O1900" s="3" t="s">
        <v>22</v>
      </c>
      <c r="P1900" t="str">
        <f t="shared" si="29"/>
        <v>450013921720</v>
      </c>
      <c r="Q1900" s="7" cm="1">
        <f t="array" ref="Q1900:S1900">VLOOKUP(P1900,Hoja1!C:F,{2,3,4},FALSE)</f>
        <v>46288</v>
      </c>
      <c r="R1900" t="str">
        <v>377</v>
      </c>
      <c r="S1900" t="str">
        <v>1000000501 COMERCIAL ARGENTINA SRL</v>
      </c>
    </row>
    <row r="1901" spans="1:19" x14ac:dyDescent="0.3">
      <c r="A1901" s="2" t="s">
        <v>14</v>
      </c>
      <c r="B1901" s="3" t="s">
        <v>14</v>
      </c>
      <c r="C1901" s="3" t="s">
        <v>1713</v>
      </c>
      <c r="D1901" s="3" t="s">
        <v>14</v>
      </c>
      <c r="E1901" s="3" t="s">
        <v>466</v>
      </c>
      <c r="F1901" s="4">
        <v>46288</v>
      </c>
      <c r="G1901" s="3" t="s">
        <v>17</v>
      </c>
      <c r="H1901" s="5">
        <v>-255543.4</v>
      </c>
      <c r="I1901" s="3" t="s">
        <v>18</v>
      </c>
      <c r="J1901" s="3" t="s">
        <v>14</v>
      </c>
      <c r="K1901" s="3" t="s">
        <v>14</v>
      </c>
      <c r="L1901" s="3" t="s">
        <v>1714</v>
      </c>
      <c r="M1901" s="4">
        <v>46288</v>
      </c>
      <c r="N1901" s="3" t="s">
        <v>1715</v>
      </c>
      <c r="O1901" s="3" t="s">
        <v>35</v>
      </c>
      <c r="P1901" t="str">
        <f t="shared" si="29"/>
        <v>450013921730</v>
      </c>
      <c r="Q1901" s="7" cm="1">
        <f t="array" ref="Q1901:S1901">VLOOKUP(P1901,Hoja1!C:F,{2,3,4},FALSE)</f>
        <v>46288</v>
      </c>
      <c r="R1901" t="str">
        <v>377</v>
      </c>
      <c r="S1901" t="str">
        <v>1000000501 COMERCIAL ARGENTINA SRL</v>
      </c>
    </row>
    <row r="1902" spans="1:19" x14ac:dyDescent="0.3">
      <c r="A1902" s="2" t="s">
        <v>14</v>
      </c>
      <c r="B1902" s="3" t="s">
        <v>14</v>
      </c>
      <c r="C1902" s="3" t="s">
        <v>1713</v>
      </c>
      <c r="D1902" s="3" t="s">
        <v>32</v>
      </c>
      <c r="E1902" s="3" t="s">
        <v>466</v>
      </c>
      <c r="F1902" s="4">
        <v>46288</v>
      </c>
      <c r="G1902" s="3" t="s">
        <v>17</v>
      </c>
      <c r="H1902" s="5">
        <v>-18842.72</v>
      </c>
      <c r="I1902" s="3" t="s">
        <v>18</v>
      </c>
      <c r="J1902" s="3" t="s">
        <v>14</v>
      </c>
      <c r="K1902" s="3" t="s">
        <v>14</v>
      </c>
      <c r="L1902" s="3" t="s">
        <v>1714</v>
      </c>
      <c r="M1902" s="4">
        <v>46288</v>
      </c>
      <c r="N1902" s="3" t="s">
        <v>1715</v>
      </c>
      <c r="O1902" s="3" t="s">
        <v>23</v>
      </c>
      <c r="P1902" t="str">
        <f t="shared" si="29"/>
        <v>450013921740</v>
      </c>
      <c r="Q1902" s="7" cm="1">
        <f t="array" ref="Q1902:S1902">VLOOKUP(P1902,Hoja1!C:F,{2,3,4},FALSE)</f>
        <v>46288</v>
      </c>
      <c r="R1902" t="str">
        <v>377</v>
      </c>
      <c r="S1902" t="str">
        <v>1000000501 COMERCIAL ARGENTINA SRL</v>
      </c>
    </row>
    <row r="1903" spans="1:19" x14ac:dyDescent="0.3">
      <c r="A1903" s="2" t="s">
        <v>14</v>
      </c>
      <c r="B1903" s="3" t="s">
        <v>14</v>
      </c>
      <c r="C1903" s="3" t="s">
        <v>1713</v>
      </c>
      <c r="D1903" s="3" t="s">
        <v>32</v>
      </c>
      <c r="E1903" s="3" t="s">
        <v>466</v>
      </c>
      <c r="F1903" s="4">
        <v>46288</v>
      </c>
      <c r="G1903" s="3" t="s">
        <v>17</v>
      </c>
      <c r="H1903" s="5">
        <v>-23257.3</v>
      </c>
      <c r="I1903" s="3" t="s">
        <v>18</v>
      </c>
      <c r="J1903" s="3" t="s">
        <v>14</v>
      </c>
      <c r="K1903" s="3" t="s">
        <v>14</v>
      </c>
      <c r="L1903" s="3" t="s">
        <v>1714</v>
      </c>
      <c r="M1903" s="4">
        <v>46288</v>
      </c>
      <c r="N1903" s="3" t="s">
        <v>1715</v>
      </c>
      <c r="O1903" s="3" t="s">
        <v>144</v>
      </c>
      <c r="P1903" t="str">
        <f t="shared" si="29"/>
        <v>450013921750</v>
      </c>
      <c r="Q1903" s="7" cm="1">
        <f t="array" ref="Q1903:S1903">VLOOKUP(P1903,Hoja1!C:F,{2,3,4},FALSE)</f>
        <v>46288</v>
      </c>
      <c r="R1903" t="str">
        <v>377</v>
      </c>
      <c r="S1903" t="str">
        <v>1000000501 COMERCIAL ARGENTINA SRL</v>
      </c>
    </row>
    <row r="1904" spans="1:19" x14ac:dyDescent="0.3">
      <c r="A1904" s="2" t="s">
        <v>14</v>
      </c>
      <c r="B1904" s="3" t="s">
        <v>14</v>
      </c>
      <c r="C1904" s="3" t="s">
        <v>1716</v>
      </c>
      <c r="D1904" s="3" t="s">
        <v>14</v>
      </c>
      <c r="E1904" s="3" t="s">
        <v>466</v>
      </c>
      <c r="F1904" s="4">
        <v>46287</v>
      </c>
      <c r="G1904" s="3" t="s">
        <v>17</v>
      </c>
      <c r="H1904" s="5">
        <v>-496576.02</v>
      </c>
      <c r="I1904" s="3" t="s">
        <v>18</v>
      </c>
      <c r="J1904" s="3" t="s">
        <v>14</v>
      </c>
      <c r="K1904" s="3" t="s">
        <v>14</v>
      </c>
      <c r="L1904" s="3" t="s">
        <v>1211</v>
      </c>
      <c r="M1904" s="4">
        <v>46289</v>
      </c>
      <c r="N1904" s="3" t="s">
        <v>1717</v>
      </c>
      <c r="O1904" s="3" t="s">
        <v>30</v>
      </c>
      <c r="P1904" t="str">
        <f t="shared" si="29"/>
        <v>450013598310</v>
      </c>
      <c r="Q1904" s="7" cm="1">
        <f t="array" ref="Q1904:S1904">VLOOKUP(P1904,Hoja1!C:F,{2,3,4},FALSE)</f>
        <v>46295</v>
      </c>
      <c r="R1904" t="str">
        <v>C29</v>
      </c>
      <c r="S1904" t="str">
        <v>1000000012 IGARRETA MAQUINAS S.A.</v>
      </c>
    </row>
    <row r="1905" spans="1:19" x14ac:dyDescent="0.3">
      <c r="A1905" s="2" t="s">
        <v>14</v>
      </c>
      <c r="B1905" s="3" t="s">
        <v>14</v>
      </c>
      <c r="C1905" s="3" t="s">
        <v>1718</v>
      </c>
      <c r="D1905" s="3" t="s">
        <v>14</v>
      </c>
      <c r="E1905" s="3" t="s">
        <v>466</v>
      </c>
      <c r="F1905" s="4">
        <v>46287</v>
      </c>
      <c r="G1905" s="3" t="s">
        <v>17</v>
      </c>
      <c r="H1905" s="5">
        <v>-233325.3</v>
      </c>
      <c r="I1905" s="3" t="s">
        <v>18</v>
      </c>
      <c r="J1905" s="3" t="s">
        <v>14</v>
      </c>
      <c r="K1905" s="3" t="s">
        <v>14</v>
      </c>
      <c r="L1905" s="3" t="s">
        <v>1211</v>
      </c>
      <c r="M1905" s="4">
        <v>46289</v>
      </c>
      <c r="N1905" s="3" t="s">
        <v>1698</v>
      </c>
      <c r="O1905" s="3" t="s">
        <v>35</v>
      </c>
      <c r="P1905" t="str">
        <f t="shared" si="29"/>
        <v>450013665830</v>
      </c>
      <c r="Q1905" s="7" cm="1">
        <f t="array" ref="Q1905:S1905">VLOOKUP(P1905,Hoja1!C:F,{2,3,4},FALSE)</f>
        <v>46310</v>
      </c>
      <c r="R1905" t="str">
        <v>C03</v>
      </c>
      <c r="S1905" t="str">
        <v>1000000012 IGARRETA MAQUINAS S.A.</v>
      </c>
    </row>
    <row r="1906" spans="1:19" x14ac:dyDescent="0.3">
      <c r="A1906" s="2" t="s">
        <v>14</v>
      </c>
      <c r="B1906" s="3" t="s">
        <v>14</v>
      </c>
      <c r="C1906" s="3" t="s">
        <v>1718</v>
      </c>
      <c r="D1906" s="3" t="s">
        <v>14</v>
      </c>
      <c r="E1906" s="3" t="s">
        <v>466</v>
      </c>
      <c r="F1906" s="4">
        <v>46287</v>
      </c>
      <c r="G1906" s="3" t="s">
        <v>17</v>
      </c>
      <c r="H1906" s="5">
        <v>-25724.15</v>
      </c>
      <c r="I1906" s="3" t="s">
        <v>18</v>
      </c>
      <c r="J1906" s="3" t="s">
        <v>14</v>
      </c>
      <c r="K1906" s="3" t="s">
        <v>14</v>
      </c>
      <c r="L1906" s="3" t="s">
        <v>1211</v>
      </c>
      <c r="M1906" s="4">
        <v>46289</v>
      </c>
      <c r="N1906" s="3" t="s">
        <v>1698</v>
      </c>
      <c r="O1906" s="3" t="s">
        <v>131</v>
      </c>
      <c r="P1906" t="str">
        <f t="shared" si="29"/>
        <v>4500136658140</v>
      </c>
      <c r="Q1906" s="7" cm="1">
        <f t="array" ref="Q1906:S1906">VLOOKUP(P1906,Hoja1!C:F,{2,3,4},FALSE)</f>
        <v>46310</v>
      </c>
      <c r="R1906" t="str">
        <v>C03</v>
      </c>
      <c r="S1906" t="str">
        <v>1000000012 IGARRETA MAQUINAS S.A.</v>
      </c>
    </row>
    <row r="1907" spans="1:19" x14ac:dyDescent="0.3">
      <c r="A1907" s="2" t="s">
        <v>14</v>
      </c>
      <c r="B1907" s="3" t="s">
        <v>14</v>
      </c>
      <c r="C1907" s="3" t="s">
        <v>1718</v>
      </c>
      <c r="D1907" s="3" t="s">
        <v>14</v>
      </c>
      <c r="E1907" s="3" t="s">
        <v>466</v>
      </c>
      <c r="F1907" s="4">
        <v>46287</v>
      </c>
      <c r="G1907" s="3" t="s">
        <v>17</v>
      </c>
      <c r="H1907" s="5">
        <v>-852495.67</v>
      </c>
      <c r="I1907" s="3" t="s">
        <v>18</v>
      </c>
      <c r="J1907" s="3" t="s">
        <v>14</v>
      </c>
      <c r="K1907" s="3" t="s">
        <v>14</v>
      </c>
      <c r="L1907" s="3" t="s">
        <v>1211</v>
      </c>
      <c r="M1907" s="4">
        <v>46289</v>
      </c>
      <c r="N1907" s="3" t="s">
        <v>1698</v>
      </c>
      <c r="O1907" s="3" t="s">
        <v>133</v>
      </c>
      <c r="P1907" t="str">
        <f t="shared" si="29"/>
        <v>4500136658280</v>
      </c>
      <c r="Q1907" s="7" cm="1">
        <f t="array" ref="Q1907:S1907">VLOOKUP(P1907,Hoja1!C:F,{2,3,4},FALSE)</f>
        <v>46310</v>
      </c>
      <c r="R1907" t="str">
        <v>C03</v>
      </c>
      <c r="S1907" t="str">
        <v>1000000012 IGARRETA MAQUINAS S.A.</v>
      </c>
    </row>
    <row r="1908" spans="1:19" x14ac:dyDescent="0.3">
      <c r="A1908" s="2" t="s">
        <v>14</v>
      </c>
      <c r="B1908" s="3" t="s">
        <v>14</v>
      </c>
      <c r="C1908" s="3" t="s">
        <v>1718</v>
      </c>
      <c r="D1908" s="3" t="s">
        <v>14</v>
      </c>
      <c r="E1908" s="3" t="s">
        <v>466</v>
      </c>
      <c r="F1908" s="4">
        <v>46287</v>
      </c>
      <c r="G1908" s="3" t="s">
        <v>17</v>
      </c>
      <c r="H1908" s="5">
        <v>-257258.75</v>
      </c>
      <c r="I1908" s="3" t="s">
        <v>18</v>
      </c>
      <c r="J1908" s="3" t="s">
        <v>14</v>
      </c>
      <c r="K1908" s="3" t="s">
        <v>14</v>
      </c>
      <c r="L1908" s="3" t="s">
        <v>1211</v>
      </c>
      <c r="M1908" s="4">
        <v>46289</v>
      </c>
      <c r="N1908" s="3" t="s">
        <v>1698</v>
      </c>
      <c r="O1908" s="3" t="s">
        <v>139</v>
      </c>
      <c r="P1908" t="str">
        <f t="shared" si="29"/>
        <v>4500136658350</v>
      </c>
      <c r="Q1908" s="7" cm="1">
        <f t="array" ref="Q1908:S1908">VLOOKUP(P1908,Hoja1!C:F,{2,3,4},FALSE)</f>
        <v>46310</v>
      </c>
      <c r="R1908" t="str">
        <v>C03</v>
      </c>
      <c r="S1908" t="str">
        <v>1000000012 IGARRETA MAQUINAS S.A.</v>
      </c>
    </row>
    <row r="1909" spans="1:19" x14ac:dyDescent="0.3">
      <c r="A1909" s="2" t="s">
        <v>14</v>
      </c>
      <c r="B1909" s="3" t="s">
        <v>14</v>
      </c>
      <c r="C1909" s="3" t="s">
        <v>1719</v>
      </c>
      <c r="D1909" s="3" t="s">
        <v>14</v>
      </c>
      <c r="E1909" s="3" t="s">
        <v>466</v>
      </c>
      <c r="F1909" s="4">
        <v>46287</v>
      </c>
      <c r="G1909" s="3" t="s">
        <v>17</v>
      </c>
      <c r="H1909" s="5">
        <v>-927274.79</v>
      </c>
      <c r="I1909" s="3" t="s">
        <v>18</v>
      </c>
      <c r="J1909" s="3" t="s">
        <v>14</v>
      </c>
      <c r="K1909" s="3" t="s">
        <v>14</v>
      </c>
      <c r="L1909" s="3" t="s">
        <v>1211</v>
      </c>
      <c r="M1909" s="4">
        <v>46289</v>
      </c>
      <c r="N1909" s="3" t="s">
        <v>1698</v>
      </c>
      <c r="O1909" s="3" t="s">
        <v>23</v>
      </c>
      <c r="P1909" t="str">
        <f t="shared" si="29"/>
        <v>450013665840</v>
      </c>
      <c r="Q1909" s="7" cm="1">
        <f t="array" ref="Q1909:S1909">VLOOKUP(P1909,Hoja1!C:F,{2,3,4},FALSE)</f>
        <v>46310</v>
      </c>
      <c r="R1909" t="str">
        <v>C03</v>
      </c>
      <c r="S1909" t="str">
        <v>1000000012 IGARRETA MAQUINAS S.A.</v>
      </c>
    </row>
    <row r="1910" spans="1:19" x14ac:dyDescent="0.3">
      <c r="A1910" s="2" t="s">
        <v>14</v>
      </c>
      <c r="B1910" s="3" t="s">
        <v>14</v>
      </c>
      <c r="C1910" s="3" t="s">
        <v>1719</v>
      </c>
      <c r="D1910" s="3" t="s">
        <v>14</v>
      </c>
      <c r="E1910" s="3" t="s">
        <v>466</v>
      </c>
      <c r="F1910" s="4">
        <v>46287</v>
      </c>
      <c r="G1910" s="3" t="s">
        <v>17</v>
      </c>
      <c r="H1910" s="5">
        <v>-370951.24</v>
      </c>
      <c r="I1910" s="3" t="s">
        <v>18</v>
      </c>
      <c r="J1910" s="3" t="s">
        <v>14</v>
      </c>
      <c r="K1910" s="3" t="s">
        <v>14</v>
      </c>
      <c r="L1910" s="3" t="s">
        <v>1211</v>
      </c>
      <c r="M1910" s="4">
        <v>46289</v>
      </c>
      <c r="N1910" s="3" t="s">
        <v>1698</v>
      </c>
      <c r="O1910" s="3" t="s">
        <v>141</v>
      </c>
      <c r="P1910" t="str">
        <f t="shared" si="29"/>
        <v>450013665860</v>
      </c>
      <c r="Q1910" s="7" cm="1">
        <f t="array" ref="Q1910:S1910">VLOOKUP(P1910,Hoja1!C:F,{2,3,4},FALSE)</f>
        <v>46310</v>
      </c>
      <c r="R1910" t="str">
        <v>C03</v>
      </c>
      <c r="S1910" t="str">
        <v>1000000012 IGARRETA MAQUINAS S.A.</v>
      </c>
    </row>
    <row r="1911" spans="1:19" x14ac:dyDescent="0.3">
      <c r="A1911" s="2" t="s">
        <v>14</v>
      </c>
      <c r="B1911" s="3" t="s">
        <v>14</v>
      </c>
      <c r="C1911" s="3" t="s">
        <v>1719</v>
      </c>
      <c r="D1911" s="3" t="s">
        <v>14</v>
      </c>
      <c r="E1911" s="3" t="s">
        <v>466</v>
      </c>
      <c r="F1911" s="4">
        <v>46287</v>
      </c>
      <c r="G1911" s="3" t="s">
        <v>17</v>
      </c>
      <c r="H1911" s="5">
        <v>-198630.41</v>
      </c>
      <c r="I1911" s="3" t="s">
        <v>18</v>
      </c>
      <c r="J1911" s="3" t="s">
        <v>14</v>
      </c>
      <c r="K1911" s="3" t="s">
        <v>14</v>
      </c>
      <c r="L1911" s="3" t="s">
        <v>1211</v>
      </c>
      <c r="M1911" s="4">
        <v>46289</v>
      </c>
      <c r="N1911" s="3" t="s">
        <v>1698</v>
      </c>
      <c r="O1911" s="3" t="s">
        <v>138</v>
      </c>
      <c r="P1911" t="str">
        <f t="shared" si="29"/>
        <v>450013665890</v>
      </c>
      <c r="Q1911" s="7" cm="1">
        <f t="array" ref="Q1911:S1911">VLOOKUP(P1911,Hoja1!C:F,{2,3,4},FALSE)</f>
        <v>46310</v>
      </c>
      <c r="R1911" t="str">
        <v>C03</v>
      </c>
      <c r="S1911" t="str">
        <v>1000000012 IGARRETA MAQUINAS S.A.</v>
      </c>
    </row>
    <row r="1912" spans="1:19" x14ac:dyDescent="0.3">
      <c r="A1912" s="2" t="s">
        <v>14</v>
      </c>
      <c r="B1912" s="3" t="s">
        <v>14</v>
      </c>
      <c r="C1912" s="3" t="s">
        <v>1719</v>
      </c>
      <c r="D1912" s="3" t="s">
        <v>14</v>
      </c>
      <c r="E1912" s="3" t="s">
        <v>466</v>
      </c>
      <c r="F1912" s="4">
        <v>46287</v>
      </c>
      <c r="G1912" s="3" t="s">
        <v>17</v>
      </c>
      <c r="H1912" s="5">
        <v>-49106.62</v>
      </c>
      <c r="I1912" s="3" t="s">
        <v>18</v>
      </c>
      <c r="J1912" s="3" t="s">
        <v>14</v>
      </c>
      <c r="K1912" s="3" t="s">
        <v>14</v>
      </c>
      <c r="L1912" s="3" t="s">
        <v>1211</v>
      </c>
      <c r="M1912" s="4">
        <v>46289</v>
      </c>
      <c r="N1912" s="3" t="s">
        <v>1698</v>
      </c>
      <c r="O1912" s="3" t="s">
        <v>45</v>
      </c>
      <c r="P1912" t="str">
        <f t="shared" si="29"/>
        <v>4500136658100</v>
      </c>
      <c r="Q1912" s="7" cm="1">
        <f t="array" ref="Q1912:S1912">VLOOKUP(P1912,Hoja1!C:F,{2,3,4},FALSE)</f>
        <v>46310</v>
      </c>
      <c r="R1912" t="str">
        <v>C03</v>
      </c>
      <c r="S1912" t="str">
        <v>1000000012 IGARRETA MAQUINAS S.A.</v>
      </c>
    </row>
    <row r="1913" spans="1:19" x14ac:dyDescent="0.3">
      <c r="A1913" s="2" t="s">
        <v>14</v>
      </c>
      <c r="B1913" s="3" t="s">
        <v>14</v>
      </c>
      <c r="C1913" s="3" t="s">
        <v>1719</v>
      </c>
      <c r="D1913" s="3" t="s">
        <v>14</v>
      </c>
      <c r="E1913" s="3" t="s">
        <v>466</v>
      </c>
      <c r="F1913" s="4">
        <v>46287</v>
      </c>
      <c r="G1913" s="3" t="s">
        <v>17</v>
      </c>
      <c r="H1913" s="5">
        <v>-2740018.3</v>
      </c>
      <c r="I1913" s="3" t="s">
        <v>18</v>
      </c>
      <c r="J1913" s="3" t="s">
        <v>14</v>
      </c>
      <c r="K1913" s="3" t="s">
        <v>14</v>
      </c>
      <c r="L1913" s="3" t="s">
        <v>1211</v>
      </c>
      <c r="M1913" s="4">
        <v>46289</v>
      </c>
      <c r="N1913" s="3" t="s">
        <v>1698</v>
      </c>
      <c r="O1913" s="3" t="s">
        <v>156</v>
      </c>
      <c r="P1913" t="str">
        <f t="shared" si="29"/>
        <v>4500136658110</v>
      </c>
      <c r="Q1913" s="7" cm="1">
        <f t="array" ref="Q1913:S1913">VLOOKUP(P1913,Hoja1!C:F,{2,3,4},FALSE)</f>
        <v>46310</v>
      </c>
      <c r="R1913" t="str">
        <v>C03</v>
      </c>
      <c r="S1913" t="str">
        <v>1000000012 IGARRETA MAQUINAS S.A.</v>
      </c>
    </row>
    <row r="1914" spans="1:19" x14ac:dyDescent="0.3">
      <c r="A1914" s="2" t="s">
        <v>14</v>
      </c>
      <c r="B1914" s="3" t="s">
        <v>14</v>
      </c>
      <c r="C1914" s="3" t="s">
        <v>1719</v>
      </c>
      <c r="D1914" s="3" t="s">
        <v>14</v>
      </c>
      <c r="E1914" s="3" t="s">
        <v>466</v>
      </c>
      <c r="F1914" s="4">
        <v>46287</v>
      </c>
      <c r="G1914" s="3" t="s">
        <v>17</v>
      </c>
      <c r="H1914" s="5">
        <v>-508525.52</v>
      </c>
      <c r="I1914" s="3" t="s">
        <v>18</v>
      </c>
      <c r="J1914" s="3" t="s">
        <v>14</v>
      </c>
      <c r="K1914" s="3" t="s">
        <v>14</v>
      </c>
      <c r="L1914" s="3" t="s">
        <v>1211</v>
      </c>
      <c r="M1914" s="4">
        <v>46289</v>
      </c>
      <c r="N1914" s="3" t="s">
        <v>1698</v>
      </c>
      <c r="O1914" s="3" t="s">
        <v>132</v>
      </c>
      <c r="P1914" t="str">
        <f t="shared" si="29"/>
        <v>4500136658120</v>
      </c>
      <c r="Q1914" s="7" cm="1">
        <f t="array" ref="Q1914:S1914">VLOOKUP(P1914,Hoja1!C:F,{2,3,4},FALSE)</f>
        <v>46310</v>
      </c>
      <c r="R1914" t="str">
        <v>C03</v>
      </c>
      <c r="S1914" t="str">
        <v>1000000012 IGARRETA MAQUINAS S.A.</v>
      </c>
    </row>
    <row r="1915" spans="1:19" x14ac:dyDescent="0.3">
      <c r="A1915" s="2" t="s">
        <v>14</v>
      </c>
      <c r="B1915" s="3" t="s">
        <v>14</v>
      </c>
      <c r="C1915" s="3" t="s">
        <v>1719</v>
      </c>
      <c r="D1915" s="3" t="s">
        <v>14</v>
      </c>
      <c r="E1915" s="3" t="s">
        <v>466</v>
      </c>
      <c r="F1915" s="4">
        <v>46287</v>
      </c>
      <c r="G1915" s="3" t="s">
        <v>17</v>
      </c>
      <c r="H1915" s="5">
        <v>-771724.59</v>
      </c>
      <c r="I1915" s="3" t="s">
        <v>18</v>
      </c>
      <c r="J1915" s="3" t="s">
        <v>14</v>
      </c>
      <c r="K1915" s="3" t="s">
        <v>14</v>
      </c>
      <c r="L1915" s="3" t="s">
        <v>1211</v>
      </c>
      <c r="M1915" s="4">
        <v>46289</v>
      </c>
      <c r="N1915" s="3" t="s">
        <v>1698</v>
      </c>
      <c r="O1915" s="3" t="s">
        <v>142</v>
      </c>
      <c r="P1915" t="str">
        <f t="shared" si="29"/>
        <v>4500136658130</v>
      </c>
      <c r="Q1915" s="7" cm="1">
        <f t="array" ref="Q1915:S1915">VLOOKUP(P1915,Hoja1!C:F,{2,3,4},FALSE)</f>
        <v>46310</v>
      </c>
      <c r="R1915" t="str">
        <v>C03</v>
      </c>
      <c r="S1915" t="str">
        <v>1000000012 IGARRETA MAQUINAS S.A.</v>
      </c>
    </row>
    <row r="1916" spans="1:19" x14ac:dyDescent="0.3">
      <c r="A1916" s="2" t="s">
        <v>14</v>
      </c>
      <c r="B1916" s="3" t="s">
        <v>14</v>
      </c>
      <c r="C1916" s="3" t="s">
        <v>1719</v>
      </c>
      <c r="D1916" s="3" t="s">
        <v>14</v>
      </c>
      <c r="E1916" s="3" t="s">
        <v>466</v>
      </c>
      <c r="F1916" s="4">
        <v>46287</v>
      </c>
      <c r="G1916" s="3" t="s">
        <v>17</v>
      </c>
      <c r="H1916" s="5">
        <v>-370951.24</v>
      </c>
      <c r="I1916" s="3" t="s">
        <v>18</v>
      </c>
      <c r="J1916" s="3" t="s">
        <v>14</v>
      </c>
      <c r="K1916" s="3" t="s">
        <v>14</v>
      </c>
      <c r="L1916" s="3" t="s">
        <v>1211</v>
      </c>
      <c r="M1916" s="4">
        <v>46289</v>
      </c>
      <c r="N1916" s="3" t="s">
        <v>1698</v>
      </c>
      <c r="O1916" s="3" t="s">
        <v>130</v>
      </c>
      <c r="P1916" t="str">
        <f t="shared" si="29"/>
        <v>4500136658180</v>
      </c>
      <c r="Q1916" s="7" cm="1">
        <f t="array" ref="Q1916:S1916">VLOOKUP(P1916,Hoja1!C:F,{2,3,4},FALSE)</f>
        <v>46310</v>
      </c>
      <c r="R1916" t="str">
        <v>C03</v>
      </c>
      <c r="S1916" t="str">
        <v>1000000012 IGARRETA MAQUINAS S.A.</v>
      </c>
    </row>
    <row r="1917" spans="1:19" x14ac:dyDescent="0.3">
      <c r="A1917" s="2" t="s">
        <v>14</v>
      </c>
      <c r="B1917" s="3" t="s">
        <v>14</v>
      </c>
      <c r="C1917" s="3" t="s">
        <v>1719</v>
      </c>
      <c r="D1917" s="3" t="s">
        <v>14</v>
      </c>
      <c r="E1917" s="3" t="s">
        <v>466</v>
      </c>
      <c r="F1917" s="4">
        <v>46287</v>
      </c>
      <c r="G1917" s="3" t="s">
        <v>17</v>
      </c>
      <c r="H1917" s="5">
        <v>-1818666.62</v>
      </c>
      <c r="I1917" s="3" t="s">
        <v>18</v>
      </c>
      <c r="J1917" s="3" t="s">
        <v>14</v>
      </c>
      <c r="K1917" s="3" t="s">
        <v>14</v>
      </c>
      <c r="L1917" s="3" t="s">
        <v>1211</v>
      </c>
      <c r="M1917" s="4">
        <v>46289</v>
      </c>
      <c r="N1917" s="3" t="s">
        <v>1698</v>
      </c>
      <c r="O1917" s="3" t="s">
        <v>128</v>
      </c>
      <c r="P1917" t="str">
        <f t="shared" si="29"/>
        <v>4500136658250</v>
      </c>
      <c r="Q1917" s="7" cm="1">
        <f t="array" ref="Q1917:S1917">VLOOKUP(P1917,Hoja1!C:F,{2,3,4},FALSE)</f>
        <v>46310</v>
      </c>
      <c r="R1917" t="str">
        <v>C03</v>
      </c>
      <c r="S1917" t="str">
        <v>1000000012 IGARRETA MAQUINAS S.A.</v>
      </c>
    </row>
    <row r="1918" spans="1:19" x14ac:dyDescent="0.3">
      <c r="A1918" s="2" t="s">
        <v>14</v>
      </c>
      <c r="B1918" s="3" t="s">
        <v>14</v>
      </c>
      <c r="C1918" s="3" t="s">
        <v>1719</v>
      </c>
      <c r="D1918" s="3" t="s">
        <v>14</v>
      </c>
      <c r="E1918" s="3" t="s">
        <v>466</v>
      </c>
      <c r="F1918" s="4">
        <v>46287</v>
      </c>
      <c r="G1918" s="3" t="s">
        <v>17</v>
      </c>
      <c r="H1918" s="5">
        <v>-2010099.77</v>
      </c>
      <c r="I1918" s="3" t="s">
        <v>18</v>
      </c>
      <c r="J1918" s="3" t="s">
        <v>14</v>
      </c>
      <c r="K1918" s="3" t="s">
        <v>14</v>
      </c>
      <c r="L1918" s="3" t="s">
        <v>1211</v>
      </c>
      <c r="M1918" s="4">
        <v>46289</v>
      </c>
      <c r="N1918" s="3" t="s">
        <v>1698</v>
      </c>
      <c r="O1918" s="3" t="s">
        <v>173</v>
      </c>
      <c r="P1918" t="str">
        <f t="shared" si="29"/>
        <v>4500136658290</v>
      </c>
      <c r="Q1918" s="7" cm="1">
        <f t="array" ref="Q1918:S1918">VLOOKUP(P1918,Hoja1!C:F,{2,3,4},FALSE)</f>
        <v>46310</v>
      </c>
      <c r="R1918" t="str">
        <v>C03</v>
      </c>
      <c r="S1918" t="str">
        <v>1000000012 IGARRETA MAQUINAS S.A.</v>
      </c>
    </row>
    <row r="1919" spans="1:19" x14ac:dyDescent="0.3">
      <c r="A1919" s="2" t="s">
        <v>14</v>
      </c>
      <c r="B1919" s="3" t="s">
        <v>14</v>
      </c>
      <c r="C1919" s="3" t="s">
        <v>1720</v>
      </c>
      <c r="D1919" s="3" t="s">
        <v>14</v>
      </c>
      <c r="E1919" s="3" t="s">
        <v>466</v>
      </c>
      <c r="F1919" s="4">
        <v>46289</v>
      </c>
      <c r="G1919" s="3" t="s">
        <v>17</v>
      </c>
      <c r="H1919" s="5">
        <v>-959999</v>
      </c>
      <c r="I1919" s="3" t="s">
        <v>18</v>
      </c>
      <c r="J1919" s="3" t="s">
        <v>14</v>
      </c>
      <c r="K1919" s="3" t="s">
        <v>14</v>
      </c>
      <c r="L1919" s="3" t="s">
        <v>1211</v>
      </c>
      <c r="M1919" s="4">
        <v>46289</v>
      </c>
      <c r="N1919" s="3" t="s">
        <v>1721</v>
      </c>
      <c r="O1919" s="3" t="s">
        <v>35</v>
      </c>
      <c r="P1919" t="str">
        <f t="shared" si="29"/>
        <v>450013909230</v>
      </c>
      <c r="Q1919" s="7" cm="1">
        <f t="array" ref="Q1919:S1919">VLOOKUP(P1919,Hoja1!C:F,{2,3,4},FALSE)</f>
        <v>46293</v>
      </c>
      <c r="R1919" t="str">
        <v>F04</v>
      </c>
      <c r="S1919" t="str">
        <v>1000000012 IGARRETA MAQUINAS S.A.</v>
      </c>
    </row>
    <row r="1920" spans="1:19" x14ac:dyDescent="0.3">
      <c r="A1920" s="2" t="s">
        <v>14</v>
      </c>
      <c r="B1920" s="3" t="s">
        <v>14</v>
      </c>
      <c r="C1920" s="3" t="s">
        <v>1722</v>
      </c>
      <c r="D1920" s="3" t="s">
        <v>14</v>
      </c>
      <c r="E1920" s="3" t="s">
        <v>466</v>
      </c>
      <c r="F1920" s="4">
        <v>46287</v>
      </c>
      <c r="G1920" s="3" t="s">
        <v>17</v>
      </c>
      <c r="H1920" s="5">
        <v>-903423.55</v>
      </c>
      <c r="I1920" s="3" t="s">
        <v>18</v>
      </c>
      <c r="J1920" s="3" t="s">
        <v>14</v>
      </c>
      <c r="K1920" s="3" t="s">
        <v>14</v>
      </c>
      <c r="L1920" s="3" t="s">
        <v>340</v>
      </c>
      <c r="M1920" s="4">
        <v>46289</v>
      </c>
      <c r="N1920" s="3" t="s">
        <v>1723</v>
      </c>
      <c r="O1920" s="3" t="s">
        <v>30</v>
      </c>
      <c r="P1920" t="str">
        <f t="shared" si="29"/>
        <v>450013541410</v>
      </c>
      <c r="Q1920" s="7" cm="1">
        <f t="array" ref="Q1920:S1920">VLOOKUP(P1920,Hoja1!C:F,{2,3,4},FALSE)</f>
        <v>46295</v>
      </c>
      <c r="R1920" t="str">
        <v>C03</v>
      </c>
      <c r="S1920" t="str">
        <v>1000000062 FINNING ARGENTINA S.A.</v>
      </c>
    </row>
    <row r="1921" spans="1:19" x14ac:dyDescent="0.3">
      <c r="A1921" s="2" t="s">
        <v>14</v>
      </c>
      <c r="B1921" s="3" t="s">
        <v>14</v>
      </c>
      <c r="C1921" s="3" t="s">
        <v>1724</v>
      </c>
      <c r="D1921" s="3" t="s">
        <v>14</v>
      </c>
      <c r="E1921" s="3" t="s">
        <v>466</v>
      </c>
      <c r="F1921" s="4">
        <v>46287</v>
      </c>
      <c r="G1921" s="3" t="s">
        <v>17</v>
      </c>
      <c r="H1921" s="5">
        <v>-2867648.03</v>
      </c>
      <c r="I1921" s="3" t="s">
        <v>18</v>
      </c>
      <c r="J1921" s="3" t="s">
        <v>14</v>
      </c>
      <c r="K1921" s="3" t="s">
        <v>14</v>
      </c>
      <c r="L1921" s="3" t="s">
        <v>340</v>
      </c>
      <c r="M1921" s="4">
        <v>46289</v>
      </c>
      <c r="N1921" s="3" t="s">
        <v>1725</v>
      </c>
      <c r="O1921" s="3" t="s">
        <v>30</v>
      </c>
      <c r="P1921" t="str">
        <f t="shared" si="29"/>
        <v>450013748710</v>
      </c>
      <c r="Q1921" s="7" cm="1">
        <f t="array" ref="Q1921:S1921">VLOOKUP(P1921,Hoja1!C:F,{2,3,4},FALSE)</f>
        <v>46286</v>
      </c>
      <c r="R1921" t="str">
        <v>C03</v>
      </c>
      <c r="S1921" t="str">
        <v>1000000062 FINNING ARGENTINA S.A.</v>
      </c>
    </row>
    <row r="1922" spans="1:19" x14ac:dyDescent="0.3">
      <c r="A1922" s="2" t="s">
        <v>14</v>
      </c>
      <c r="B1922" s="3" t="s">
        <v>14</v>
      </c>
      <c r="C1922" s="3" t="s">
        <v>1726</v>
      </c>
      <c r="D1922" s="3" t="s">
        <v>14</v>
      </c>
      <c r="E1922" s="3" t="s">
        <v>466</v>
      </c>
      <c r="F1922" s="4">
        <v>46289</v>
      </c>
      <c r="G1922" s="3" t="s">
        <v>17</v>
      </c>
      <c r="H1922" s="5">
        <v>-98247.5</v>
      </c>
      <c r="I1922" s="3" t="s">
        <v>18</v>
      </c>
      <c r="J1922" s="3" t="s">
        <v>14</v>
      </c>
      <c r="K1922" s="3" t="s">
        <v>14</v>
      </c>
      <c r="L1922" s="3" t="s">
        <v>1727</v>
      </c>
      <c r="M1922" s="4">
        <v>46289</v>
      </c>
      <c r="N1922" s="3" t="s">
        <v>1728</v>
      </c>
      <c r="O1922" s="3" t="s">
        <v>22</v>
      </c>
      <c r="P1922" t="str">
        <f t="shared" si="29"/>
        <v>450013902020</v>
      </c>
      <c r="Q1922" s="7" cm="1">
        <f t="array" ref="Q1922:S1922">VLOOKUP(P1922,Hoja1!C:F,{2,3,4},FALSE)</f>
        <v>46302</v>
      </c>
      <c r="R1922" t="str">
        <v>C03</v>
      </c>
      <c r="S1922" t="str">
        <v>1000002138 AMERICAN HEAVY PARTS S.R.L.</v>
      </c>
    </row>
    <row r="1923" spans="1:19" x14ac:dyDescent="0.3">
      <c r="A1923" s="2" t="s">
        <v>14</v>
      </c>
      <c r="B1923" s="3" t="s">
        <v>14</v>
      </c>
      <c r="C1923" s="3" t="s">
        <v>1726</v>
      </c>
      <c r="D1923" s="3" t="s">
        <v>14</v>
      </c>
      <c r="E1923" s="3" t="s">
        <v>466</v>
      </c>
      <c r="F1923" s="4">
        <v>46289</v>
      </c>
      <c r="G1923" s="3" t="s">
        <v>17</v>
      </c>
      <c r="H1923" s="5">
        <v>-169288</v>
      </c>
      <c r="I1923" s="3" t="s">
        <v>18</v>
      </c>
      <c r="J1923" s="3" t="s">
        <v>14</v>
      </c>
      <c r="K1923" s="3" t="s">
        <v>14</v>
      </c>
      <c r="L1923" s="3" t="s">
        <v>1727</v>
      </c>
      <c r="M1923" s="4">
        <v>46289</v>
      </c>
      <c r="N1923" s="3" t="s">
        <v>1728</v>
      </c>
      <c r="O1923" s="3" t="s">
        <v>35</v>
      </c>
      <c r="P1923" t="str">
        <f t="shared" ref="P1923:P1986" si="30">_xlfn.CONCAT(N1923:O1923)</f>
        <v>450013902030</v>
      </c>
      <c r="Q1923" s="7" cm="1">
        <f t="array" ref="Q1923:S1923">VLOOKUP(P1923,Hoja1!C:F,{2,3,4},FALSE)</f>
        <v>46290</v>
      </c>
      <c r="R1923" t="str">
        <v>C03</v>
      </c>
      <c r="S1923" t="str">
        <v>1000002138 AMERICAN HEAVY PARTS S.R.L.</v>
      </c>
    </row>
    <row r="1924" spans="1:19" x14ac:dyDescent="0.3">
      <c r="A1924" s="2" t="s">
        <v>14</v>
      </c>
      <c r="B1924" s="3" t="s">
        <v>14</v>
      </c>
      <c r="C1924" s="3" t="s">
        <v>1726</v>
      </c>
      <c r="D1924" s="3" t="s">
        <v>14</v>
      </c>
      <c r="E1924" s="3" t="s">
        <v>466</v>
      </c>
      <c r="F1924" s="4">
        <v>46289</v>
      </c>
      <c r="G1924" s="3" t="s">
        <v>17</v>
      </c>
      <c r="H1924" s="5">
        <v>-58948.5</v>
      </c>
      <c r="I1924" s="3" t="s">
        <v>18</v>
      </c>
      <c r="J1924" s="3" t="s">
        <v>14</v>
      </c>
      <c r="K1924" s="3" t="s">
        <v>14</v>
      </c>
      <c r="L1924" s="3" t="s">
        <v>1727</v>
      </c>
      <c r="M1924" s="4">
        <v>46289</v>
      </c>
      <c r="N1924" s="3" t="s">
        <v>1728</v>
      </c>
      <c r="O1924" s="3" t="s">
        <v>23</v>
      </c>
      <c r="P1924" t="str">
        <f t="shared" si="30"/>
        <v>450013902040</v>
      </c>
      <c r="Q1924" s="7" cm="1">
        <f t="array" ref="Q1924:S1924">VLOOKUP(P1924,Hoja1!C:F,{2,3,4},FALSE)</f>
        <v>46290</v>
      </c>
      <c r="R1924" t="str">
        <v>C03</v>
      </c>
      <c r="S1924" t="str">
        <v>1000002138 AMERICAN HEAVY PARTS S.R.L.</v>
      </c>
    </row>
    <row r="1925" spans="1:19" x14ac:dyDescent="0.3">
      <c r="A1925" s="2" t="s">
        <v>14</v>
      </c>
      <c r="B1925" s="3" t="s">
        <v>14</v>
      </c>
      <c r="C1925" s="3" t="s">
        <v>1726</v>
      </c>
      <c r="D1925" s="3" t="s">
        <v>14</v>
      </c>
      <c r="E1925" s="3" t="s">
        <v>466</v>
      </c>
      <c r="F1925" s="4">
        <v>46289</v>
      </c>
      <c r="G1925" s="3" t="s">
        <v>17</v>
      </c>
      <c r="H1925" s="5">
        <v>-337215.65</v>
      </c>
      <c r="I1925" s="3" t="s">
        <v>18</v>
      </c>
      <c r="J1925" s="3" t="s">
        <v>14</v>
      </c>
      <c r="K1925" s="3" t="s">
        <v>14</v>
      </c>
      <c r="L1925" s="3" t="s">
        <v>1727</v>
      </c>
      <c r="M1925" s="4">
        <v>46289</v>
      </c>
      <c r="N1925" s="3" t="s">
        <v>1728</v>
      </c>
      <c r="O1925" s="3" t="s">
        <v>144</v>
      </c>
      <c r="P1925" t="str">
        <f t="shared" si="30"/>
        <v>450013902050</v>
      </c>
      <c r="Q1925" s="7" cm="1">
        <f t="array" ref="Q1925:S1925">VLOOKUP(P1925,Hoja1!C:F,{2,3,4},FALSE)</f>
        <v>46290</v>
      </c>
      <c r="R1925" t="str">
        <v>C03</v>
      </c>
      <c r="S1925" t="str">
        <v>1000002138 AMERICAN HEAVY PARTS S.R.L.</v>
      </c>
    </row>
    <row r="1926" spans="1:19" x14ac:dyDescent="0.3">
      <c r="A1926" s="2" t="s">
        <v>14</v>
      </c>
      <c r="B1926" s="3" t="s">
        <v>14</v>
      </c>
      <c r="C1926" s="3" t="s">
        <v>1726</v>
      </c>
      <c r="D1926" s="3" t="s">
        <v>14</v>
      </c>
      <c r="E1926" s="3" t="s">
        <v>466</v>
      </c>
      <c r="F1926" s="4">
        <v>46289</v>
      </c>
      <c r="G1926" s="3" t="s">
        <v>17</v>
      </c>
      <c r="H1926" s="5">
        <v>-17835.7</v>
      </c>
      <c r="I1926" s="3" t="s">
        <v>18</v>
      </c>
      <c r="J1926" s="3" t="s">
        <v>14</v>
      </c>
      <c r="K1926" s="3" t="s">
        <v>14</v>
      </c>
      <c r="L1926" s="3" t="s">
        <v>1727</v>
      </c>
      <c r="M1926" s="4">
        <v>46289</v>
      </c>
      <c r="N1926" s="3" t="s">
        <v>1728</v>
      </c>
      <c r="O1926" s="3" t="s">
        <v>141</v>
      </c>
      <c r="P1926" t="str">
        <f t="shared" si="30"/>
        <v>450013902060</v>
      </c>
      <c r="Q1926" s="7" cm="1">
        <f t="array" ref="Q1926:S1926">VLOOKUP(P1926,Hoja1!C:F,{2,3,4},FALSE)</f>
        <v>46290</v>
      </c>
      <c r="R1926" t="str">
        <v>C03</v>
      </c>
      <c r="S1926" t="str">
        <v>1000002138 AMERICAN HEAVY PARTS S.R.L.</v>
      </c>
    </row>
    <row r="1927" spans="1:19" x14ac:dyDescent="0.3">
      <c r="A1927" s="2" t="s">
        <v>14</v>
      </c>
      <c r="B1927" s="3" t="s">
        <v>14</v>
      </c>
      <c r="C1927" s="3" t="s">
        <v>1729</v>
      </c>
      <c r="D1927" s="3" t="s">
        <v>14</v>
      </c>
      <c r="E1927" s="3" t="s">
        <v>466</v>
      </c>
      <c r="F1927" s="4">
        <v>46288</v>
      </c>
      <c r="G1927" s="3" t="s">
        <v>17</v>
      </c>
      <c r="H1927" s="5">
        <v>-538412.24</v>
      </c>
      <c r="I1927" s="3" t="s">
        <v>18</v>
      </c>
      <c r="J1927" s="3" t="s">
        <v>14</v>
      </c>
      <c r="K1927" s="3" t="s">
        <v>14</v>
      </c>
      <c r="L1927" s="3" t="s">
        <v>73</v>
      </c>
      <c r="M1927" s="4">
        <v>46288</v>
      </c>
      <c r="N1927" s="3" t="s">
        <v>402</v>
      </c>
      <c r="O1927" s="3" t="s">
        <v>30</v>
      </c>
      <c r="P1927" t="str">
        <f t="shared" si="30"/>
        <v>450013790610</v>
      </c>
      <c r="Q1927" s="7" cm="1">
        <f t="array" ref="Q1927:S1927">VLOOKUP(P1927,Hoja1!C:F,{2,3,4},FALSE)</f>
        <v>46295</v>
      </c>
      <c r="R1927" t="str">
        <v>C21</v>
      </c>
      <c r="S1927" t="str">
        <v>1000000808 GLOBAL OIL S.R.L.</v>
      </c>
    </row>
    <row r="1928" spans="1:19" x14ac:dyDescent="0.3">
      <c r="A1928" s="2" t="s">
        <v>14</v>
      </c>
      <c r="B1928" s="3" t="s">
        <v>14</v>
      </c>
      <c r="C1928" s="3" t="s">
        <v>1729</v>
      </c>
      <c r="D1928" s="3" t="s">
        <v>14</v>
      </c>
      <c r="E1928" s="3" t="s">
        <v>466</v>
      </c>
      <c r="F1928" s="4">
        <v>46288</v>
      </c>
      <c r="G1928" s="3" t="s">
        <v>17</v>
      </c>
      <c r="H1928" s="5">
        <v>-113314.36</v>
      </c>
      <c r="I1928" s="3" t="s">
        <v>18</v>
      </c>
      <c r="J1928" s="3" t="s">
        <v>14</v>
      </c>
      <c r="K1928" s="3" t="s">
        <v>14</v>
      </c>
      <c r="L1928" s="3" t="s">
        <v>73</v>
      </c>
      <c r="M1928" s="4">
        <v>46288</v>
      </c>
      <c r="N1928" s="3" t="s">
        <v>402</v>
      </c>
      <c r="O1928" s="3" t="s">
        <v>30</v>
      </c>
      <c r="P1928" t="str">
        <f t="shared" si="30"/>
        <v>450013790610</v>
      </c>
      <c r="Q1928" s="7" cm="1">
        <f t="array" ref="Q1928:S1928">VLOOKUP(P1928,Hoja1!C:F,{2,3,4},FALSE)</f>
        <v>46295</v>
      </c>
      <c r="R1928" t="str">
        <v>C21</v>
      </c>
      <c r="S1928" t="str">
        <v>1000000808 GLOBAL OIL S.R.L.</v>
      </c>
    </row>
    <row r="1929" spans="1:19" x14ac:dyDescent="0.3">
      <c r="A1929" s="2" t="s">
        <v>14</v>
      </c>
      <c r="B1929" s="3" t="s">
        <v>14</v>
      </c>
      <c r="C1929" s="3" t="s">
        <v>1730</v>
      </c>
      <c r="D1929" s="3" t="s">
        <v>84</v>
      </c>
      <c r="E1929" s="3" t="s">
        <v>466</v>
      </c>
      <c r="F1929" s="4">
        <v>46289</v>
      </c>
      <c r="G1929" s="3" t="s">
        <v>17</v>
      </c>
      <c r="H1929" s="5">
        <v>-64368.2</v>
      </c>
      <c r="I1929" s="3" t="s">
        <v>18</v>
      </c>
      <c r="J1929" s="3" t="s">
        <v>14</v>
      </c>
      <c r="K1929" s="3" t="s">
        <v>14</v>
      </c>
      <c r="L1929" s="3" t="s">
        <v>1083</v>
      </c>
      <c r="M1929" s="4">
        <v>46289</v>
      </c>
      <c r="N1929" s="3" t="s">
        <v>1731</v>
      </c>
      <c r="O1929" s="3" t="s">
        <v>30</v>
      </c>
      <c r="P1929" t="str">
        <f t="shared" si="30"/>
        <v>450013919110</v>
      </c>
      <c r="Q1929" s="7" cm="1">
        <f t="array" ref="Q1929:S1929">VLOOKUP(P1929,Hoja1!C:F,{2,3,4},FALSE)</f>
        <v>46291</v>
      </c>
      <c r="R1929" t="str">
        <v>C19</v>
      </c>
      <c r="S1929" t="str">
        <v>1000000073 ROBERTO CALZAVARA S.R.L.</v>
      </c>
    </row>
    <row r="1930" spans="1:19" x14ac:dyDescent="0.3">
      <c r="A1930" s="2" t="s">
        <v>14</v>
      </c>
      <c r="B1930" s="3" t="s">
        <v>14</v>
      </c>
      <c r="C1930" s="3" t="s">
        <v>1732</v>
      </c>
      <c r="D1930" s="3" t="s">
        <v>14</v>
      </c>
      <c r="E1930" s="3" t="s">
        <v>466</v>
      </c>
      <c r="F1930" s="4">
        <v>46287</v>
      </c>
      <c r="G1930" s="3" t="s">
        <v>17</v>
      </c>
      <c r="H1930" s="5">
        <v>-78114.320000000007</v>
      </c>
      <c r="I1930" s="3" t="s">
        <v>18</v>
      </c>
      <c r="J1930" s="3" t="s">
        <v>14</v>
      </c>
      <c r="K1930" s="3" t="s">
        <v>14</v>
      </c>
      <c r="L1930" s="3" t="s">
        <v>340</v>
      </c>
      <c r="M1930" s="4">
        <v>46289</v>
      </c>
      <c r="N1930" s="3" t="s">
        <v>1733</v>
      </c>
      <c r="O1930" s="3" t="s">
        <v>30</v>
      </c>
      <c r="P1930" t="str">
        <f t="shared" si="30"/>
        <v>450013775810</v>
      </c>
      <c r="Q1930" s="7" cm="1">
        <f t="array" ref="Q1930:S1930">VLOOKUP(P1930,Hoja1!C:F,{2,3,4},FALSE)</f>
        <v>46290</v>
      </c>
      <c r="R1930" t="str">
        <v>C03</v>
      </c>
      <c r="S1930" t="str">
        <v>1000000062 FINNING ARGENTINA S.A.</v>
      </c>
    </row>
    <row r="1931" spans="1:19" x14ac:dyDescent="0.3">
      <c r="A1931" s="2" t="s">
        <v>14</v>
      </c>
      <c r="B1931" s="3" t="s">
        <v>14</v>
      </c>
      <c r="C1931" s="3" t="s">
        <v>1734</v>
      </c>
      <c r="D1931" s="3" t="s">
        <v>14</v>
      </c>
      <c r="E1931" s="3" t="s">
        <v>466</v>
      </c>
      <c r="F1931" s="4">
        <v>46289</v>
      </c>
      <c r="G1931" s="3" t="s">
        <v>17</v>
      </c>
      <c r="H1931" s="5">
        <v>-1725600.67</v>
      </c>
      <c r="I1931" s="3" t="s">
        <v>18</v>
      </c>
      <c r="J1931" s="3" t="s">
        <v>14</v>
      </c>
      <c r="K1931" s="3" t="s">
        <v>14</v>
      </c>
      <c r="L1931" s="3" t="s">
        <v>320</v>
      </c>
      <c r="M1931" s="4">
        <v>46289</v>
      </c>
      <c r="N1931" s="3" t="s">
        <v>1735</v>
      </c>
      <c r="O1931" s="3" t="s">
        <v>22</v>
      </c>
      <c r="P1931" t="str">
        <f t="shared" si="30"/>
        <v>450013867020</v>
      </c>
      <c r="Q1931" s="7" cm="1">
        <f t="array" ref="Q1931:S1931">VLOOKUP(P1931,Hoja1!C:F,{2,3,4},FALSE)</f>
        <v>46295</v>
      </c>
      <c r="R1931" t="str">
        <v>L01</v>
      </c>
      <c r="S1931" t="str">
        <v>1000000038 YPF S.A.</v>
      </c>
    </row>
    <row r="1932" spans="1:19" x14ac:dyDescent="0.3">
      <c r="A1932" s="2" t="s">
        <v>14</v>
      </c>
      <c r="B1932" s="3" t="s">
        <v>14</v>
      </c>
      <c r="C1932" s="3" t="s">
        <v>1736</v>
      </c>
      <c r="D1932" s="3" t="s">
        <v>14</v>
      </c>
      <c r="E1932" s="3" t="s">
        <v>466</v>
      </c>
      <c r="F1932" s="4">
        <v>46289</v>
      </c>
      <c r="G1932" s="3" t="s">
        <v>17</v>
      </c>
      <c r="H1932" s="5">
        <v>-1725600.67</v>
      </c>
      <c r="I1932" s="3" t="s">
        <v>18</v>
      </c>
      <c r="J1932" s="3" t="s">
        <v>14</v>
      </c>
      <c r="K1932" s="3" t="s">
        <v>14</v>
      </c>
      <c r="L1932" s="3" t="s">
        <v>320</v>
      </c>
      <c r="M1932" s="4">
        <v>46289</v>
      </c>
      <c r="N1932" s="3" t="s">
        <v>1737</v>
      </c>
      <c r="O1932" s="3" t="s">
        <v>30</v>
      </c>
      <c r="P1932" t="str">
        <f t="shared" si="30"/>
        <v>450013855910</v>
      </c>
      <c r="Q1932" s="7" cm="1">
        <f t="array" ref="Q1932:S1932">VLOOKUP(P1932,Hoja1!C:F,{2,3,4},FALSE)</f>
        <v>46294</v>
      </c>
      <c r="R1932" t="str">
        <v>L02</v>
      </c>
      <c r="S1932" t="str">
        <v>1000000038 YPF S.A.</v>
      </c>
    </row>
    <row r="1933" spans="1:19" x14ac:dyDescent="0.3">
      <c r="A1933" s="2" t="s">
        <v>14</v>
      </c>
      <c r="B1933" s="3" t="s">
        <v>14</v>
      </c>
      <c r="C1933" s="3" t="s">
        <v>1738</v>
      </c>
      <c r="D1933" s="3" t="s">
        <v>14</v>
      </c>
      <c r="E1933" s="3" t="s">
        <v>466</v>
      </c>
      <c r="F1933" s="4">
        <v>46289</v>
      </c>
      <c r="G1933" s="3" t="s">
        <v>17</v>
      </c>
      <c r="H1933" s="5">
        <v>-25820</v>
      </c>
      <c r="I1933" s="3" t="s">
        <v>18</v>
      </c>
      <c r="J1933" s="3" t="s">
        <v>14</v>
      </c>
      <c r="K1933" s="3" t="s">
        <v>14</v>
      </c>
      <c r="L1933" s="3" t="s">
        <v>240</v>
      </c>
      <c r="M1933" s="4">
        <v>46289</v>
      </c>
      <c r="N1933" s="3" t="s">
        <v>1739</v>
      </c>
      <c r="O1933" s="3" t="s">
        <v>134</v>
      </c>
      <c r="P1933" t="str">
        <f t="shared" si="30"/>
        <v>450013864370</v>
      </c>
      <c r="Q1933" s="7" cm="1">
        <f t="array" ref="Q1933:S1933">VLOOKUP(P1933,Hoja1!C:F,{2,3,4},FALSE)</f>
        <v>46287</v>
      </c>
      <c r="R1933" t="str">
        <v>C27</v>
      </c>
      <c r="S1933" t="str">
        <v>1000011415 SI (SERVICIOS INDUSTRIALES) SIERRA</v>
      </c>
    </row>
    <row r="1934" spans="1:19" x14ac:dyDescent="0.3">
      <c r="A1934" s="2" t="s">
        <v>14</v>
      </c>
      <c r="B1934" s="3" t="s">
        <v>14</v>
      </c>
      <c r="C1934" s="3" t="s">
        <v>1740</v>
      </c>
      <c r="D1934" s="3" t="s">
        <v>32</v>
      </c>
      <c r="E1934" s="3" t="s">
        <v>466</v>
      </c>
      <c r="F1934" s="4">
        <v>46289</v>
      </c>
      <c r="G1934" s="3" t="s">
        <v>17</v>
      </c>
      <c r="H1934" s="5">
        <v>-500000</v>
      </c>
      <c r="I1934" s="3" t="s">
        <v>18</v>
      </c>
      <c r="J1934" s="3" t="s">
        <v>14</v>
      </c>
      <c r="K1934" s="3" t="s">
        <v>14</v>
      </c>
      <c r="L1934" s="3" t="s">
        <v>611</v>
      </c>
      <c r="M1934" s="4">
        <v>46289</v>
      </c>
      <c r="N1934" s="3" t="s">
        <v>1741</v>
      </c>
      <c r="O1934" s="3" t="s">
        <v>30</v>
      </c>
      <c r="P1934" t="str">
        <f t="shared" si="30"/>
        <v>450013925310</v>
      </c>
      <c r="Q1934" s="7" cm="1">
        <f t="array" ref="Q1934:S1934">VLOOKUP(P1934,Hoja1!C:F,{2,3,4},FALSE)</f>
        <v>46289</v>
      </c>
      <c r="R1934" t="str">
        <v>374</v>
      </c>
      <c r="S1934" t="str">
        <v>1000011432 SCHVAB JULIO CESAR</v>
      </c>
    </row>
    <row r="1935" spans="1:19" x14ac:dyDescent="0.3">
      <c r="A1935" s="2" t="s">
        <v>14</v>
      </c>
      <c r="B1935" s="3" t="s">
        <v>14</v>
      </c>
      <c r="C1935" s="3" t="s">
        <v>1742</v>
      </c>
      <c r="D1935" s="3" t="s">
        <v>14</v>
      </c>
      <c r="E1935" s="3" t="s">
        <v>466</v>
      </c>
      <c r="F1935" s="4">
        <v>46288</v>
      </c>
      <c r="G1935" s="3" t="s">
        <v>17</v>
      </c>
      <c r="H1935" s="5">
        <v>-293231</v>
      </c>
      <c r="I1935" s="3" t="s">
        <v>18</v>
      </c>
      <c r="J1935" s="3" t="s">
        <v>14</v>
      </c>
      <c r="K1935" s="3" t="s">
        <v>14</v>
      </c>
      <c r="L1935" s="3" t="s">
        <v>690</v>
      </c>
      <c r="M1935" s="4">
        <v>46289</v>
      </c>
      <c r="N1935" s="3" t="s">
        <v>1743</v>
      </c>
      <c r="O1935" s="3" t="s">
        <v>30</v>
      </c>
      <c r="P1935" t="str">
        <f t="shared" si="30"/>
        <v>450013716710</v>
      </c>
      <c r="Q1935" s="7" cm="1">
        <f t="array" ref="Q1935:S1935">VLOOKUP(P1935,Hoja1!C:F,{2,3,4},FALSE)</f>
        <v>46288</v>
      </c>
      <c r="R1935" t="str">
        <v>377</v>
      </c>
      <c r="S1935" t="str">
        <v>1000000669 PROSEIND SA</v>
      </c>
    </row>
    <row r="1936" spans="1:19" x14ac:dyDescent="0.3">
      <c r="A1936" s="2" t="s">
        <v>14</v>
      </c>
      <c r="B1936" s="3" t="s">
        <v>14</v>
      </c>
      <c r="C1936" s="3" t="s">
        <v>1744</v>
      </c>
      <c r="D1936" s="3" t="s">
        <v>14</v>
      </c>
      <c r="E1936" s="3" t="s">
        <v>466</v>
      </c>
      <c r="F1936" s="4">
        <v>46289</v>
      </c>
      <c r="G1936" s="3" t="s">
        <v>17</v>
      </c>
      <c r="H1936" s="5">
        <v>-22974.799999999999</v>
      </c>
      <c r="I1936" s="3" t="s">
        <v>18</v>
      </c>
      <c r="J1936" s="3" t="s">
        <v>14</v>
      </c>
      <c r="K1936" s="3" t="s">
        <v>14</v>
      </c>
      <c r="L1936" s="3" t="s">
        <v>269</v>
      </c>
      <c r="M1936" s="4">
        <v>46289</v>
      </c>
      <c r="N1936" s="3" t="s">
        <v>1528</v>
      </c>
      <c r="O1936" s="3" t="s">
        <v>134</v>
      </c>
      <c r="P1936" t="str">
        <f t="shared" si="30"/>
        <v>450013795070</v>
      </c>
      <c r="Q1936" s="7" cm="1">
        <f t="array" ref="Q1936:S1936">VLOOKUP(P1936,Hoja1!C:F,{2,3,4},FALSE)</f>
        <v>46286</v>
      </c>
      <c r="R1936" t="str">
        <v>C03</v>
      </c>
      <c r="S1936" t="str">
        <v>1000000190 FERNANDEZ INSUA S.A.</v>
      </c>
    </row>
    <row r="1937" spans="1:19" x14ac:dyDescent="0.3">
      <c r="A1937" s="2" t="s">
        <v>14</v>
      </c>
      <c r="B1937" s="3" t="s">
        <v>14</v>
      </c>
      <c r="C1937" s="3" t="s">
        <v>1745</v>
      </c>
      <c r="D1937" s="3" t="s">
        <v>14</v>
      </c>
      <c r="E1937" s="3" t="s">
        <v>466</v>
      </c>
      <c r="F1937" s="4">
        <v>46289</v>
      </c>
      <c r="G1937" s="3" t="s">
        <v>17</v>
      </c>
      <c r="H1937" s="5">
        <v>-317339.43</v>
      </c>
      <c r="I1937" s="3" t="s">
        <v>18</v>
      </c>
      <c r="J1937" s="3" t="s">
        <v>14</v>
      </c>
      <c r="K1937" s="3" t="s">
        <v>14</v>
      </c>
      <c r="L1937" s="3" t="s">
        <v>437</v>
      </c>
      <c r="M1937" s="4">
        <v>46289</v>
      </c>
      <c r="N1937" s="3" t="s">
        <v>1746</v>
      </c>
      <c r="O1937" s="3" t="s">
        <v>30</v>
      </c>
      <c r="P1937" t="str">
        <f t="shared" si="30"/>
        <v>450013896210</v>
      </c>
      <c r="Q1937" s="7" cm="1">
        <f t="array" ref="Q1937:S1937">VLOOKUP(P1937,Hoja1!C:F,{2,3,4},FALSE)</f>
        <v>46294</v>
      </c>
      <c r="R1937" t="str">
        <v>C28</v>
      </c>
      <c r="S1937" t="str">
        <v>1000000075 NUEVA REGINA S.R.L.</v>
      </c>
    </row>
    <row r="1938" spans="1:19" x14ac:dyDescent="0.3">
      <c r="A1938" s="2" t="s">
        <v>14</v>
      </c>
      <c r="B1938" s="3" t="s">
        <v>14</v>
      </c>
      <c r="C1938" s="3" t="s">
        <v>1745</v>
      </c>
      <c r="D1938" s="3" t="s">
        <v>14</v>
      </c>
      <c r="E1938" s="3" t="s">
        <v>466</v>
      </c>
      <c r="F1938" s="4">
        <v>46289</v>
      </c>
      <c r="G1938" s="3" t="s">
        <v>17</v>
      </c>
      <c r="H1938" s="5">
        <v>-504009.68</v>
      </c>
      <c r="I1938" s="3" t="s">
        <v>18</v>
      </c>
      <c r="J1938" s="3" t="s">
        <v>14</v>
      </c>
      <c r="K1938" s="3" t="s">
        <v>14</v>
      </c>
      <c r="L1938" s="3" t="s">
        <v>437</v>
      </c>
      <c r="M1938" s="4">
        <v>46289</v>
      </c>
      <c r="N1938" s="3" t="s">
        <v>1746</v>
      </c>
      <c r="O1938" s="3" t="s">
        <v>22</v>
      </c>
      <c r="P1938" t="str">
        <f t="shared" si="30"/>
        <v>450013896220</v>
      </c>
      <c r="Q1938" s="7" cm="1">
        <f t="array" ref="Q1938:S1938">VLOOKUP(P1938,Hoja1!C:F,{2,3,4},FALSE)</f>
        <v>46294</v>
      </c>
      <c r="R1938" t="str">
        <v>C28</v>
      </c>
      <c r="S1938" t="str">
        <v>1000000075 NUEVA REGINA S.R.L.</v>
      </c>
    </row>
    <row r="1939" spans="1:19" x14ac:dyDescent="0.3">
      <c r="A1939" s="2" t="s">
        <v>14</v>
      </c>
      <c r="B1939" s="3" t="s">
        <v>14</v>
      </c>
      <c r="C1939" s="3" t="s">
        <v>1747</v>
      </c>
      <c r="D1939" s="3" t="s">
        <v>14</v>
      </c>
      <c r="E1939" s="3" t="s">
        <v>466</v>
      </c>
      <c r="F1939" s="4">
        <v>46289</v>
      </c>
      <c r="G1939" s="3" t="s">
        <v>17</v>
      </c>
      <c r="H1939" s="5">
        <v>-23700.32</v>
      </c>
      <c r="I1939" s="3" t="s">
        <v>18</v>
      </c>
      <c r="J1939" s="3" t="s">
        <v>14</v>
      </c>
      <c r="K1939" s="3" t="s">
        <v>14</v>
      </c>
      <c r="L1939" s="3" t="s">
        <v>1748</v>
      </c>
      <c r="M1939" s="4">
        <v>46289</v>
      </c>
      <c r="N1939" s="3" t="s">
        <v>1749</v>
      </c>
      <c r="O1939" s="3" t="s">
        <v>30</v>
      </c>
      <c r="P1939" t="str">
        <f t="shared" si="30"/>
        <v>450013882410</v>
      </c>
      <c r="Q1939" s="7" cm="1">
        <f t="array" ref="Q1939:S1939">VLOOKUP(P1939,Hoja1!C:F,{2,3,4},FALSE)</f>
        <v>46294</v>
      </c>
      <c r="R1939" t="str">
        <v>C03</v>
      </c>
      <c r="S1939" t="str">
        <v>1000000257 RODAMAR SRL</v>
      </c>
    </row>
    <row r="1940" spans="1:19" x14ac:dyDescent="0.3">
      <c r="A1940" s="2" t="s">
        <v>14</v>
      </c>
      <c r="B1940" s="3" t="s">
        <v>14</v>
      </c>
      <c r="C1940" s="3" t="s">
        <v>1750</v>
      </c>
      <c r="D1940" s="3" t="s">
        <v>84</v>
      </c>
      <c r="E1940" s="3" t="s">
        <v>466</v>
      </c>
      <c r="F1940" s="4">
        <v>46289</v>
      </c>
      <c r="G1940" s="3" t="s">
        <v>17</v>
      </c>
      <c r="H1940" s="5">
        <v>-2083017.6</v>
      </c>
      <c r="I1940" s="3" t="s">
        <v>18</v>
      </c>
      <c r="J1940" s="3" t="s">
        <v>14</v>
      </c>
      <c r="K1940" s="3" t="s">
        <v>14</v>
      </c>
      <c r="L1940" s="3" t="s">
        <v>1751</v>
      </c>
      <c r="M1940" s="4">
        <v>46289</v>
      </c>
      <c r="N1940" s="3" t="s">
        <v>1752</v>
      </c>
      <c r="O1940" s="3" t="s">
        <v>163</v>
      </c>
      <c r="P1940" t="str">
        <f t="shared" si="30"/>
        <v>4500134130580</v>
      </c>
      <c r="Q1940" s="7" cm="1">
        <f t="array" ref="Q1940:S1940">VLOOKUP(P1940,Hoja1!C:F,{2,3,4},FALSE)</f>
        <v>46290</v>
      </c>
      <c r="R1940" t="str">
        <v>C19</v>
      </c>
      <c r="S1940" t="str">
        <v>1000007752 VAHUME S.A.</v>
      </c>
    </row>
    <row r="1941" spans="1:19" x14ac:dyDescent="0.3">
      <c r="A1941" s="2" t="s">
        <v>14</v>
      </c>
      <c r="B1941" s="3" t="s">
        <v>14</v>
      </c>
      <c r="C1941" s="3" t="s">
        <v>1750</v>
      </c>
      <c r="D1941" s="3" t="s">
        <v>84</v>
      </c>
      <c r="E1941" s="3" t="s">
        <v>466</v>
      </c>
      <c r="F1941" s="4">
        <v>46289</v>
      </c>
      <c r="G1941" s="3" t="s">
        <v>17</v>
      </c>
      <c r="H1941" s="5">
        <v>-849502.08</v>
      </c>
      <c r="I1941" s="3" t="s">
        <v>18</v>
      </c>
      <c r="J1941" s="3" t="s">
        <v>14</v>
      </c>
      <c r="K1941" s="3" t="s">
        <v>14</v>
      </c>
      <c r="L1941" s="3" t="s">
        <v>1751</v>
      </c>
      <c r="M1941" s="4">
        <v>46289</v>
      </c>
      <c r="N1941" s="3" t="s">
        <v>1752</v>
      </c>
      <c r="O1941" s="3" t="s">
        <v>119</v>
      </c>
      <c r="P1941" t="str">
        <f t="shared" si="30"/>
        <v>4500134130590</v>
      </c>
      <c r="Q1941" s="7" cm="1">
        <f t="array" ref="Q1941:S1941">VLOOKUP(P1941,Hoja1!C:F,{2,3,4},FALSE)</f>
        <v>46290</v>
      </c>
      <c r="R1941" t="str">
        <v>C19</v>
      </c>
      <c r="S1941" t="str">
        <v>1000007752 VAHUME S.A.</v>
      </c>
    </row>
    <row r="1942" spans="1:19" x14ac:dyDescent="0.3">
      <c r="A1942" s="2" t="s">
        <v>14</v>
      </c>
      <c r="B1942" s="3" t="s">
        <v>14</v>
      </c>
      <c r="C1942" s="3" t="s">
        <v>1753</v>
      </c>
      <c r="D1942" s="3" t="s">
        <v>14</v>
      </c>
      <c r="E1942" s="3" t="s">
        <v>466</v>
      </c>
      <c r="F1942" s="4">
        <v>46287</v>
      </c>
      <c r="G1942" s="3" t="s">
        <v>17</v>
      </c>
      <c r="H1942" s="5">
        <v>-15115</v>
      </c>
      <c r="I1942" s="3" t="s">
        <v>18</v>
      </c>
      <c r="J1942" s="3" t="s">
        <v>14</v>
      </c>
      <c r="K1942" s="3" t="s">
        <v>14</v>
      </c>
      <c r="L1942" s="3" t="s">
        <v>269</v>
      </c>
      <c r="M1942" s="4">
        <v>46289</v>
      </c>
      <c r="N1942" s="3" t="s">
        <v>1554</v>
      </c>
      <c r="O1942" s="3" t="s">
        <v>156</v>
      </c>
      <c r="P1942" t="str">
        <f t="shared" si="30"/>
        <v>4500138075110</v>
      </c>
      <c r="Q1942" s="7" cm="1">
        <f t="array" ref="Q1942:S1942">VLOOKUP(P1942,Hoja1!C:F,{2,3,4},FALSE)</f>
        <v>46290</v>
      </c>
      <c r="R1942" t="str">
        <v>C03</v>
      </c>
      <c r="S1942" t="str">
        <v>1000000190 FERNANDEZ INSUA S.A.</v>
      </c>
    </row>
    <row r="1943" spans="1:19" x14ac:dyDescent="0.3">
      <c r="A1943" s="2" t="s">
        <v>14</v>
      </c>
      <c r="B1943" s="3" t="s">
        <v>14</v>
      </c>
      <c r="C1943" s="3" t="s">
        <v>1753</v>
      </c>
      <c r="D1943" s="3" t="s">
        <v>14</v>
      </c>
      <c r="E1943" s="3" t="s">
        <v>466</v>
      </c>
      <c r="F1943" s="4">
        <v>46287</v>
      </c>
      <c r="G1943" s="3" t="s">
        <v>17</v>
      </c>
      <c r="H1943" s="5">
        <v>-4534.5</v>
      </c>
      <c r="I1943" s="3" t="s">
        <v>18</v>
      </c>
      <c r="J1943" s="3" t="s">
        <v>14</v>
      </c>
      <c r="K1943" s="3" t="s">
        <v>14</v>
      </c>
      <c r="L1943" s="3" t="s">
        <v>269</v>
      </c>
      <c r="M1943" s="4">
        <v>46289</v>
      </c>
      <c r="N1943" s="3" t="s">
        <v>1554</v>
      </c>
      <c r="O1943" s="3" t="s">
        <v>129</v>
      </c>
      <c r="P1943" t="str">
        <f t="shared" si="30"/>
        <v>4500138075160</v>
      </c>
      <c r="Q1943" s="7" cm="1">
        <f t="array" ref="Q1943:S1943">VLOOKUP(P1943,Hoja1!C:F,{2,3,4},FALSE)</f>
        <v>46290</v>
      </c>
      <c r="R1943" t="str">
        <v>C03</v>
      </c>
      <c r="S1943" t="str">
        <v>1000000190 FERNANDEZ INSUA S.A.</v>
      </c>
    </row>
    <row r="1944" spans="1:19" x14ac:dyDescent="0.3">
      <c r="A1944" s="2" t="s">
        <v>14</v>
      </c>
      <c r="B1944" s="3" t="s">
        <v>14</v>
      </c>
      <c r="C1944" s="3" t="s">
        <v>1753</v>
      </c>
      <c r="D1944" s="3" t="s">
        <v>14</v>
      </c>
      <c r="E1944" s="3" t="s">
        <v>466</v>
      </c>
      <c r="F1944" s="4">
        <v>46287</v>
      </c>
      <c r="G1944" s="3" t="s">
        <v>17</v>
      </c>
      <c r="H1944" s="5">
        <v>-219167.5</v>
      </c>
      <c r="I1944" s="3" t="s">
        <v>18</v>
      </c>
      <c r="J1944" s="3" t="s">
        <v>14</v>
      </c>
      <c r="K1944" s="3" t="s">
        <v>14</v>
      </c>
      <c r="L1944" s="3" t="s">
        <v>269</v>
      </c>
      <c r="M1944" s="4">
        <v>46289</v>
      </c>
      <c r="N1944" s="3" t="s">
        <v>1554</v>
      </c>
      <c r="O1944" s="3" t="s">
        <v>130</v>
      </c>
      <c r="P1944" t="str">
        <f t="shared" si="30"/>
        <v>4500138075180</v>
      </c>
      <c r="Q1944" s="7" cm="1">
        <f t="array" ref="Q1944:S1944">VLOOKUP(P1944,Hoja1!C:F,{2,3,4},FALSE)</f>
        <v>46290</v>
      </c>
      <c r="R1944" t="str">
        <v>C03</v>
      </c>
      <c r="S1944" t="str">
        <v>1000000190 FERNANDEZ INSUA S.A.</v>
      </c>
    </row>
    <row r="1945" spans="1:19" x14ac:dyDescent="0.3">
      <c r="A1945" s="2" t="s">
        <v>14</v>
      </c>
      <c r="B1945" s="3" t="s">
        <v>14</v>
      </c>
      <c r="C1945" s="3" t="s">
        <v>1753</v>
      </c>
      <c r="D1945" s="3" t="s">
        <v>14</v>
      </c>
      <c r="E1945" s="3" t="s">
        <v>466</v>
      </c>
      <c r="F1945" s="4">
        <v>46287</v>
      </c>
      <c r="G1945" s="3" t="s">
        <v>17</v>
      </c>
      <c r="H1945" s="5">
        <v>-2267.25</v>
      </c>
      <c r="I1945" s="3" t="s">
        <v>18</v>
      </c>
      <c r="J1945" s="3" t="s">
        <v>14</v>
      </c>
      <c r="K1945" s="3" t="s">
        <v>14</v>
      </c>
      <c r="L1945" s="3" t="s">
        <v>269</v>
      </c>
      <c r="M1945" s="4">
        <v>46289</v>
      </c>
      <c r="N1945" s="3" t="s">
        <v>1554</v>
      </c>
      <c r="O1945" s="3" t="s">
        <v>126</v>
      </c>
      <c r="P1945" t="str">
        <f t="shared" si="30"/>
        <v>4500138075260</v>
      </c>
      <c r="Q1945" s="7" cm="1">
        <f t="array" ref="Q1945:S1945">VLOOKUP(P1945,Hoja1!C:F,{2,3,4},FALSE)</f>
        <v>46290</v>
      </c>
      <c r="R1945" t="str">
        <v>C03</v>
      </c>
      <c r="S1945" t="str">
        <v>1000000190 FERNANDEZ INSUA S.A.</v>
      </c>
    </row>
    <row r="1946" spans="1:19" x14ac:dyDescent="0.3">
      <c r="A1946" s="2" t="s">
        <v>14</v>
      </c>
      <c r="B1946" s="3" t="s">
        <v>14</v>
      </c>
      <c r="C1946" s="3" t="s">
        <v>1754</v>
      </c>
      <c r="D1946" s="3" t="s">
        <v>14</v>
      </c>
      <c r="E1946" s="3" t="s">
        <v>466</v>
      </c>
      <c r="F1946" s="4">
        <v>46289</v>
      </c>
      <c r="G1946" s="3" t="s">
        <v>17</v>
      </c>
      <c r="H1946" s="5">
        <v>-445956</v>
      </c>
      <c r="I1946" s="3" t="s">
        <v>18</v>
      </c>
      <c r="J1946" s="3" t="s">
        <v>14</v>
      </c>
      <c r="K1946" s="3" t="s">
        <v>14</v>
      </c>
      <c r="L1946" s="3" t="s">
        <v>73</v>
      </c>
      <c r="M1946" s="4">
        <v>46289</v>
      </c>
      <c r="N1946" s="3" t="s">
        <v>402</v>
      </c>
      <c r="O1946" s="3" t="s">
        <v>30</v>
      </c>
      <c r="P1946" t="str">
        <f t="shared" si="30"/>
        <v>450013790610</v>
      </c>
      <c r="Q1946" s="7" cm="1">
        <f t="array" ref="Q1946:S1946">VLOOKUP(P1946,Hoja1!C:F,{2,3,4},FALSE)</f>
        <v>46295</v>
      </c>
      <c r="R1946" t="str">
        <v>C21</v>
      </c>
      <c r="S1946" t="str">
        <v>1000000808 GLOBAL OIL S.R.L.</v>
      </c>
    </row>
    <row r="1947" spans="1:19" x14ac:dyDescent="0.3">
      <c r="A1947" s="2" t="s">
        <v>14</v>
      </c>
      <c r="B1947" s="3" t="s">
        <v>14</v>
      </c>
      <c r="C1947" s="3" t="s">
        <v>1754</v>
      </c>
      <c r="D1947" s="3" t="s">
        <v>14</v>
      </c>
      <c r="E1947" s="3" t="s">
        <v>466</v>
      </c>
      <c r="F1947" s="4">
        <v>46289</v>
      </c>
      <c r="G1947" s="3" t="s">
        <v>17</v>
      </c>
      <c r="H1947" s="5">
        <v>-93856</v>
      </c>
      <c r="I1947" s="3" t="s">
        <v>18</v>
      </c>
      <c r="J1947" s="3" t="s">
        <v>14</v>
      </c>
      <c r="K1947" s="3" t="s">
        <v>14</v>
      </c>
      <c r="L1947" s="3" t="s">
        <v>73</v>
      </c>
      <c r="M1947" s="4">
        <v>46289</v>
      </c>
      <c r="N1947" s="3" t="s">
        <v>402</v>
      </c>
      <c r="O1947" s="3" t="s">
        <v>30</v>
      </c>
      <c r="P1947" t="str">
        <f t="shared" si="30"/>
        <v>450013790610</v>
      </c>
      <c r="Q1947" s="7" cm="1">
        <f t="array" ref="Q1947:S1947">VLOOKUP(P1947,Hoja1!C:F,{2,3,4},FALSE)</f>
        <v>46295</v>
      </c>
      <c r="R1947" t="str">
        <v>C21</v>
      </c>
      <c r="S1947" t="str">
        <v>1000000808 GLOBAL OIL S.R.L.</v>
      </c>
    </row>
    <row r="1948" spans="1:19" x14ac:dyDescent="0.3">
      <c r="A1948" s="2" t="s">
        <v>14</v>
      </c>
      <c r="B1948" s="3" t="s">
        <v>14</v>
      </c>
      <c r="C1948" s="3" t="s">
        <v>1755</v>
      </c>
      <c r="D1948" s="3" t="s">
        <v>32</v>
      </c>
      <c r="E1948" s="3" t="s">
        <v>466</v>
      </c>
      <c r="F1948" s="4">
        <v>46281</v>
      </c>
      <c r="G1948" s="3" t="s">
        <v>17</v>
      </c>
      <c r="H1948" s="5">
        <v>-24793.4</v>
      </c>
      <c r="I1948" s="3" t="s">
        <v>18</v>
      </c>
      <c r="J1948" s="3" t="s">
        <v>14</v>
      </c>
      <c r="K1948" s="3" t="s">
        <v>14</v>
      </c>
      <c r="L1948" s="3" t="s">
        <v>1756</v>
      </c>
      <c r="M1948" s="4">
        <v>46289</v>
      </c>
      <c r="N1948" s="3" t="s">
        <v>1757</v>
      </c>
      <c r="O1948" s="3" t="s">
        <v>30</v>
      </c>
      <c r="P1948" t="str">
        <f t="shared" si="30"/>
        <v>450013855210</v>
      </c>
      <c r="Q1948" s="7" cm="1">
        <f t="array" ref="Q1948:S1948">VLOOKUP(P1948,Hoja1!C:F,{2,3,4},FALSE)</f>
        <v>46290</v>
      </c>
      <c r="R1948" t="str">
        <v>C03</v>
      </c>
      <c r="S1948" t="str">
        <v>1000000940 MELQUI PABLO</v>
      </c>
    </row>
    <row r="1949" spans="1:19" x14ac:dyDescent="0.3">
      <c r="A1949" s="2" t="s">
        <v>14</v>
      </c>
      <c r="B1949" s="3" t="s">
        <v>14</v>
      </c>
      <c r="C1949" s="3" t="s">
        <v>1758</v>
      </c>
      <c r="D1949" s="3" t="s">
        <v>14</v>
      </c>
      <c r="E1949" s="3" t="s">
        <v>466</v>
      </c>
      <c r="F1949" s="4">
        <v>46289</v>
      </c>
      <c r="G1949" s="3" t="s">
        <v>17</v>
      </c>
      <c r="H1949" s="5">
        <v>-262821.02</v>
      </c>
      <c r="I1949" s="3" t="s">
        <v>18</v>
      </c>
      <c r="J1949" s="3" t="s">
        <v>14</v>
      </c>
      <c r="K1949" s="3" t="s">
        <v>14</v>
      </c>
      <c r="L1949" s="3" t="s">
        <v>1759</v>
      </c>
      <c r="M1949" s="4">
        <v>46290</v>
      </c>
      <c r="N1949" s="3" t="s">
        <v>1760</v>
      </c>
      <c r="O1949" s="3" t="s">
        <v>30</v>
      </c>
      <c r="P1949" t="str">
        <f t="shared" si="30"/>
        <v>450013809310</v>
      </c>
      <c r="Q1949" s="7" cm="1">
        <f t="array" ref="Q1949:S1949">VLOOKUP(P1949,Hoja1!C:F,{2,3,4},FALSE)</f>
        <v>46291</v>
      </c>
      <c r="R1949" t="str">
        <v>C17</v>
      </c>
      <c r="S1949" t="str">
        <v>1000000672 BORSELLINO IMPRESOS SRL</v>
      </c>
    </row>
    <row r="1950" spans="1:19" x14ac:dyDescent="0.3">
      <c r="A1950" s="2" t="s">
        <v>14</v>
      </c>
      <c r="B1950" s="3" t="s">
        <v>14</v>
      </c>
      <c r="C1950" s="3" t="s">
        <v>1761</v>
      </c>
      <c r="D1950" s="3" t="s">
        <v>14</v>
      </c>
      <c r="E1950" s="3" t="s">
        <v>466</v>
      </c>
      <c r="F1950" s="4">
        <v>46287</v>
      </c>
      <c r="G1950" s="3" t="s">
        <v>17</v>
      </c>
      <c r="H1950" s="5">
        <v>-518130</v>
      </c>
      <c r="I1950" s="3" t="s">
        <v>18</v>
      </c>
      <c r="J1950" s="3" t="s">
        <v>14</v>
      </c>
      <c r="K1950" s="3" t="s">
        <v>14</v>
      </c>
      <c r="L1950" s="3" t="s">
        <v>1238</v>
      </c>
      <c r="M1950" s="4">
        <v>46290</v>
      </c>
      <c r="N1950" s="3" t="s">
        <v>1762</v>
      </c>
      <c r="O1950" s="3" t="s">
        <v>30</v>
      </c>
      <c r="P1950" t="str">
        <f t="shared" si="30"/>
        <v>450013571110</v>
      </c>
      <c r="Q1950" s="7" cm="1">
        <f t="array" ref="Q1950:S1950">VLOOKUP(P1950,Hoja1!C:F,{2,3,4},FALSE)</f>
        <v>46287</v>
      </c>
      <c r="R1950" t="str">
        <v>C29</v>
      </c>
      <c r="S1950" t="str">
        <v>1000000286 SULLAIR ARGENTINA S.A</v>
      </c>
    </row>
    <row r="1951" spans="1:19" x14ac:dyDescent="0.3">
      <c r="A1951" s="2" t="s">
        <v>14</v>
      </c>
      <c r="B1951" s="3" t="s">
        <v>14</v>
      </c>
      <c r="C1951" s="3" t="s">
        <v>1761</v>
      </c>
      <c r="D1951" s="3" t="s">
        <v>14</v>
      </c>
      <c r="E1951" s="3" t="s">
        <v>466</v>
      </c>
      <c r="F1951" s="4">
        <v>46287</v>
      </c>
      <c r="G1951" s="3" t="s">
        <v>17</v>
      </c>
      <c r="H1951" s="5">
        <v>-1422888</v>
      </c>
      <c r="I1951" s="3" t="s">
        <v>18</v>
      </c>
      <c r="J1951" s="3" t="s">
        <v>14</v>
      </c>
      <c r="K1951" s="3" t="s">
        <v>14</v>
      </c>
      <c r="L1951" s="3" t="s">
        <v>1238</v>
      </c>
      <c r="M1951" s="4">
        <v>46290</v>
      </c>
      <c r="N1951" s="3" t="s">
        <v>1762</v>
      </c>
      <c r="O1951" s="3" t="s">
        <v>22</v>
      </c>
      <c r="P1951" t="str">
        <f t="shared" si="30"/>
        <v>450013571120</v>
      </c>
      <c r="Q1951" s="7" cm="1">
        <f t="array" ref="Q1951:S1951">VLOOKUP(P1951,Hoja1!C:F,{2,3,4},FALSE)</f>
        <v>46287</v>
      </c>
      <c r="R1951" t="str">
        <v>C29</v>
      </c>
      <c r="S1951" t="str">
        <v>1000000286 SULLAIR ARGENTINA S.A</v>
      </c>
    </row>
    <row r="1952" spans="1:19" x14ac:dyDescent="0.3">
      <c r="A1952" s="2" t="s">
        <v>14</v>
      </c>
      <c r="B1952" s="3" t="s">
        <v>14</v>
      </c>
      <c r="C1952" s="3" t="s">
        <v>1761</v>
      </c>
      <c r="D1952" s="3" t="s">
        <v>14</v>
      </c>
      <c r="E1952" s="3" t="s">
        <v>466</v>
      </c>
      <c r="F1952" s="4">
        <v>46287</v>
      </c>
      <c r="G1952" s="3" t="s">
        <v>17</v>
      </c>
      <c r="H1952" s="5">
        <v>-765984</v>
      </c>
      <c r="I1952" s="3" t="s">
        <v>18</v>
      </c>
      <c r="J1952" s="3" t="s">
        <v>14</v>
      </c>
      <c r="K1952" s="3" t="s">
        <v>14</v>
      </c>
      <c r="L1952" s="3" t="s">
        <v>1238</v>
      </c>
      <c r="M1952" s="4">
        <v>46290</v>
      </c>
      <c r="N1952" s="3" t="s">
        <v>1762</v>
      </c>
      <c r="O1952" s="3" t="s">
        <v>35</v>
      </c>
      <c r="P1952" t="str">
        <f t="shared" si="30"/>
        <v>450013571130</v>
      </c>
      <c r="Q1952" s="7" cm="1">
        <f t="array" ref="Q1952:S1952">VLOOKUP(P1952,Hoja1!C:F,{2,3,4},FALSE)</f>
        <v>46287</v>
      </c>
      <c r="R1952" t="str">
        <v>C29</v>
      </c>
      <c r="S1952" t="str">
        <v>1000000286 SULLAIR ARGENTINA S.A</v>
      </c>
    </row>
    <row r="1953" spans="1:19" x14ac:dyDescent="0.3">
      <c r="A1953" s="2" t="s">
        <v>14</v>
      </c>
      <c r="B1953" s="3" t="s">
        <v>14</v>
      </c>
      <c r="C1953" s="3" t="s">
        <v>1761</v>
      </c>
      <c r="D1953" s="3" t="s">
        <v>14</v>
      </c>
      <c r="E1953" s="3" t="s">
        <v>466</v>
      </c>
      <c r="F1953" s="4">
        <v>46287</v>
      </c>
      <c r="G1953" s="3" t="s">
        <v>17</v>
      </c>
      <c r="H1953" s="5">
        <v>-1376832</v>
      </c>
      <c r="I1953" s="3" t="s">
        <v>18</v>
      </c>
      <c r="J1953" s="3" t="s">
        <v>14</v>
      </c>
      <c r="K1953" s="3" t="s">
        <v>14</v>
      </c>
      <c r="L1953" s="3" t="s">
        <v>1238</v>
      </c>
      <c r="M1953" s="4">
        <v>46290</v>
      </c>
      <c r="N1953" s="3" t="s">
        <v>1762</v>
      </c>
      <c r="O1953" s="3" t="s">
        <v>144</v>
      </c>
      <c r="P1953" t="str">
        <f t="shared" si="30"/>
        <v>450013571150</v>
      </c>
      <c r="Q1953" s="7" cm="1">
        <f t="array" ref="Q1953:S1953">VLOOKUP(P1953,Hoja1!C:F,{2,3,4},FALSE)</f>
        <v>46287</v>
      </c>
      <c r="R1953" t="str">
        <v>C29</v>
      </c>
      <c r="S1953" t="str">
        <v>1000000286 SULLAIR ARGENTINA S.A</v>
      </c>
    </row>
    <row r="1954" spans="1:19" x14ac:dyDescent="0.3">
      <c r="A1954" s="2" t="s">
        <v>14</v>
      </c>
      <c r="B1954" s="3" t="s">
        <v>14</v>
      </c>
      <c r="C1954" s="3" t="s">
        <v>1761</v>
      </c>
      <c r="D1954" s="3" t="s">
        <v>14</v>
      </c>
      <c r="E1954" s="3" t="s">
        <v>466</v>
      </c>
      <c r="F1954" s="4">
        <v>46287</v>
      </c>
      <c r="G1954" s="3" t="s">
        <v>17</v>
      </c>
      <c r="H1954" s="5">
        <v>-554490</v>
      </c>
      <c r="I1954" s="3" t="s">
        <v>18</v>
      </c>
      <c r="J1954" s="3" t="s">
        <v>14</v>
      </c>
      <c r="K1954" s="3" t="s">
        <v>14</v>
      </c>
      <c r="L1954" s="3" t="s">
        <v>1238</v>
      </c>
      <c r="M1954" s="4">
        <v>46290</v>
      </c>
      <c r="N1954" s="3" t="s">
        <v>1762</v>
      </c>
      <c r="O1954" s="3" t="s">
        <v>141</v>
      </c>
      <c r="P1954" t="str">
        <f t="shared" si="30"/>
        <v>450013571160</v>
      </c>
      <c r="Q1954" s="7" cm="1">
        <f t="array" ref="Q1954:S1954">VLOOKUP(P1954,Hoja1!C:F,{2,3,4},FALSE)</f>
        <v>46287</v>
      </c>
      <c r="R1954" t="str">
        <v>C29</v>
      </c>
      <c r="S1954" t="str">
        <v>1000000286 SULLAIR ARGENTINA S.A</v>
      </c>
    </row>
    <row r="1955" spans="1:19" x14ac:dyDescent="0.3">
      <c r="A1955" s="2" t="s">
        <v>14</v>
      </c>
      <c r="B1955" s="3" t="s">
        <v>14</v>
      </c>
      <c r="C1955" s="3" t="s">
        <v>1761</v>
      </c>
      <c r="D1955" s="3" t="s">
        <v>14</v>
      </c>
      <c r="E1955" s="3" t="s">
        <v>466</v>
      </c>
      <c r="F1955" s="4">
        <v>46287</v>
      </c>
      <c r="G1955" s="3" t="s">
        <v>17</v>
      </c>
      <c r="H1955" s="5">
        <v>-1416222</v>
      </c>
      <c r="I1955" s="3" t="s">
        <v>18</v>
      </c>
      <c r="J1955" s="3" t="s">
        <v>14</v>
      </c>
      <c r="K1955" s="3" t="s">
        <v>14</v>
      </c>
      <c r="L1955" s="3" t="s">
        <v>1238</v>
      </c>
      <c r="M1955" s="4">
        <v>46290</v>
      </c>
      <c r="N1955" s="3" t="s">
        <v>1762</v>
      </c>
      <c r="O1955" s="3" t="s">
        <v>134</v>
      </c>
      <c r="P1955" t="str">
        <f t="shared" si="30"/>
        <v>450013571170</v>
      </c>
      <c r="Q1955" s="7" cm="1">
        <f t="array" ref="Q1955:S1955">VLOOKUP(P1955,Hoja1!C:F,{2,3,4},FALSE)</f>
        <v>46287</v>
      </c>
      <c r="R1955" t="str">
        <v>C29</v>
      </c>
      <c r="S1955" t="str">
        <v>1000000286 SULLAIR ARGENTINA S.A</v>
      </c>
    </row>
    <row r="1956" spans="1:19" x14ac:dyDescent="0.3">
      <c r="A1956" s="2" t="s">
        <v>14</v>
      </c>
      <c r="B1956" s="3" t="s">
        <v>14</v>
      </c>
      <c r="C1956" s="3" t="s">
        <v>1763</v>
      </c>
      <c r="D1956" s="3" t="s">
        <v>14</v>
      </c>
      <c r="E1956" s="3" t="s">
        <v>466</v>
      </c>
      <c r="F1956" s="4">
        <v>46287</v>
      </c>
      <c r="G1956" s="3" t="s">
        <v>17</v>
      </c>
      <c r="H1956" s="5">
        <v>-227250</v>
      </c>
      <c r="I1956" s="3" t="s">
        <v>18</v>
      </c>
      <c r="J1956" s="3" t="s">
        <v>14</v>
      </c>
      <c r="K1956" s="3" t="s">
        <v>14</v>
      </c>
      <c r="L1956" s="3" t="s">
        <v>269</v>
      </c>
      <c r="M1956" s="4">
        <v>46290</v>
      </c>
      <c r="N1956" s="3" t="s">
        <v>1764</v>
      </c>
      <c r="O1956" s="3" t="s">
        <v>23</v>
      </c>
      <c r="P1956" t="str">
        <f t="shared" si="30"/>
        <v>450013857240</v>
      </c>
      <c r="Q1956" s="7" cm="1">
        <f t="array" ref="Q1956:S1956">VLOOKUP(P1956,Hoja1!C:F,{2,3,4},FALSE)</f>
        <v>46295</v>
      </c>
      <c r="R1956" t="str">
        <v>C03</v>
      </c>
      <c r="S1956" t="str">
        <v>1000000190 FERNANDEZ INSUA S.A.</v>
      </c>
    </row>
    <row r="1957" spans="1:19" x14ac:dyDescent="0.3">
      <c r="A1957" s="2" t="s">
        <v>14</v>
      </c>
      <c r="B1957" s="3" t="s">
        <v>14</v>
      </c>
      <c r="C1957" s="3" t="s">
        <v>1763</v>
      </c>
      <c r="D1957" s="3" t="s">
        <v>14</v>
      </c>
      <c r="E1957" s="3" t="s">
        <v>466</v>
      </c>
      <c r="F1957" s="4">
        <v>46287</v>
      </c>
      <c r="G1957" s="3" t="s">
        <v>17</v>
      </c>
      <c r="H1957" s="5">
        <v>-424200</v>
      </c>
      <c r="I1957" s="3" t="s">
        <v>18</v>
      </c>
      <c r="J1957" s="3" t="s">
        <v>14</v>
      </c>
      <c r="K1957" s="3" t="s">
        <v>14</v>
      </c>
      <c r="L1957" s="3" t="s">
        <v>269</v>
      </c>
      <c r="M1957" s="4">
        <v>46290</v>
      </c>
      <c r="N1957" s="3" t="s">
        <v>1764</v>
      </c>
      <c r="O1957" s="3" t="s">
        <v>134</v>
      </c>
      <c r="P1957" t="str">
        <f t="shared" si="30"/>
        <v>450013857270</v>
      </c>
      <c r="Q1957" s="7" cm="1">
        <f t="array" ref="Q1957:S1957">VLOOKUP(P1957,Hoja1!C:F,{2,3,4},FALSE)</f>
        <v>46295</v>
      </c>
      <c r="R1957" t="str">
        <v>C03</v>
      </c>
      <c r="S1957" t="str">
        <v>1000000190 FERNANDEZ INSUA S.A.</v>
      </c>
    </row>
    <row r="1958" spans="1:19" x14ac:dyDescent="0.3">
      <c r="A1958" s="2" t="s">
        <v>14</v>
      </c>
      <c r="B1958" s="3" t="s">
        <v>14</v>
      </c>
      <c r="C1958" s="3" t="s">
        <v>1763</v>
      </c>
      <c r="D1958" s="3" t="s">
        <v>14</v>
      </c>
      <c r="E1958" s="3" t="s">
        <v>466</v>
      </c>
      <c r="F1958" s="4">
        <v>46287</v>
      </c>
      <c r="G1958" s="3" t="s">
        <v>17</v>
      </c>
      <c r="H1958" s="5">
        <v>-378750</v>
      </c>
      <c r="I1958" s="3" t="s">
        <v>18</v>
      </c>
      <c r="J1958" s="3" t="s">
        <v>14</v>
      </c>
      <c r="K1958" s="3" t="s">
        <v>14</v>
      </c>
      <c r="L1958" s="3" t="s">
        <v>269</v>
      </c>
      <c r="M1958" s="4">
        <v>46290</v>
      </c>
      <c r="N1958" s="3" t="s">
        <v>1764</v>
      </c>
      <c r="O1958" s="3" t="s">
        <v>156</v>
      </c>
      <c r="P1958" t="str">
        <f t="shared" si="30"/>
        <v>4500138572110</v>
      </c>
      <c r="Q1958" s="7" cm="1">
        <f t="array" ref="Q1958:S1958">VLOOKUP(P1958,Hoja1!C:F,{2,3,4},FALSE)</f>
        <v>46295</v>
      </c>
      <c r="R1958" t="str">
        <v>C03</v>
      </c>
      <c r="S1958" t="str">
        <v>1000000190 FERNANDEZ INSUA S.A.</v>
      </c>
    </row>
    <row r="1959" spans="1:19" x14ac:dyDescent="0.3">
      <c r="A1959" s="2" t="s">
        <v>14</v>
      </c>
      <c r="B1959" s="3" t="s">
        <v>14</v>
      </c>
      <c r="C1959" s="3" t="s">
        <v>1765</v>
      </c>
      <c r="D1959" s="3" t="s">
        <v>84</v>
      </c>
      <c r="E1959" s="3" t="s">
        <v>466</v>
      </c>
      <c r="F1959" s="4">
        <v>46290</v>
      </c>
      <c r="G1959" s="3" t="s">
        <v>17</v>
      </c>
      <c r="H1959" s="5">
        <v>-1169541.3600000001</v>
      </c>
      <c r="I1959" s="3" t="s">
        <v>18</v>
      </c>
      <c r="J1959" s="3" t="s">
        <v>14</v>
      </c>
      <c r="K1959" s="3" t="s">
        <v>14</v>
      </c>
      <c r="L1959" s="3" t="s">
        <v>1751</v>
      </c>
      <c r="M1959" s="4">
        <v>46290</v>
      </c>
      <c r="N1959" s="3" t="s">
        <v>1752</v>
      </c>
      <c r="O1959" s="3" t="s">
        <v>30</v>
      </c>
      <c r="P1959" t="str">
        <f t="shared" si="30"/>
        <v>450013413010</v>
      </c>
      <c r="Q1959" s="7" cm="1">
        <f t="array" ref="Q1959:S1959">VLOOKUP(P1959,Hoja1!C:F,{2,3,4},FALSE)</f>
        <v>46290</v>
      </c>
      <c r="R1959" t="str">
        <v>C19</v>
      </c>
      <c r="S1959" t="str">
        <v>1000007752 VAHUME S.A.</v>
      </c>
    </row>
    <row r="1960" spans="1:19" x14ac:dyDescent="0.3">
      <c r="A1960" s="2" t="s">
        <v>14</v>
      </c>
      <c r="B1960" s="3" t="s">
        <v>14</v>
      </c>
      <c r="C1960" s="3" t="s">
        <v>1765</v>
      </c>
      <c r="D1960" s="3" t="s">
        <v>84</v>
      </c>
      <c r="E1960" s="3" t="s">
        <v>466</v>
      </c>
      <c r="F1960" s="4">
        <v>46290</v>
      </c>
      <c r="G1960" s="3" t="s">
        <v>17</v>
      </c>
      <c r="H1960" s="5">
        <v>-8206210.7999999998</v>
      </c>
      <c r="I1960" s="3" t="s">
        <v>18</v>
      </c>
      <c r="J1960" s="3" t="s">
        <v>14</v>
      </c>
      <c r="K1960" s="3" t="s">
        <v>14</v>
      </c>
      <c r="L1960" s="3" t="s">
        <v>1751</v>
      </c>
      <c r="M1960" s="4">
        <v>46290</v>
      </c>
      <c r="N1960" s="3" t="s">
        <v>1752</v>
      </c>
      <c r="O1960" s="3" t="s">
        <v>22</v>
      </c>
      <c r="P1960" t="str">
        <f t="shared" si="30"/>
        <v>450013413020</v>
      </c>
      <c r="Q1960" s="7" cm="1">
        <f t="array" ref="Q1960:S1960">VLOOKUP(P1960,Hoja1!C:F,{2,3,4},FALSE)</f>
        <v>46290</v>
      </c>
      <c r="R1960" t="str">
        <v>C19</v>
      </c>
      <c r="S1960" t="str">
        <v>1000007752 VAHUME S.A.</v>
      </c>
    </row>
    <row r="1961" spans="1:19" x14ac:dyDescent="0.3">
      <c r="A1961" s="2" t="s">
        <v>14</v>
      </c>
      <c r="B1961" s="3" t="s">
        <v>14</v>
      </c>
      <c r="C1961" s="3" t="s">
        <v>1765</v>
      </c>
      <c r="D1961" s="3" t="s">
        <v>84</v>
      </c>
      <c r="E1961" s="3" t="s">
        <v>466</v>
      </c>
      <c r="F1961" s="4">
        <v>46290</v>
      </c>
      <c r="G1961" s="3" t="s">
        <v>17</v>
      </c>
      <c r="H1961" s="5">
        <v>-2815542.72</v>
      </c>
      <c r="I1961" s="3" t="s">
        <v>18</v>
      </c>
      <c r="J1961" s="3" t="s">
        <v>14</v>
      </c>
      <c r="K1961" s="3" t="s">
        <v>14</v>
      </c>
      <c r="L1961" s="3" t="s">
        <v>1751</v>
      </c>
      <c r="M1961" s="4">
        <v>46290</v>
      </c>
      <c r="N1961" s="3" t="s">
        <v>1752</v>
      </c>
      <c r="O1961" s="3" t="s">
        <v>35</v>
      </c>
      <c r="P1961" t="str">
        <f t="shared" si="30"/>
        <v>450013413030</v>
      </c>
      <c r="Q1961" s="7" cm="1">
        <f t="array" ref="Q1961:S1961">VLOOKUP(P1961,Hoja1!C:F,{2,3,4},FALSE)</f>
        <v>46290</v>
      </c>
      <c r="R1961" t="str">
        <v>C19</v>
      </c>
      <c r="S1961" t="str">
        <v>1000007752 VAHUME S.A.</v>
      </c>
    </row>
    <row r="1962" spans="1:19" x14ac:dyDescent="0.3">
      <c r="A1962" s="2" t="s">
        <v>14</v>
      </c>
      <c r="B1962" s="3" t="s">
        <v>14</v>
      </c>
      <c r="C1962" s="3" t="s">
        <v>1765</v>
      </c>
      <c r="D1962" s="3" t="s">
        <v>84</v>
      </c>
      <c r="E1962" s="3" t="s">
        <v>466</v>
      </c>
      <c r="F1962" s="4">
        <v>46290</v>
      </c>
      <c r="G1962" s="3" t="s">
        <v>17</v>
      </c>
      <c r="H1962" s="5">
        <v>-172755.36</v>
      </c>
      <c r="I1962" s="3" t="s">
        <v>18</v>
      </c>
      <c r="J1962" s="3" t="s">
        <v>14</v>
      </c>
      <c r="K1962" s="3" t="s">
        <v>14</v>
      </c>
      <c r="L1962" s="3" t="s">
        <v>1751</v>
      </c>
      <c r="M1962" s="4">
        <v>46290</v>
      </c>
      <c r="N1962" s="3" t="s">
        <v>1752</v>
      </c>
      <c r="O1962" s="3" t="s">
        <v>23</v>
      </c>
      <c r="P1962" t="str">
        <f t="shared" si="30"/>
        <v>450013413040</v>
      </c>
      <c r="Q1962" s="7" cm="1">
        <f t="array" ref="Q1962:S1962">VLOOKUP(P1962,Hoja1!C:F,{2,3,4},FALSE)</f>
        <v>46290</v>
      </c>
      <c r="R1962" t="str">
        <v>C19</v>
      </c>
      <c r="S1962" t="str">
        <v>1000007752 VAHUME S.A.</v>
      </c>
    </row>
    <row r="1963" spans="1:19" x14ac:dyDescent="0.3">
      <c r="A1963" s="2" t="s">
        <v>14</v>
      </c>
      <c r="B1963" s="3" t="s">
        <v>14</v>
      </c>
      <c r="C1963" s="3" t="s">
        <v>1765</v>
      </c>
      <c r="D1963" s="3" t="s">
        <v>84</v>
      </c>
      <c r="E1963" s="3" t="s">
        <v>466</v>
      </c>
      <c r="F1963" s="4">
        <v>46290</v>
      </c>
      <c r="G1963" s="3" t="s">
        <v>17</v>
      </c>
      <c r="H1963" s="5">
        <v>-114174.72</v>
      </c>
      <c r="I1963" s="3" t="s">
        <v>18</v>
      </c>
      <c r="J1963" s="3" t="s">
        <v>14</v>
      </c>
      <c r="K1963" s="3" t="s">
        <v>14</v>
      </c>
      <c r="L1963" s="3" t="s">
        <v>1751</v>
      </c>
      <c r="M1963" s="4">
        <v>46290</v>
      </c>
      <c r="N1963" s="3" t="s">
        <v>1752</v>
      </c>
      <c r="O1963" s="3" t="s">
        <v>144</v>
      </c>
      <c r="P1963" t="str">
        <f t="shared" si="30"/>
        <v>450013413050</v>
      </c>
      <c r="Q1963" s="7" cm="1">
        <f t="array" ref="Q1963:S1963">VLOOKUP(P1963,Hoja1!C:F,{2,3,4},FALSE)</f>
        <v>46290</v>
      </c>
      <c r="R1963" t="str">
        <v>C19</v>
      </c>
      <c r="S1963" t="str">
        <v>1000007752 VAHUME S.A.</v>
      </c>
    </row>
    <row r="1964" spans="1:19" x14ac:dyDescent="0.3">
      <c r="A1964" s="2" t="s">
        <v>14</v>
      </c>
      <c r="B1964" s="3" t="s">
        <v>14</v>
      </c>
      <c r="C1964" s="3" t="s">
        <v>1765</v>
      </c>
      <c r="D1964" s="3" t="s">
        <v>84</v>
      </c>
      <c r="E1964" s="3" t="s">
        <v>466</v>
      </c>
      <c r="F1964" s="4">
        <v>46290</v>
      </c>
      <c r="G1964" s="3" t="s">
        <v>17</v>
      </c>
      <c r="H1964" s="5">
        <v>-1786538.88</v>
      </c>
      <c r="I1964" s="3" t="s">
        <v>18</v>
      </c>
      <c r="J1964" s="3" t="s">
        <v>14</v>
      </c>
      <c r="K1964" s="3" t="s">
        <v>14</v>
      </c>
      <c r="L1964" s="3" t="s">
        <v>1751</v>
      </c>
      <c r="M1964" s="4">
        <v>46290</v>
      </c>
      <c r="N1964" s="3" t="s">
        <v>1752</v>
      </c>
      <c r="O1964" s="3" t="s">
        <v>141</v>
      </c>
      <c r="P1964" t="str">
        <f t="shared" si="30"/>
        <v>450013413060</v>
      </c>
      <c r="Q1964" s="7" cm="1">
        <f t="array" ref="Q1964:S1964">VLOOKUP(P1964,Hoja1!C:F,{2,3,4},FALSE)</f>
        <v>46290</v>
      </c>
      <c r="R1964" t="str">
        <v>C19</v>
      </c>
      <c r="S1964" t="str">
        <v>1000007752 VAHUME S.A.</v>
      </c>
    </row>
    <row r="1965" spans="1:19" x14ac:dyDescent="0.3">
      <c r="A1965" s="2" t="s">
        <v>14</v>
      </c>
      <c r="B1965" s="3" t="s">
        <v>14</v>
      </c>
      <c r="C1965" s="3" t="s">
        <v>1765</v>
      </c>
      <c r="D1965" s="3" t="s">
        <v>84</v>
      </c>
      <c r="E1965" s="3" t="s">
        <v>466</v>
      </c>
      <c r="F1965" s="4">
        <v>46290</v>
      </c>
      <c r="G1965" s="3" t="s">
        <v>17</v>
      </c>
      <c r="H1965" s="5">
        <v>-356175.35999999999</v>
      </c>
      <c r="I1965" s="3" t="s">
        <v>18</v>
      </c>
      <c r="J1965" s="3" t="s">
        <v>14</v>
      </c>
      <c r="K1965" s="3" t="s">
        <v>14</v>
      </c>
      <c r="L1965" s="3" t="s">
        <v>1751</v>
      </c>
      <c r="M1965" s="4">
        <v>46290</v>
      </c>
      <c r="N1965" s="3" t="s">
        <v>1752</v>
      </c>
      <c r="O1965" s="3" t="s">
        <v>134</v>
      </c>
      <c r="P1965" t="str">
        <f t="shared" si="30"/>
        <v>450013413070</v>
      </c>
      <c r="Q1965" s="7" cm="1">
        <f t="array" ref="Q1965:S1965">VLOOKUP(P1965,Hoja1!C:F,{2,3,4},FALSE)</f>
        <v>46290</v>
      </c>
      <c r="R1965" t="str">
        <v>C19</v>
      </c>
      <c r="S1965" t="str">
        <v>1000007752 VAHUME S.A.</v>
      </c>
    </row>
    <row r="1966" spans="1:19" x14ac:dyDescent="0.3">
      <c r="A1966" s="2" t="s">
        <v>14</v>
      </c>
      <c r="B1966" s="3" t="s">
        <v>14</v>
      </c>
      <c r="C1966" s="3" t="s">
        <v>1765</v>
      </c>
      <c r="D1966" s="3" t="s">
        <v>84</v>
      </c>
      <c r="E1966" s="3" t="s">
        <v>466</v>
      </c>
      <c r="F1966" s="4">
        <v>46290</v>
      </c>
      <c r="G1966" s="3" t="s">
        <v>17</v>
      </c>
      <c r="H1966" s="5">
        <v>-297544.32000000001</v>
      </c>
      <c r="I1966" s="3" t="s">
        <v>18</v>
      </c>
      <c r="J1966" s="3" t="s">
        <v>14</v>
      </c>
      <c r="K1966" s="3" t="s">
        <v>14</v>
      </c>
      <c r="L1966" s="3" t="s">
        <v>1751</v>
      </c>
      <c r="M1966" s="4">
        <v>46290</v>
      </c>
      <c r="N1966" s="3" t="s">
        <v>1752</v>
      </c>
      <c r="O1966" s="3" t="s">
        <v>138</v>
      </c>
      <c r="P1966" t="str">
        <f t="shared" si="30"/>
        <v>450013413090</v>
      </c>
      <c r="Q1966" s="7" cm="1">
        <f t="array" ref="Q1966:S1966">VLOOKUP(P1966,Hoja1!C:F,{2,3,4},FALSE)</f>
        <v>46290</v>
      </c>
      <c r="R1966" t="str">
        <v>C19</v>
      </c>
      <c r="S1966" t="str">
        <v>1000007752 VAHUME S.A.</v>
      </c>
    </row>
    <row r="1967" spans="1:19" x14ac:dyDescent="0.3">
      <c r="A1967" s="2" t="s">
        <v>14</v>
      </c>
      <c r="B1967" s="3" t="s">
        <v>14</v>
      </c>
      <c r="C1967" s="3" t="s">
        <v>1765</v>
      </c>
      <c r="D1967" s="3" t="s">
        <v>84</v>
      </c>
      <c r="E1967" s="3" t="s">
        <v>466</v>
      </c>
      <c r="F1967" s="4">
        <v>46290</v>
      </c>
      <c r="G1967" s="3" t="s">
        <v>17</v>
      </c>
      <c r="H1967" s="5">
        <v>-252167.76</v>
      </c>
      <c r="I1967" s="3" t="s">
        <v>18</v>
      </c>
      <c r="J1967" s="3" t="s">
        <v>14</v>
      </c>
      <c r="K1967" s="3" t="s">
        <v>14</v>
      </c>
      <c r="L1967" s="3" t="s">
        <v>1751</v>
      </c>
      <c r="M1967" s="4">
        <v>46290</v>
      </c>
      <c r="N1967" s="3" t="s">
        <v>1752</v>
      </c>
      <c r="O1967" s="3" t="s">
        <v>45</v>
      </c>
      <c r="P1967" t="str">
        <f t="shared" si="30"/>
        <v>4500134130100</v>
      </c>
      <c r="Q1967" s="7" cm="1">
        <f t="array" ref="Q1967:S1967">VLOOKUP(P1967,Hoja1!C:F,{2,3,4},FALSE)</f>
        <v>46290</v>
      </c>
      <c r="R1967" t="str">
        <v>C19</v>
      </c>
      <c r="S1967" t="str">
        <v>1000007752 VAHUME S.A.</v>
      </c>
    </row>
    <row r="1968" spans="1:19" x14ac:dyDescent="0.3">
      <c r="A1968" s="2" t="s">
        <v>14</v>
      </c>
      <c r="B1968" s="3" t="s">
        <v>14</v>
      </c>
      <c r="C1968" s="3" t="s">
        <v>1765</v>
      </c>
      <c r="D1968" s="3" t="s">
        <v>84</v>
      </c>
      <c r="E1968" s="3" t="s">
        <v>466</v>
      </c>
      <c r="F1968" s="4">
        <v>46290</v>
      </c>
      <c r="G1968" s="3" t="s">
        <v>17</v>
      </c>
      <c r="H1968" s="5">
        <v>-1883684.16</v>
      </c>
      <c r="I1968" s="3" t="s">
        <v>18</v>
      </c>
      <c r="J1968" s="3" t="s">
        <v>14</v>
      </c>
      <c r="K1968" s="3" t="s">
        <v>14</v>
      </c>
      <c r="L1968" s="3" t="s">
        <v>1751</v>
      </c>
      <c r="M1968" s="4">
        <v>46290</v>
      </c>
      <c r="N1968" s="3" t="s">
        <v>1752</v>
      </c>
      <c r="O1968" s="3" t="s">
        <v>156</v>
      </c>
      <c r="P1968" t="str">
        <f t="shared" si="30"/>
        <v>4500134130110</v>
      </c>
      <c r="Q1968" s="7" cm="1">
        <f t="array" ref="Q1968:S1968">VLOOKUP(P1968,Hoja1!C:F,{2,3,4},FALSE)</f>
        <v>46290</v>
      </c>
      <c r="R1968" t="str">
        <v>C19</v>
      </c>
      <c r="S1968" t="str">
        <v>1000007752 VAHUME S.A.</v>
      </c>
    </row>
    <row r="1969" spans="1:19" x14ac:dyDescent="0.3">
      <c r="A1969" s="2" t="s">
        <v>14</v>
      </c>
      <c r="B1969" s="3" t="s">
        <v>14</v>
      </c>
      <c r="C1969" s="3" t="s">
        <v>1765</v>
      </c>
      <c r="D1969" s="3" t="s">
        <v>84</v>
      </c>
      <c r="E1969" s="3" t="s">
        <v>466</v>
      </c>
      <c r="F1969" s="4">
        <v>46290</v>
      </c>
      <c r="G1969" s="3" t="s">
        <v>17</v>
      </c>
      <c r="H1969" s="5">
        <v>-1574475.84</v>
      </c>
      <c r="I1969" s="3" t="s">
        <v>18</v>
      </c>
      <c r="J1969" s="3" t="s">
        <v>14</v>
      </c>
      <c r="K1969" s="3" t="s">
        <v>14</v>
      </c>
      <c r="L1969" s="3" t="s">
        <v>1751</v>
      </c>
      <c r="M1969" s="4">
        <v>46290</v>
      </c>
      <c r="N1969" s="3" t="s">
        <v>1752</v>
      </c>
      <c r="O1969" s="3" t="s">
        <v>132</v>
      </c>
      <c r="P1969" t="str">
        <f t="shared" si="30"/>
        <v>4500134130120</v>
      </c>
      <c r="Q1969" s="7" cm="1">
        <f t="array" ref="Q1969:S1969">VLOOKUP(P1969,Hoja1!C:F,{2,3,4},FALSE)</f>
        <v>46290</v>
      </c>
      <c r="R1969" t="str">
        <v>C19</v>
      </c>
      <c r="S1969" t="str">
        <v>1000007752 VAHUME S.A.</v>
      </c>
    </row>
    <row r="1970" spans="1:19" x14ac:dyDescent="0.3">
      <c r="A1970" s="2" t="s">
        <v>14</v>
      </c>
      <c r="B1970" s="3" t="s">
        <v>14</v>
      </c>
      <c r="C1970" s="3" t="s">
        <v>1765</v>
      </c>
      <c r="D1970" s="3" t="s">
        <v>84</v>
      </c>
      <c r="E1970" s="3" t="s">
        <v>466</v>
      </c>
      <c r="F1970" s="4">
        <v>46290</v>
      </c>
      <c r="G1970" s="3" t="s">
        <v>17</v>
      </c>
      <c r="H1970" s="5">
        <v>-267131.52000000002</v>
      </c>
      <c r="I1970" s="3" t="s">
        <v>18</v>
      </c>
      <c r="J1970" s="3" t="s">
        <v>14</v>
      </c>
      <c r="K1970" s="3" t="s">
        <v>14</v>
      </c>
      <c r="L1970" s="3" t="s">
        <v>1751</v>
      </c>
      <c r="M1970" s="4">
        <v>46290</v>
      </c>
      <c r="N1970" s="3" t="s">
        <v>1752</v>
      </c>
      <c r="O1970" s="3" t="s">
        <v>142</v>
      </c>
      <c r="P1970" t="str">
        <f t="shared" si="30"/>
        <v>4500134130130</v>
      </c>
      <c r="Q1970" s="7" cm="1">
        <f t="array" ref="Q1970:S1970">VLOOKUP(P1970,Hoja1!C:F,{2,3,4},FALSE)</f>
        <v>46290</v>
      </c>
      <c r="R1970" t="str">
        <v>C19</v>
      </c>
      <c r="S1970" t="str">
        <v>1000007752 VAHUME S.A.</v>
      </c>
    </row>
    <row r="1971" spans="1:19" x14ac:dyDescent="0.3">
      <c r="A1971" s="2" t="s">
        <v>14</v>
      </c>
      <c r="B1971" s="3" t="s">
        <v>14</v>
      </c>
      <c r="C1971" s="3" t="s">
        <v>1765</v>
      </c>
      <c r="D1971" s="3" t="s">
        <v>84</v>
      </c>
      <c r="E1971" s="3" t="s">
        <v>466</v>
      </c>
      <c r="F1971" s="4">
        <v>46290</v>
      </c>
      <c r="G1971" s="3" t="s">
        <v>17</v>
      </c>
      <c r="H1971" s="5">
        <v>-9992250</v>
      </c>
      <c r="I1971" s="3" t="s">
        <v>18</v>
      </c>
      <c r="J1971" s="3" t="s">
        <v>14</v>
      </c>
      <c r="K1971" s="3" t="s">
        <v>14</v>
      </c>
      <c r="L1971" s="3" t="s">
        <v>1751</v>
      </c>
      <c r="M1971" s="4">
        <v>46290</v>
      </c>
      <c r="N1971" s="3" t="s">
        <v>1752</v>
      </c>
      <c r="O1971" s="3" t="s">
        <v>131</v>
      </c>
      <c r="P1971" t="str">
        <f t="shared" si="30"/>
        <v>4500134130140</v>
      </c>
      <c r="Q1971" s="7" cm="1">
        <f t="array" ref="Q1971:S1971">VLOOKUP(P1971,Hoja1!C:F,{2,3,4},FALSE)</f>
        <v>46290</v>
      </c>
      <c r="R1971" t="str">
        <v>C19</v>
      </c>
      <c r="S1971" t="str">
        <v>1000007752 VAHUME S.A.</v>
      </c>
    </row>
    <row r="1972" spans="1:19" x14ac:dyDescent="0.3">
      <c r="A1972" s="2" t="s">
        <v>14</v>
      </c>
      <c r="B1972" s="3" t="s">
        <v>14</v>
      </c>
      <c r="C1972" s="3" t="s">
        <v>1765</v>
      </c>
      <c r="D1972" s="3" t="s">
        <v>84</v>
      </c>
      <c r="E1972" s="3" t="s">
        <v>466</v>
      </c>
      <c r="F1972" s="4">
        <v>46290</v>
      </c>
      <c r="G1972" s="3" t="s">
        <v>17</v>
      </c>
      <c r="H1972" s="5">
        <v>-1346202</v>
      </c>
      <c r="I1972" s="3" t="s">
        <v>18</v>
      </c>
      <c r="J1972" s="3" t="s">
        <v>14</v>
      </c>
      <c r="K1972" s="3" t="s">
        <v>14</v>
      </c>
      <c r="L1972" s="3" t="s">
        <v>1751</v>
      </c>
      <c r="M1972" s="4">
        <v>46290</v>
      </c>
      <c r="N1972" s="3" t="s">
        <v>1752</v>
      </c>
      <c r="O1972" s="3" t="s">
        <v>68</v>
      </c>
      <c r="P1972" t="str">
        <f t="shared" si="30"/>
        <v>4500134130150</v>
      </c>
      <c r="Q1972" s="7" cm="1">
        <f t="array" ref="Q1972:S1972">VLOOKUP(P1972,Hoja1!C:F,{2,3,4},FALSE)</f>
        <v>46290</v>
      </c>
      <c r="R1972" t="str">
        <v>C19</v>
      </c>
      <c r="S1972" t="str">
        <v>1000007752 VAHUME S.A.</v>
      </c>
    </row>
    <row r="1973" spans="1:19" x14ac:dyDescent="0.3">
      <c r="A1973" s="2" t="s">
        <v>14</v>
      </c>
      <c r="B1973" s="3" t="s">
        <v>14</v>
      </c>
      <c r="C1973" s="3" t="s">
        <v>1765</v>
      </c>
      <c r="D1973" s="3" t="s">
        <v>84</v>
      </c>
      <c r="E1973" s="3" t="s">
        <v>466</v>
      </c>
      <c r="F1973" s="4">
        <v>46290</v>
      </c>
      <c r="G1973" s="3" t="s">
        <v>17</v>
      </c>
      <c r="H1973" s="5">
        <v>-354255.12</v>
      </c>
      <c r="I1973" s="3" t="s">
        <v>18</v>
      </c>
      <c r="J1973" s="3" t="s">
        <v>14</v>
      </c>
      <c r="K1973" s="3" t="s">
        <v>14</v>
      </c>
      <c r="L1973" s="3" t="s">
        <v>1751</v>
      </c>
      <c r="M1973" s="4">
        <v>46290</v>
      </c>
      <c r="N1973" s="3" t="s">
        <v>1752</v>
      </c>
      <c r="O1973" s="3" t="s">
        <v>161</v>
      </c>
      <c r="P1973" t="str">
        <f t="shared" si="30"/>
        <v>4500134130200</v>
      </c>
      <c r="Q1973" s="7" cm="1">
        <f t="array" ref="Q1973:S1973">VLOOKUP(P1973,Hoja1!C:F,{2,3,4},FALSE)</f>
        <v>46290</v>
      </c>
      <c r="R1973" t="str">
        <v>C19</v>
      </c>
      <c r="S1973" t="str">
        <v>1000007752 VAHUME S.A.</v>
      </c>
    </row>
    <row r="1974" spans="1:19" x14ac:dyDescent="0.3">
      <c r="A1974" s="2" t="s">
        <v>14</v>
      </c>
      <c r="B1974" s="3" t="s">
        <v>14</v>
      </c>
      <c r="C1974" s="3" t="s">
        <v>1765</v>
      </c>
      <c r="D1974" s="3" t="s">
        <v>84</v>
      </c>
      <c r="E1974" s="3" t="s">
        <v>466</v>
      </c>
      <c r="F1974" s="4">
        <v>46290</v>
      </c>
      <c r="G1974" s="3" t="s">
        <v>17</v>
      </c>
      <c r="H1974" s="5">
        <v>-515741.04</v>
      </c>
      <c r="I1974" s="3" t="s">
        <v>18</v>
      </c>
      <c r="J1974" s="3" t="s">
        <v>14</v>
      </c>
      <c r="K1974" s="3" t="s">
        <v>14</v>
      </c>
      <c r="L1974" s="3" t="s">
        <v>1751</v>
      </c>
      <c r="M1974" s="4">
        <v>46290</v>
      </c>
      <c r="N1974" s="3" t="s">
        <v>1752</v>
      </c>
      <c r="O1974" s="3" t="s">
        <v>136</v>
      </c>
      <c r="P1974" t="str">
        <f t="shared" si="30"/>
        <v>4500134130210</v>
      </c>
      <c r="Q1974" s="7" cm="1">
        <f t="array" ref="Q1974:S1974">VLOOKUP(P1974,Hoja1!C:F,{2,3,4},FALSE)</f>
        <v>46290</v>
      </c>
      <c r="R1974" t="str">
        <v>C19</v>
      </c>
      <c r="S1974" t="str">
        <v>1000007752 VAHUME S.A.</v>
      </c>
    </row>
    <row r="1975" spans="1:19" x14ac:dyDescent="0.3">
      <c r="A1975" s="2" t="s">
        <v>14</v>
      </c>
      <c r="B1975" s="3" t="s">
        <v>14</v>
      </c>
      <c r="C1975" s="3" t="s">
        <v>1765</v>
      </c>
      <c r="D1975" s="3" t="s">
        <v>84</v>
      </c>
      <c r="E1975" s="3" t="s">
        <v>466</v>
      </c>
      <c r="F1975" s="4">
        <v>46290</v>
      </c>
      <c r="G1975" s="3" t="s">
        <v>17</v>
      </c>
      <c r="H1975" s="5">
        <v>-3508624.08</v>
      </c>
      <c r="I1975" s="3" t="s">
        <v>18</v>
      </c>
      <c r="J1975" s="3" t="s">
        <v>14</v>
      </c>
      <c r="K1975" s="3" t="s">
        <v>14</v>
      </c>
      <c r="L1975" s="3" t="s">
        <v>1751</v>
      </c>
      <c r="M1975" s="4">
        <v>46290</v>
      </c>
      <c r="N1975" s="3" t="s">
        <v>1752</v>
      </c>
      <c r="O1975" s="3" t="s">
        <v>140</v>
      </c>
      <c r="P1975" t="str">
        <f t="shared" si="30"/>
        <v>4500134130220</v>
      </c>
      <c r="Q1975" s="7" cm="1">
        <f t="array" ref="Q1975:S1975">VLOOKUP(P1975,Hoja1!C:F,{2,3,4},FALSE)</f>
        <v>46290</v>
      </c>
      <c r="R1975" t="str">
        <v>C19</v>
      </c>
      <c r="S1975" t="str">
        <v>1000007752 VAHUME S.A.</v>
      </c>
    </row>
    <row r="1976" spans="1:19" x14ac:dyDescent="0.3">
      <c r="A1976" s="2" t="s">
        <v>14</v>
      </c>
      <c r="B1976" s="3" t="s">
        <v>14</v>
      </c>
      <c r="C1976" s="3" t="s">
        <v>1765</v>
      </c>
      <c r="D1976" s="3" t="s">
        <v>84</v>
      </c>
      <c r="E1976" s="3" t="s">
        <v>466</v>
      </c>
      <c r="F1976" s="4">
        <v>46290</v>
      </c>
      <c r="G1976" s="3" t="s">
        <v>17</v>
      </c>
      <c r="H1976" s="5">
        <v>-16412421.6</v>
      </c>
      <c r="I1976" s="3" t="s">
        <v>18</v>
      </c>
      <c r="J1976" s="3" t="s">
        <v>14</v>
      </c>
      <c r="K1976" s="3" t="s">
        <v>14</v>
      </c>
      <c r="L1976" s="3" t="s">
        <v>1751</v>
      </c>
      <c r="M1976" s="4">
        <v>46290</v>
      </c>
      <c r="N1976" s="3" t="s">
        <v>1752</v>
      </c>
      <c r="O1976" s="3" t="s">
        <v>137</v>
      </c>
      <c r="P1976" t="str">
        <f t="shared" si="30"/>
        <v>4500134130230</v>
      </c>
      <c r="Q1976" s="7" cm="1">
        <f t="array" ref="Q1976:S1976">VLOOKUP(P1976,Hoja1!C:F,{2,3,4},FALSE)</f>
        <v>46290</v>
      </c>
      <c r="R1976" t="str">
        <v>C19</v>
      </c>
      <c r="S1976" t="str">
        <v>1000007752 VAHUME S.A.</v>
      </c>
    </row>
    <row r="1977" spans="1:19" x14ac:dyDescent="0.3">
      <c r="A1977" s="2" t="s">
        <v>14</v>
      </c>
      <c r="B1977" s="3" t="s">
        <v>14</v>
      </c>
      <c r="C1977" s="3" t="s">
        <v>1765</v>
      </c>
      <c r="D1977" s="3" t="s">
        <v>84</v>
      </c>
      <c r="E1977" s="3" t="s">
        <v>466</v>
      </c>
      <c r="F1977" s="4">
        <v>46290</v>
      </c>
      <c r="G1977" s="3" t="s">
        <v>17</v>
      </c>
      <c r="H1977" s="5">
        <v>-5962325.7599999998</v>
      </c>
      <c r="I1977" s="3" t="s">
        <v>18</v>
      </c>
      <c r="J1977" s="3" t="s">
        <v>14</v>
      </c>
      <c r="K1977" s="3" t="s">
        <v>14</v>
      </c>
      <c r="L1977" s="3" t="s">
        <v>1751</v>
      </c>
      <c r="M1977" s="4">
        <v>46290</v>
      </c>
      <c r="N1977" s="3" t="s">
        <v>1752</v>
      </c>
      <c r="O1977" s="3" t="s">
        <v>143</v>
      </c>
      <c r="P1977" t="str">
        <f t="shared" si="30"/>
        <v>4500134130240</v>
      </c>
      <c r="Q1977" s="7" cm="1">
        <f t="array" ref="Q1977:S1977">VLOOKUP(P1977,Hoja1!C:F,{2,3,4},FALSE)</f>
        <v>46290</v>
      </c>
      <c r="R1977" t="str">
        <v>C19</v>
      </c>
      <c r="S1977" t="str">
        <v>1000007752 VAHUME S.A.</v>
      </c>
    </row>
    <row r="1978" spans="1:19" x14ac:dyDescent="0.3">
      <c r="A1978" s="2" t="s">
        <v>14</v>
      </c>
      <c r="B1978" s="3" t="s">
        <v>14</v>
      </c>
      <c r="C1978" s="3" t="s">
        <v>1765</v>
      </c>
      <c r="D1978" s="3" t="s">
        <v>84</v>
      </c>
      <c r="E1978" s="3" t="s">
        <v>466</v>
      </c>
      <c r="F1978" s="4">
        <v>46290</v>
      </c>
      <c r="G1978" s="3" t="s">
        <v>17</v>
      </c>
      <c r="H1978" s="5">
        <v>-365834.88</v>
      </c>
      <c r="I1978" s="3" t="s">
        <v>18</v>
      </c>
      <c r="J1978" s="3" t="s">
        <v>14</v>
      </c>
      <c r="K1978" s="3" t="s">
        <v>14</v>
      </c>
      <c r="L1978" s="3" t="s">
        <v>1751</v>
      </c>
      <c r="M1978" s="4">
        <v>46290</v>
      </c>
      <c r="N1978" s="3" t="s">
        <v>1752</v>
      </c>
      <c r="O1978" s="3" t="s">
        <v>128</v>
      </c>
      <c r="P1978" t="str">
        <f t="shared" si="30"/>
        <v>4500134130250</v>
      </c>
      <c r="Q1978" s="7" cm="1">
        <f t="array" ref="Q1978:S1978">VLOOKUP(P1978,Hoja1!C:F,{2,3,4},FALSE)</f>
        <v>46290</v>
      </c>
      <c r="R1978" t="str">
        <v>C19</v>
      </c>
      <c r="S1978" t="str">
        <v>1000007752 VAHUME S.A.</v>
      </c>
    </row>
    <row r="1979" spans="1:19" x14ac:dyDescent="0.3">
      <c r="A1979" s="2" t="s">
        <v>14</v>
      </c>
      <c r="B1979" s="3" t="s">
        <v>14</v>
      </c>
      <c r="C1979" s="3" t="s">
        <v>1765</v>
      </c>
      <c r="D1979" s="3" t="s">
        <v>84</v>
      </c>
      <c r="E1979" s="3" t="s">
        <v>466</v>
      </c>
      <c r="F1979" s="4">
        <v>46290</v>
      </c>
      <c r="G1979" s="3" t="s">
        <v>17</v>
      </c>
      <c r="H1979" s="5">
        <v>-241781.76000000001</v>
      </c>
      <c r="I1979" s="3" t="s">
        <v>18</v>
      </c>
      <c r="J1979" s="3" t="s">
        <v>14</v>
      </c>
      <c r="K1979" s="3" t="s">
        <v>14</v>
      </c>
      <c r="L1979" s="3" t="s">
        <v>1751</v>
      </c>
      <c r="M1979" s="4">
        <v>46290</v>
      </c>
      <c r="N1979" s="3" t="s">
        <v>1752</v>
      </c>
      <c r="O1979" s="3" t="s">
        <v>126</v>
      </c>
      <c r="P1979" t="str">
        <f t="shared" si="30"/>
        <v>4500134130260</v>
      </c>
      <c r="Q1979" s="7" cm="1">
        <f t="array" ref="Q1979:S1979">VLOOKUP(P1979,Hoja1!C:F,{2,3,4},FALSE)</f>
        <v>46290</v>
      </c>
      <c r="R1979" t="str">
        <v>C19</v>
      </c>
      <c r="S1979" t="str">
        <v>1000007752 VAHUME S.A.</v>
      </c>
    </row>
    <row r="1980" spans="1:19" x14ac:dyDescent="0.3">
      <c r="A1980" s="2" t="s">
        <v>14</v>
      </c>
      <c r="B1980" s="3" t="s">
        <v>14</v>
      </c>
      <c r="C1980" s="3" t="s">
        <v>1765</v>
      </c>
      <c r="D1980" s="3" t="s">
        <v>84</v>
      </c>
      <c r="E1980" s="3" t="s">
        <v>466</v>
      </c>
      <c r="F1980" s="4">
        <v>46290</v>
      </c>
      <c r="G1980" s="3" t="s">
        <v>17</v>
      </c>
      <c r="H1980" s="5">
        <v>-4466347.2</v>
      </c>
      <c r="I1980" s="3" t="s">
        <v>18</v>
      </c>
      <c r="J1980" s="3" t="s">
        <v>14</v>
      </c>
      <c r="K1980" s="3" t="s">
        <v>14</v>
      </c>
      <c r="L1980" s="3" t="s">
        <v>1751</v>
      </c>
      <c r="M1980" s="4">
        <v>46290</v>
      </c>
      <c r="N1980" s="3" t="s">
        <v>1752</v>
      </c>
      <c r="O1980" s="3" t="s">
        <v>146</v>
      </c>
      <c r="P1980" t="str">
        <f t="shared" si="30"/>
        <v>4500134130270</v>
      </c>
      <c r="Q1980" s="7" cm="1">
        <f t="array" ref="Q1980:S1980">VLOOKUP(P1980,Hoja1!C:F,{2,3,4},FALSE)</f>
        <v>46290</v>
      </c>
      <c r="R1980" t="str">
        <v>C19</v>
      </c>
      <c r="S1980" t="str">
        <v>1000007752 VAHUME S.A.</v>
      </c>
    </row>
    <row r="1981" spans="1:19" x14ac:dyDescent="0.3">
      <c r="A1981" s="2" t="s">
        <v>14</v>
      </c>
      <c r="B1981" s="3" t="s">
        <v>14</v>
      </c>
      <c r="C1981" s="3" t="s">
        <v>1765</v>
      </c>
      <c r="D1981" s="3" t="s">
        <v>84</v>
      </c>
      <c r="E1981" s="3" t="s">
        <v>466</v>
      </c>
      <c r="F1981" s="4">
        <v>46290</v>
      </c>
      <c r="G1981" s="3" t="s">
        <v>17</v>
      </c>
      <c r="H1981" s="5">
        <v>-890438.4</v>
      </c>
      <c r="I1981" s="3" t="s">
        <v>18</v>
      </c>
      <c r="J1981" s="3" t="s">
        <v>14</v>
      </c>
      <c r="K1981" s="3" t="s">
        <v>14</v>
      </c>
      <c r="L1981" s="3" t="s">
        <v>1751</v>
      </c>
      <c r="M1981" s="4">
        <v>46290</v>
      </c>
      <c r="N1981" s="3" t="s">
        <v>1752</v>
      </c>
      <c r="O1981" s="3" t="s">
        <v>133</v>
      </c>
      <c r="P1981" t="str">
        <f t="shared" si="30"/>
        <v>4500134130280</v>
      </c>
      <c r="Q1981" s="7" cm="1">
        <f t="array" ref="Q1981:S1981">VLOOKUP(P1981,Hoja1!C:F,{2,3,4},FALSE)</f>
        <v>46290</v>
      </c>
      <c r="R1981" t="str">
        <v>C19</v>
      </c>
      <c r="S1981" t="str">
        <v>1000007752 VAHUME S.A.</v>
      </c>
    </row>
    <row r="1982" spans="1:19" x14ac:dyDescent="0.3">
      <c r="A1982" s="2" t="s">
        <v>14</v>
      </c>
      <c r="B1982" s="3" t="s">
        <v>14</v>
      </c>
      <c r="C1982" s="3" t="s">
        <v>1765</v>
      </c>
      <c r="D1982" s="3" t="s">
        <v>84</v>
      </c>
      <c r="E1982" s="3" t="s">
        <v>466</v>
      </c>
      <c r="F1982" s="4">
        <v>46290</v>
      </c>
      <c r="G1982" s="3" t="s">
        <v>17</v>
      </c>
      <c r="H1982" s="5">
        <v>-595088.64000000001</v>
      </c>
      <c r="I1982" s="3" t="s">
        <v>18</v>
      </c>
      <c r="J1982" s="3" t="s">
        <v>14</v>
      </c>
      <c r="K1982" s="3" t="s">
        <v>14</v>
      </c>
      <c r="L1982" s="3" t="s">
        <v>1751</v>
      </c>
      <c r="M1982" s="4">
        <v>46290</v>
      </c>
      <c r="N1982" s="3" t="s">
        <v>1752</v>
      </c>
      <c r="O1982" s="3" t="s">
        <v>145</v>
      </c>
      <c r="P1982" t="str">
        <f t="shared" si="30"/>
        <v>4500134130300</v>
      </c>
      <c r="Q1982" s="7" cm="1">
        <f t="array" ref="Q1982:S1982">VLOOKUP(P1982,Hoja1!C:F,{2,3,4},FALSE)</f>
        <v>46290</v>
      </c>
      <c r="R1982" t="str">
        <v>C19</v>
      </c>
      <c r="S1982" t="str">
        <v>1000007752 VAHUME S.A.</v>
      </c>
    </row>
    <row r="1983" spans="1:19" x14ac:dyDescent="0.3">
      <c r="A1983" s="2" t="s">
        <v>14</v>
      </c>
      <c r="B1983" s="3" t="s">
        <v>14</v>
      </c>
      <c r="C1983" s="3" t="s">
        <v>1765</v>
      </c>
      <c r="D1983" s="3" t="s">
        <v>84</v>
      </c>
      <c r="E1983" s="3" t="s">
        <v>466</v>
      </c>
      <c r="F1983" s="4">
        <v>46290</v>
      </c>
      <c r="G1983" s="3" t="s">
        <v>17</v>
      </c>
      <c r="H1983" s="5">
        <v>-504335.52</v>
      </c>
      <c r="I1983" s="3" t="s">
        <v>18</v>
      </c>
      <c r="J1983" s="3" t="s">
        <v>14</v>
      </c>
      <c r="K1983" s="3" t="s">
        <v>14</v>
      </c>
      <c r="L1983" s="3" t="s">
        <v>1751</v>
      </c>
      <c r="M1983" s="4">
        <v>46290</v>
      </c>
      <c r="N1983" s="3" t="s">
        <v>1752</v>
      </c>
      <c r="O1983" s="3" t="s">
        <v>147</v>
      </c>
      <c r="P1983" t="str">
        <f t="shared" si="30"/>
        <v>4500134130310</v>
      </c>
      <c r="Q1983" s="7" cm="1">
        <f t="array" ref="Q1983:S1983">VLOOKUP(P1983,Hoja1!C:F,{2,3,4},FALSE)</f>
        <v>46290</v>
      </c>
      <c r="R1983" t="str">
        <v>C19</v>
      </c>
      <c r="S1983" t="str">
        <v>1000007752 VAHUME S.A.</v>
      </c>
    </row>
    <row r="1984" spans="1:19" x14ac:dyDescent="0.3">
      <c r="A1984" s="2" t="s">
        <v>14</v>
      </c>
      <c r="B1984" s="3" t="s">
        <v>14</v>
      </c>
      <c r="C1984" s="3" t="s">
        <v>1765</v>
      </c>
      <c r="D1984" s="3" t="s">
        <v>84</v>
      </c>
      <c r="E1984" s="3" t="s">
        <v>466</v>
      </c>
      <c r="F1984" s="4">
        <v>46290</v>
      </c>
      <c r="G1984" s="3" t="s">
        <v>17</v>
      </c>
      <c r="H1984" s="5">
        <v>-3767368.32</v>
      </c>
      <c r="I1984" s="3" t="s">
        <v>18</v>
      </c>
      <c r="J1984" s="3" t="s">
        <v>14</v>
      </c>
      <c r="K1984" s="3" t="s">
        <v>14</v>
      </c>
      <c r="L1984" s="3" t="s">
        <v>1751</v>
      </c>
      <c r="M1984" s="4">
        <v>46290</v>
      </c>
      <c r="N1984" s="3" t="s">
        <v>1752</v>
      </c>
      <c r="O1984" s="3" t="s">
        <v>150</v>
      </c>
      <c r="P1984" t="str">
        <f t="shared" si="30"/>
        <v>4500134130320</v>
      </c>
      <c r="Q1984" s="7" cm="1">
        <f t="array" ref="Q1984:S1984">VLOOKUP(P1984,Hoja1!C:F,{2,3,4},FALSE)</f>
        <v>46290</v>
      </c>
      <c r="R1984" t="str">
        <v>C19</v>
      </c>
      <c r="S1984" t="str">
        <v>1000007752 VAHUME S.A.</v>
      </c>
    </row>
    <row r="1985" spans="1:19" x14ac:dyDescent="0.3">
      <c r="A1985" s="2" t="s">
        <v>14</v>
      </c>
      <c r="B1985" s="3" t="s">
        <v>14</v>
      </c>
      <c r="C1985" s="3" t="s">
        <v>1765</v>
      </c>
      <c r="D1985" s="3" t="s">
        <v>84</v>
      </c>
      <c r="E1985" s="3" t="s">
        <v>466</v>
      </c>
      <c r="F1985" s="4">
        <v>46290</v>
      </c>
      <c r="G1985" s="3" t="s">
        <v>17</v>
      </c>
      <c r="H1985" s="5">
        <v>-1169541.3600000001</v>
      </c>
      <c r="I1985" s="3" t="s">
        <v>18</v>
      </c>
      <c r="J1985" s="3" t="s">
        <v>14</v>
      </c>
      <c r="K1985" s="3" t="s">
        <v>14</v>
      </c>
      <c r="L1985" s="3" t="s">
        <v>1751</v>
      </c>
      <c r="M1985" s="4">
        <v>46290</v>
      </c>
      <c r="N1985" s="3" t="s">
        <v>1752</v>
      </c>
      <c r="O1985" s="3" t="s">
        <v>135</v>
      </c>
      <c r="P1985" t="str">
        <f t="shared" si="30"/>
        <v>4500134130340</v>
      </c>
      <c r="Q1985" s="7" cm="1">
        <f t="array" ref="Q1985:S1985">VLOOKUP(P1985,Hoja1!C:F,{2,3,4},FALSE)</f>
        <v>46290</v>
      </c>
      <c r="R1985" t="str">
        <v>C19</v>
      </c>
      <c r="S1985" t="str">
        <v>1000007752 VAHUME S.A.</v>
      </c>
    </row>
    <row r="1986" spans="1:19" x14ac:dyDescent="0.3">
      <c r="A1986" s="2" t="s">
        <v>14</v>
      </c>
      <c r="B1986" s="3" t="s">
        <v>14</v>
      </c>
      <c r="C1986" s="3" t="s">
        <v>1765</v>
      </c>
      <c r="D1986" s="3" t="s">
        <v>84</v>
      </c>
      <c r="E1986" s="3" t="s">
        <v>466</v>
      </c>
      <c r="F1986" s="4">
        <v>46290</v>
      </c>
      <c r="G1986" s="3" t="s">
        <v>17</v>
      </c>
      <c r="H1986" s="5">
        <v>-6564968.6399999997</v>
      </c>
      <c r="I1986" s="3" t="s">
        <v>18</v>
      </c>
      <c r="J1986" s="3" t="s">
        <v>14</v>
      </c>
      <c r="K1986" s="3" t="s">
        <v>14</v>
      </c>
      <c r="L1986" s="3" t="s">
        <v>1751</v>
      </c>
      <c r="M1986" s="4">
        <v>46290</v>
      </c>
      <c r="N1986" s="3" t="s">
        <v>1752</v>
      </c>
      <c r="O1986" s="3" t="s">
        <v>139</v>
      </c>
      <c r="P1986" t="str">
        <f t="shared" si="30"/>
        <v>4500134130350</v>
      </c>
      <c r="Q1986" s="7" cm="1">
        <f t="array" ref="Q1986:S1986">VLOOKUP(P1986,Hoja1!C:F,{2,3,4},FALSE)</f>
        <v>46290</v>
      </c>
      <c r="R1986" t="str">
        <v>C19</v>
      </c>
      <c r="S1986" t="str">
        <v>1000007752 VAHUME S.A.</v>
      </c>
    </row>
    <row r="1987" spans="1:19" x14ac:dyDescent="0.3">
      <c r="A1987" s="2" t="s">
        <v>14</v>
      </c>
      <c r="B1987" s="3" t="s">
        <v>14</v>
      </c>
      <c r="C1987" s="3" t="s">
        <v>1765</v>
      </c>
      <c r="D1987" s="3" t="s">
        <v>84</v>
      </c>
      <c r="E1987" s="3" t="s">
        <v>466</v>
      </c>
      <c r="F1987" s="4">
        <v>46290</v>
      </c>
      <c r="G1987" s="3" t="s">
        <v>17</v>
      </c>
      <c r="H1987" s="5">
        <v>-2484302.4</v>
      </c>
      <c r="I1987" s="3" t="s">
        <v>18</v>
      </c>
      <c r="J1987" s="3" t="s">
        <v>14</v>
      </c>
      <c r="K1987" s="3" t="s">
        <v>14</v>
      </c>
      <c r="L1987" s="3" t="s">
        <v>1751</v>
      </c>
      <c r="M1987" s="4">
        <v>46290</v>
      </c>
      <c r="N1987" s="3" t="s">
        <v>1752</v>
      </c>
      <c r="O1987" s="3" t="s">
        <v>168</v>
      </c>
      <c r="P1987" t="str">
        <f t="shared" ref="P1987:P2050" si="31">_xlfn.CONCAT(N1987:O1987)</f>
        <v>4500134130360</v>
      </c>
      <c r="Q1987" s="7" cm="1">
        <f t="array" ref="Q1987:S1987">VLOOKUP(P1987,Hoja1!C:F,{2,3,4},FALSE)</f>
        <v>46290</v>
      </c>
      <c r="R1987" t="str">
        <v>C19</v>
      </c>
      <c r="S1987" t="str">
        <v>1000007752 VAHUME S.A.</v>
      </c>
    </row>
    <row r="1988" spans="1:19" x14ac:dyDescent="0.3">
      <c r="A1988" s="2" t="s">
        <v>14</v>
      </c>
      <c r="B1988" s="3" t="s">
        <v>14</v>
      </c>
      <c r="C1988" s="3" t="s">
        <v>1765</v>
      </c>
      <c r="D1988" s="3" t="s">
        <v>84</v>
      </c>
      <c r="E1988" s="3" t="s">
        <v>466</v>
      </c>
      <c r="F1988" s="4">
        <v>46290</v>
      </c>
      <c r="G1988" s="3" t="s">
        <v>17</v>
      </c>
      <c r="H1988" s="5">
        <v>-152431.20000000001</v>
      </c>
      <c r="I1988" s="3" t="s">
        <v>18</v>
      </c>
      <c r="J1988" s="3" t="s">
        <v>14</v>
      </c>
      <c r="K1988" s="3" t="s">
        <v>14</v>
      </c>
      <c r="L1988" s="3" t="s">
        <v>1751</v>
      </c>
      <c r="M1988" s="4">
        <v>46290</v>
      </c>
      <c r="N1988" s="3" t="s">
        <v>1752</v>
      </c>
      <c r="O1988" s="3" t="s">
        <v>162</v>
      </c>
      <c r="P1988" t="str">
        <f t="shared" si="31"/>
        <v>4500134130370</v>
      </c>
      <c r="Q1988" s="7" cm="1">
        <f t="array" ref="Q1988:S1988">VLOOKUP(P1988,Hoja1!C:F,{2,3,4},FALSE)</f>
        <v>46290</v>
      </c>
      <c r="R1988" t="str">
        <v>C19</v>
      </c>
      <c r="S1988" t="str">
        <v>1000007752 VAHUME S.A.</v>
      </c>
    </row>
    <row r="1989" spans="1:19" x14ac:dyDescent="0.3">
      <c r="A1989" s="2" t="s">
        <v>14</v>
      </c>
      <c r="B1989" s="3" t="s">
        <v>14</v>
      </c>
      <c r="C1989" s="3" t="s">
        <v>1765</v>
      </c>
      <c r="D1989" s="3" t="s">
        <v>84</v>
      </c>
      <c r="E1989" s="3" t="s">
        <v>466</v>
      </c>
      <c r="F1989" s="4">
        <v>46290</v>
      </c>
      <c r="G1989" s="3" t="s">
        <v>17</v>
      </c>
      <c r="H1989" s="5">
        <v>-100742.39999999999</v>
      </c>
      <c r="I1989" s="3" t="s">
        <v>18</v>
      </c>
      <c r="J1989" s="3" t="s">
        <v>14</v>
      </c>
      <c r="K1989" s="3" t="s">
        <v>14</v>
      </c>
      <c r="L1989" s="3" t="s">
        <v>1751</v>
      </c>
      <c r="M1989" s="4">
        <v>46290</v>
      </c>
      <c r="N1989" s="3" t="s">
        <v>1752</v>
      </c>
      <c r="O1989" s="3" t="s">
        <v>1132</v>
      </c>
      <c r="P1989" t="str">
        <f t="shared" si="31"/>
        <v>4500134130380</v>
      </c>
      <c r="Q1989" s="7" cm="1">
        <f t="array" ref="Q1989:S1989">VLOOKUP(P1989,Hoja1!C:F,{2,3,4},FALSE)</f>
        <v>46290</v>
      </c>
      <c r="R1989" t="str">
        <v>C19</v>
      </c>
      <c r="S1989" t="str">
        <v>1000007752 VAHUME S.A.</v>
      </c>
    </row>
    <row r="1990" spans="1:19" x14ac:dyDescent="0.3">
      <c r="A1990" s="2" t="s">
        <v>14</v>
      </c>
      <c r="B1990" s="3" t="s">
        <v>14</v>
      </c>
      <c r="C1990" s="3" t="s">
        <v>1765</v>
      </c>
      <c r="D1990" s="3" t="s">
        <v>84</v>
      </c>
      <c r="E1990" s="3" t="s">
        <v>466</v>
      </c>
      <c r="F1990" s="4">
        <v>46290</v>
      </c>
      <c r="G1990" s="3" t="s">
        <v>17</v>
      </c>
      <c r="H1990" s="5">
        <v>-1786538.88</v>
      </c>
      <c r="I1990" s="3" t="s">
        <v>18</v>
      </c>
      <c r="J1990" s="3" t="s">
        <v>14</v>
      </c>
      <c r="K1990" s="3" t="s">
        <v>14</v>
      </c>
      <c r="L1990" s="3" t="s">
        <v>1751</v>
      </c>
      <c r="M1990" s="4">
        <v>46290</v>
      </c>
      <c r="N1990" s="3" t="s">
        <v>1752</v>
      </c>
      <c r="O1990" s="3" t="s">
        <v>158</v>
      </c>
      <c r="P1990" t="str">
        <f t="shared" si="31"/>
        <v>4500134130390</v>
      </c>
      <c r="Q1990" s="7" cm="1">
        <f t="array" ref="Q1990:S1990">VLOOKUP(P1990,Hoja1!C:F,{2,3,4},FALSE)</f>
        <v>46290</v>
      </c>
      <c r="R1990" t="str">
        <v>C19</v>
      </c>
      <c r="S1990" t="str">
        <v>1000007752 VAHUME S.A.</v>
      </c>
    </row>
    <row r="1991" spans="1:19" x14ac:dyDescent="0.3">
      <c r="A1991" s="2" t="s">
        <v>14</v>
      </c>
      <c r="B1991" s="3" t="s">
        <v>14</v>
      </c>
      <c r="C1991" s="3" t="s">
        <v>1765</v>
      </c>
      <c r="D1991" s="3" t="s">
        <v>84</v>
      </c>
      <c r="E1991" s="3" t="s">
        <v>466</v>
      </c>
      <c r="F1991" s="4">
        <v>46290</v>
      </c>
      <c r="G1991" s="3" t="s">
        <v>17</v>
      </c>
      <c r="H1991" s="5">
        <v>-356175.35999999999</v>
      </c>
      <c r="I1991" s="3" t="s">
        <v>18</v>
      </c>
      <c r="J1991" s="3" t="s">
        <v>14</v>
      </c>
      <c r="K1991" s="3" t="s">
        <v>14</v>
      </c>
      <c r="L1991" s="3" t="s">
        <v>1751</v>
      </c>
      <c r="M1991" s="4">
        <v>46290</v>
      </c>
      <c r="N1991" s="3" t="s">
        <v>1752</v>
      </c>
      <c r="O1991" s="3" t="s">
        <v>178</v>
      </c>
      <c r="P1991" t="str">
        <f t="shared" si="31"/>
        <v>4500134130400</v>
      </c>
      <c r="Q1991" s="7" cm="1">
        <f t="array" ref="Q1991:S1991">VLOOKUP(P1991,Hoja1!C:F,{2,3,4},FALSE)</f>
        <v>46290</v>
      </c>
      <c r="R1991" t="str">
        <v>C19</v>
      </c>
      <c r="S1991" t="str">
        <v>1000007752 VAHUME S.A.</v>
      </c>
    </row>
    <row r="1992" spans="1:19" x14ac:dyDescent="0.3">
      <c r="A1992" s="2" t="s">
        <v>14</v>
      </c>
      <c r="B1992" s="3" t="s">
        <v>14</v>
      </c>
      <c r="C1992" s="3" t="s">
        <v>1765</v>
      </c>
      <c r="D1992" s="3" t="s">
        <v>84</v>
      </c>
      <c r="E1992" s="3" t="s">
        <v>466</v>
      </c>
      <c r="F1992" s="4">
        <v>46290</v>
      </c>
      <c r="G1992" s="3" t="s">
        <v>17</v>
      </c>
      <c r="H1992" s="5">
        <v>-297544.32000000001</v>
      </c>
      <c r="I1992" s="3" t="s">
        <v>18</v>
      </c>
      <c r="J1992" s="3" t="s">
        <v>14</v>
      </c>
      <c r="K1992" s="3" t="s">
        <v>14</v>
      </c>
      <c r="L1992" s="3" t="s">
        <v>1751</v>
      </c>
      <c r="M1992" s="4">
        <v>46290</v>
      </c>
      <c r="N1992" s="3" t="s">
        <v>1752</v>
      </c>
      <c r="O1992" s="3" t="s">
        <v>155</v>
      </c>
      <c r="P1992" t="str">
        <f t="shared" si="31"/>
        <v>4500134130420</v>
      </c>
      <c r="Q1992" s="7" cm="1">
        <f t="array" ref="Q1992:S1992">VLOOKUP(P1992,Hoja1!C:F,{2,3,4},FALSE)</f>
        <v>46290</v>
      </c>
      <c r="R1992" t="str">
        <v>C19</v>
      </c>
      <c r="S1992" t="str">
        <v>1000007752 VAHUME S.A.</v>
      </c>
    </row>
    <row r="1993" spans="1:19" x14ac:dyDescent="0.3">
      <c r="A1993" s="2" t="s">
        <v>14</v>
      </c>
      <c r="B1993" s="3" t="s">
        <v>14</v>
      </c>
      <c r="C1993" s="3" t="s">
        <v>1765</v>
      </c>
      <c r="D1993" s="3" t="s">
        <v>84</v>
      </c>
      <c r="E1993" s="3" t="s">
        <v>466</v>
      </c>
      <c r="F1993" s="4">
        <v>46290</v>
      </c>
      <c r="G1993" s="3" t="s">
        <v>17</v>
      </c>
      <c r="H1993" s="5">
        <v>-504335.52</v>
      </c>
      <c r="I1993" s="3" t="s">
        <v>18</v>
      </c>
      <c r="J1993" s="3" t="s">
        <v>14</v>
      </c>
      <c r="K1993" s="3" t="s">
        <v>14</v>
      </c>
      <c r="L1993" s="3" t="s">
        <v>1751</v>
      </c>
      <c r="M1993" s="4">
        <v>46290</v>
      </c>
      <c r="N1993" s="3" t="s">
        <v>1752</v>
      </c>
      <c r="O1993" s="3" t="s">
        <v>166</v>
      </c>
      <c r="P1993" t="str">
        <f t="shared" si="31"/>
        <v>4500134130430</v>
      </c>
      <c r="Q1993" s="7" cm="1">
        <f t="array" ref="Q1993:S1993">VLOOKUP(P1993,Hoja1!C:F,{2,3,4},FALSE)</f>
        <v>46290</v>
      </c>
      <c r="R1993" t="str">
        <v>C19</v>
      </c>
      <c r="S1993" t="str">
        <v>1000007752 VAHUME S.A.</v>
      </c>
    </row>
    <row r="1994" spans="1:19" x14ac:dyDescent="0.3">
      <c r="A1994" s="2" t="s">
        <v>14</v>
      </c>
      <c r="B1994" s="3" t="s">
        <v>14</v>
      </c>
      <c r="C1994" s="3" t="s">
        <v>1765</v>
      </c>
      <c r="D1994" s="3" t="s">
        <v>84</v>
      </c>
      <c r="E1994" s="3" t="s">
        <v>466</v>
      </c>
      <c r="F1994" s="4">
        <v>46290</v>
      </c>
      <c r="G1994" s="3" t="s">
        <v>17</v>
      </c>
      <c r="H1994" s="5">
        <v>-1883684.16</v>
      </c>
      <c r="I1994" s="3" t="s">
        <v>18</v>
      </c>
      <c r="J1994" s="3" t="s">
        <v>14</v>
      </c>
      <c r="K1994" s="3" t="s">
        <v>14</v>
      </c>
      <c r="L1994" s="3" t="s">
        <v>1751</v>
      </c>
      <c r="M1994" s="4">
        <v>46290</v>
      </c>
      <c r="N1994" s="3" t="s">
        <v>1752</v>
      </c>
      <c r="O1994" s="3" t="s">
        <v>164</v>
      </c>
      <c r="P1994" t="str">
        <f t="shared" si="31"/>
        <v>4500134130440</v>
      </c>
      <c r="Q1994" s="7" cm="1">
        <f t="array" ref="Q1994:S1994">VLOOKUP(P1994,Hoja1!C:F,{2,3,4},FALSE)</f>
        <v>46290</v>
      </c>
      <c r="R1994" t="str">
        <v>C19</v>
      </c>
      <c r="S1994" t="str">
        <v>1000007752 VAHUME S.A.</v>
      </c>
    </row>
    <row r="1995" spans="1:19" x14ac:dyDescent="0.3">
      <c r="A1995" s="2" t="s">
        <v>14</v>
      </c>
      <c r="B1995" s="3" t="s">
        <v>14</v>
      </c>
      <c r="C1995" s="3" t="s">
        <v>1765</v>
      </c>
      <c r="D1995" s="3" t="s">
        <v>84</v>
      </c>
      <c r="E1995" s="3" t="s">
        <v>466</v>
      </c>
      <c r="F1995" s="4">
        <v>46290</v>
      </c>
      <c r="G1995" s="3" t="s">
        <v>17</v>
      </c>
      <c r="H1995" s="5">
        <v>-11879524.800000001</v>
      </c>
      <c r="I1995" s="3" t="s">
        <v>18</v>
      </c>
      <c r="J1995" s="3" t="s">
        <v>14</v>
      </c>
      <c r="K1995" s="3" t="s">
        <v>14</v>
      </c>
      <c r="L1995" s="3" t="s">
        <v>1751</v>
      </c>
      <c r="M1995" s="4">
        <v>46290</v>
      </c>
      <c r="N1995" s="3" t="s">
        <v>1752</v>
      </c>
      <c r="O1995" s="3" t="s">
        <v>169</v>
      </c>
      <c r="P1995" t="str">
        <f t="shared" si="31"/>
        <v>4500134130450</v>
      </c>
      <c r="Q1995" s="7" cm="1">
        <f t="array" ref="Q1995:S1995">VLOOKUP(P1995,Hoja1!C:F,{2,3,4},FALSE)</f>
        <v>46290</v>
      </c>
      <c r="R1995" t="str">
        <v>C19</v>
      </c>
      <c r="S1995" t="str">
        <v>1000007752 VAHUME S.A.</v>
      </c>
    </row>
    <row r="1996" spans="1:19" x14ac:dyDescent="0.3">
      <c r="A1996" s="2" t="s">
        <v>14</v>
      </c>
      <c r="B1996" s="3" t="s">
        <v>14</v>
      </c>
      <c r="C1996" s="3" t="s">
        <v>1765</v>
      </c>
      <c r="D1996" s="3" t="s">
        <v>84</v>
      </c>
      <c r="E1996" s="3" t="s">
        <v>466</v>
      </c>
      <c r="F1996" s="4">
        <v>46290</v>
      </c>
      <c r="G1996" s="3" t="s">
        <v>17</v>
      </c>
      <c r="H1996" s="5">
        <v>-17386963.199999999</v>
      </c>
      <c r="I1996" s="3" t="s">
        <v>18</v>
      </c>
      <c r="J1996" s="3" t="s">
        <v>14</v>
      </c>
      <c r="K1996" s="3" t="s">
        <v>14</v>
      </c>
      <c r="L1996" s="3" t="s">
        <v>1751</v>
      </c>
      <c r="M1996" s="4">
        <v>46290</v>
      </c>
      <c r="N1996" s="3" t="s">
        <v>1752</v>
      </c>
      <c r="O1996" s="3" t="s">
        <v>170</v>
      </c>
      <c r="P1996" t="str">
        <f t="shared" si="31"/>
        <v>4500134130460</v>
      </c>
      <c r="Q1996" s="7" cm="1">
        <f t="array" ref="Q1996:S1996">VLOOKUP(P1996,Hoja1!C:F,{2,3,4},FALSE)</f>
        <v>46290</v>
      </c>
      <c r="R1996" t="str">
        <v>C19</v>
      </c>
      <c r="S1996" t="str">
        <v>1000007752 VAHUME S.A.</v>
      </c>
    </row>
    <row r="1997" spans="1:19" x14ac:dyDescent="0.3">
      <c r="A1997" s="2" t="s">
        <v>14</v>
      </c>
      <c r="B1997" s="3" t="s">
        <v>14</v>
      </c>
      <c r="C1997" s="3" t="s">
        <v>1765</v>
      </c>
      <c r="D1997" s="3" t="s">
        <v>84</v>
      </c>
      <c r="E1997" s="3" t="s">
        <v>466</v>
      </c>
      <c r="F1997" s="4">
        <v>46290</v>
      </c>
      <c r="G1997" s="3" t="s">
        <v>17</v>
      </c>
      <c r="H1997" s="5">
        <v>-2395470.2400000002</v>
      </c>
      <c r="I1997" s="3" t="s">
        <v>18</v>
      </c>
      <c r="J1997" s="3" t="s">
        <v>14</v>
      </c>
      <c r="K1997" s="3" t="s">
        <v>14</v>
      </c>
      <c r="L1997" s="3" t="s">
        <v>1751</v>
      </c>
      <c r="M1997" s="4">
        <v>46290</v>
      </c>
      <c r="N1997" s="3" t="s">
        <v>1752</v>
      </c>
      <c r="O1997" s="3" t="s">
        <v>177</v>
      </c>
      <c r="P1997" t="str">
        <f t="shared" si="31"/>
        <v>4500134130570</v>
      </c>
      <c r="Q1997" s="7" cm="1">
        <f t="array" ref="Q1997:S1997">VLOOKUP(P1997,Hoja1!C:F,{2,3,4},FALSE)</f>
        <v>46304</v>
      </c>
      <c r="R1997" t="str">
        <v>C19</v>
      </c>
      <c r="S1997" t="str">
        <v>1000007752 VAHUME S.A.</v>
      </c>
    </row>
    <row r="1998" spans="1:19" x14ac:dyDescent="0.3">
      <c r="A1998" s="2" t="s">
        <v>14</v>
      </c>
      <c r="B1998" s="3" t="s">
        <v>14</v>
      </c>
      <c r="C1998" s="3" t="s">
        <v>1765</v>
      </c>
      <c r="D1998" s="3" t="s">
        <v>84</v>
      </c>
      <c r="E1998" s="3" t="s">
        <v>466</v>
      </c>
      <c r="F1998" s="4">
        <v>46290</v>
      </c>
      <c r="G1998" s="3" t="s">
        <v>17</v>
      </c>
      <c r="H1998" s="5">
        <v>-566334.71999999997</v>
      </c>
      <c r="I1998" s="3" t="s">
        <v>18</v>
      </c>
      <c r="J1998" s="3" t="s">
        <v>14</v>
      </c>
      <c r="K1998" s="3" t="s">
        <v>14</v>
      </c>
      <c r="L1998" s="3" t="s">
        <v>1751</v>
      </c>
      <c r="M1998" s="4">
        <v>46290</v>
      </c>
      <c r="N1998" s="3" t="s">
        <v>1752</v>
      </c>
      <c r="O1998" s="3" t="s">
        <v>119</v>
      </c>
      <c r="P1998" t="str">
        <f t="shared" si="31"/>
        <v>4500134130590</v>
      </c>
      <c r="Q1998" s="7" cm="1">
        <f t="array" ref="Q1998:S1998">VLOOKUP(P1998,Hoja1!C:F,{2,3,4},FALSE)</f>
        <v>46290</v>
      </c>
      <c r="R1998" t="str">
        <v>C19</v>
      </c>
      <c r="S1998" t="str">
        <v>1000007752 VAHUME S.A.</v>
      </c>
    </row>
    <row r="1999" spans="1:19" x14ac:dyDescent="0.3">
      <c r="A1999" s="2" t="s">
        <v>14</v>
      </c>
      <c r="B1999" s="3" t="s">
        <v>14</v>
      </c>
      <c r="C1999" s="3" t="s">
        <v>1766</v>
      </c>
      <c r="D1999" s="3" t="s">
        <v>14</v>
      </c>
      <c r="E1999" s="3" t="s">
        <v>466</v>
      </c>
      <c r="F1999" s="4">
        <v>46287</v>
      </c>
      <c r="G1999" s="3" t="s">
        <v>17</v>
      </c>
      <c r="H1999" s="5">
        <v>-3030</v>
      </c>
      <c r="I1999" s="3" t="s">
        <v>18</v>
      </c>
      <c r="J1999" s="3" t="s">
        <v>14</v>
      </c>
      <c r="K1999" s="3" t="s">
        <v>14</v>
      </c>
      <c r="L1999" s="3" t="s">
        <v>269</v>
      </c>
      <c r="M1999" s="4">
        <v>46290</v>
      </c>
      <c r="N1999" s="3" t="s">
        <v>1764</v>
      </c>
      <c r="O1999" s="3" t="s">
        <v>22</v>
      </c>
      <c r="P1999" t="str">
        <f t="shared" si="31"/>
        <v>450013857220</v>
      </c>
      <c r="Q1999" s="7" cm="1">
        <f t="array" ref="Q1999:S1999">VLOOKUP(P1999,Hoja1!C:F,{2,3,4},FALSE)</f>
        <v>46295</v>
      </c>
      <c r="R1999" t="str">
        <v>C03</v>
      </c>
      <c r="S1999" t="str">
        <v>1000000190 FERNANDEZ INSUA S.A.</v>
      </c>
    </row>
    <row r="2000" spans="1:19" x14ac:dyDescent="0.3">
      <c r="A2000" s="2" t="s">
        <v>14</v>
      </c>
      <c r="B2000" s="3" t="s">
        <v>14</v>
      </c>
      <c r="C2000" s="3" t="s">
        <v>1766</v>
      </c>
      <c r="D2000" s="3" t="s">
        <v>14</v>
      </c>
      <c r="E2000" s="3" t="s">
        <v>466</v>
      </c>
      <c r="F2000" s="4">
        <v>46287</v>
      </c>
      <c r="G2000" s="3" t="s">
        <v>17</v>
      </c>
      <c r="H2000" s="5">
        <v>-40905</v>
      </c>
      <c r="I2000" s="3" t="s">
        <v>18</v>
      </c>
      <c r="J2000" s="3" t="s">
        <v>14</v>
      </c>
      <c r="K2000" s="3" t="s">
        <v>14</v>
      </c>
      <c r="L2000" s="3" t="s">
        <v>269</v>
      </c>
      <c r="M2000" s="4">
        <v>46290</v>
      </c>
      <c r="N2000" s="3" t="s">
        <v>1764</v>
      </c>
      <c r="O2000" s="3" t="s">
        <v>144</v>
      </c>
      <c r="P2000" t="str">
        <f t="shared" si="31"/>
        <v>450013857250</v>
      </c>
      <c r="Q2000" s="7" cm="1">
        <f t="array" ref="Q2000:S2000">VLOOKUP(P2000,Hoja1!C:F,{2,3,4},FALSE)</f>
        <v>46295</v>
      </c>
      <c r="R2000" t="str">
        <v>C03</v>
      </c>
      <c r="S2000" t="str">
        <v>1000000190 FERNANDEZ INSUA S.A.</v>
      </c>
    </row>
    <row r="2001" spans="1:19" x14ac:dyDescent="0.3">
      <c r="A2001" s="2" t="s">
        <v>14</v>
      </c>
      <c r="B2001" s="3" t="s">
        <v>14</v>
      </c>
      <c r="C2001" s="3" t="s">
        <v>1766</v>
      </c>
      <c r="D2001" s="3" t="s">
        <v>14</v>
      </c>
      <c r="E2001" s="3" t="s">
        <v>466</v>
      </c>
      <c r="F2001" s="4">
        <v>46287</v>
      </c>
      <c r="G2001" s="3" t="s">
        <v>17</v>
      </c>
      <c r="H2001" s="5">
        <v>-13332</v>
      </c>
      <c r="I2001" s="3" t="s">
        <v>18</v>
      </c>
      <c r="J2001" s="3" t="s">
        <v>14</v>
      </c>
      <c r="K2001" s="3" t="s">
        <v>14</v>
      </c>
      <c r="L2001" s="3" t="s">
        <v>269</v>
      </c>
      <c r="M2001" s="4">
        <v>46290</v>
      </c>
      <c r="N2001" s="3" t="s">
        <v>1764</v>
      </c>
      <c r="O2001" s="3" t="s">
        <v>141</v>
      </c>
      <c r="P2001" t="str">
        <f t="shared" si="31"/>
        <v>450013857260</v>
      </c>
      <c r="Q2001" s="7" cm="1">
        <f t="array" ref="Q2001:S2001">VLOOKUP(P2001,Hoja1!C:F,{2,3,4},FALSE)</f>
        <v>46295</v>
      </c>
      <c r="R2001" t="str">
        <v>C03</v>
      </c>
      <c r="S2001" t="str">
        <v>1000000190 FERNANDEZ INSUA S.A.</v>
      </c>
    </row>
    <row r="2002" spans="1:19" x14ac:dyDescent="0.3">
      <c r="A2002" s="2" t="s">
        <v>14</v>
      </c>
      <c r="B2002" s="3" t="s">
        <v>14</v>
      </c>
      <c r="C2002" s="3" t="s">
        <v>1766</v>
      </c>
      <c r="D2002" s="3" t="s">
        <v>14</v>
      </c>
      <c r="E2002" s="3" t="s">
        <v>466</v>
      </c>
      <c r="F2002" s="4">
        <v>46287</v>
      </c>
      <c r="G2002" s="3" t="s">
        <v>17</v>
      </c>
      <c r="H2002" s="5">
        <v>-106050</v>
      </c>
      <c r="I2002" s="3" t="s">
        <v>18</v>
      </c>
      <c r="J2002" s="3" t="s">
        <v>14</v>
      </c>
      <c r="K2002" s="3" t="s">
        <v>14</v>
      </c>
      <c r="L2002" s="3" t="s">
        <v>269</v>
      </c>
      <c r="M2002" s="4">
        <v>46290</v>
      </c>
      <c r="N2002" s="3" t="s">
        <v>1764</v>
      </c>
      <c r="O2002" s="3" t="s">
        <v>45</v>
      </c>
      <c r="P2002" t="str">
        <f t="shared" si="31"/>
        <v>4500138572100</v>
      </c>
      <c r="Q2002" s="7" cm="1">
        <f t="array" ref="Q2002:S2002">VLOOKUP(P2002,Hoja1!C:F,{2,3,4},FALSE)</f>
        <v>46295</v>
      </c>
      <c r="R2002" t="str">
        <v>C03</v>
      </c>
      <c r="S2002" t="str">
        <v>1000000190 FERNANDEZ INSUA S.A.</v>
      </c>
    </row>
    <row r="2003" spans="1:19" x14ac:dyDescent="0.3">
      <c r="A2003" s="2" t="s">
        <v>14</v>
      </c>
      <c r="B2003" s="3" t="s">
        <v>14</v>
      </c>
      <c r="C2003" s="3" t="s">
        <v>1767</v>
      </c>
      <c r="D2003" s="3" t="s">
        <v>14</v>
      </c>
      <c r="E2003" s="3" t="s">
        <v>466</v>
      </c>
      <c r="F2003" s="4">
        <v>46290</v>
      </c>
      <c r="G2003" s="3" t="s">
        <v>17</v>
      </c>
      <c r="H2003" s="5">
        <v>-30300</v>
      </c>
      <c r="I2003" s="3" t="s">
        <v>18</v>
      </c>
      <c r="J2003" s="3" t="s">
        <v>14</v>
      </c>
      <c r="K2003" s="3" t="s">
        <v>14</v>
      </c>
      <c r="L2003" s="3" t="s">
        <v>269</v>
      </c>
      <c r="M2003" s="4">
        <v>46290</v>
      </c>
      <c r="N2003" s="3" t="s">
        <v>1768</v>
      </c>
      <c r="O2003" s="3" t="s">
        <v>23</v>
      </c>
      <c r="P2003" t="str">
        <f t="shared" si="31"/>
        <v>450013881840</v>
      </c>
      <c r="Q2003" s="7" cm="1">
        <f t="array" ref="Q2003:S2003">VLOOKUP(P2003,Hoja1!C:F,{2,3,4},FALSE)</f>
        <v>46290</v>
      </c>
      <c r="R2003" t="str">
        <v>C03</v>
      </c>
      <c r="S2003" t="str">
        <v>1000000190 FERNANDEZ INSUA S.A.</v>
      </c>
    </row>
    <row r="2004" spans="1:19" x14ac:dyDescent="0.3">
      <c r="A2004" s="2" t="s">
        <v>14</v>
      </c>
      <c r="B2004" s="3" t="s">
        <v>14</v>
      </c>
      <c r="C2004" s="3" t="s">
        <v>1767</v>
      </c>
      <c r="D2004" s="3" t="s">
        <v>14</v>
      </c>
      <c r="E2004" s="3" t="s">
        <v>466</v>
      </c>
      <c r="F2004" s="4">
        <v>46290</v>
      </c>
      <c r="G2004" s="3" t="s">
        <v>17</v>
      </c>
      <c r="H2004" s="5">
        <v>-719625</v>
      </c>
      <c r="I2004" s="3" t="s">
        <v>18</v>
      </c>
      <c r="J2004" s="3" t="s">
        <v>14</v>
      </c>
      <c r="K2004" s="3" t="s">
        <v>14</v>
      </c>
      <c r="L2004" s="3" t="s">
        <v>269</v>
      </c>
      <c r="M2004" s="4">
        <v>46290</v>
      </c>
      <c r="N2004" s="3" t="s">
        <v>1768</v>
      </c>
      <c r="O2004" s="3" t="s">
        <v>144</v>
      </c>
      <c r="P2004" t="str">
        <f t="shared" si="31"/>
        <v>450013881850</v>
      </c>
      <c r="Q2004" s="7" cm="1">
        <f t="array" ref="Q2004:S2004">VLOOKUP(P2004,Hoja1!C:F,{2,3,4},FALSE)</f>
        <v>46290</v>
      </c>
      <c r="R2004" t="str">
        <v>C03</v>
      </c>
      <c r="S2004" t="str">
        <v>1000000190 FERNANDEZ INSUA S.A.</v>
      </c>
    </row>
    <row r="2005" spans="1:19" x14ac:dyDescent="0.3">
      <c r="A2005" s="2" t="s">
        <v>14</v>
      </c>
      <c r="B2005" s="3" t="s">
        <v>14</v>
      </c>
      <c r="C2005" s="3" t="s">
        <v>1769</v>
      </c>
      <c r="D2005" s="3" t="s">
        <v>32</v>
      </c>
      <c r="E2005" s="3" t="s">
        <v>466</v>
      </c>
      <c r="F2005" s="4">
        <v>46286</v>
      </c>
      <c r="G2005" s="3" t="s">
        <v>17</v>
      </c>
      <c r="H2005" s="5">
        <v>-3016910.4</v>
      </c>
      <c r="I2005" s="3" t="s">
        <v>18</v>
      </c>
      <c r="J2005" s="3" t="s">
        <v>14</v>
      </c>
      <c r="K2005" s="3" t="s">
        <v>14</v>
      </c>
      <c r="L2005" s="3" t="s">
        <v>1770</v>
      </c>
      <c r="M2005" s="4">
        <v>46290</v>
      </c>
      <c r="N2005" s="3" t="s">
        <v>1771</v>
      </c>
      <c r="O2005" s="3" t="s">
        <v>30</v>
      </c>
      <c r="P2005" t="str">
        <f t="shared" si="31"/>
        <v>450013884510</v>
      </c>
      <c r="Q2005" s="7" cm="1">
        <f t="array" ref="Q2005:S2005">VLOOKUP(P2005,Hoja1!C:F,{2,3,4},FALSE)</f>
        <v>46290</v>
      </c>
      <c r="R2005" t="str">
        <v>C27</v>
      </c>
      <c r="S2005" t="str">
        <v>1000001292 PRODUCTORES DE ACERO PROAR SRL</v>
      </c>
    </row>
    <row r="2006" spans="1:19" x14ac:dyDescent="0.3">
      <c r="A2006" s="2" t="s">
        <v>14</v>
      </c>
      <c r="B2006" s="3" t="s">
        <v>14</v>
      </c>
      <c r="C2006" s="3" t="s">
        <v>1772</v>
      </c>
      <c r="D2006" s="3" t="s">
        <v>32</v>
      </c>
      <c r="E2006" s="3" t="s">
        <v>466</v>
      </c>
      <c r="F2006" s="4">
        <v>46290</v>
      </c>
      <c r="G2006" s="3" t="s">
        <v>17</v>
      </c>
      <c r="H2006" s="5">
        <v>-14847000</v>
      </c>
      <c r="I2006" s="3" t="s">
        <v>18</v>
      </c>
      <c r="J2006" s="3" t="s">
        <v>14</v>
      </c>
      <c r="K2006" s="3" t="s">
        <v>14</v>
      </c>
      <c r="L2006" s="3" t="s">
        <v>1773</v>
      </c>
      <c r="M2006" s="4">
        <v>46290</v>
      </c>
      <c r="N2006" s="3" t="s">
        <v>1774</v>
      </c>
      <c r="O2006" s="3" t="s">
        <v>30</v>
      </c>
      <c r="P2006" t="str">
        <f t="shared" si="31"/>
        <v>450013823410</v>
      </c>
      <c r="Q2006" s="7" cm="1">
        <f t="array" ref="Q2006:S2006">VLOOKUP(P2006,Hoja1!C:F,{2,3,4},FALSE)</f>
        <v>46289</v>
      </c>
      <c r="R2006" t="str">
        <v>C26</v>
      </c>
      <c r="S2006" t="str">
        <v>1000013585 S&amp;B SERVICIOS S. R. L.</v>
      </c>
    </row>
    <row r="2007" spans="1:19" x14ac:dyDescent="0.3">
      <c r="A2007" s="2" t="s">
        <v>14</v>
      </c>
      <c r="B2007" s="3" t="s">
        <v>14</v>
      </c>
      <c r="C2007" s="3" t="s">
        <v>1772</v>
      </c>
      <c r="D2007" s="3" t="s">
        <v>32</v>
      </c>
      <c r="E2007" s="3" t="s">
        <v>466</v>
      </c>
      <c r="F2007" s="4">
        <v>46290</v>
      </c>
      <c r="G2007" s="3" t="s">
        <v>17</v>
      </c>
      <c r="H2007" s="5">
        <v>-1590750</v>
      </c>
      <c r="I2007" s="3" t="s">
        <v>18</v>
      </c>
      <c r="J2007" s="3" t="s">
        <v>14</v>
      </c>
      <c r="K2007" s="3" t="s">
        <v>14</v>
      </c>
      <c r="L2007" s="3" t="s">
        <v>1773</v>
      </c>
      <c r="M2007" s="4">
        <v>46290</v>
      </c>
      <c r="N2007" s="3" t="s">
        <v>1774</v>
      </c>
      <c r="O2007" s="3" t="s">
        <v>35</v>
      </c>
      <c r="P2007" t="str">
        <f t="shared" si="31"/>
        <v>450013823430</v>
      </c>
      <c r="Q2007" s="7" cm="1">
        <f t="array" ref="Q2007:S2007">VLOOKUP(P2007,Hoja1!C:F,{2,3,4},FALSE)</f>
        <v>46310</v>
      </c>
      <c r="R2007" t="str">
        <v>C26</v>
      </c>
      <c r="S2007" t="str">
        <v>1000013585 S&amp;B SERVICIOS S. R. L.</v>
      </c>
    </row>
    <row r="2008" spans="1:19" x14ac:dyDescent="0.3">
      <c r="A2008" s="2" t="s">
        <v>14</v>
      </c>
      <c r="B2008" s="3" t="s">
        <v>14</v>
      </c>
      <c r="C2008" s="3" t="s">
        <v>1775</v>
      </c>
      <c r="D2008" s="3" t="s">
        <v>14</v>
      </c>
      <c r="E2008" s="3" t="s">
        <v>466</v>
      </c>
      <c r="F2008" s="4">
        <v>46290</v>
      </c>
      <c r="G2008" s="3" t="s">
        <v>17</v>
      </c>
      <c r="H2008" s="5">
        <v>-14834.96</v>
      </c>
      <c r="I2008" s="3" t="s">
        <v>18</v>
      </c>
      <c r="J2008" s="3" t="s">
        <v>14</v>
      </c>
      <c r="K2008" s="3" t="s">
        <v>14</v>
      </c>
      <c r="L2008" s="3" t="s">
        <v>1776</v>
      </c>
      <c r="M2008" s="4">
        <v>46290</v>
      </c>
      <c r="N2008" s="3" t="s">
        <v>1777</v>
      </c>
      <c r="O2008" s="3" t="s">
        <v>30</v>
      </c>
      <c r="P2008" t="str">
        <f t="shared" si="31"/>
        <v>450013888310</v>
      </c>
      <c r="Q2008" s="7" cm="1">
        <f t="array" ref="Q2008:S2008">VLOOKUP(P2008,Hoja1!C:F,{2,3,4},FALSE)</f>
        <v>46287</v>
      </c>
      <c r="R2008" t="str">
        <v>C27</v>
      </c>
      <c r="S2008" t="str">
        <v>1000013666 GRUPO V SRL</v>
      </c>
    </row>
    <row r="2009" spans="1:19" x14ac:dyDescent="0.3">
      <c r="A2009" s="2" t="s">
        <v>14</v>
      </c>
      <c r="B2009" s="3" t="s">
        <v>14</v>
      </c>
      <c r="C2009" s="3" t="s">
        <v>1775</v>
      </c>
      <c r="D2009" s="3" t="s">
        <v>14</v>
      </c>
      <c r="E2009" s="3" t="s">
        <v>466</v>
      </c>
      <c r="F2009" s="4">
        <v>46290</v>
      </c>
      <c r="G2009" s="3" t="s">
        <v>17</v>
      </c>
      <c r="H2009" s="5">
        <v>-7417.48</v>
      </c>
      <c r="I2009" s="3" t="s">
        <v>18</v>
      </c>
      <c r="J2009" s="3" t="s">
        <v>14</v>
      </c>
      <c r="K2009" s="3" t="s">
        <v>14</v>
      </c>
      <c r="L2009" s="3" t="s">
        <v>1776</v>
      </c>
      <c r="M2009" s="4">
        <v>46290</v>
      </c>
      <c r="N2009" s="3" t="s">
        <v>1777</v>
      </c>
      <c r="O2009" s="3" t="s">
        <v>22</v>
      </c>
      <c r="P2009" t="str">
        <f t="shared" si="31"/>
        <v>450013888320</v>
      </c>
      <c r="Q2009" s="7" cm="1">
        <f t="array" ref="Q2009:S2009">VLOOKUP(P2009,Hoja1!C:F,{2,3,4},FALSE)</f>
        <v>46287</v>
      </c>
      <c r="R2009" t="str">
        <v>C27</v>
      </c>
      <c r="S2009" t="str">
        <v>1000013666 GRUPO V SRL</v>
      </c>
    </row>
    <row r="2010" spans="1:19" x14ac:dyDescent="0.3">
      <c r="A2010" s="2" t="s">
        <v>14</v>
      </c>
      <c r="B2010" s="3" t="s">
        <v>14</v>
      </c>
      <c r="C2010" s="3" t="s">
        <v>1778</v>
      </c>
      <c r="D2010" s="3" t="s">
        <v>14</v>
      </c>
      <c r="E2010" s="3" t="s">
        <v>466</v>
      </c>
      <c r="F2010" s="4">
        <v>46287</v>
      </c>
      <c r="G2010" s="3" t="s">
        <v>17</v>
      </c>
      <c r="H2010" s="5">
        <v>-484800</v>
      </c>
      <c r="I2010" s="3" t="s">
        <v>18</v>
      </c>
      <c r="J2010" s="3" t="s">
        <v>14</v>
      </c>
      <c r="K2010" s="3" t="s">
        <v>14</v>
      </c>
      <c r="L2010" s="3" t="s">
        <v>269</v>
      </c>
      <c r="M2010" s="4">
        <v>46290</v>
      </c>
      <c r="N2010" s="3" t="s">
        <v>1779</v>
      </c>
      <c r="O2010" s="3" t="s">
        <v>30</v>
      </c>
      <c r="P2010" t="str">
        <f t="shared" si="31"/>
        <v>450013905510</v>
      </c>
      <c r="Q2010" s="7" cm="1">
        <f t="array" ref="Q2010:S2010">VLOOKUP(P2010,Hoja1!C:F,{2,3,4},FALSE)</f>
        <v>46294</v>
      </c>
      <c r="R2010" t="str">
        <v>G05</v>
      </c>
      <c r="S2010" t="str">
        <v>1000000190 FERNANDEZ INSUA S.A.</v>
      </c>
    </row>
    <row r="2011" spans="1:19" x14ac:dyDescent="0.3">
      <c r="A2011" s="2" t="s">
        <v>14</v>
      </c>
      <c r="B2011" s="3" t="s">
        <v>14</v>
      </c>
      <c r="C2011" s="3" t="s">
        <v>1778</v>
      </c>
      <c r="D2011" s="3" t="s">
        <v>14</v>
      </c>
      <c r="E2011" s="3" t="s">
        <v>466</v>
      </c>
      <c r="F2011" s="4">
        <v>46287</v>
      </c>
      <c r="G2011" s="3" t="s">
        <v>17</v>
      </c>
      <c r="H2011" s="5">
        <v>-60600</v>
      </c>
      <c r="I2011" s="3" t="s">
        <v>18</v>
      </c>
      <c r="J2011" s="3" t="s">
        <v>14</v>
      </c>
      <c r="K2011" s="3" t="s">
        <v>14</v>
      </c>
      <c r="L2011" s="3" t="s">
        <v>269</v>
      </c>
      <c r="M2011" s="4">
        <v>46290</v>
      </c>
      <c r="N2011" s="3" t="s">
        <v>1779</v>
      </c>
      <c r="O2011" s="3" t="s">
        <v>22</v>
      </c>
      <c r="P2011" t="str">
        <f t="shared" si="31"/>
        <v>450013905520</v>
      </c>
      <c r="Q2011" s="7" cm="1">
        <f t="array" ref="Q2011:S2011">VLOOKUP(P2011,Hoja1!C:F,{2,3,4},FALSE)</f>
        <v>46294</v>
      </c>
      <c r="R2011" t="str">
        <v>G05</v>
      </c>
      <c r="S2011" t="str">
        <v>1000000190 FERNANDEZ INSUA S.A.</v>
      </c>
    </row>
    <row r="2012" spans="1:19" x14ac:dyDescent="0.3">
      <c r="A2012" s="2" t="s">
        <v>14</v>
      </c>
      <c r="B2012" s="3" t="s">
        <v>14</v>
      </c>
      <c r="C2012" s="3" t="s">
        <v>1780</v>
      </c>
      <c r="D2012" s="3" t="s">
        <v>84</v>
      </c>
      <c r="E2012" s="3" t="s">
        <v>466</v>
      </c>
      <c r="F2012" s="4">
        <v>46290</v>
      </c>
      <c r="G2012" s="3" t="s">
        <v>17</v>
      </c>
      <c r="H2012" s="5">
        <v>-520754.4</v>
      </c>
      <c r="I2012" s="3" t="s">
        <v>18</v>
      </c>
      <c r="J2012" s="3" t="s">
        <v>14</v>
      </c>
      <c r="K2012" s="3" t="s">
        <v>14</v>
      </c>
      <c r="L2012" s="3" t="s">
        <v>1751</v>
      </c>
      <c r="M2012" s="4">
        <v>46290</v>
      </c>
      <c r="N2012" s="3" t="s">
        <v>1752</v>
      </c>
      <c r="O2012" s="3" t="s">
        <v>163</v>
      </c>
      <c r="P2012" t="str">
        <f t="shared" si="31"/>
        <v>4500134130580</v>
      </c>
      <c r="Q2012" s="7" cm="1">
        <f t="array" ref="Q2012:S2012">VLOOKUP(P2012,Hoja1!C:F,{2,3,4},FALSE)</f>
        <v>46290</v>
      </c>
      <c r="R2012" t="str">
        <v>C19</v>
      </c>
      <c r="S2012" t="str">
        <v>1000007752 VAHUME S.A.</v>
      </c>
    </row>
    <row r="2013" spans="1:19" x14ac:dyDescent="0.3">
      <c r="A2013" s="2" t="s">
        <v>14</v>
      </c>
      <c r="B2013" s="3" t="s">
        <v>14</v>
      </c>
      <c r="C2013" s="3" t="s">
        <v>1781</v>
      </c>
      <c r="D2013" s="3" t="s">
        <v>14</v>
      </c>
      <c r="E2013" s="3" t="s">
        <v>466</v>
      </c>
      <c r="F2013" s="4">
        <v>46290</v>
      </c>
      <c r="G2013" s="3" t="s">
        <v>17</v>
      </c>
      <c r="H2013" s="5">
        <v>-3957937.5</v>
      </c>
      <c r="I2013" s="3" t="s">
        <v>18</v>
      </c>
      <c r="J2013" s="3" t="s">
        <v>14</v>
      </c>
      <c r="K2013" s="3" t="s">
        <v>14</v>
      </c>
      <c r="L2013" s="3" t="s">
        <v>274</v>
      </c>
      <c r="M2013" s="4">
        <v>46290</v>
      </c>
      <c r="N2013" s="3" t="s">
        <v>1782</v>
      </c>
      <c r="O2013" s="3" t="s">
        <v>30</v>
      </c>
      <c r="P2013" t="str">
        <f t="shared" si="31"/>
        <v>450013936810</v>
      </c>
      <c r="Q2013" s="7" cm="1">
        <f t="array" ref="Q2013:S2013">VLOOKUP(P2013,Hoja1!C:F,{2,3,4},FALSE)</f>
        <v>46300</v>
      </c>
      <c r="R2013" t="str">
        <v>C42</v>
      </c>
      <c r="S2013" t="str">
        <v>1000000072 BERTEC S.A</v>
      </c>
    </row>
    <row r="2014" spans="1:19" x14ac:dyDescent="0.3">
      <c r="A2014" s="2" t="s">
        <v>14</v>
      </c>
      <c r="B2014" s="3" t="s">
        <v>14</v>
      </c>
      <c r="C2014" s="3" t="s">
        <v>1783</v>
      </c>
      <c r="D2014" s="3" t="s">
        <v>14</v>
      </c>
      <c r="E2014" s="3" t="s">
        <v>466</v>
      </c>
      <c r="F2014" s="4">
        <v>46290</v>
      </c>
      <c r="G2014" s="3" t="s">
        <v>17</v>
      </c>
      <c r="H2014" s="5">
        <v>-181000</v>
      </c>
      <c r="I2014" s="3" t="s">
        <v>18</v>
      </c>
      <c r="J2014" s="3" t="s">
        <v>14</v>
      </c>
      <c r="K2014" s="3" t="s">
        <v>14</v>
      </c>
      <c r="L2014" s="3" t="s">
        <v>498</v>
      </c>
      <c r="M2014" s="4">
        <v>46290</v>
      </c>
      <c r="N2014" s="3" t="s">
        <v>1784</v>
      </c>
      <c r="O2014" s="3" t="s">
        <v>30</v>
      </c>
      <c r="P2014" t="str">
        <f t="shared" si="31"/>
        <v>450013944610</v>
      </c>
      <c r="Q2014" s="7" cm="1">
        <f t="array" ref="Q2014:S2014">VLOOKUP(P2014,Hoja1!C:F,{2,3,4},FALSE)</f>
        <v>46300</v>
      </c>
      <c r="R2014" t="str">
        <v>C42</v>
      </c>
      <c r="S2014" t="str">
        <v>1000000453 GOMA 2000 DE TECNO PART S.A.</v>
      </c>
    </row>
    <row r="2015" spans="1:19" x14ac:dyDescent="0.3">
      <c r="A2015" s="2" t="s">
        <v>14</v>
      </c>
      <c r="B2015" s="3" t="s">
        <v>14</v>
      </c>
      <c r="C2015" s="3" t="s">
        <v>1785</v>
      </c>
      <c r="D2015" s="3" t="s">
        <v>14</v>
      </c>
      <c r="E2015" s="3" t="s">
        <v>466</v>
      </c>
      <c r="F2015" s="4">
        <v>46290</v>
      </c>
      <c r="G2015" s="3" t="s">
        <v>17</v>
      </c>
      <c r="H2015" s="5">
        <v>-82000</v>
      </c>
      <c r="I2015" s="3" t="s">
        <v>18</v>
      </c>
      <c r="J2015" s="3" t="s">
        <v>14</v>
      </c>
      <c r="K2015" s="3" t="s">
        <v>14</v>
      </c>
      <c r="L2015" s="3" t="s">
        <v>1182</v>
      </c>
      <c r="M2015" s="4">
        <v>46290</v>
      </c>
      <c r="N2015" s="3" t="s">
        <v>1786</v>
      </c>
      <c r="O2015" s="3" t="s">
        <v>30</v>
      </c>
      <c r="P2015" t="str">
        <f t="shared" si="31"/>
        <v>450013934410</v>
      </c>
      <c r="Q2015" s="7" cm="1">
        <f t="array" ref="Q2015:S2015">VLOOKUP(P2015,Hoja1!C:F,{2,3,4},FALSE)</f>
        <v>46301</v>
      </c>
      <c r="R2015" t="str">
        <v>C38</v>
      </c>
      <c r="S2015" t="str">
        <v>1000001653 RIAL JOSE ANGEL</v>
      </c>
    </row>
    <row r="2016" spans="1:19" x14ac:dyDescent="0.3">
      <c r="A2016" s="2" t="s">
        <v>14</v>
      </c>
      <c r="B2016" s="3" t="s">
        <v>14</v>
      </c>
      <c r="C2016" s="3" t="s">
        <v>1787</v>
      </c>
      <c r="D2016" s="3" t="s">
        <v>14</v>
      </c>
      <c r="E2016" s="3" t="s">
        <v>466</v>
      </c>
      <c r="F2016" s="4">
        <v>46290</v>
      </c>
      <c r="G2016" s="3" t="s">
        <v>17</v>
      </c>
      <c r="H2016" s="5">
        <v>-373600</v>
      </c>
      <c r="I2016" s="3" t="s">
        <v>18</v>
      </c>
      <c r="J2016" s="3" t="s">
        <v>14</v>
      </c>
      <c r="K2016" s="3" t="s">
        <v>14</v>
      </c>
      <c r="L2016" s="3" t="s">
        <v>1182</v>
      </c>
      <c r="M2016" s="4">
        <v>46290</v>
      </c>
      <c r="N2016" s="3" t="s">
        <v>1786</v>
      </c>
      <c r="O2016" s="3" t="s">
        <v>22</v>
      </c>
      <c r="P2016" t="str">
        <f t="shared" si="31"/>
        <v>450013934420</v>
      </c>
      <c r="Q2016" s="7" cm="1">
        <f t="array" ref="Q2016:S2016">VLOOKUP(P2016,Hoja1!C:F,{2,3,4},FALSE)</f>
        <v>46301</v>
      </c>
      <c r="R2016" t="str">
        <v>C38</v>
      </c>
      <c r="S2016" t="str">
        <v>1000001653 RIAL JOSE ANGEL</v>
      </c>
    </row>
    <row r="2017" spans="1:19" x14ac:dyDescent="0.3">
      <c r="A2017" s="2" t="s">
        <v>14</v>
      </c>
      <c r="B2017" s="3" t="s">
        <v>14</v>
      </c>
      <c r="C2017" s="3" t="s">
        <v>1788</v>
      </c>
      <c r="D2017" s="3" t="s">
        <v>14</v>
      </c>
      <c r="E2017" s="3" t="s">
        <v>466</v>
      </c>
      <c r="F2017" s="4">
        <v>46290</v>
      </c>
      <c r="G2017" s="3" t="s">
        <v>17</v>
      </c>
      <c r="H2017" s="5">
        <v>-10260000</v>
      </c>
      <c r="I2017" s="3" t="s">
        <v>18</v>
      </c>
      <c r="J2017" s="3" t="s">
        <v>14</v>
      </c>
      <c r="K2017" s="3" t="s">
        <v>14</v>
      </c>
      <c r="L2017" s="3" t="s">
        <v>434</v>
      </c>
      <c r="M2017" s="4">
        <v>46290</v>
      </c>
      <c r="N2017" s="3" t="s">
        <v>1789</v>
      </c>
      <c r="O2017" s="3" t="s">
        <v>30</v>
      </c>
      <c r="P2017" t="str">
        <f t="shared" si="31"/>
        <v>450013513610</v>
      </c>
      <c r="Q2017" s="7" cm="1">
        <f t="array" ref="Q2017:S2017">VLOOKUP(P2017,Hoja1!C:F,{2,3,4},FALSE)</f>
        <v>46287</v>
      </c>
      <c r="R2017" t="str">
        <v>C03</v>
      </c>
      <c r="S2017" t="str">
        <v>1000000488 BETA S.A.</v>
      </c>
    </row>
    <row r="2018" spans="1:19" x14ac:dyDescent="0.3">
      <c r="A2018" s="2" t="s">
        <v>14</v>
      </c>
      <c r="B2018" s="3" t="s">
        <v>14</v>
      </c>
      <c r="C2018" s="3" t="s">
        <v>1790</v>
      </c>
      <c r="D2018" s="3" t="s">
        <v>32</v>
      </c>
      <c r="E2018" s="3" t="s">
        <v>466</v>
      </c>
      <c r="F2018" s="4">
        <v>46290</v>
      </c>
      <c r="G2018" s="3" t="s">
        <v>17</v>
      </c>
      <c r="H2018" s="5">
        <v>-15454.48</v>
      </c>
      <c r="I2018" s="3" t="s">
        <v>18</v>
      </c>
      <c r="J2018" s="3" t="s">
        <v>14</v>
      </c>
      <c r="K2018" s="3" t="s">
        <v>14</v>
      </c>
      <c r="L2018" s="3" t="s">
        <v>944</v>
      </c>
      <c r="M2018" s="4">
        <v>46290</v>
      </c>
      <c r="N2018" s="3" t="s">
        <v>1791</v>
      </c>
      <c r="O2018" s="3" t="s">
        <v>30</v>
      </c>
      <c r="P2018" t="str">
        <f t="shared" si="31"/>
        <v>450013954410</v>
      </c>
      <c r="Q2018" s="7" cm="1">
        <f t="array" ref="Q2018:S2018">VLOOKUP(P2018,Hoja1!C:F,{2,3,4},FALSE)</f>
        <v>46310</v>
      </c>
      <c r="R2018" t="str">
        <v>EFO</v>
      </c>
      <c r="S2018" t="str">
        <v>1000012647 ZANOTTI HERMANOS SRL</v>
      </c>
    </row>
    <row r="2019" spans="1:19" x14ac:dyDescent="0.3">
      <c r="A2019" s="2" t="s">
        <v>14</v>
      </c>
      <c r="B2019" s="3" t="s">
        <v>14</v>
      </c>
      <c r="C2019" s="3" t="s">
        <v>1790</v>
      </c>
      <c r="D2019" s="3" t="s">
        <v>32</v>
      </c>
      <c r="E2019" s="3" t="s">
        <v>466</v>
      </c>
      <c r="F2019" s="4">
        <v>46290</v>
      </c>
      <c r="G2019" s="3" t="s">
        <v>17</v>
      </c>
      <c r="H2019" s="5">
        <v>-13104.9</v>
      </c>
      <c r="I2019" s="3" t="s">
        <v>18</v>
      </c>
      <c r="J2019" s="3" t="s">
        <v>14</v>
      </c>
      <c r="K2019" s="3" t="s">
        <v>14</v>
      </c>
      <c r="L2019" s="3" t="s">
        <v>944</v>
      </c>
      <c r="M2019" s="4">
        <v>46290</v>
      </c>
      <c r="N2019" s="3" t="s">
        <v>1791</v>
      </c>
      <c r="O2019" s="3" t="s">
        <v>22</v>
      </c>
      <c r="P2019" t="str">
        <f t="shared" si="31"/>
        <v>450013954420</v>
      </c>
      <c r="Q2019" s="7" cm="1">
        <f t="array" ref="Q2019:S2019">VLOOKUP(P2019,Hoja1!C:F,{2,3,4},FALSE)</f>
        <v>46310</v>
      </c>
      <c r="R2019" t="str">
        <v>EFO</v>
      </c>
      <c r="S2019" t="str">
        <v>1000012647 ZANOTTI HERMANOS SRL</v>
      </c>
    </row>
    <row r="2020" spans="1:19" x14ac:dyDescent="0.3">
      <c r="A2020" s="2" t="s">
        <v>14</v>
      </c>
      <c r="B2020" s="3" t="s">
        <v>14</v>
      </c>
      <c r="C2020" s="3" t="s">
        <v>1790</v>
      </c>
      <c r="D2020" s="3" t="s">
        <v>32</v>
      </c>
      <c r="E2020" s="3" t="s">
        <v>466</v>
      </c>
      <c r="F2020" s="4">
        <v>46290</v>
      </c>
      <c r="G2020" s="3" t="s">
        <v>17</v>
      </c>
      <c r="H2020" s="5">
        <v>-21150.799999999999</v>
      </c>
      <c r="I2020" s="3" t="s">
        <v>18</v>
      </c>
      <c r="J2020" s="3" t="s">
        <v>14</v>
      </c>
      <c r="K2020" s="3" t="s">
        <v>14</v>
      </c>
      <c r="L2020" s="3" t="s">
        <v>944</v>
      </c>
      <c r="M2020" s="4">
        <v>46290</v>
      </c>
      <c r="N2020" s="3" t="s">
        <v>1791</v>
      </c>
      <c r="O2020" s="3" t="s">
        <v>35</v>
      </c>
      <c r="P2020" t="str">
        <f t="shared" si="31"/>
        <v>450013954430</v>
      </c>
      <c r="Q2020" s="7" cm="1">
        <f t="array" ref="Q2020:S2020">VLOOKUP(P2020,Hoja1!C:F,{2,3,4},FALSE)</f>
        <v>46310</v>
      </c>
      <c r="R2020" t="str">
        <v>EFO</v>
      </c>
      <c r="S2020" t="str">
        <v>1000012647 ZANOTTI HERMANOS SRL</v>
      </c>
    </row>
    <row r="2021" spans="1:19" x14ac:dyDescent="0.3">
      <c r="A2021" s="2" t="s">
        <v>14</v>
      </c>
      <c r="B2021" s="3" t="s">
        <v>14</v>
      </c>
      <c r="C2021" s="3" t="s">
        <v>1790</v>
      </c>
      <c r="D2021" s="3" t="s">
        <v>32</v>
      </c>
      <c r="E2021" s="3" t="s">
        <v>466</v>
      </c>
      <c r="F2021" s="4">
        <v>46290</v>
      </c>
      <c r="G2021" s="3" t="s">
        <v>17</v>
      </c>
      <c r="H2021" s="5">
        <v>-3101.33</v>
      </c>
      <c r="I2021" s="3" t="s">
        <v>18</v>
      </c>
      <c r="J2021" s="3" t="s">
        <v>14</v>
      </c>
      <c r="K2021" s="3" t="s">
        <v>14</v>
      </c>
      <c r="L2021" s="3" t="s">
        <v>944</v>
      </c>
      <c r="M2021" s="4">
        <v>46290</v>
      </c>
      <c r="N2021" s="3" t="s">
        <v>1791</v>
      </c>
      <c r="O2021" s="3" t="s">
        <v>23</v>
      </c>
      <c r="P2021" t="str">
        <f t="shared" si="31"/>
        <v>450013954440</v>
      </c>
      <c r="Q2021" s="7" cm="1">
        <f t="array" ref="Q2021:S2021">VLOOKUP(P2021,Hoja1!C:F,{2,3,4},FALSE)</f>
        <v>46310</v>
      </c>
      <c r="R2021" t="str">
        <v>EFO</v>
      </c>
      <c r="S2021" t="str">
        <v>1000012647 ZANOTTI HERMANOS SRL</v>
      </c>
    </row>
    <row r="2022" spans="1:19" x14ac:dyDescent="0.3">
      <c r="A2022" s="2" t="s">
        <v>14</v>
      </c>
      <c r="B2022" s="3" t="s">
        <v>14</v>
      </c>
      <c r="C2022" s="3" t="s">
        <v>1790</v>
      </c>
      <c r="D2022" s="3" t="s">
        <v>32</v>
      </c>
      <c r="E2022" s="3" t="s">
        <v>466</v>
      </c>
      <c r="F2022" s="4">
        <v>46290</v>
      </c>
      <c r="G2022" s="3" t="s">
        <v>17</v>
      </c>
      <c r="H2022" s="5">
        <v>-4883.5</v>
      </c>
      <c r="I2022" s="3" t="s">
        <v>18</v>
      </c>
      <c r="J2022" s="3" t="s">
        <v>14</v>
      </c>
      <c r="K2022" s="3" t="s">
        <v>14</v>
      </c>
      <c r="L2022" s="3" t="s">
        <v>944</v>
      </c>
      <c r="M2022" s="4">
        <v>46290</v>
      </c>
      <c r="N2022" s="3" t="s">
        <v>1791</v>
      </c>
      <c r="O2022" s="3" t="s">
        <v>144</v>
      </c>
      <c r="P2022" t="str">
        <f t="shared" si="31"/>
        <v>450013954450</v>
      </c>
      <c r="Q2022" s="7" cm="1">
        <f t="array" ref="Q2022:S2022">VLOOKUP(P2022,Hoja1!C:F,{2,3,4},FALSE)</f>
        <v>46310</v>
      </c>
      <c r="R2022" t="str">
        <v>EFO</v>
      </c>
      <c r="S2022" t="str">
        <v>1000012647 ZANOTTI HERMANOS SRL</v>
      </c>
    </row>
    <row r="2023" spans="1:19" x14ac:dyDescent="0.3">
      <c r="A2023" s="2" t="s">
        <v>14</v>
      </c>
      <c r="B2023" s="3" t="s">
        <v>14</v>
      </c>
      <c r="C2023" s="3" t="s">
        <v>1790</v>
      </c>
      <c r="D2023" s="3" t="s">
        <v>32</v>
      </c>
      <c r="E2023" s="3" t="s">
        <v>466</v>
      </c>
      <c r="F2023" s="4">
        <v>46290</v>
      </c>
      <c r="G2023" s="3" t="s">
        <v>17</v>
      </c>
      <c r="H2023" s="5">
        <v>-21617.06</v>
      </c>
      <c r="I2023" s="3" t="s">
        <v>18</v>
      </c>
      <c r="J2023" s="3" t="s">
        <v>14</v>
      </c>
      <c r="K2023" s="3" t="s">
        <v>14</v>
      </c>
      <c r="L2023" s="3" t="s">
        <v>944</v>
      </c>
      <c r="M2023" s="4">
        <v>46290</v>
      </c>
      <c r="N2023" s="3" t="s">
        <v>1791</v>
      </c>
      <c r="O2023" s="3" t="s">
        <v>141</v>
      </c>
      <c r="P2023" t="str">
        <f t="shared" si="31"/>
        <v>450013954460</v>
      </c>
      <c r="Q2023" s="7" cm="1">
        <f t="array" ref="Q2023:S2023">VLOOKUP(P2023,Hoja1!C:F,{2,3,4},FALSE)</f>
        <v>46310</v>
      </c>
      <c r="R2023" t="str">
        <v>EFO</v>
      </c>
      <c r="S2023" t="str">
        <v>1000012647 ZANOTTI HERMANOS SRL</v>
      </c>
    </row>
    <row r="2024" spans="1:19" x14ac:dyDescent="0.3">
      <c r="A2024" s="2" t="s">
        <v>14</v>
      </c>
      <c r="B2024" s="3" t="s">
        <v>14</v>
      </c>
      <c r="C2024" s="3" t="s">
        <v>1790</v>
      </c>
      <c r="D2024" s="3" t="s">
        <v>32</v>
      </c>
      <c r="E2024" s="3" t="s">
        <v>466</v>
      </c>
      <c r="F2024" s="4">
        <v>46290</v>
      </c>
      <c r="G2024" s="3" t="s">
        <v>17</v>
      </c>
      <c r="H2024" s="5">
        <v>-141211.38</v>
      </c>
      <c r="I2024" s="3" t="s">
        <v>18</v>
      </c>
      <c r="J2024" s="3" t="s">
        <v>14</v>
      </c>
      <c r="K2024" s="3" t="s">
        <v>14</v>
      </c>
      <c r="L2024" s="3" t="s">
        <v>944</v>
      </c>
      <c r="M2024" s="4">
        <v>46290</v>
      </c>
      <c r="N2024" s="3" t="s">
        <v>1791</v>
      </c>
      <c r="O2024" s="3" t="s">
        <v>134</v>
      </c>
      <c r="P2024" t="str">
        <f t="shared" si="31"/>
        <v>450013954470</v>
      </c>
      <c r="Q2024" s="7" cm="1">
        <f t="array" ref="Q2024:S2024">VLOOKUP(P2024,Hoja1!C:F,{2,3,4},FALSE)</f>
        <v>46310</v>
      </c>
      <c r="R2024" t="str">
        <v>EFO</v>
      </c>
      <c r="S2024" t="str">
        <v>1000012647 ZANOTTI HERMANOS SRL</v>
      </c>
    </row>
    <row r="2025" spans="1:19" x14ac:dyDescent="0.3">
      <c r="A2025" s="2" t="s">
        <v>14</v>
      </c>
      <c r="B2025" s="3" t="s">
        <v>14</v>
      </c>
      <c r="C2025" s="3" t="s">
        <v>1790</v>
      </c>
      <c r="D2025" s="3" t="s">
        <v>32</v>
      </c>
      <c r="E2025" s="3" t="s">
        <v>466</v>
      </c>
      <c r="F2025" s="4">
        <v>46290</v>
      </c>
      <c r="G2025" s="3" t="s">
        <v>17</v>
      </c>
      <c r="H2025" s="5">
        <v>-44643.54</v>
      </c>
      <c r="I2025" s="3" t="s">
        <v>18</v>
      </c>
      <c r="J2025" s="3" t="s">
        <v>14</v>
      </c>
      <c r="K2025" s="3" t="s">
        <v>14</v>
      </c>
      <c r="L2025" s="3" t="s">
        <v>944</v>
      </c>
      <c r="M2025" s="4">
        <v>46290</v>
      </c>
      <c r="N2025" s="3" t="s">
        <v>1791</v>
      </c>
      <c r="O2025" s="3" t="s">
        <v>52</v>
      </c>
      <c r="P2025" t="str">
        <f t="shared" si="31"/>
        <v>450013954480</v>
      </c>
      <c r="Q2025" s="7" cm="1">
        <f t="array" ref="Q2025:S2025">VLOOKUP(P2025,Hoja1!C:F,{2,3,4},FALSE)</f>
        <v>46310</v>
      </c>
      <c r="R2025" t="str">
        <v>EFO</v>
      </c>
      <c r="S2025" t="str">
        <v>1000012647 ZANOTTI HERMANOS SRL</v>
      </c>
    </row>
    <row r="2026" spans="1:19" x14ac:dyDescent="0.3">
      <c r="A2026" s="2" t="s">
        <v>14</v>
      </c>
      <c r="B2026" s="3" t="s">
        <v>14</v>
      </c>
      <c r="C2026" s="3" t="s">
        <v>1790</v>
      </c>
      <c r="D2026" s="3" t="s">
        <v>32</v>
      </c>
      <c r="E2026" s="3" t="s">
        <v>466</v>
      </c>
      <c r="F2026" s="4">
        <v>46290</v>
      </c>
      <c r="G2026" s="3" t="s">
        <v>17</v>
      </c>
      <c r="H2026" s="5">
        <v>-18890.580000000002</v>
      </c>
      <c r="I2026" s="3" t="s">
        <v>18</v>
      </c>
      <c r="J2026" s="3" t="s">
        <v>14</v>
      </c>
      <c r="K2026" s="3" t="s">
        <v>14</v>
      </c>
      <c r="L2026" s="3" t="s">
        <v>944</v>
      </c>
      <c r="M2026" s="4">
        <v>46290</v>
      </c>
      <c r="N2026" s="3" t="s">
        <v>1791</v>
      </c>
      <c r="O2026" s="3" t="s">
        <v>138</v>
      </c>
      <c r="P2026" t="str">
        <f t="shared" si="31"/>
        <v>450013954490</v>
      </c>
      <c r="Q2026" s="7" cm="1">
        <f t="array" ref="Q2026:S2026">VLOOKUP(P2026,Hoja1!C:F,{2,3,4},FALSE)</f>
        <v>46310</v>
      </c>
      <c r="R2026" t="str">
        <v>EFO</v>
      </c>
      <c r="S2026" t="str">
        <v>1000012647 ZANOTTI HERMANOS SRL</v>
      </c>
    </row>
    <row r="2027" spans="1:19" x14ac:dyDescent="0.3">
      <c r="A2027" s="2" t="s">
        <v>14</v>
      </c>
      <c r="B2027" s="3" t="s">
        <v>14</v>
      </c>
      <c r="C2027" s="3" t="s">
        <v>1790</v>
      </c>
      <c r="D2027" s="3" t="s">
        <v>32</v>
      </c>
      <c r="E2027" s="3" t="s">
        <v>466</v>
      </c>
      <c r="F2027" s="4">
        <v>46290</v>
      </c>
      <c r="G2027" s="3" t="s">
        <v>17</v>
      </c>
      <c r="H2027" s="5">
        <v>-10260.540000000001</v>
      </c>
      <c r="I2027" s="3" t="s">
        <v>18</v>
      </c>
      <c r="J2027" s="3" t="s">
        <v>14</v>
      </c>
      <c r="K2027" s="3" t="s">
        <v>14</v>
      </c>
      <c r="L2027" s="3" t="s">
        <v>944</v>
      </c>
      <c r="M2027" s="4">
        <v>46290</v>
      </c>
      <c r="N2027" s="3" t="s">
        <v>1791</v>
      </c>
      <c r="O2027" s="3" t="s">
        <v>45</v>
      </c>
      <c r="P2027" t="str">
        <f t="shared" si="31"/>
        <v>4500139544100</v>
      </c>
      <c r="Q2027" s="7" cm="1">
        <f t="array" ref="Q2027:S2027">VLOOKUP(P2027,Hoja1!C:F,{2,3,4},FALSE)</f>
        <v>46310</v>
      </c>
      <c r="R2027" t="str">
        <v>EFO</v>
      </c>
      <c r="S2027" t="str">
        <v>1000012647 ZANOTTI HERMANOS SRL</v>
      </c>
    </row>
    <row r="2028" spans="1:19" x14ac:dyDescent="0.3">
      <c r="A2028" s="2" t="s">
        <v>14</v>
      </c>
      <c r="B2028" s="3" t="s">
        <v>14</v>
      </c>
      <c r="C2028" s="3" t="s">
        <v>1790</v>
      </c>
      <c r="D2028" s="3" t="s">
        <v>32</v>
      </c>
      <c r="E2028" s="3" t="s">
        <v>466</v>
      </c>
      <c r="F2028" s="4">
        <v>46290</v>
      </c>
      <c r="G2028" s="3" t="s">
        <v>17</v>
      </c>
      <c r="H2028" s="5">
        <v>-12068.19</v>
      </c>
      <c r="I2028" s="3" t="s">
        <v>18</v>
      </c>
      <c r="J2028" s="3" t="s">
        <v>14</v>
      </c>
      <c r="K2028" s="3" t="s">
        <v>14</v>
      </c>
      <c r="L2028" s="3" t="s">
        <v>944</v>
      </c>
      <c r="M2028" s="4">
        <v>46290</v>
      </c>
      <c r="N2028" s="3" t="s">
        <v>1791</v>
      </c>
      <c r="O2028" s="3" t="s">
        <v>156</v>
      </c>
      <c r="P2028" t="str">
        <f t="shared" si="31"/>
        <v>4500139544110</v>
      </c>
      <c r="Q2028" s="7" cm="1">
        <f t="array" ref="Q2028:S2028">VLOOKUP(P2028,Hoja1!C:F,{2,3,4},FALSE)</f>
        <v>46310</v>
      </c>
      <c r="R2028" t="str">
        <v>EFO</v>
      </c>
      <c r="S2028" t="str">
        <v>1000012647 ZANOTTI HERMANOS SRL</v>
      </c>
    </row>
    <row r="2029" spans="1:19" x14ac:dyDescent="0.3">
      <c r="A2029" s="2" t="s">
        <v>14</v>
      </c>
      <c r="B2029" s="3" t="s">
        <v>14</v>
      </c>
      <c r="C2029" s="3" t="s">
        <v>1790</v>
      </c>
      <c r="D2029" s="3" t="s">
        <v>32</v>
      </c>
      <c r="E2029" s="3" t="s">
        <v>466</v>
      </c>
      <c r="F2029" s="4">
        <v>46290</v>
      </c>
      <c r="G2029" s="3" t="s">
        <v>17</v>
      </c>
      <c r="H2029" s="5">
        <v>-1629.2</v>
      </c>
      <c r="I2029" s="3" t="s">
        <v>18</v>
      </c>
      <c r="J2029" s="3" t="s">
        <v>14</v>
      </c>
      <c r="K2029" s="3" t="s">
        <v>14</v>
      </c>
      <c r="L2029" s="3" t="s">
        <v>944</v>
      </c>
      <c r="M2029" s="4">
        <v>46290</v>
      </c>
      <c r="N2029" s="3" t="s">
        <v>1791</v>
      </c>
      <c r="O2029" s="3" t="s">
        <v>132</v>
      </c>
      <c r="P2029" t="str">
        <f t="shared" si="31"/>
        <v>4500139544120</v>
      </c>
      <c r="Q2029" s="7" cm="1">
        <f t="array" ref="Q2029:S2029">VLOOKUP(P2029,Hoja1!C:F,{2,3,4},FALSE)</f>
        <v>46310</v>
      </c>
      <c r="R2029" t="str">
        <v>EFO</v>
      </c>
      <c r="S2029" t="str">
        <v>1000012647 ZANOTTI HERMANOS SRL</v>
      </c>
    </row>
    <row r="2030" spans="1:19" x14ac:dyDescent="0.3">
      <c r="A2030" s="2" t="s">
        <v>14</v>
      </c>
      <c r="B2030" s="3" t="s">
        <v>14</v>
      </c>
      <c r="C2030" s="3" t="s">
        <v>1790</v>
      </c>
      <c r="D2030" s="3" t="s">
        <v>32</v>
      </c>
      <c r="E2030" s="3" t="s">
        <v>466</v>
      </c>
      <c r="F2030" s="4">
        <v>46290</v>
      </c>
      <c r="G2030" s="3" t="s">
        <v>17</v>
      </c>
      <c r="H2030" s="5">
        <v>-2333.1</v>
      </c>
      <c r="I2030" s="3" t="s">
        <v>18</v>
      </c>
      <c r="J2030" s="3" t="s">
        <v>14</v>
      </c>
      <c r="K2030" s="3" t="s">
        <v>14</v>
      </c>
      <c r="L2030" s="3" t="s">
        <v>944</v>
      </c>
      <c r="M2030" s="4">
        <v>46290</v>
      </c>
      <c r="N2030" s="3" t="s">
        <v>1791</v>
      </c>
      <c r="O2030" s="3" t="s">
        <v>142</v>
      </c>
      <c r="P2030" t="str">
        <f t="shared" si="31"/>
        <v>4500139544130</v>
      </c>
      <c r="Q2030" s="7" cm="1">
        <f t="array" ref="Q2030:S2030">VLOOKUP(P2030,Hoja1!C:F,{2,3,4},FALSE)</f>
        <v>46310</v>
      </c>
      <c r="R2030" t="str">
        <v>EFO</v>
      </c>
      <c r="S2030" t="str">
        <v>1000012647 ZANOTTI HERMANOS SRL</v>
      </c>
    </row>
    <row r="2031" spans="1:19" x14ac:dyDescent="0.3">
      <c r="A2031" s="2" t="s">
        <v>14</v>
      </c>
      <c r="B2031" s="3" t="s">
        <v>14</v>
      </c>
      <c r="C2031" s="3" t="s">
        <v>1792</v>
      </c>
      <c r="D2031" s="3" t="s">
        <v>14</v>
      </c>
      <c r="E2031" s="3" t="s">
        <v>466</v>
      </c>
      <c r="F2031" s="4">
        <v>46290</v>
      </c>
      <c r="G2031" s="3" t="s">
        <v>17</v>
      </c>
      <c r="H2031" s="5">
        <v>-163687</v>
      </c>
      <c r="I2031" s="3" t="s">
        <v>18</v>
      </c>
      <c r="J2031" s="3" t="s">
        <v>14</v>
      </c>
      <c r="K2031" s="3" t="s">
        <v>14</v>
      </c>
      <c r="L2031" s="3" t="s">
        <v>498</v>
      </c>
      <c r="M2031" s="4">
        <v>46290</v>
      </c>
      <c r="N2031" s="3" t="s">
        <v>1793</v>
      </c>
      <c r="O2031" s="3" t="s">
        <v>30</v>
      </c>
      <c r="P2031" t="str">
        <f t="shared" si="31"/>
        <v>450013885910</v>
      </c>
      <c r="Q2031" s="7" cm="1">
        <f t="array" ref="Q2031:S2031">VLOOKUP(P2031,Hoja1!C:F,{2,3,4},FALSE)</f>
        <v>46285</v>
      </c>
      <c r="R2031" t="str">
        <v>C27</v>
      </c>
      <c r="S2031" t="str">
        <v>1000000453 GOMA 2000 DE TECNO PART S.A.</v>
      </c>
    </row>
    <row r="2032" spans="1:19" x14ac:dyDescent="0.3">
      <c r="A2032" s="2" t="s">
        <v>14</v>
      </c>
      <c r="B2032" s="3" t="s">
        <v>14</v>
      </c>
      <c r="C2032" s="3" t="s">
        <v>1794</v>
      </c>
      <c r="D2032" s="3" t="s">
        <v>14</v>
      </c>
      <c r="E2032" s="3" t="s">
        <v>466</v>
      </c>
      <c r="F2032" s="4">
        <v>46290</v>
      </c>
      <c r="G2032" s="3" t="s">
        <v>17</v>
      </c>
      <c r="H2032" s="5">
        <v>-432000</v>
      </c>
      <c r="I2032" s="3" t="s">
        <v>18</v>
      </c>
      <c r="J2032" s="3" t="s">
        <v>14</v>
      </c>
      <c r="K2032" s="3" t="s">
        <v>14</v>
      </c>
      <c r="L2032" s="3" t="s">
        <v>1056</v>
      </c>
      <c r="M2032" s="4">
        <v>46290</v>
      </c>
      <c r="N2032" s="3" t="s">
        <v>1795</v>
      </c>
      <c r="O2032" s="3" t="s">
        <v>35</v>
      </c>
      <c r="P2032" t="str">
        <f t="shared" si="31"/>
        <v>450013862430</v>
      </c>
      <c r="Q2032" s="7" cm="1">
        <f t="array" ref="Q2032:S2032">VLOOKUP(P2032,Hoja1!C:F,{2,3,4},FALSE)</f>
        <v>46288</v>
      </c>
      <c r="R2032" t="str">
        <v>C27</v>
      </c>
      <c r="S2032" t="str">
        <v>1000007373 ANGIULLI SERGIO RAUL</v>
      </c>
    </row>
    <row r="2033" spans="1:19" x14ac:dyDescent="0.3">
      <c r="A2033" s="2" t="s">
        <v>14</v>
      </c>
      <c r="B2033" s="3" t="s">
        <v>14</v>
      </c>
      <c r="C2033" s="3" t="s">
        <v>1796</v>
      </c>
      <c r="D2033" s="3" t="s">
        <v>14</v>
      </c>
      <c r="E2033" s="3" t="s">
        <v>466</v>
      </c>
      <c r="F2033" s="4">
        <v>46288</v>
      </c>
      <c r="G2033" s="3" t="s">
        <v>17</v>
      </c>
      <c r="H2033" s="5">
        <v>-681750</v>
      </c>
      <c r="I2033" s="3" t="s">
        <v>18</v>
      </c>
      <c r="J2033" s="3" t="s">
        <v>14</v>
      </c>
      <c r="K2033" s="3" t="s">
        <v>14</v>
      </c>
      <c r="L2033" s="3" t="s">
        <v>269</v>
      </c>
      <c r="M2033" s="4">
        <v>46290</v>
      </c>
      <c r="N2033" s="3" t="s">
        <v>1764</v>
      </c>
      <c r="O2033" s="3" t="s">
        <v>30</v>
      </c>
      <c r="P2033" t="str">
        <f t="shared" si="31"/>
        <v>450013857210</v>
      </c>
      <c r="Q2033" s="7" cm="1">
        <f t="array" ref="Q2033:S2033">VLOOKUP(P2033,Hoja1!C:F,{2,3,4},FALSE)</f>
        <v>46295</v>
      </c>
      <c r="R2033" t="str">
        <v>C03</v>
      </c>
      <c r="S2033" t="str">
        <v>1000000190 FERNANDEZ INSUA S.A.</v>
      </c>
    </row>
    <row r="2034" spans="1:19" x14ac:dyDescent="0.3">
      <c r="A2034" s="2" t="s">
        <v>14</v>
      </c>
      <c r="B2034" s="3" t="s">
        <v>14</v>
      </c>
      <c r="C2034" s="3" t="s">
        <v>1796</v>
      </c>
      <c r="D2034" s="3" t="s">
        <v>14</v>
      </c>
      <c r="E2034" s="3" t="s">
        <v>466</v>
      </c>
      <c r="F2034" s="4">
        <v>46288</v>
      </c>
      <c r="G2034" s="3" t="s">
        <v>17</v>
      </c>
      <c r="H2034" s="5">
        <v>-3787.5</v>
      </c>
      <c r="I2034" s="3" t="s">
        <v>18</v>
      </c>
      <c r="J2034" s="3" t="s">
        <v>14</v>
      </c>
      <c r="K2034" s="3" t="s">
        <v>14</v>
      </c>
      <c r="L2034" s="3" t="s">
        <v>269</v>
      </c>
      <c r="M2034" s="4">
        <v>46290</v>
      </c>
      <c r="N2034" s="3" t="s">
        <v>1764</v>
      </c>
      <c r="O2034" s="3" t="s">
        <v>35</v>
      </c>
      <c r="P2034" t="str">
        <f t="shared" si="31"/>
        <v>450013857230</v>
      </c>
      <c r="Q2034" s="7" cm="1">
        <f t="array" ref="Q2034:S2034">VLOOKUP(P2034,Hoja1!C:F,{2,3,4},FALSE)</f>
        <v>46295</v>
      </c>
      <c r="R2034" t="str">
        <v>C03</v>
      </c>
      <c r="S2034" t="str">
        <v>1000000190 FERNANDEZ INSUA S.A.</v>
      </c>
    </row>
    <row r="2035" spans="1:19" x14ac:dyDescent="0.3">
      <c r="A2035" s="2" t="s">
        <v>14</v>
      </c>
      <c r="B2035" s="3" t="s">
        <v>14</v>
      </c>
      <c r="C2035" s="3" t="s">
        <v>1796</v>
      </c>
      <c r="D2035" s="3" t="s">
        <v>14</v>
      </c>
      <c r="E2035" s="3" t="s">
        <v>466</v>
      </c>
      <c r="F2035" s="4">
        <v>46288</v>
      </c>
      <c r="G2035" s="3" t="s">
        <v>17</v>
      </c>
      <c r="H2035" s="5">
        <v>-15150</v>
      </c>
      <c r="I2035" s="3" t="s">
        <v>18</v>
      </c>
      <c r="J2035" s="3" t="s">
        <v>14</v>
      </c>
      <c r="K2035" s="3" t="s">
        <v>14</v>
      </c>
      <c r="L2035" s="3" t="s">
        <v>269</v>
      </c>
      <c r="M2035" s="4">
        <v>46290</v>
      </c>
      <c r="N2035" s="3" t="s">
        <v>1764</v>
      </c>
      <c r="O2035" s="3" t="s">
        <v>52</v>
      </c>
      <c r="P2035" t="str">
        <f t="shared" si="31"/>
        <v>450013857280</v>
      </c>
      <c r="Q2035" s="7" cm="1">
        <f t="array" ref="Q2035:S2035">VLOOKUP(P2035,Hoja1!C:F,{2,3,4},FALSE)</f>
        <v>46295</v>
      </c>
      <c r="R2035" t="str">
        <v>C03</v>
      </c>
      <c r="S2035" t="str">
        <v>1000000190 FERNANDEZ INSUA S.A.</v>
      </c>
    </row>
    <row r="2036" spans="1:19" x14ac:dyDescent="0.3">
      <c r="A2036" s="2" t="s">
        <v>14</v>
      </c>
      <c r="B2036" s="3" t="s">
        <v>14</v>
      </c>
      <c r="C2036" s="3" t="s">
        <v>1796</v>
      </c>
      <c r="D2036" s="3" t="s">
        <v>14</v>
      </c>
      <c r="E2036" s="3" t="s">
        <v>466</v>
      </c>
      <c r="F2036" s="4">
        <v>46288</v>
      </c>
      <c r="G2036" s="3" t="s">
        <v>17</v>
      </c>
      <c r="H2036" s="5">
        <v>-18180</v>
      </c>
      <c r="I2036" s="3" t="s">
        <v>18</v>
      </c>
      <c r="J2036" s="3" t="s">
        <v>14</v>
      </c>
      <c r="K2036" s="3" t="s">
        <v>14</v>
      </c>
      <c r="L2036" s="3" t="s">
        <v>269</v>
      </c>
      <c r="M2036" s="4">
        <v>46290</v>
      </c>
      <c r="N2036" s="3" t="s">
        <v>1764</v>
      </c>
      <c r="O2036" s="3" t="s">
        <v>138</v>
      </c>
      <c r="P2036" t="str">
        <f t="shared" si="31"/>
        <v>450013857290</v>
      </c>
      <c r="Q2036" s="7" cm="1">
        <f t="array" ref="Q2036:S2036">VLOOKUP(P2036,Hoja1!C:F,{2,3,4},FALSE)</f>
        <v>46295</v>
      </c>
      <c r="R2036" t="str">
        <v>C03</v>
      </c>
      <c r="S2036" t="str">
        <v>1000000190 FERNANDEZ INSUA S.A.</v>
      </c>
    </row>
    <row r="2037" spans="1:19" x14ac:dyDescent="0.3">
      <c r="A2037" s="2" t="s">
        <v>14</v>
      </c>
      <c r="B2037" s="3" t="s">
        <v>14</v>
      </c>
      <c r="C2037" s="3" t="s">
        <v>1797</v>
      </c>
      <c r="D2037" s="3" t="s">
        <v>14</v>
      </c>
      <c r="E2037" s="3" t="s">
        <v>466</v>
      </c>
      <c r="F2037" s="4">
        <v>46290</v>
      </c>
      <c r="G2037" s="3" t="s">
        <v>17</v>
      </c>
      <c r="H2037" s="5">
        <v>-240151</v>
      </c>
      <c r="I2037" s="3" t="s">
        <v>18</v>
      </c>
      <c r="J2037" s="3" t="s">
        <v>14</v>
      </c>
      <c r="K2037" s="3" t="s">
        <v>14</v>
      </c>
      <c r="L2037" s="3" t="s">
        <v>240</v>
      </c>
      <c r="M2037" s="4">
        <v>46290</v>
      </c>
      <c r="N2037" s="3" t="s">
        <v>1798</v>
      </c>
      <c r="O2037" s="3" t="s">
        <v>23</v>
      </c>
      <c r="P2037" t="str">
        <f t="shared" si="31"/>
        <v>450013638940</v>
      </c>
      <c r="Q2037" s="7" cm="1">
        <f t="array" ref="Q2037:S2037">VLOOKUP(P2037,Hoja1!C:F,{2,3,4},FALSE)</f>
        <v>46269</v>
      </c>
      <c r="R2037" t="str">
        <v>C27</v>
      </c>
      <c r="S2037" t="str">
        <v>1000011415 SI (SERVICIOS INDUSTRIALES) SIERRA</v>
      </c>
    </row>
    <row r="2038" spans="1:19" x14ac:dyDescent="0.3">
      <c r="A2038" s="2" t="s">
        <v>14</v>
      </c>
      <c r="B2038" s="3" t="s">
        <v>14</v>
      </c>
      <c r="C2038" s="3" t="s">
        <v>1799</v>
      </c>
      <c r="D2038" s="3" t="s">
        <v>32</v>
      </c>
      <c r="E2038" s="3" t="s">
        <v>466</v>
      </c>
      <c r="F2038" s="4">
        <v>46290</v>
      </c>
      <c r="G2038" s="3" t="s">
        <v>17</v>
      </c>
      <c r="H2038" s="5">
        <v>-1300000</v>
      </c>
      <c r="I2038" s="3" t="s">
        <v>18</v>
      </c>
      <c r="J2038" s="3" t="s">
        <v>14</v>
      </c>
      <c r="K2038" s="3" t="s">
        <v>14</v>
      </c>
      <c r="L2038" s="3" t="s">
        <v>1800</v>
      </c>
      <c r="M2038" s="4">
        <v>46290</v>
      </c>
      <c r="N2038" s="3" t="s">
        <v>1801</v>
      </c>
      <c r="O2038" s="3" t="s">
        <v>30</v>
      </c>
      <c r="P2038" t="str">
        <f t="shared" si="31"/>
        <v>450013944910</v>
      </c>
      <c r="Q2038" s="7" cm="1">
        <f t="array" ref="Q2038:S2038">VLOOKUP(P2038,Hoja1!C:F,{2,3,4},FALSE)</f>
        <v>46309</v>
      </c>
      <c r="R2038" t="str">
        <v>C26</v>
      </c>
      <c r="S2038" t="str">
        <v>1000013691 GUGLIELMETTI AMERICO ANTONIO Y GUGL</v>
      </c>
    </row>
    <row r="2039" spans="1:19" x14ac:dyDescent="0.3">
      <c r="A2039" s="2" t="s">
        <v>14</v>
      </c>
      <c r="B2039" s="3" t="s">
        <v>14</v>
      </c>
      <c r="C2039" s="3" t="s">
        <v>1799</v>
      </c>
      <c r="D2039" s="3" t="s">
        <v>32</v>
      </c>
      <c r="E2039" s="3" t="s">
        <v>466</v>
      </c>
      <c r="F2039" s="4">
        <v>46290</v>
      </c>
      <c r="G2039" s="3" t="s">
        <v>17</v>
      </c>
      <c r="H2039" s="5">
        <v>-640000</v>
      </c>
      <c r="I2039" s="3" t="s">
        <v>18</v>
      </c>
      <c r="J2039" s="3" t="s">
        <v>14</v>
      </c>
      <c r="K2039" s="3" t="s">
        <v>14</v>
      </c>
      <c r="L2039" s="3" t="s">
        <v>1800</v>
      </c>
      <c r="M2039" s="4">
        <v>46290</v>
      </c>
      <c r="N2039" s="3" t="s">
        <v>1801</v>
      </c>
      <c r="O2039" s="3" t="s">
        <v>22</v>
      </c>
      <c r="P2039" t="str">
        <f t="shared" si="31"/>
        <v>450013944920</v>
      </c>
      <c r="Q2039" s="7" cm="1">
        <f t="array" ref="Q2039:S2039">VLOOKUP(P2039,Hoja1!C:F,{2,3,4},FALSE)</f>
        <v>46309</v>
      </c>
      <c r="R2039" t="str">
        <v>C26</v>
      </c>
      <c r="S2039" t="str">
        <v>1000013691 GUGLIELMETTI AMERICO ANTONIO Y GUGL</v>
      </c>
    </row>
    <row r="2040" spans="1:19" x14ac:dyDescent="0.3">
      <c r="A2040" s="2" t="s">
        <v>14</v>
      </c>
      <c r="B2040" s="3" t="s">
        <v>14</v>
      </c>
      <c r="C2040" s="3" t="s">
        <v>1802</v>
      </c>
      <c r="D2040" s="3" t="s">
        <v>14</v>
      </c>
      <c r="E2040" s="3" t="s">
        <v>466</v>
      </c>
      <c r="F2040" s="4">
        <v>46554</v>
      </c>
      <c r="G2040" s="3" t="s">
        <v>17</v>
      </c>
      <c r="H2040" s="5">
        <v>-180000</v>
      </c>
      <c r="I2040" s="3" t="s">
        <v>18</v>
      </c>
      <c r="J2040" s="3" t="s">
        <v>14</v>
      </c>
      <c r="K2040" s="3" t="s">
        <v>14</v>
      </c>
      <c r="L2040" s="3" t="s">
        <v>1803</v>
      </c>
      <c r="M2040" s="4">
        <v>46235</v>
      </c>
      <c r="N2040" s="3" t="s">
        <v>1804</v>
      </c>
      <c r="O2040" s="3" t="s">
        <v>30</v>
      </c>
      <c r="P2040" t="str">
        <f t="shared" si="31"/>
        <v>450013625010</v>
      </c>
      <c r="Q2040" s="7" cm="1">
        <f t="array" ref="Q2040:S2040">VLOOKUP(P2040,Hoja1!C:F,{2,3,4},FALSE)</f>
        <v>46218</v>
      </c>
      <c r="R2040" t="str">
        <v>EFO</v>
      </c>
      <c r="S2040" t="str">
        <v>1000008978 SOSA JOSE JAVIER</v>
      </c>
    </row>
    <row r="2041" spans="1:19" x14ac:dyDescent="0.3">
      <c r="A2041" s="2" t="s">
        <v>14</v>
      </c>
      <c r="B2041" s="3" t="s">
        <v>14</v>
      </c>
      <c r="C2041" s="3" t="s">
        <v>1805</v>
      </c>
      <c r="D2041" s="3" t="s">
        <v>14</v>
      </c>
      <c r="E2041" s="3" t="s">
        <v>466</v>
      </c>
      <c r="F2041" s="4">
        <v>46290</v>
      </c>
      <c r="G2041" s="3" t="s">
        <v>17</v>
      </c>
      <c r="H2041" s="5">
        <v>-11079285.9</v>
      </c>
      <c r="I2041" s="3" t="s">
        <v>18</v>
      </c>
      <c r="J2041" s="3" t="s">
        <v>14</v>
      </c>
      <c r="K2041" s="3" t="s">
        <v>14</v>
      </c>
      <c r="L2041" s="3" t="s">
        <v>125</v>
      </c>
      <c r="M2041" s="4">
        <v>46290</v>
      </c>
      <c r="N2041" s="3" t="s">
        <v>1806</v>
      </c>
      <c r="O2041" s="3" t="s">
        <v>30</v>
      </c>
      <c r="P2041" t="str">
        <f t="shared" si="31"/>
        <v>450013858410</v>
      </c>
      <c r="Q2041" s="7" cm="1">
        <f t="array" ref="Q2041:S2041">VLOOKUP(P2041,Hoja1!C:F,{2,3,4},FALSE)</f>
        <v>46290</v>
      </c>
      <c r="R2041" t="str">
        <v>C38</v>
      </c>
      <c r="S2041" t="str">
        <v>1000001470 SUDAMERICANA CAMIONES SA</v>
      </c>
    </row>
    <row r="2042" spans="1:19" x14ac:dyDescent="0.3">
      <c r="A2042" s="2" t="s">
        <v>14</v>
      </c>
      <c r="B2042" s="3" t="s">
        <v>14</v>
      </c>
      <c r="C2042" s="3" t="s">
        <v>1807</v>
      </c>
      <c r="D2042" s="3" t="s">
        <v>32</v>
      </c>
      <c r="E2042" s="3" t="s">
        <v>466</v>
      </c>
      <c r="F2042" s="4">
        <v>46290</v>
      </c>
      <c r="G2042" s="3" t="s">
        <v>17</v>
      </c>
      <c r="H2042" s="5">
        <v>-80712.479999999996</v>
      </c>
      <c r="I2042" s="3" t="s">
        <v>18</v>
      </c>
      <c r="J2042" s="3" t="s">
        <v>14</v>
      </c>
      <c r="K2042" s="3" t="s">
        <v>14</v>
      </c>
      <c r="L2042" s="3" t="s">
        <v>335</v>
      </c>
      <c r="M2042" s="4">
        <v>46290</v>
      </c>
      <c r="N2042" s="3" t="s">
        <v>336</v>
      </c>
      <c r="O2042" s="3" t="s">
        <v>30</v>
      </c>
      <c r="P2042" t="str">
        <f t="shared" si="31"/>
        <v>450013124310</v>
      </c>
      <c r="Q2042" s="7" cm="1">
        <f t="array" ref="Q2042:S2042">VLOOKUP(P2042,Hoja1!C:F,{2,3,4},FALSE)</f>
        <v>46433</v>
      </c>
      <c r="R2042" t="str">
        <v>C21</v>
      </c>
      <c r="S2042" t="str">
        <v>1000013302 PETROTRES SA</v>
      </c>
    </row>
    <row r="2043" spans="1:19" x14ac:dyDescent="0.3">
      <c r="A2043" s="2" t="s">
        <v>14</v>
      </c>
      <c r="B2043" s="3" t="s">
        <v>14</v>
      </c>
      <c r="C2043" s="3" t="s">
        <v>1807</v>
      </c>
      <c r="D2043" s="3" t="s">
        <v>32</v>
      </c>
      <c r="E2043" s="3" t="s">
        <v>466</v>
      </c>
      <c r="F2043" s="4">
        <v>46290</v>
      </c>
      <c r="G2043" s="3" t="s">
        <v>17</v>
      </c>
      <c r="H2043" s="5">
        <v>-4944.84</v>
      </c>
      <c r="I2043" s="3" t="s">
        <v>18</v>
      </c>
      <c r="J2043" s="3" t="s">
        <v>14</v>
      </c>
      <c r="K2043" s="3" t="s">
        <v>14</v>
      </c>
      <c r="L2043" s="3" t="s">
        <v>335</v>
      </c>
      <c r="M2043" s="4">
        <v>46290</v>
      </c>
      <c r="N2043" s="3" t="s">
        <v>336</v>
      </c>
      <c r="O2043" s="3" t="s">
        <v>30</v>
      </c>
      <c r="P2043" t="str">
        <f t="shared" si="31"/>
        <v>450013124310</v>
      </c>
      <c r="Q2043" s="7" cm="1">
        <f t="array" ref="Q2043:S2043">VLOOKUP(P2043,Hoja1!C:F,{2,3,4},FALSE)</f>
        <v>46433</v>
      </c>
      <c r="R2043" t="str">
        <v>C21</v>
      </c>
      <c r="S2043" t="str">
        <v>1000013302 PETROTRES SA</v>
      </c>
    </row>
    <row r="2044" spans="1:19" x14ac:dyDescent="0.3">
      <c r="A2044" s="2" t="s">
        <v>14</v>
      </c>
      <c r="B2044" s="3" t="s">
        <v>14</v>
      </c>
      <c r="C2044" s="3" t="s">
        <v>1808</v>
      </c>
      <c r="D2044" s="3" t="s">
        <v>32</v>
      </c>
      <c r="E2044" s="3" t="s">
        <v>466</v>
      </c>
      <c r="F2044" s="4">
        <v>46290</v>
      </c>
      <c r="G2044" s="3" t="s">
        <v>17</v>
      </c>
      <c r="H2044" s="5">
        <v>-78858.47</v>
      </c>
      <c r="I2044" s="3" t="s">
        <v>18</v>
      </c>
      <c r="J2044" s="3" t="s">
        <v>14</v>
      </c>
      <c r="K2044" s="3" t="s">
        <v>14</v>
      </c>
      <c r="L2044" s="3" t="s">
        <v>335</v>
      </c>
      <c r="M2044" s="4">
        <v>46290</v>
      </c>
      <c r="N2044" s="3" t="s">
        <v>336</v>
      </c>
      <c r="O2044" s="3" t="s">
        <v>30</v>
      </c>
      <c r="P2044" t="str">
        <f t="shared" si="31"/>
        <v>450013124310</v>
      </c>
      <c r="Q2044" s="7" cm="1">
        <f t="array" ref="Q2044:S2044">VLOOKUP(P2044,Hoja1!C:F,{2,3,4},FALSE)</f>
        <v>46433</v>
      </c>
      <c r="R2044" t="str">
        <v>C21</v>
      </c>
      <c r="S2044" t="str">
        <v>1000013302 PETROTRES SA</v>
      </c>
    </row>
    <row r="2045" spans="1:19" x14ac:dyDescent="0.3">
      <c r="A2045" s="2" t="s">
        <v>14</v>
      </c>
      <c r="B2045" s="3" t="s">
        <v>14</v>
      </c>
      <c r="C2045" s="3" t="s">
        <v>1808</v>
      </c>
      <c r="D2045" s="3" t="s">
        <v>32</v>
      </c>
      <c r="E2045" s="3" t="s">
        <v>466</v>
      </c>
      <c r="F2045" s="4">
        <v>46290</v>
      </c>
      <c r="G2045" s="3" t="s">
        <v>17</v>
      </c>
      <c r="H2045" s="5">
        <v>-4831.26</v>
      </c>
      <c r="I2045" s="3" t="s">
        <v>18</v>
      </c>
      <c r="J2045" s="3" t="s">
        <v>14</v>
      </c>
      <c r="K2045" s="3" t="s">
        <v>14</v>
      </c>
      <c r="L2045" s="3" t="s">
        <v>335</v>
      </c>
      <c r="M2045" s="4">
        <v>46290</v>
      </c>
      <c r="N2045" s="3" t="s">
        <v>336</v>
      </c>
      <c r="O2045" s="3" t="s">
        <v>30</v>
      </c>
      <c r="P2045" t="str">
        <f t="shared" si="31"/>
        <v>450013124310</v>
      </c>
      <c r="Q2045" s="7" cm="1">
        <f t="array" ref="Q2045:S2045">VLOOKUP(P2045,Hoja1!C:F,{2,3,4},FALSE)</f>
        <v>46433</v>
      </c>
      <c r="R2045" t="str">
        <v>C21</v>
      </c>
      <c r="S2045" t="str">
        <v>1000013302 PETROTRES SA</v>
      </c>
    </row>
    <row r="2046" spans="1:19" x14ac:dyDescent="0.3">
      <c r="A2046" s="2" t="s">
        <v>14</v>
      </c>
      <c r="B2046" s="3" t="s">
        <v>14</v>
      </c>
      <c r="C2046" s="3" t="s">
        <v>1809</v>
      </c>
      <c r="D2046" s="3" t="s">
        <v>32</v>
      </c>
      <c r="E2046" s="3" t="s">
        <v>466</v>
      </c>
      <c r="F2046" s="4">
        <v>46290</v>
      </c>
      <c r="G2046" s="3" t="s">
        <v>17</v>
      </c>
      <c r="H2046" s="5">
        <v>-18794.740000000002</v>
      </c>
      <c r="I2046" s="3" t="s">
        <v>18</v>
      </c>
      <c r="J2046" s="3" t="s">
        <v>14</v>
      </c>
      <c r="K2046" s="3" t="s">
        <v>14</v>
      </c>
      <c r="L2046" s="3" t="s">
        <v>335</v>
      </c>
      <c r="M2046" s="4">
        <v>46290</v>
      </c>
      <c r="N2046" s="3" t="s">
        <v>336</v>
      </c>
      <c r="O2046" s="3" t="s">
        <v>30</v>
      </c>
      <c r="P2046" t="str">
        <f t="shared" si="31"/>
        <v>450013124310</v>
      </c>
      <c r="Q2046" s="7" cm="1">
        <f t="array" ref="Q2046:S2046">VLOOKUP(P2046,Hoja1!C:F,{2,3,4},FALSE)</f>
        <v>46433</v>
      </c>
      <c r="R2046" t="str">
        <v>C21</v>
      </c>
      <c r="S2046" t="str">
        <v>1000013302 PETROTRES SA</v>
      </c>
    </row>
    <row r="2047" spans="1:19" x14ac:dyDescent="0.3">
      <c r="A2047" s="2" t="s">
        <v>14</v>
      </c>
      <c r="B2047" s="3" t="s">
        <v>14</v>
      </c>
      <c r="C2047" s="3" t="s">
        <v>1809</v>
      </c>
      <c r="D2047" s="3" t="s">
        <v>32</v>
      </c>
      <c r="E2047" s="3" t="s">
        <v>466</v>
      </c>
      <c r="F2047" s="4">
        <v>46290</v>
      </c>
      <c r="G2047" s="3" t="s">
        <v>17</v>
      </c>
      <c r="H2047" s="5">
        <v>-1151.46</v>
      </c>
      <c r="I2047" s="3" t="s">
        <v>18</v>
      </c>
      <c r="J2047" s="3" t="s">
        <v>14</v>
      </c>
      <c r="K2047" s="3" t="s">
        <v>14</v>
      </c>
      <c r="L2047" s="3" t="s">
        <v>335</v>
      </c>
      <c r="M2047" s="4">
        <v>46290</v>
      </c>
      <c r="N2047" s="3" t="s">
        <v>336</v>
      </c>
      <c r="O2047" s="3" t="s">
        <v>30</v>
      </c>
      <c r="P2047" t="str">
        <f t="shared" si="31"/>
        <v>450013124310</v>
      </c>
      <c r="Q2047" s="7" cm="1">
        <f t="array" ref="Q2047:S2047">VLOOKUP(P2047,Hoja1!C:F,{2,3,4},FALSE)</f>
        <v>46433</v>
      </c>
      <c r="R2047" t="str">
        <v>C21</v>
      </c>
      <c r="S2047" t="str">
        <v>1000013302 PETROTRES SA</v>
      </c>
    </row>
    <row r="2048" spans="1:19" x14ac:dyDescent="0.3">
      <c r="A2048" s="2" t="s">
        <v>14</v>
      </c>
      <c r="B2048" s="3" t="s">
        <v>14</v>
      </c>
      <c r="C2048" s="3" t="s">
        <v>1810</v>
      </c>
      <c r="D2048" s="3" t="s">
        <v>14</v>
      </c>
      <c r="E2048" s="3" t="s">
        <v>466</v>
      </c>
      <c r="F2048" s="4">
        <v>46290</v>
      </c>
      <c r="G2048" s="3" t="s">
        <v>17</v>
      </c>
      <c r="H2048" s="5">
        <v>-679150</v>
      </c>
      <c r="I2048" s="3" t="s">
        <v>18</v>
      </c>
      <c r="J2048" s="3" t="s">
        <v>14</v>
      </c>
      <c r="K2048" s="3" t="s">
        <v>14</v>
      </c>
      <c r="L2048" s="3" t="s">
        <v>522</v>
      </c>
      <c r="M2048" s="4">
        <v>46290</v>
      </c>
      <c r="N2048" s="3" t="s">
        <v>1811</v>
      </c>
      <c r="O2048" s="3" t="s">
        <v>30</v>
      </c>
      <c r="P2048" t="str">
        <f t="shared" si="31"/>
        <v>450013950810</v>
      </c>
      <c r="Q2048" s="7" cm="1">
        <f t="array" ref="Q2048:S2048">VLOOKUP(P2048,Hoja1!C:F,{2,3,4},FALSE)</f>
        <v>46303</v>
      </c>
      <c r="R2048" t="str">
        <v>C03</v>
      </c>
      <c r="S2048" t="str">
        <v>1000000052 DEVOL S.A.</v>
      </c>
    </row>
    <row r="2049" spans="1:19" x14ac:dyDescent="0.3">
      <c r="A2049" s="2" t="s">
        <v>14</v>
      </c>
      <c r="B2049" s="3" t="s">
        <v>14</v>
      </c>
      <c r="C2049" s="3" t="s">
        <v>1810</v>
      </c>
      <c r="D2049" s="3" t="s">
        <v>14</v>
      </c>
      <c r="E2049" s="3" t="s">
        <v>466</v>
      </c>
      <c r="F2049" s="4">
        <v>46290</v>
      </c>
      <c r="G2049" s="3" t="s">
        <v>17</v>
      </c>
      <c r="H2049" s="5">
        <v>-714000</v>
      </c>
      <c r="I2049" s="3" t="s">
        <v>18</v>
      </c>
      <c r="J2049" s="3" t="s">
        <v>14</v>
      </c>
      <c r="K2049" s="3" t="s">
        <v>14</v>
      </c>
      <c r="L2049" s="3" t="s">
        <v>522</v>
      </c>
      <c r="M2049" s="4">
        <v>46290</v>
      </c>
      <c r="N2049" s="3" t="s">
        <v>1811</v>
      </c>
      <c r="O2049" s="3" t="s">
        <v>22</v>
      </c>
      <c r="P2049" t="str">
        <f t="shared" si="31"/>
        <v>450013950820</v>
      </c>
      <c r="Q2049" s="7" cm="1">
        <f t="array" ref="Q2049:S2049">VLOOKUP(P2049,Hoja1!C:F,{2,3,4},FALSE)</f>
        <v>46303</v>
      </c>
      <c r="R2049" t="str">
        <v>C03</v>
      </c>
      <c r="S2049" t="str">
        <v>1000000052 DEVOL S.A.</v>
      </c>
    </row>
    <row r="2050" spans="1:19" x14ac:dyDescent="0.3">
      <c r="A2050" s="2" t="s">
        <v>14</v>
      </c>
      <c r="B2050" s="3" t="s">
        <v>14</v>
      </c>
      <c r="C2050" s="3" t="s">
        <v>1810</v>
      </c>
      <c r="D2050" s="3" t="s">
        <v>14</v>
      </c>
      <c r="E2050" s="3" t="s">
        <v>466</v>
      </c>
      <c r="F2050" s="4">
        <v>46290</v>
      </c>
      <c r="G2050" s="3" t="s">
        <v>17</v>
      </c>
      <c r="H2050" s="5">
        <v>-76500</v>
      </c>
      <c r="I2050" s="3" t="s">
        <v>18</v>
      </c>
      <c r="J2050" s="3" t="s">
        <v>14</v>
      </c>
      <c r="K2050" s="3" t="s">
        <v>14</v>
      </c>
      <c r="L2050" s="3" t="s">
        <v>522</v>
      </c>
      <c r="M2050" s="4">
        <v>46290</v>
      </c>
      <c r="N2050" s="3" t="s">
        <v>1811</v>
      </c>
      <c r="O2050" s="3" t="s">
        <v>35</v>
      </c>
      <c r="P2050" t="str">
        <f t="shared" si="31"/>
        <v>450013950830</v>
      </c>
      <c r="Q2050" s="7" cm="1">
        <f t="array" ref="Q2050:S2050">VLOOKUP(P2050,Hoja1!C:F,{2,3,4},FALSE)</f>
        <v>46303</v>
      </c>
      <c r="R2050" t="str">
        <v>C03</v>
      </c>
      <c r="S2050" t="str">
        <v>1000000052 DEVOL S.A.</v>
      </c>
    </row>
    <row r="2051" spans="1:19" x14ac:dyDescent="0.3">
      <c r="A2051" s="2" t="s">
        <v>14</v>
      </c>
      <c r="B2051" s="3" t="s">
        <v>14</v>
      </c>
      <c r="C2051" s="3" t="s">
        <v>1810</v>
      </c>
      <c r="D2051" s="3" t="s">
        <v>14</v>
      </c>
      <c r="E2051" s="3" t="s">
        <v>466</v>
      </c>
      <c r="F2051" s="4">
        <v>46290</v>
      </c>
      <c r="G2051" s="3" t="s">
        <v>17</v>
      </c>
      <c r="H2051" s="5">
        <v>-118150</v>
      </c>
      <c r="I2051" s="3" t="s">
        <v>18</v>
      </c>
      <c r="J2051" s="3" t="s">
        <v>14</v>
      </c>
      <c r="K2051" s="3" t="s">
        <v>14</v>
      </c>
      <c r="L2051" s="3" t="s">
        <v>522</v>
      </c>
      <c r="M2051" s="4">
        <v>46290</v>
      </c>
      <c r="N2051" s="3" t="s">
        <v>1811</v>
      </c>
      <c r="O2051" s="3" t="s">
        <v>23</v>
      </c>
      <c r="P2051" t="str">
        <f t="shared" ref="P2051:P2114" si="32">_xlfn.CONCAT(N2051:O2051)</f>
        <v>450013950840</v>
      </c>
      <c r="Q2051" s="7" cm="1">
        <f t="array" ref="Q2051:S2051">VLOOKUP(P2051,Hoja1!C:F,{2,3,4},FALSE)</f>
        <v>46303</v>
      </c>
      <c r="R2051" t="str">
        <v>C03</v>
      </c>
      <c r="S2051" t="str">
        <v>1000000052 DEVOL S.A.</v>
      </c>
    </row>
    <row r="2052" spans="1:19" x14ac:dyDescent="0.3">
      <c r="A2052" s="2" t="s">
        <v>14</v>
      </c>
      <c r="B2052" s="3" t="s">
        <v>14</v>
      </c>
      <c r="C2052" s="3" t="s">
        <v>1810</v>
      </c>
      <c r="D2052" s="3" t="s">
        <v>14</v>
      </c>
      <c r="E2052" s="3" t="s">
        <v>466</v>
      </c>
      <c r="F2052" s="4">
        <v>46290</v>
      </c>
      <c r="G2052" s="3" t="s">
        <v>17</v>
      </c>
      <c r="H2052" s="5">
        <v>-263500</v>
      </c>
      <c r="I2052" s="3" t="s">
        <v>18</v>
      </c>
      <c r="J2052" s="3" t="s">
        <v>14</v>
      </c>
      <c r="K2052" s="3" t="s">
        <v>14</v>
      </c>
      <c r="L2052" s="3" t="s">
        <v>522</v>
      </c>
      <c r="M2052" s="4">
        <v>46290</v>
      </c>
      <c r="N2052" s="3" t="s">
        <v>1811</v>
      </c>
      <c r="O2052" s="3" t="s">
        <v>144</v>
      </c>
      <c r="P2052" t="str">
        <f t="shared" si="32"/>
        <v>450013950850</v>
      </c>
      <c r="Q2052" s="7" cm="1">
        <f t="array" ref="Q2052:S2052">VLOOKUP(P2052,Hoja1!C:F,{2,3,4},FALSE)</f>
        <v>46303</v>
      </c>
      <c r="R2052" t="str">
        <v>C03</v>
      </c>
      <c r="S2052" t="str">
        <v>1000000052 DEVOL S.A.</v>
      </c>
    </row>
    <row r="2053" spans="1:19" x14ac:dyDescent="0.3">
      <c r="A2053" s="2" t="s">
        <v>14</v>
      </c>
      <c r="B2053" s="3" t="s">
        <v>14</v>
      </c>
      <c r="C2053" s="3" t="s">
        <v>1810</v>
      </c>
      <c r="D2053" s="3" t="s">
        <v>14</v>
      </c>
      <c r="E2053" s="3" t="s">
        <v>466</v>
      </c>
      <c r="F2053" s="4">
        <v>46290</v>
      </c>
      <c r="G2053" s="3" t="s">
        <v>17</v>
      </c>
      <c r="H2053" s="5">
        <v>-238000</v>
      </c>
      <c r="I2053" s="3" t="s">
        <v>18</v>
      </c>
      <c r="J2053" s="3" t="s">
        <v>14</v>
      </c>
      <c r="K2053" s="3" t="s">
        <v>14</v>
      </c>
      <c r="L2053" s="3" t="s">
        <v>522</v>
      </c>
      <c r="M2053" s="4">
        <v>46290</v>
      </c>
      <c r="N2053" s="3" t="s">
        <v>1811</v>
      </c>
      <c r="O2053" s="3" t="s">
        <v>141</v>
      </c>
      <c r="P2053" t="str">
        <f t="shared" si="32"/>
        <v>450013950860</v>
      </c>
      <c r="Q2053" s="7" cm="1">
        <f t="array" ref="Q2053:S2053">VLOOKUP(P2053,Hoja1!C:F,{2,3,4},FALSE)</f>
        <v>46303</v>
      </c>
      <c r="R2053" t="str">
        <v>C03</v>
      </c>
      <c r="S2053" t="str">
        <v>1000000052 DEVOL S.A.</v>
      </c>
    </row>
    <row r="2054" spans="1:19" x14ac:dyDescent="0.3">
      <c r="A2054" s="2" t="s">
        <v>14</v>
      </c>
      <c r="B2054" s="3" t="s">
        <v>14</v>
      </c>
      <c r="C2054" s="3" t="s">
        <v>1810</v>
      </c>
      <c r="D2054" s="3" t="s">
        <v>14</v>
      </c>
      <c r="E2054" s="3" t="s">
        <v>466</v>
      </c>
      <c r="F2054" s="4">
        <v>46290</v>
      </c>
      <c r="G2054" s="3" t="s">
        <v>17</v>
      </c>
      <c r="H2054" s="5">
        <v>-160650</v>
      </c>
      <c r="I2054" s="3" t="s">
        <v>18</v>
      </c>
      <c r="J2054" s="3" t="s">
        <v>14</v>
      </c>
      <c r="K2054" s="3" t="s">
        <v>14</v>
      </c>
      <c r="L2054" s="3" t="s">
        <v>522</v>
      </c>
      <c r="M2054" s="4">
        <v>46290</v>
      </c>
      <c r="N2054" s="3" t="s">
        <v>1811</v>
      </c>
      <c r="O2054" s="3" t="s">
        <v>134</v>
      </c>
      <c r="P2054" t="str">
        <f t="shared" si="32"/>
        <v>450013950870</v>
      </c>
      <c r="Q2054" s="7" cm="1">
        <f t="array" ref="Q2054:S2054">VLOOKUP(P2054,Hoja1!C:F,{2,3,4},FALSE)</f>
        <v>46303</v>
      </c>
      <c r="R2054" t="str">
        <v>C03</v>
      </c>
      <c r="S2054" t="str">
        <v>1000000052 DEVOL S.A.</v>
      </c>
    </row>
    <row r="2055" spans="1:19" x14ac:dyDescent="0.3">
      <c r="A2055" s="2" t="s">
        <v>14</v>
      </c>
      <c r="B2055" s="3" t="s">
        <v>14</v>
      </c>
      <c r="C2055" s="3" t="s">
        <v>1810</v>
      </c>
      <c r="D2055" s="3" t="s">
        <v>14</v>
      </c>
      <c r="E2055" s="3" t="s">
        <v>466</v>
      </c>
      <c r="F2055" s="4">
        <v>46290</v>
      </c>
      <c r="G2055" s="3" t="s">
        <v>17</v>
      </c>
      <c r="H2055" s="5">
        <v>-164738.29999999999</v>
      </c>
      <c r="I2055" s="3" t="s">
        <v>18</v>
      </c>
      <c r="J2055" s="3" t="s">
        <v>14</v>
      </c>
      <c r="K2055" s="3" t="s">
        <v>14</v>
      </c>
      <c r="L2055" s="3" t="s">
        <v>522</v>
      </c>
      <c r="M2055" s="4">
        <v>46290</v>
      </c>
      <c r="N2055" s="3" t="s">
        <v>1811</v>
      </c>
      <c r="O2055" s="3" t="s">
        <v>52</v>
      </c>
      <c r="P2055" t="str">
        <f t="shared" si="32"/>
        <v>450013950880</v>
      </c>
      <c r="Q2055" s="7" cm="1">
        <f t="array" ref="Q2055:S2055">VLOOKUP(P2055,Hoja1!C:F,{2,3,4},FALSE)</f>
        <v>46303</v>
      </c>
      <c r="R2055" t="str">
        <v>C03</v>
      </c>
      <c r="S2055" t="str">
        <v>1000000052 DEVOL S.A.</v>
      </c>
    </row>
    <row r="2056" spans="1:19" x14ac:dyDescent="0.3">
      <c r="A2056" s="2" t="s">
        <v>14</v>
      </c>
      <c r="B2056" s="3" t="s">
        <v>14</v>
      </c>
      <c r="C2056" s="3" t="s">
        <v>1810</v>
      </c>
      <c r="D2056" s="3" t="s">
        <v>14</v>
      </c>
      <c r="E2056" s="3" t="s">
        <v>466</v>
      </c>
      <c r="F2056" s="4">
        <v>46290</v>
      </c>
      <c r="G2056" s="3" t="s">
        <v>17</v>
      </c>
      <c r="H2056" s="5">
        <v>-135150</v>
      </c>
      <c r="I2056" s="3" t="s">
        <v>18</v>
      </c>
      <c r="J2056" s="3" t="s">
        <v>14</v>
      </c>
      <c r="K2056" s="3" t="s">
        <v>14</v>
      </c>
      <c r="L2056" s="3" t="s">
        <v>522</v>
      </c>
      <c r="M2056" s="4">
        <v>46290</v>
      </c>
      <c r="N2056" s="3" t="s">
        <v>1811</v>
      </c>
      <c r="O2056" s="3" t="s">
        <v>138</v>
      </c>
      <c r="P2056" t="str">
        <f t="shared" si="32"/>
        <v>450013950890</v>
      </c>
      <c r="Q2056" s="7" cm="1">
        <f t="array" ref="Q2056:S2056">VLOOKUP(P2056,Hoja1!C:F,{2,3,4},FALSE)</f>
        <v>46303</v>
      </c>
      <c r="R2056" t="str">
        <v>C03</v>
      </c>
      <c r="S2056" t="str">
        <v>1000000052 DEVOL S.A.</v>
      </c>
    </row>
    <row r="2057" spans="1:19" x14ac:dyDescent="0.3">
      <c r="A2057" s="2" t="s">
        <v>14</v>
      </c>
      <c r="B2057" s="3" t="s">
        <v>14</v>
      </c>
      <c r="C2057" s="3" t="s">
        <v>1812</v>
      </c>
      <c r="D2057" s="3" t="s">
        <v>14</v>
      </c>
      <c r="E2057" s="3" t="s">
        <v>466</v>
      </c>
      <c r="F2057" s="4">
        <v>46287</v>
      </c>
      <c r="G2057" s="3" t="s">
        <v>17</v>
      </c>
      <c r="H2057" s="5">
        <v>-170000</v>
      </c>
      <c r="I2057" s="3" t="s">
        <v>18</v>
      </c>
      <c r="J2057" s="3" t="s">
        <v>14</v>
      </c>
      <c r="K2057" s="3" t="s">
        <v>14</v>
      </c>
      <c r="L2057" s="3" t="s">
        <v>1813</v>
      </c>
      <c r="M2057" s="4">
        <v>46290</v>
      </c>
      <c r="N2057" s="3" t="s">
        <v>1814</v>
      </c>
      <c r="O2057" s="3" t="s">
        <v>30</v>
      </c>
      <c r="P2057" t="str">
        <f t="shared" si="32"/>
        <v>450013885110</v>
      </c>
      <c r="Q2057" s="7" cm="1">
        <f t="array" ref="Q2057:S2057">VLOOKUP(P2057,Hoja1!C:F,{2,3,4},FALSE)</f>
        <v>46295</v>
      </c>
      <c r="R2057" t="str">
        <v>C38</v>
      </c>
      <c r="S2057" t="str">
        <v>1000001289 DUCA SEBASTIAN ENRIQUE</v>
      </c>
    </row>
    <row r="2058" spans="1:19" x14ac:dyDescent="0.3">
      <c r="A2058" s="2" t="s">
        <v>14</v>
      </c>
      <c r="B2058" s="3" t="s">
        <v>14</v>
      </c>
      <c r="C2058" s="3" t="s">
        <v>1815</v>
      </c>
      <c r="D2058" s="3" t="s">
        <v>14</v>
      </c>
      <c r="E2058" s="3" t="s">
        <v>466</v>
      </c>
      <c r="F2058" s="4">
        <v>46287</v>
      </c>
      <c r="G2058" s="3" t="s">
        <v>17</v>
      </c>
      <c r="H2058" s="5">
        <v>-190000</v>
      </c>
      <c r="I2058" s="3" t="s">
        <v>18</v>
      </c>
      <c r="J2058" s="3" t="s">
        <v>14</v>
      </c>
      <c r="K2058" s="3" t="s">
        <v>14</v>
      </c>
      <c r="L2058" s="3" t="s">
        <v>1813</v>
      </c>
      <c r="M2058" s="4">
        <v>46290</v>
      </c>
      <c r="N2058" s="3" t="s">
        <v>1816</v>
      </c>
      <c r="O2058" s="3" t="s">
        <v>30</v>
      </c>
      <c r="P2058" t="str">
        <f t="shared" si="32"/>
        <v>450013885610</v>
      </c>
      <c r="Q2058" s="7" cm="1">
        <f t="array" ref="Q2058:S2058">VLOOKUP(P2058,Hoja1!C:F,{2,3,4},FALSE)</f>
        <v>46290</v>
      </c>
      <c r="R2058" t="str">
        <v>C38</v>
      </c>
      <c r="S2058" t="str">
        <v>1000001289 DUCA SEBASTIAN ENRIQUE</v>
      </c>
    </row>
    <row r="2059" spans="1:19" x14ac:dyDescent="0.3">
      <c r="A2059" s="2" t="s">
        <v>14</v>
      </c>
      <c r="B2059" s="3" t="s">
        <v>14</v>
      </c>
      <c r="C2059" s="3" t="s">
        <v>1817</v>
      </c>
      <c r="D2059" s="3" t="s">
        <v>32</v>
      </c>
      <c r="E2059" s="3" t="s">
        <v>466</v>
      </c>
      <c r="F2059" s="4">
        <v>46290</v>
      </c>
      <c r="G2059" s="3" t="s">
        <v>17</v>
      </c>
      <c r="H2059" s="5">
        <v>-98034</v>
      </c>
      <c r="I2059" s="3" t="s">
        <v>18</v>
      </c>
      <c r="J2059" s="3" t="s">
        <v>14</v>
      </c>
      <c r="K2059" s="3" t="s">
        <v>14</v>
      </c>
      <c r="L2059" s="3" t="s">
        <v>1818</v>
      </c>
      <c r="M2059" s="4">
        <v>46290</v>
      </c>
      <c r="N2059" s="3" t="s">
        <v>1819</v>
      </c>
      <c r="O2059" s="3" t="s">
        <v>138</v>
      </c>
      <c r="P2059" t="str">
        <f t="shared" si="32"/>
        <v>450013944290</v>
      </c>
      <c r="Q2059" s="7" cm="1">
        <f t="array" ref="Q2059:S2059">VLOOKUP(P2059,Hoja1!C:F,{2,3,4},FALSE)</f>
        <v>46290</v>
      </c>
      <c r="R2059" t="str">
        <v>377</v>
      </c>
      <c r="S2059" t="str">
        <v>1000003121 BLANCO GRUP SA</v>
      </c>
    </row>
    <row r="2060" spans="1:19" x14ac:dyDescent="0.3">
      <c r="A2060" s="2" t="s">
        <v>14</v>
      </c>
      <c r="B2060" s="3" t="s">
        <v>14</v>
      </c>
      <c r="C2060" s="3" t="s">
        <v>1820</v>
      </c>
      <c r="D2060" s="3" t="s">
        <v>32</v>
      </c>
      <c r="E2060" s="3" t="s">
        <v>466</v>
      </c>
      <c r="F2060" s="4">
        <v>46290</v>
      </c>
      <c r="G2060" s="3" t="s">
        <v>17</v>
      </c>
      <c r="H2060" s="5">
        <v>-58630.5</v>
      </c>
      <c r="I2060" s="3" t="s">
        <v>18</v>
      </c>
      <c r="J2060" s="3" t="s">
        <v>14</v>
      </c>
      <c r="K2060" s="3" t="s">
        <v>14</v>
      </c>
      <c r="L2060" s="3" t="s">
        <v>1666</v>
      </c>
      <c r="M2060" s="4">
        <v>46290</v>
      </c>
      <c r="N2060" s="3" t="s">
        <v>1821</v>
      </c>
      <c r="O2060" s="3" t="s">
        <v>30</v>
      </c>
      <c r="P2060" t="str">
        <f t="shared" si="32"/>
        <v>450013947710</v>
      </c>
      <c r="Q2060" s="7" cm="1">
        <f t="array" ref="Q2060:S2060">VLOOKUP(P2060,Hoja1!C:F,{2,3,4},FALSE)</f>
        <v>46290</v>
      </c>
      <c r="R2060" t="str">
        <v>377</v>
      </c>
      <c r="S2060" t="str">
        <v>1000000435 NUEVO SUR S.A</v>
      </c>
    </row>
    <row r="2061" spans="1:19" x14ac:dyDescent="0.3">
      <c r="A2061" s="2" t="s">
        <v>14</v>
      </c>
      <c r="B2061" s="3" t="s">
        <v>14</v>
      </c>
      <c r="C2061" s="3" t="s">
        <v>1822</v>
      </c>
      <c r="D2061" s="3" t="s">
        <v>84</v>
      </c>
      <c r="E2061" s="3" t="s">
        <v>466</v>
      </c>
      <c r="F2061" s="4">
        <v>46290</v>
      </c>
      <c r="G2061" s="3" t="s">
        <v>17</v>
      </c>
      <c r="H2061" s="5">
        <v>-316155.06</v>
      </c>
      <c r="I2061" s="3" t="s">
        <v>18</v>
      </c>
      <c r="J2061" s="3" t="s">
        <v>14</v>
      </c>
      <c r="K2061" s="3" t="s">
        <v>14</v>
      </c>
      <c r="L2061" s="3" t="s">
        <v>568</v>
      </c>
      <c r="M2061" s="4">
        <v>46291</v>
      </c>
      <c r="N2061" s="3" t="s">
        <v>1823</v>
      </c>
      <c r="O2061" s="3" t="s">
        <v>22</v>
      </c>
      <c r="P2061" t="str">
        <f t="shared" si="32"/>
        <v>450012889420</v>
      </c>
      <c r="Q2061" s="7" cm="1">
        <f t="array" ref="Q2061:S2061">VLOOKUP(P2061,Hoja1!C:F,{2,3,4},FALSE)</f>
        <v>46262</v>
      </c>
      <c r="R2061" t="str">
        <v>C11</v>
      </c>
      <c r="S2061" t="str">
        <v>1000000301 CASA MAGNANI S.R.L.</v>
      </c>
    </row>
    <row r="2062" spans="1:19" x14ac:dyDescent="0.3">
      <c r="A2062" s="2" t="s">
        <v>14</v>
      </c>
      <c r="B2062" s="3" t="s">
        <v>14</v>
      </c>
      <c r="C2062" s="3" t="s">
        <v>1824</v>
      </c>
      <c r="D2062" s="3" t="s">
        <v>14</v>
      </c>
      <c r="E2062" s="3" t="s">
        <v>466</v>
      </c>
      <c r="F2062" s="4">
        <v>46291</v>
      </c>
      <c r="G2062" s="3" t="s">
        <v>17</v>
      </c>
      <c r="H2062" s="5">
        <v>-334435.15000000002</v>
      </c>
      <c r="I2062" s="3" t="s">
        <v>18</v>
      </c>
      <c r="J2062" s="3" t="s">
        <v>14</v>
      </c>
      <c r="K2062" s="3" t="s">
        <v>14</v>
      </c>
      <c r="L2062" s="3" t="s">
        <v>73</v>
      </c>
      <c r="M2062" s="4">
        <v>46291</v>
      </c>
      <c r="N2062" s="3" t="s">
        <v>402</v>
      </c>
      <c r="O2062" s="3" t="s">
        <v>30</v>
      </c>
      <c r="P2062" t="str">
        <f t="shared" si="32"/>
        <v>450013790610</v>
      </c>
      <c r="Q2062" s="7" cm="1">
        <f t="array" ref="Q2062:S2062">VLOOKUP(P2062,Hoja1!C:F,{2,3,4},FALSE)</f>
        <v>46295</v>
      </c>
      <c r="R2062" t="str">
        <v>C21</v>
      </c>
      <c r="S2062" t="str">
        <v>1000000808 GLOBAL OIL S.R.L.</v>
      </c>
    </row>
    <row r="2063" spans="1:19" x14ac:dyDescent="0.3">
      <c r="A2063" s="2" t="s">
        <v>14</v>
      </c>
      <c r="B2063" s="3" t="s">
        <v>14</v>
      </c>
      <c r="C2063" s="3" t="s">
        <v>1824</v>
      </c>
      <c r="D2063" s="3" t="s">
        <v>14</v>
      </c>
      <c r="E2063" s="3" t="s">
        <v>466</v>
      </c>
      <c r="F2063" s="4">
        <v>46291</v>
      </c>
      <c r="G2063" s="3" t="s">
        <v>17</v>
      </c>
      <c r="H2063" s="5">
        <v>-70385.3</v>
      </c>
      <c r="I2063" s="3" t="s">
        <v>18</v>
      </c>
      <c r="J2063" s="3" t="s">
        <v>14</v>
      </c>
      <c r="K2063" s="3" t="s">
        <v>14</v>
      </c>
      <c r="L2063" s="3" t="s">
        <v>73</v>
      </c>
      <c r="M2063" s="4">
        <v>46291</v>
      </c>
      <c r="N2063" s="3" t="s">
        <v>402</v>
      </c>
      <c r="O2063" s="3" t="s">
        <v>30</v>
      </c>
      <c r="P2063" t="str">
        <f t="shared" si="32"/>
        <v>450013790610</v>
      </c>
      <c r="Q2063" s="7" cm="1">
        <f t="array" ref="Q2063:S2063">VLOOKUP(P2063,Hoja1!C:F,{2,3,4},FALSE)</f>
        <v>46295</v>
      </c>
      <c r="R2063" t="str">
        <v>C21</v>
      </c>
      <c r="S2063" t="str">
        <v>1000000808 GLOBAL OIL S.R.L.</v>
      </c>
    </row>
    <row r="2064" spans="1:19" x14ac:dyDescent="0.3">
      <c r="A2064" s="2" t="s">
        <v>14</v>
      </c>
      <c r="B2064" s="3" t="s">
        <v>14</v>
      </c>
      <c r="C2064" s="3" t="s">
        <v>1825</v>
      </c>
      <c r="D2064" s="3" t="s">
        <v>32</v>
      </c>
      <c r="E2064" s="3" t="s">
        <v>466</v>
      </c>
      <c r="F2064" s="4">
        <v>46291</v>
      </c>
      <c r="G2064" s="3" t="s">
        <v>17</v>
      </c>
      <c r="H2064" s="5">
        <v>-429.76</v>
      </c>
      <c r="I2064" s="3" t="s">
        <v>18</v>
      </c>
      <c r="J2064" s="3" t="s">
        <v>14</v>
      </c>
      <c r="K2064" s="3" t="s">
        <v>14</v>
      </c>
      <c r="L2064" s="3" t="s">
        <v>611</v>
      </c>
      <c r="M2064" s="4">
        <v>46291</v>
      </c>
      <c r="N2064" s="3" t="s">
        <v>1826</v>
      </c>
      <c r="O2064" s="3" t="s">
        <v>30</v>
      </c>
      <c r="P2064" t="str">
        <f t="shared" si="32"/>
        <v>450013956510</v>
      </c>
      <c r="Q2064" s="7" cm="1">
        <f t="array" ref="Q2064:S2064">VLOOKUP(P2064,Hoja1!C:F,{2,3,4},FALSE)</f>
        <v>46295</v>
      </c>
      <c r="R2064" t="str">
        <v>374</v>
      </c>
      <c r="S2064" t="str">
        <v>1000011432 SCHVAB JULIO CESAR</v>
      </c>
    </row>
    <row r="2065" spans="1:19" x14ac:dyDescent="0.3">
      <c r="A2065" s="2" t="s">
        <v>14</v>
      </c>
      <c r="B2065" s="3" t="s">
        <v>14</v>
      </c>
      <c r="C2065" s="3" t="s">
        <v>1825</v>
      </c>
      <c r="D2065" s="3" t="s">
        <v>32</v>
      </c>
      <c r="E2065" s="3" t="s">
        <v>466</v>
      </c>
      <c r="F2065" s="4">
        <v>46291</v>
      </c>
      <c r="G2065" s="3" t="s">
        <v>17</v>
      </c>
      <c r="H2065" s="5">
        <v>-99.16</v>
      </c>
      <c r="I2065" s="3" t="s">
        <v>18</v>
      </c>
      <c r="J2065" s="3" t="s">
        <v>14</v>
      </c>
      <c r="K2065" s="3" t="s">
        <v>14</v>
      </c>
      <c r="L2065" s="3" t="s">
        <v>611</v>
      </c>
      <c r="M2065" s="4">
        <v>46291</v>
      </c>
      <c r="N2065" s="3" t="s">
        <v>1826</v>
      </c>
      <c r="O2065" s="3" t="s">
        <v>22</v>
      </c>
      <c r="P2065" t="str">
        <f t="shared" si="32"/>
        <v>450013956520</v>
      </c>
      <c r="Q2065" s="7" cm="1">
        <f t="array" ref="Q2065:S2065">VLOOKUP(P2065,Hoja1!C:F,{2,3,4},FALSE)</f>
        <v>46295</v>
      </c>
      <c r="R2065" t="str">
        <v>374</v>
      </c>
      <c r="S2065" t="str">
        <v>1000011432 SCHVAB JULIO CESAR</v>
      </c>
    </row>
    <row r="2066" spans="1:19" x14ac:dyDescent="0.3">
      <c r="A2066" s="2" t="s">
        <v>14</v>
      </c>
      <c r="B2066" s="3" t="s">
        <v>14</v>
      </c>
      <c r="C2066" s="3" t="s">
        <v>1825</v>
      </c>
      <c r="D2066" s="3" t="s">
        <v>32</v>
      </c>
      <c r="E2066" s="3" t="s">
        <v>466</v>
      </c>
      <c r="F2066" s="4">
        <v>46291</v>
      </c>
      <c r="G2066" s="3" t="s">
        <v>17</v>
      </c>
      <c r="H2066" s="5">
        <v>-165.28</v>
      </c>
      <c r="I2066" s="3" t="s">
        <v>18</v>
      </c>
      <c r="J2066" s="3" t="s">
        <v>14</v>
      </c>
      <c r="K2066" s="3" t="s">
        <v>14</v>
      </c>
      <c r="L2066" s="3" t="s">
        <v>611</v>
      </c>
      <c r="M2066" s="4">
        <v>46291</v>
      </c>
      <c r="N2066" s="3" t="s">
        <v>1826</v>
      </c>
      <c r="O2066" s="3" t="s">
        <v>35</v>
      </c>
      <c r="P2066" t="str">
        <f t="shared" si="32"/>
        <v>450013956530</v>
      </c>
      <c r="Q2066" s="7" cm="1">
        <f t="array" ref="Q2066:S2066">VLOOKUP(P2066,Hoja1!C:F,{2,3,4},FALSE)</f>
        <v>46295</v>
      </c>
      <c r="R2066" t="str">
        <v>374</v>
      </c>
      <c r="S2066" t="str">
        <v>1000011432 SCHVAB JULIO CESAR</v>
      </c>
    </row>
    <row r="2067" spans="1:19" x14ac:dyDescent="0.3">
      <c r="A2067" s="2" t="s">
        <v>14</v>
      </c>
      <c r="B2067" s="3" t="s">
        <v>14</v>
      </c>
      <c r="C2067" s="3" t="s">
        <v>1825</v>
      </c>
      <c r="D2067" s="3" t="s">
        <v>32</v>
      </c>
      <c r="E2067" s="3" t="s">
        <v>466</v>
      </c>
      <c r="F2067" s="4">
        <v>46291</v>
      </c>
      <c r="G2067" s="3" t="s">
        <v>17</v>
      </c>
      <c r="H2067" s="5">
        <v>-1388.4</v>
      </c>
      <c r="I2067" s="3" t="s">
        <v>18</v>
      </c>
      <c r="J2067" s="3" t="s">
        <v>14</v>
      </c>
      <c r="K2067" s="3" t="s">
        <v>14</v>
      </c>
      <c r="L2067" s="3" t="s">
        <v>611</v>
      </c>
      <c r="M2067" s="4">
        <v>46291</v>
      </c>
      <c r="N2067" s="3" t="s">
        <v>1826</v>
      </c>
      <c r="O2067" s="3" t="s">
        <v>23</v>
      </c>
      <c r="P2067" t="str">
        <f t="shared" si="32"/>
        <v>450013956540</v>
      </c>
      <c r="Q2067" s="7" cm="1">
        <f t="array" ref="Q2067:S2067">VLOOKUP(P2067,Hoja1!C:F,{2,3,4},FALSE)</f>
        <v>46295</v>
      </c>
      <c r="R2067" t="str">
        <v>374</v>
      </c>
      <c r="S2067" t="str">
        <v>1000011432 SCHVAB JULIO CESAR</v>
      </c>
    </row>
    <row r="2068" spans="1:19" x14ac:dyDescent="0.3">
      <c r="A2068" s="2" t="s">
        <v>14</v>
      </c>
      <c r="B2068" s="3" t="s">
        <v>14</v>
      </c>
      <c r="C2068" s="3" t="s">
        <v>1825</v>
      </c>
      <c r="D2068" s="3" t="s">
        <v>32</v>
      </c>
      <c r="E2068" s="3" t="s">
        <v>466</v>
      </c>
      <c r="F2068" s="4">
        <v>46291</v>
      </c>
      <c r="G2068" s="3" t="s">
        <v>17</v>
      </c>
      <c r="H2068" s="5">
        <v>-6446.28</v>
      </c>
      <c r="I2068" s="3" t="s">
        <v>18</v>
      </c>
      <c r="J2068" s="3" t="s">
        <v>14</v>
      </c>
      <c r="K2068" s="3" t="s">
        <v>14</v>
      </c>
      <c r="L2068" s="3" t="s">
        <v>611</v>
      </c>
      <c r="M2068" s="4">
        <v>46291</v>
      </c>
      <c r="N2068" s="3" t="s">
        <v>1826</v>
      </c>
      <c r="O2068" s="3" t="s">
        <v>144</v>
      </c>
      <c r="P2068" t="str">
        <f t="shared" si="32"/>
        <v>450013956550</v>
      </c>
      <c r="Q2068" s="7" cm="1">
        <f t="array" ref="Q2068:S2068">VLOOKUP(P2068,Hoja1!C:F,{2,3,4},FALSE)</f>
        <v>46295</v>
      </c>
      <c r="R2068" t="str">
        <v>374</v>
      </c>
      <c r="S2068" t="str">
        <v>1000011432 SCHVAB JULIO CESAR</v>
      </c>
    </row>
    <row r="2069" spans="1:19" x14ac:dyDescent="0.3">
      <c r="A2069" s="2" t="s">
        <v>14</v>
      </c>
      <c r="B2069" s="3" t="s">
        <v>14</v>
      </c>
      <c r="C2069" s="3" t="s">
        <v>1825</v>
      </c>
      <c r="D2069" s="3" t="s">
        <v>32</v>
      </c>
      <c r="E2069" s="3" t="s">
        <v>466</v>
      </c>
      <c r="F2069" s="4">
        <v>46291</v>
      </c>
      <c r="G2069" s="3" t="s">
        <v>17</v>
      </c>
      <c r="H2069" s="5">
        <v>-3305.78</v>
      </c>
      <c r="I2069" s="3" t="s">
        <v>18</v>
      </c>
      <c r="J2069" s="3" t="s">
        <v>14</v>
      </c>
      <c r="K2069" s="3" t="s">
        <v>14</v>
      </c>
      <c r="L2069" s="3" t="s">
        <v>611</v>
      </c>
      <c r="M2069" s="4">
        <v>46291</v>
      </c>
      <c r="N2069" s="3" t="s">
        <v>1826</v>
      </c>
      <c r="O2069" s="3" t="s">
        <v>141</v>
      </c>
      <c r="P2069" t="str">
        <f t="shared" si="32"/>
        <v>450013956560</v>
      </c>
      <c r="Q2069" s="7" cm="1">
        <f t="array" ref="Q2069:S2069">VLOOKUP(P2069,Hoja1!C:F,{2,3,4},FALSE)</f>
        <v>46295</v>
      </c>
      <c r="R2069" t="str">
        <v>374</v>
      </c>
      <c r="S2069" t="str">
        <v>1000011432 SCHVAB JULIO CESAR</v>
      </c>
    </row>
    <row r="2070" spans="1:19" x14ac:dyDescent="0.3">
      <c r="A2070" s="2" t="s">
        <v>14</v>
      </c>
      <c r="B2070" s="3" t="s">
        <v>14</v>
      </c>
      <c r="C2070" s="3" t="s">
        <v>1825</v>
      </c>
      <c r="D2070" s="3" t="s">
        <v>32</v>
      </c>
      <c r="E2070" s="3" t="s">
        <v>466</v>
      </c>
      <c r="F2070" s="4">
        <v>46291</v>
      </c>
      <c r="G2070" s="3" t="s">
        <v>17</v>
      </c>
      <c r="H2070" s="5">
        <v>-9504.1299999999992</v>
      </c>
      <c r="I2070" s="3" t="s">
        <v>18</v>
      </c>
      <c r="J2070" s="3" t="s">
        <v>14</v>
      </c>
      <c r="K2070" s="3" t="s">
        <v>14</v>
      </c>
      <c r="L2070" s="3" t="s">
        <v>611</v>
      </c>
      <c r="M2070" s="4">
        <v>46291</v>
      </c>
      <c r="N2070" s="3" t="s">
        <v>1826</v>
      </c>
      <c r="O2070" s="3" t="s">
        <v>134</v>
      </c>
      <c r="P2070" t="str">
        <f t="shared" si="32"/>
        <v>450013956570</v>
      </c>
      <c r="Q2070" s="7" cm="1">
        <f t="array" ref="Q2070:S2070">VLOOKUP(P2070,Hoja1!C:F,{2,3,4},FALSE)</f>
        <v>46295</v>
      </c>
      <c r="R2070" t="str">
        <v>374</v>
      </c>
      <c r="S2070" t="str">
        <v>1000011432 SCHVAB JULIO CESAR</v>
      </c>
    </row>
    <row r="2071" spans="1:19" x14ac:dyDescent="0.3">
      <c r="A2071" s="2" t="s">
        <v>14</v>
      </c>
      <c r="B2071" s="3" t="s">
        <v>14</v>
      </c>
      <c r="C2071" s="3" t="s">
        <v>1825</v>
      </c>
      <c r="D2071" s="3" t="s">
        <v>32</v>
      </c>
      <c r="E2071" s="3" t="s">
        <v>466</v>
      </c>
      <c r="F2071" s="4">
        <v>46291</v>
      </c>
      <c r="G2071" s="3" t="s">
        <v>17</v>
      </c>
      <c r="H2071" s="5">
        <v>-15206.64</v>
      </c>
      <c r="I2071" s="3" t="s">
        <v>18</v>
      </c>
      <c r="J2071" s="3" t="s">
        <v>14</v>
      </c>
      <c r="K2071" s="3" t="s">
        <v>14</v>
      </c>
      <c r="L2071" s="3" t="s">
        <v>611</v>
      </c>
      <c r="M2071" s="4">
        <v>46291</v>
      </c>
      <c r="N2071" s="3" t="s">
        <v>1826</v>
      </c>
      <c r="O2071" s="3" t="s">
        <v>52</v>
      </c>
      <c r="P2071" t="str">
        <f t="shared" si="32"/>
        <v>450013956580</v>
      </c>
      <c r="Q2071" s="7" cm="1">
        <f t="array" ref="Q2071:S2071">VLOOKUP(P2071,Hoja1!C:F,{2,3,4},FALSE)</f>
        <v>46295</v>
      </c>
      <c r="R2071" t="str">
        <v>374</v>
      </c>
      <c r="S2071" t="str">
        <v>1000011432 SCHVAB JULIO CESAR</v>
      </c>
    </row>
    <row r="2072" spans="1:19" x14ac:dyDescent="0.3">
      <c r="A2072" s="2" t="s">
        <v>14</v>
      </c>
      <c r="B2072" s="3" t="s">
        <v>14</v>
      </c>
      <c r="C2072" s="3" t="s">
        <v>1825</v>
      </c>
      <c r="D2072" s="3" t="s">
        <v>32</v>
      </c>
      <c r="E2072" s="3" t="s">
        <v>466</v>
      </c>
      <c r="F2072" s="4">
        <v>46291</v>
      </c>
      <c r="G2072" s="3" t="s">
        <v>17</v>
      </c>
      <c r="H2072" s="5">
        <v>-3471.08</v>
      </c>
      <c r="I2072" s="3" t="s">
        <v>18</v>
      </c>
      <c r="J2072" s="3" t="s">
        <v>14</v>
      </c>
      <c r="K2072" s="3" t="s">
        <v>14</v>
      </c>
      <c r="L2072" s="3" t="s">
        <v>611</v>
      </c>
      <c r="M2072" s="4">
        <v>46291</v>
      </c>
      <c r="N2072" s="3" t="s">
        <v>1826</v>
      </c>
      <c r="O2072" s="3" t="s">
        <v>138</v>
      </c>
      <c r="P2072" t="str">
        <f t="shared" si="32"/>
        <v>450013956590</v>
      </c>
      <c r="Q2072" s="7" cm="1">
        <f t="array" ref="Q2072:S2072">VLOOKUP(P2072,Hoja1!C:F,{2,3,4},FALSE)</f>
        <v>46295</v>
      </c>
      <c r="R2072" t="str">
        <v>374</v>
      </c>
      <c r="S2072" t="str">
        <v>1000011432 SCHVAB JULIO CESAR</v>
      </c>
    </row>
    <row r="2073" spans="1:19" x14ac:dyDescent="0.3">
      <c r="A2073" s="2" t="s">
        <v>14</v>
      </c>
      <c r="B2073" s="3" t="s">
        <v>14</v>
      </c>
      <c r="C2073" s="3" t="s">
        <v>1825</v>
      </c>
      <c r="D2073" s="3" t="s">
        <v>32</v>
      </c>
      <c r="E2073" s="3" t="s">
        <v>466</v>
      </c>
      <c r="F2073" s="4">
        <v>46291</v>
      </c>
      <c r="G2073" s="3" t="s">
        <v>17</v>
      </c>
      <c r="H2073" s="5">
        <v>-2809.92</v>
      </c>
      <c r="I2073" s="3" t="s">
        <v>18</v>
      </c>
      <c r="J2073" s="3" t="s">
        <v>14</v>
      </c>
      <c r="K2073" s="3" t="s">
        <v>14</v>
      </c>
      <c r="L2073" s="3" t="s">
        <v>611</v>
      </c>
      <c r="M2073" s="4">
        <v>46291</v>
      </c>
      <c r="N2073" s="3" t="s">
        <v>1826</v>
      </c>
      <c r="O2073" s="3" t="s">
        <v>45</v>
      </c>
      <c r="P2073" t="str">
        <f t="shared" si="32"/>
        <v>4500139565100</v>
      </c>
      <c r="Q2073" s="7" cm="1">
        <f t="array" ref="Q2073:S2073">VLOOKUP(P2073,Hoja1!C:F,{2,3,4},FALSE)</f>
        <v>46295</v>
      </c>
      <c r="R2073" t="str">
        <v>374</v>
      </c>
      <c r="S2073" t="str">
        <v>1000011432 SCHVAB JULIO CESAR</v>
      </c>
    </row>
    <row r="2074" spans="1:19" x14ac:dyDescent="0.3">
      <c r="A2074" s="2" t="s">
        <v>14</v>
      </c>
      <c r="B2074" s="3" t="s">
        <v>14</v>
      </c>
      <c r="C2074" s="3" t="s">
        <v>1825</v>
      </c>
      <c r="D2074" s="3" t="s">
        <v>32</v>
      </c>
      <c r="E2074" s="3" t="s">
        <v>466</v>
      </c>
      <c r="F2074" s="4">
        <v>46291</v>
      </c>
      <c r="G2074" s="3" t="s">
        <v>17</v>
      </c>
      <c r="H2074" s="5">
        <v>-41818.18</v>
      </c>
      <c r="I2074" s="3" t="s">
        <v>18</v>
      </c>
      <c r="J2074" s="3" t="s">
        <v>14</v>
      </c>
      <c r="K2074" s="3" t="s">
        <v>14</v>
      </c>
      <c r="L2074" s="3" t="s">
        <v>611</v>
      </c>
      <c r="M2074" s="4">
        <v>46291</v>
      </c>
      <c r="N2074" s="3" t="s">
        <v>1826</v>
      </c>
      <c r="O2074" s="3" t="s">
        <v>156</v>
      </c>
      <c r="P2074" t="str">
        <f t="shared" si="32"/>
        <v>4500139565110</v>
      </c>
      <c r="Q2074" s="7" cm="1">
        <f t="array" ref="Q2074:S2074">VLOOKUP(P2074,Hoja1!C:F,{2,3,4},FALSE)</f>
        <v>46295</v>
      </c>
      <c r="R2074" t="str">
        <v>374</v>
      </c>
      <c r="S2074" t="str">
        <v>1000011432 SCHVAB JULIO CESAR</v>
      </c>
    </row>
    <row r="2075" spans="1:19" x14ac:dyDescent="0.3">
      <c r="A2075" s="2" t="s">
        <v>14</v>
      </c>
      <c r="B2075" s="3" t="s">
        <v>14</v>
      </c>
      <c r="C2075" s="3" t="s">
        <v>1825</v>
      </c>
      <c r="D2075" s="3" t="s">
        <v>32</v>
      </c>
      <c r="E2075" s="3" t="s">
        <v>466</v>
      </c>
      <c r="F2075" s="4">
        <v>46291</v>
      </c>
      <c r="G2075" s="3" t="s">
        <v>17</v>
      </c>
      <c r="H2075" s="5">
        <v>-28595.040000000001</v>
      </c>
      <c r="I2075" s="3" t="s">
        <v>18</v>
      </c>
      <c r="J2075" s="3" t="s">
        <v>14</v>
      </c>
      <c r="K2075" s="3" t="s">
        <v>14</v>
      </c>
      <c r="L2075" s="3" t="s">
        <v>611</v>
      </c>
      <c r="M2075" s="4">
        <v>46291</v>
      </c>
      <c r="N2075" s="3" t="s">
        <v>1826</v>
      </c>
      <c r="O2075" s="3" t="s">
        <v>132</v>
      </c>
      <c r="P2075" t="str">
        <f t="shared" si="32"/>
        <v>4500139565120</v>
      </c>
      <c r="Q2075" s="7" cm="1">
        <f t="array" ref="Q2075:S2075">VLOOKUP(P2075,Hoja1!C:F,{2,3,4},FALSE)</f>
        <v>46295</v>
      </c>
      <c r="R2075" t="str">
        <v>374</v>
      </c>
      <c r="S2075" t="str">
        <v>1000011432 SCHVAB JULIO CESAR</v>
      </c>
    </row>
    <row r="2076" spans="1:19" x14ac:dyDescent="0.3">
      <c r="A2076" s="2" t="s">
        <v>14</v>
      </c>
      <c r="B2076" s="3" t="s">
        <v>14</v>
      </c>
      <c r="C2076" s="3" t="s">
        <v>1825</v>
      </c>
      <c r="D2076" s="3" t="s">
        <v>32</v>
      </c>
      <c r="E2076" s="3" t="s">
        <v>466</v>
      </c>
      <c r="F2076" s="4">
        <v>46291</v>
      </c>
      <c r="G2076" s="3" t="s">
        <v>17</v>
      </c>
      <c r="H2076" s="5">
        <v>-2066.12</v>
      </c>
      <c r="I2076" s="3" t="s">
        <v>18</v>
      </c>
      <c r="J2076" s="3" t="s">
        <v>14</v>
      </c>
      <c r="K2076" s="3" t="s">
        <v>14</v>
      </c>
      <c r="L2076" s="3" t="s">
        <v>611</v>
      </c>
      <c r="M2076" s="4">
        <v>46291</v>
      </c>
      <c r="N2076" s="3" t="s">
        <v>1826</v>
      </c>
      <c r="O2076" s="3" t="s">
        <v>142</v>
      </c>
      <c r="P2076" t="str">
        <f t="shared" si="32"/>
        <v>4500139565130</v>
      </c>
      <c r="Q2076" s="7" cm="1">
        <f t="array" ref="Q2076:S2076">VLOOKUP(P2076,Hoja1!C:F,{2,3,4},FALSE)</f>
        <v>46295</v>
      </c>
      <c r="R2076" t="str">
        <v>374</v>
      </c>
      <c r="S2076" t="str">
        <v>1000011432 SCHVAB JULIO CESAR</v>
      </c>
    </row>
    <row r="2077" spans="1:19" x14ac:dyDescent="0.3">
      <c r="A2077" s="2" t="s">
        <v>14</v>
      </c>
      <c r="B2077" s="3" t="s">
        <v>14</v>
      </c>
      <c r="C2077" s="3" t="s">
        <v>1825</v>
      </c>
      <c r="D2077" s="3" t="s">
        <v>32</v>
      </c>
      <c r="E2077" s="3" t="s">
        <v>466</v>
      </c>
      <c r="F2077" s="4">
        <v>46291</v>
      </c>
      <c r="G2077" s="3" t="s">
        <v>17</v>
      </c>
      <c r="H2077" s="5">
        <v>-3074.4</v>
      </c>
      <c r="I2077" s="3" t="s">
        <v>18</v>
      </c>
      <c r="J2077" s="3" t="s">
        <v>14</v>
      </c>
      <c r="K2077" s="3" t="s">
        <v>14</v>
      </c>
      <c r="L2077" s="3" t="s">
        <v>611</v>
      </c>
      <c r="M2077" s="4">
        <v>46291</v>
      </c>
      <c r="N2077" s="3" t="s">
        <v>1826</v>
      </c>
      <c r="O2077" s="3" t="s">
        <v>131</v>
      </c>
      <c r="P2077" t="str">
        <f t="shared" si="32"/>
        <v>4500139565140</v>
      </c>
      <c r="Q2077" s="7" cm="1">
        <f t="array" ref="Q2077:S2077">VLOOKUP(P2077,Hoja1!C:F,{2,3,4},FALSE)</f>
        <v>46295</v>
      </c>
      <c r="R2077" t="str">
        <v>374</v>
      </c>
      <c r="S2077" t="str">
        <v>1000011432 SCHVAB JULIO CESAR</v>
      </c>
    </row>
    <row r="2078" spans="1:19" x14ac:dyDescent="0.3">
      <c r="A2078" s="2" t="s">
        <v>14</v>
      </c>
      <c r="B2078" s="3" t="s">
        <v>14</v>
      </c>
      <c r="C2078" s="3" t="s">
        <v>1825</v>
      </c>
      <c r="D2078" s="3" t="s">
        <v>32</v>
      </c>
      <c r="E2078" s="3" t="s">
        <v>466</v>
      </c>
      <c r="F2078" s="4">
        <v>46291</v>
      </c>
      <c r="G2078" s="3" t="s">
        <v>17</v>
      </c>
      <c r="H2078" s="5">
        <v>-694.2</v>
      </c>
      <c r="I2078" s="3" t="s">
        <v>18</v>
      </c>
      <c r="J2078" s="3" t="s">
        <v>14</v>
      </c>
      <c r="K2078" s="3" t="s">
        <v>14</v>
      </c>
      <c r="L2078" s="3" t="s">
        <v>611</v>
      </c>
      <c r="M2078" s="4">
        <v>46291</v>
      </c>
      <c r="N2078" s="3" t="s">
        <v>1826</v>
      </c>
      <c r="O2078" s="3" t="s">
        <v>68</v>
      </c>
      <c r="P2078" t="str">
        <f t="shared" si="32"/>
        <v>4500139565150</v>
      </c>
      <c r="Q2078" s="7" cm="1">
        <f t="array" ref="Q2078:S2078">VLOOKUP(P2078,Hoja1!C:F,{2,3,4},FALSE)</f>
        <v>46295</v>
      </c>
      <c r="R2078" t="str">
        <v>374</v>
      </c>
      <c r="S2078" t="str">
        <v>1000011432 SCHVAB JULIO CESAR</v>
      </c>
    </row>
    <row r="2079" spans="1:19" x14ac:dyDescent="0.3">
      <c r="A2079" s="2" t="s">
        <v>14</v>
      </c>
      <c r="B2079" s="3" t="s">
        <v>14</v>
      </c>
      <c r="C2079" s="3" t="s">
        <v>1825</v>
      </c>
      <c r="D2079" s="3" t="s">
        <v>32</v>
      </c>
      <c r="E2079" s="3" t="s">
        <v>466</v>
      </c>
      <c r="F2079" s="4">
        <v>46291</v>
      </c>
      <c r="G2079" s="3" t="s">
        <v>17</v>
      </c>
      <c r="H2079" s="5">
        <v>-14545.46</v>
      </c>
      <c r="I2079" s="3" t="s">
        <v>18</v>
      </c>
      <c r="J2079" s="3" t="s">
        <v>14</v>
      </c>
      <c r="K2079" s="3" t="s">
        <v>14</v>
      </c>
      <c r="L2079" s="3" t="s">
        <v>611</v>
      </c>
      <c r="M2079" s="4">
        <v>46291</v>
      </c>
      <c r="N2079" s="3" t="s">
        <v>1826</v>
      </c>
      <c r="O2079" s="3" t="s">
        <v>129</v>
      </c>
      <c r="P2079" t="str">
        <f t="shared" si="32"/>
        <v>4500139565160</v>
      </c>
      <c r="Q2079" s="7" cm="1">
        <f t="array" ref="Q2079:S2079">VLOOKUP(P2079,Hoja1!C:F,{2,3,4},FALSE)</f>
        <v>46295</v>
      </c>
      <c r="R2079" t="str">
        <v>374</v>
      </c>
      <c r="S2079" t="str">
        <v>1000011432 SCHVAB JULIO CESAR</v>
      </c>
    </row>
    <row r="2080" spans="1:19" x14ac:dyDescent="0.3">
      <c r="A2080" s="2" t="s">
        <v>14</v>
      </c>
      <c r="B2080" s="3" t="s">
        <v>14</v>
      </c>
      <c r="C2080" s="3" t="s">
        <v>1827</v>
      </c>
      <c r="D2080" s="3" t="s">
        <v>14</v>
      </c>
      <c r="E2080" s="3" t="s">
        <v>466</v>
      </c>
      <c r="F2080" s="4">
        <v>46290</v>
      </c>
      <c r="G2080" s="3" t="s">
        <v>17</v>
      </c>
      <c r="H2080" s="5">
        <v>-267200</v>
      </c>
      <c r="I2080" s="3" t="s">
        <v>18</v>
      </c>
      <c r="J2080" s="3" t="s">
        <v>14</v>
      </c>
      <c r="K2080" s="3" t="s">
        <v>14</v>
      </c>
      <c r="L2080" s="3" t="s">
        <v>438</v>
      </c>
      <c r="M2080" s="4">
        <v>46291</v>
      </c>
      <c r="N2080" s="3" t="s">
        <v>1828</v>
      </c>
      <c r="O2080" s="3" t="s">
        <v>30</v>
      </c>
      <c r="P2080" t="str">
        <f t="shared" si="32"/>
        <v>450013857710</v>
      </c>
      <c r="Q2080" s="7" cm="1">
        <f t="array" ref="Q2080:S2080">VLOOKUP(P2080,Hoja1!C:F,{2,3,4},FALSE)</f>
        <v>46290</v>
      </c>
      <c r="R2080" t="str">
        <v>C03</v>
      </c>
      <c r="S2080" t="str">
        <v>1000010268 YEMA REPUESTOS SRL</v>
      </c>
    </row>
    <row r="2081" spans="1:19" x14ac:dyDescent="0.3">
      <c r="A2081" s="2" t="s">
        <v>14</v>
      </c>
      <c r="B2081" s="3" t="s">
        <v>14</v>
      </c>
      <c r="C2081" s="3" t="s">
        <v>1827</v>
      </c>
      <c r="D2081" s="3" t="s">
        <v>14</v>
      </c>
      <c r="E2081" s="3" t="s">
        <v>466</v>
      </c>
      <c r="F2081" s="4">
        <v>46290</v>
      </c>
      <c r="G2081" s="3" t="s">
        <v>17</v>
      </c>
      <c r="H2081" s="5">
        <v>-20000</v>
      </c>
      <c r="I2081" s="3" t="s">
        <v>18</v>
      </c>
      <c r="J2081" s="3" t="s">
        <v>14</v>
      </c>
      <c r="K2081" s="3" t="s">
        <v>14</v>
      </c>
      <c r="L2081" s="3" t="s">
        <v>438</v>
      </c>
      <c r="M2081" s="4">
        <v>46291</v>
      </c>
      <c r="N2081" s="3" t="s">
        <v>1828</v>
      </c>
      <c r="O2081" s="3" t="s">
        <v>35</v>
      </c>
      <c r="P2081" t="str">
        <f t="shared" si="32"/>
        <v>450013857730</v>
      </c>
      <c r="Q2081" s="7" cm="1">
        <f t="array" ref="Q2081:S2081">VLOOKUP(P2081,Hoja1!C:F,{2,3,4},FALSE)</f>
        <v>46290</v>
      </c>
      <c r="R2081" t="str">
        <v>C03</v>
      </c>
      <c r="S2081" t="str">
        <v>1000010268 YEMA REPUESTOS SRL</v>
      </c>
    </row>
    <row r="2082" spans="1:19" x14ac:dyDescent="0.3">
      <c r="A2082" s="2" t="s">
        <v>14</v>
      </c>
      <c r="B2082" s="3" t="s">
        <v>14</v>
      </c>
      <c r="C2082" s="3" t="s">
        <v>1827</v>
      </c>
      <c r="D2082" s="3" t="s">
        <v>14</v>
      </c>
      <c r="E2082" s="3" t="s">
        <v>466</v>
      </c>
      <c r="F2082" s="4">
        <v>46290</v>
      </c>
      <c r="G2082" s="3" t="s">
        <v>17</v>
      </c>
      <c r="H2082" s="5">
        <v>-20000</v>
      </c>
      <c r="I2082" s="3" t="s">
        <v>18</v>
      </c>
      <c r="J2082" s="3" t="s">
        <v>14</v>
      </c>
      <c r="K2082" s="3" t="s">
        <v>14</v>
      </c>
      <c r="L2082" s="3" t="s">
        <v>438</v>
      </c>
      <c r="M2082" s="4">
        <v>46291</v>
      </c>
      <c r="N2082" s="3" t="s">
        <v>1828</v>
      </c>
      <c r="O2082" s="3" t="s">
        <v>23</v>
      </c>
      <c r="P2082" t="str">
        <f t="shared" si="32"/>
        <v>450013857740</v>
      </c>
      <c r="Q2082" s="7" cm="1">
        <f t="array" ref="Q2082:S2082">VLOOKUP(P2082,Hoja1!C:F,{2,3,4},FALSE)</f>
        <v>46290</v>
      </c>
      <c r="R2082" t="str">
        <v>C03</v>
      </c>
      <c r="S2082" t="str">
        <v>1000010268 YEMA REPUESTOS SRL</v>
      </c>
    </row>
    <row r="2083" spans="1:19" x14ac:dyDescent="0.3">
      <c r="A2083" s="2" t="s">
        <v>14</v>
      </c>
      <c r="B2083" s="3" t="s">
        <v>14</v>
      </c>
      <c r="C2083" s="3" t="s">
        <v>1827</v>
      </c>
      <c r="D2083" s="3" t="s">
        <v>14</v>
      </c>
      <c r="E2083" s="3" t="s">
        <v>466</v>
      </c>
      <c r="F2083" s="4">
        <v>46290</v>
      </c>
      <c r="G2083" s="3" t="s">
        <v>17</v>
      </c>
      <c r="H2083" s="5">
        <v>-64000</v>
      </c>
      <c r="I2083" s="3" t="s">
        <v>18</v>
      </c>
      <c r="J2083" s="3" t="s">
        <v>14</v>
      </c>
      <c r="K2083" s="3" t="s">
        <v>14</v>
      </c>
      <c r="L2083" s="3" t="s">
        <v>438</v>
      </c>
      <c r="M2083" s="4">
        <v>46291</v>
      </c>
      <c r="N2083" s="3" t="s">
        <v>1828</v>
      </c>
      <c r="O2083" s="3" t="s">
        <v>144</v>
      </c>
      <c r="P2083" t="str">
        <f t="shared" si="32"/>
        <v>450013857750</v>
      </c>
      <c r="Q2083" s="7" cm="1">
        <f t="array" ref="Q2083:S2083">VLOOKUP(P2083,Hoja1!C:F,{2,3,4},FALSE)</f>
        <v>46290</v>
      </c>
      <c r="R2083" t="str">
        <v>C03</v>
      </c>
      <c r="S2083" t="str">
        <v>1000010268 YEMA REPUESTOS SRL</v>
      </c>
    </row>
    <row r="2084" spans="1:19" x14ac:dyDescent="0.3">
      <c r="A2084" s="2" t="s">
        <v>14</v>
      </c>
      <c r="B2084" s="3" t="s">
        <v>14</v>
      </c>
      <c r="C2084" s="3" t="s">
        <v>1827</v>
      </c>
      <c r="D2084" s="3" t="s">
        <v>14</v>
      </c>
      <c r="E2084" s="3" t="s">
        <v>466</v>
      </c>
      <c r="F2084" s="4">
        <v>46290</v>
      </c>
      <c r="G2084" s="3" t="s">
        <v>17</v>
      </c>
      <c r="H2084" s="5">
        <v>-19500</v>
      </c>
      <c r="I2084" s="3" t="s">
        <v>18</v>
      </c>
      <c r="J2084" s="3" t="s">
        <v>14</v>
      </c>
      <c r="K2084" s="3" t="s">
        <v>14</v>
      </c>
      <c r="L2084" s="3" t="s">
        <v>438</v>
      </c>
      <c r="M2084" s="4">
        <v>46291</v>
      </c>
      <c r="N2084" s="3" t="s">
        <v>1828</v>
      </c>
      <c r="O2084" s="3" t="s">
        <v>134</v>
      </c>
      <c r="P2084" t="str">
        <f t="shared" si="32"/>
        <v>450013857770</v>
      </c>
      <c r="Q2084" s="7" cm="1">
        <f t="array" ref="Q2084:S2084">VLOOKUP(P2084,Hoja1!C:F,{2,3,4},FALSE)</f>
        <v>46290</v>
      </c>
      <c r="R2084" t="str">
        <v>C03</v>
      </c>
      <c r="S2084" t="str">
        <v>1000010268 YEMA REPUESTOS SRL</v>
      </c>
    </row>
    <row r="2085" spans="1:19" x14ac:dyDescent="0.3">
      <c r="A2085" s="2" t="s">
        <v>14</v>
      </c>
      <c r="B2085" s="3" t="s">
        <v>14</v>
      </c>
      <c r="C2085" s="3" t="s">
        <v>1827</v>
      </c>
      <c r="D2085" s="3" t="s">
        <v>14</v>
      </c>
      <c r="E2085" s="3" t="s">
        <v>466</v>
      </c>
      <c r="F2085" s="4">
        <v>46290</v>
      </c>
      <c r="G2085" s="3" t="s">
        <v>17</v>
      </c>
      <c r="H2085" s="5">
        <v>-30000</v>
      </c>
      <c r="I2085" s="3" t="s">
        <v>18</v>
      </c>
      <c r="J2085" s="3" t="s">
        <v>14</v>
      </c>
      <c r="K2085" s="3" t="s">
        <v>14</v>
      </c>
      <c r="L2085" s="3" t="s">
        <v>438</v>
      </c>
      <c r="M2085" s="4">
        <v>46291</v>
      </c>
      <c r="N2085" s="3" t="s">
        <v>1828</v>
      </c>
      <c r="O2085" s="3" t="s">
        <v>52</v>
      </c>
      <c r="P2085" t="str">
        <f t="shared" si="32"/>
        <v>450013857780</v>
      </c>
      <c r="Q2085" s="7" cm="1">
        <f t="array" ref="Q2085:S2085">VLOOKUP(P2085,Hoja1!C:F,{2,3,4},FALSE)</f>
        <v>46290</v>
      </c>
      <c r="R2085" t="str">
        <v>C03</v>
      </c>
      <c r="S2085" t="str">
        <v>1000010268 YEMA REPUESTOS SRL</v>
      </c>
    </row>
    <row r="2086" spans="1:19" x14ac:dyDescent="0.3">
      <c r="A2086" s="2" t="s">
        <v>14</v>
      </c>
      <c r="B2086" s="3" t="s">
        <v>14</v>
      </c>
      <c r="C2086" s="3" t="s">
        <v>1827</v>
      </c>
      <c r="D2086" s="3" t="s">
        <v>14</v>
      </c>
      <c r="E2086" s="3" t="s">
        <v>466</v>
      </c>
      <c r="F2086" s="4">
        <v>46290</v>
      </c>
      <c r="G2086" s="3" t="s">
        <v>17</v>
      </c>
      <c r="H2086" s="5">
        <v>-94500</v>
      </c>
      <c r="I2086" s="3" t="s">
        <v>18</v>
      </c>
      <c r="J2086" s="3" t="s">
        <v>14</v>
      </c>
      <c r="K2086" s="3" t="s">
        <v>14</v>
      </c>
      <c r="L2086" s="3" t="s">
        <v>438</v>
      </c>
      <c r="M2086" s="4">
        <v>46291</v>
      </c>
      <c r="N2086" s="3" t="s">
        <v>1828</v>
      </c>
      <c r="O2086" s="3" t="s">
        <v>45</v>
      </c>
      <c r="P2086" t="str">
        <f t="shared" si="32"/>
        <v>4500138577100</v>
      </c>
      <c r="Q2086" s="7" cm="1">
        <f t="array" ref="Q2086:S2086">VLOOKUP(P2086,Hoja1!C:F,{2,3,4},FALSE)</f>
        <v>46290</v>
      </c>
      <c r="R2086" t="str">
        <v>C03</v>
      </c>
      <c r="S2086" t="str">
        <v>1000010268 YEMA REPUESTOS SRL</v>
      </c>
    </row>
    <row r="2087" spans="1:19" x14ac:dyDescent="0.3">
      <c r="A2087" s="2" t="s">
        <v>14</v>
      </c>
      <c r="B2087" s="3" t="s">
        <v>14</v>
      </c>
      <c r="C2087" s="3" t="s">
        <v>1829</v>
      </c>
      <c r="D2087" s="3" t="s">
        <v>32</v>
      </c>
      <c r="E2087" s="3" t="s">
        <v>466</v>
      </c>
      <c r="F2087" s="4">
        <v>46291</v>
      </c>
      <c r="G2087" s="3" t="s">
        <v>17</v>
      </c>
      <c r="H2087" s="5">
        <v>-191341.8</v>
      </c>
      <c r="I2087" s="3" t="s">
        <v>18</v>
      </c>
      <c r="J2087" s="3" t="s">
        <v>14</v>
      </c>
      <c r="K2087" s="3" t="s">
        <v>14</v>
      </c>
      <c r="L2087" s="3" t="s">
        <v>597</v>
      </c>
      <c r="M2087" s="4">
        <v>46291</v>
      </c>
      <c r="N2087" s="3" t="s">
        <v>1830</v>
      </c>
      <c r="O2087" s="3" t="s">
        <v>30</v>
      </c>
      <c r="P2087" t="str">
        <f t="shared" si="32"/>
        <v>450013925910</v>
      </c>
      <c r="Q2087" s="7" cm="1">
        <f t="array" ref="Q2087:S2087">VLOOKUP(P2087,Hoja1!C:F,{2,3,4},FALSE)</f>
        <v>46289</v>
      </c>
      <c r="R2087" t="str">
        <v>C11</v>
      </c>
      <c r="S2087" t="str">
        <v>1000009527 ELECTRICIDAD PANAMERICANA S.A.</v>
      </c>
    </row>
    <row r="2088" spans="1:19" x14ac:dyDescent="0.3">
      <c r="A2088" s="2" t="s">
        <v>14</v>
      </c>
      <c r="B2088" s="3" t="s">
        <v>14</v>
      </c>
      <c r="C2088" s="3" t="s">
        <v>1829</v>
      </c>
      <c r="D2088" s="3" t="s">
        <v>32</v>
      </c>
      <c r="E2088" s="3" t="s">
        <v>466</v>
      </c>
      <c r="F2088" s="4">
        <v>46291</v>
      </c>
      <c r="G2088" s="3" t="s">
        <v>17</v>
      </c>
      <c r="H2088" s="5">
        <v>-345267</v>
      </c>
      <c r="I2088" s="3" t="s">
        <v>18</v>
      </c>
      <c r="J2088" s="3" t="s">
        <v>14</v>
      </c>
      <c r="K2088" s="3" t="s">
        <v>14</v>
      </c>
      <c r="L2088" s="3" t="s">
        <v>597</v>
      </c>
      <c r="M2088" s="4">
        <v>46291</v>
      </c>
      <c r="N2088" s="3" t="s">
        <v>1830</v>
      </c>
      <c r="O2088" s="3" t="s">
        <v>22</v>
      </c>
      <c r="P2088" t="str">
        <f t="shared" si="32"/>
        <v>450013925920</v>
      </c>
      <c r="Q2088" s="7" cm="1">
        <f t="array" ref="Q2088:S2088">VLOOKUP(P2088,Hoja1!C:F,{2,3,4},FALSE)</f>
        <v>46289</v>
      </c>
      <c r="R2088" t="str">
        <v>C11</v>
      </c>
      <c r="S2088" t="str">
        <v>1000009527 ELECTRICIDAD PANAMERICANA S.A.</v>
      </c>
    </row>
    <row r="2089" spans="1:19" x14ac:dyDescent="0.3">
      <c r="A2089" s="2" t="s">
        <v>14</v>
      </c>
      <c r="B2089" s="3" t="s">
        <v>14</v>
      </c>
      <c r="C2089" s="3" t="s">
        <v>1829</v>
      </c>
      <c r="D2089" s="3" t="s">
        <v>32</v>
      </c>
      <c r="E2089" s="3" t="s">
        <v>466</v>
      </c>
      <c r="F2089" s="4">
        <v>46291</v>
      </c>
      <c r="G2089" s="3" t="s">
        <v>17</v>
      </c>
      <c r="H2089" s="5">
        <v>-246097.8</v>
      </c>
      <c r="I2089" s="3" t="s">
        <v>18</v>
      </c>
      <c r="J2089" s="3" t="s">
        <v>14</v>
      </c>
      <c r="K2089" s="3" t="s">
        <v>14</v>
      </c>
      <c r="L2089" s="3" t="s">
        <v>597</v>
      </c>
      <c r="M2089" s="4">
        <v>46291</v>
      </c>
      <c r="N2089" s="3" t="s">
        <v>1830</v>
      </c>
      <c r="O2089" s="3" t="s">
        <v>35</v>
      </c>
      <c r="P2089" t="str">
        <f t="shared" si="32"/>
        <v>450013925930</v>
      </c>
      <c r="Q2089" s="7" cm="1">
        <f t="array" ref="Q2089:S2089">VLOOKUP(P2089,Hoja1!C:F,{2,3,4},FALSE)</f>
        <v>46289</v>
      </c>
      <c r="R2089" t="str">
        <v>C11</v>
      </c>
      <c r="S2089" t="str">
        <v>1000009527 ELECTRICIDAD PANAMERICANA S.A.</v>
      </c>
    </row>
    <row r="2090" spans="1:19" x14ac:dyDescent="0.3">
      <c r="A2090" s="2" t="s">
        <v>14</v>
      </c>
      <c r="B2090" s="3" t="s">
        <v>14</v>
      </c>
      <c r="C2090" s="3" t="s">
        <v>1831</v>
      </c>
      <c r="D2090" s="3" t="s">
        <v>14</v>
      </c>
      <c r="E2090" s="3" t="s">
        <v>466</v>
      </c>
      <c r="F2090" s="4">
        <v>46291</v>
      </c>
      <c r="G2090" s="3" t="s">
        <v>17</v>
      </c>
      <c r="H2090" s="5">
        <v>-242159.64</v>
      </c>
      <c r="I2090" s="3" t="s">
        <v>18</v>
      </c>
      <c r="J2090" s="3" t="s">
        <v>14</v>
      </c>
      <c r="K2090" s="3" t="s">
        <v>14</v>
      </c>
      <c r="L2090" s="3" t="s">
        <v>1832</v>
      </c>
      <c r="M2090" s="4">
        <v>46291</v>
      </c>
      <c r="N2090" s="3" t="s">
        <v>1833</v>
      </c>
      <c r="O2090" s="3" t="s">
        <v>30</v>
      </c>
      <c r="P2090" t="str">
        <f t="shared" si="32"/>
        <v>450013956410</v>
      </c>
      <c r="Q2090" s="7" cm="1">
        <f t="array" ref="Q2090:S2090">VLOOKUP(P2090,Hoja1!C:F,{2,3,4},FALSE)</f>
        <v>46291</v>
      </c>
      <c r="R2090" t="str">
        <v>377</v>
      </c>
      <c r="S2090" t="str">
        <v>1000000211 LA CASA DE LAS HERRAMIENTAS SA</v>
      </c>
    </row>
    <row r="2091" spans="1:19" x14ac:dyDescent="0.3">
      <c r="A2091" s="2" t="s">
        <v>14</v>
      </c>
      <c r="B2091" s="3" t="s">
        <v>14</v>
      </c>
      <c r="C2091" s="3" t="s">
        <v>1831</v>
      </c>
      <c r="D2091" s="3" t="s">
        <v>14</v>
      </c>
      <c r="E2091" s="3" t="s">
        <v>466</v>
      </c>
      <c r="F2091" s="4">
        <v>46291</v>
      </c>
      <c r="G2091" s="3" t="s">
        <v>17</v>
      </c>
      <c r="H2091" s="5">
        <v>-32115.4</v>
      </c>
      <c r="I2091" s="3" t="s">
        <v>18</v>
      </c>
      <c r="J2091" s="3" t="s">
        <v>14</v>
      </c>
      <c r="K2091" s="3" t="s">
        <v>14</v>
      </c>
      <c r="L2091" s="3" t="s">
        <v>1832</v>
      </c>
      <c r="M2091" s="4">
        <v>46291</v>
      </c>
      <c r="N2091" s="3" t="s">
        <v>1833</v>
      </c>
      <c r="O2091" s="3" t="s">
        <v>35</v>
      </c>
      <c r="P2091" t="str">
        <f t="shared" si="32"/>
        <v>450013956430</v>
      </c>
      <c r="Q2091" s="7" cm="1">
        <f t="array" ref="Q2091:S2091">VLOOKUP(P2091,Hoja1!C:F,{2,3,4},FALSE)</f>
        <v>46291</v>
      </c>
      <c r="R2091" t="str">
        <v>377</v>
      </c>
      <c r="S2091" t="str">
        <v>1000000211 LA CASA DE LAS HERRAMIENTAS SA</v>
      </c>
    </row>
    <row r="2092" spans="1:19" x14ac:dyDescent="0.3">
      <c r="A2092" s="2" t="s">
        <v>14</v>
      </c>
      <c r="B2092" s="3" t="s">
        <v>14</v>
      </c>
      <c r="C2092" s="3" t="s">
        <v>1831</v>
      </c>
      <c r="D2092" s="3" t="s">
        <v>14</v>
      </c>
      <c r="E2092" s="3" t="s">
        <v>466</v>
      </c>
      <c r="F2092" s="4">
        <v>46291</v>
      </c>
      <c r="G2092" s="3" t="s">
        <v>17</v>
      </c>
      <c r="H2092" s="5">
        <v>-3549.5</v>
      </c>
      <c r="I2092" s="3" t="s">
        <v>18</v>
      </c>
      <c r="J2092" s="3" t="s">
        <v>14</v>
      </c>
      <c r="K2092" s="3" t="s">
        <v>14</v>
      </c>
      <c r="L2092" s="3" t="s">
        <v>1832</v>
      </c>
      <c r="M2092" s="4">
        <v>46291</v>
      </c>
      <c r="N2092" s="3" t="s">
        <v>1833</v>
      </c>
      <c r="O2092" s="3" t="s">
        <v>23</v>
      </c>
      <c r="P2092" t="str">
        <f t="shared" si="32"/>
        <v>450013956440</v>
      </c>
      <c r="Q2092" s="7" cm="1">
        <f t="array" ref="Q2092:S2092">VLOOKUP(P2092,Hoja1!C:F,{2,3,4},FALSE)</f>
        <v>46291</v>
      </c>
      <c r="R2092" t="str">
        <v>377</v>
      </c>
      <c r="S2092" t="str">
        <v>1000000211 LA CASA DE LAS HERRAMIENTAS SA</v>
      </c>
    </row>
    <row r="2093" spans="1:19" x14ac:dyDescent="0.3">
      <c r="A2093" s="2" t="s">
        <v>14</v>
      </c>
      <c r="B2093" s="3" t="s">
        <v>14</v>
      </c>
      <c r="C2093" s="3" t="s">
        <v>1831</v>
      </c>
      <c r="D2093" s="3" t="s">
        <v>14</v>
      </c>
      <c r="E2093" s="3" t="s">
        <v>466</v>
      </c>
      <c r="F2093" s="4">
        <v>46291</v>
      </c>
      <c r="G2093" s="3" t="s">
        <v>17</v>
      </c>
      <c r="H2093" s="5">
        <v>-100542.26</v>
      </c>
      <c r="I2093" s="3" t="s">
        <v>18</v>
      </c>
      <c r="J2093" s="3" t="s">
        <v>14</v>
      </c>
      <c r="K2093" s="3" t="s">
        <v>14</v>
      </c>
      <c r="L2093" s="3" t="s">
        <v>1832</v>
      </c>
      <c r="M2093" s="4">
        <v>46291</v>
      </c>
      <c r="N2093" s="3" t="s">
        <v>1833</v>
      </c>
      <c r="O2093" s="3" t="s">
        <v>144</v>
      </c>
      <c r="P2093" t="str">
        <f t="shared" si="32"/>
        <v>450013956450</v>
      </c>
      <c r="Q2093" s="7" cm="1">
        <f t="array" ref="Q2093:S2093">VLOOKUP(P2093,Hoja1!C:F,{2,3,4},FALSE)</f>
        <v>46291</v>
      </c>
      <c r="R2093" t="str">
        <v>377</v>
      </c>
      <c r="S2093" t="str">
        <v>1000000211 LA CASA DE LAS HERRAMIENTAS SA</v>
      </c>
    </row>
    <row r="2094" spans="1:19" x14ac:dyDescent="0.3">
      <c r="A2094" s="2" t="s">
        <v>14</v>
      </c>
      <c r="B2094" s="3" t="s">
        <v>14</v>
      </c>
      <c r="C2094" s="3" t="s">
        <v>1834</v>
      </c>
      <c r="D2094" s="3" t="s">
        <v>14</v>
      </c>
      <c r="E2094" s="3" t="s">
        <v>466</v>
      </c>
      <c r="F2094" s="4">
        <v>46293</v>
      </c>
      <c r="G2094" s="3" t="s">
        <v>17</v>
      </c>
      <c r="H2094" s="5">
        <v>-42148.77</v>
      </c>
      <c r="I2094" s="3" t="s">
        <v>18</v>
      </c>
      <c r="J2094" s="3" t="s">
        <v>14</v>
      </c>
      <c r="K2094" s="3" t="s">
        <v>14</v>
      </c>
      <c r="L2094" s="3" t="s">
        <v>433</v>
      </c>
      <c r="M2094" s="4">
        <v>46293</v>
      </c>
      <c r="N2094" s="3" t="s">
        <v>1835</v>
      </c>
      <c r="O2094" s="3" t="s">
        <v>30</v>
      </c>
      <c r="P2094" t="str">
        <f t="shared" si="32"/>
        <v>450013898410</v>
      </c>
      <c r="Q2094" s="7" cm="1">
        <f t="array" ref="Q2094:S2094">VLOOKUP(P2094,Hoja1!C:F,{2,3,4},FALSE)</f>
        <v>46287</v>
      </c>
      <c r="R2094" t="str">
        <v>C03</v>
      </c>
      <c r="S2094" t="str">
        <v>1000000551 SADER AUTOPARTES S.A</v>
      </c>
    </row>
    <row r="2095" spans="1:19" x14ac:dyDescent="0.3">
      <c r="A2095" s="2" t="s">
        <v>14</v>
      </c>
      <c r="B2095" s="3" t="s">
        <v>14</v>
      </c>
      <c r="C2095" s="3" t="s">
        <v>1836</v>
      </c>
      <c r="D2095" s="3" t="s">
        <v>14</v>
      </c>
      <c r="E2095" s="3" t="s">
        <v>466</v>
      </c>
      <c r="F2095" s="4">
        <v>46288</v>
      </c>
      <c r="G2095" s="3" t="s">
        <v>17</v>
      </c>
      <c r="H2095" s="5">
        <v>-855867</v>
      </c>
      <c r="I2095" s="3" t="s">
        <v>18</v>
      </c>
      <c r="J2095" s="3" t="s">
        <v>14</v>
      </c>
      <c r="K2095" s="3" t="s">
        <v>14</v>
      </c>
      <c r="L2095" s="3" t="s">
        <v>1211</v>
      </c>
      <c r="M2095" s="4">
        <v>46293</v>
      </c>
      <c r="N2095" s="3" t="s">
        <v>1698</v>
      </c>
      <c r="O2095" s="3" t="s">
        <v>127</v>
      </c>
      <c r="P2095" t="str">
        <f t="shared" si="32"/>
        <v>4500136658190</v>
      </c>
      <c r="Q2095" s="7" cm="1">
        <f t="array" ref="Q2095:S2095">VLOOKUP(P2095,Hoja1!C:F,{2,3,4},FALSE)</f>
        <v>46310</v>
      </c>
      <c r="R2095" t="str">
        <v>C03</v>
      </c>
      <c r="S2095" t="str">
        <v>1000000012 IGARRETA MAQUINAS S.A.</v>
      </c>
    </row>
    <row r="2096" spans="1:19" x14ac:dyDescent="0.3">
      <c r="A2096" s="2" t="s">
        <v>14</v>
      </c>
      <c r="B2096" s="3" t="s">
        <v>14</v>
      </c>
      <c r="C2096" s="3" t="s">
        <v>1837</v>
      </c>
      <c r="D2096" s="3" t="s">
        <v>14</v>
      </c>
      <c r="E2096" s="3" t="s">
        <v>466</v>
      </c>
      <c r="F2096" s="4">
        <v>46288</v>
      </c>
      <c r="G2096" s="3" t="s">
        <v>17</v>
      </c>
      <c r="H2096" s="5">
        <v>-845175.59</v>
      </c>
      <c r="I2096" s="3" t="s">
        <v>18</v>
      </c>
      <c r="J2096" s="3" t="s">
        <v>14</v>
      </c>
      <c r="K2096" s="3" t="s">
        <v>14</v>
      </c>
      <c r="L2096" s="3" t="s">
        <v>1211</v>
      </c>
      <c r="M2096" s="4">
        <v>46293</v>
      </c>
      <c r="N2096" s="3" t="s">
        <v>1838</v>
      </c>
      <c r="O2096" s="3" t="s">
        <v>30</v>
      </c>
      <c r="P2096" t="str">
        <f t="shared" si="32"/>
        <v>450013705010</v>
      </c>
      <c r="Q2096" s="7" cm="1">
        <f t="array" ref="Q2096:S2096">VLOOKUP(P2096,Hoja1!C:F,{2,3,4},FALSE)</f>
        <v>46290</v>
      </c>
      <c r="R2096" t="str">
        <v>C03</v>
      </c>
      <c r="S2096" t="str">
        <v>1000000012 IGARRETA MAQUINAS S.A.</v>
      </c>
    </row>
    <row r="2097" spans="1:19" x14ac:dyDescent="0.3">
      <c r="A2097" s="2" t="s">
        <v>14</v>
      </c>
      <c r="B2097" s="3" t="s">
        <v>14</v>
      </c>
      <c r="C2097" s="3" t="s">
        <v>1837</v>
      </c>
      <c r="D2097" s="3" t="s">
        <v>14</v>
      </c>
      <c r="E2097" s="3" t="s">
        <v>466</v>
      </c>
      <c r="F2097" s="4">
        <v>46288</v>
      </c>
      <c r="G2097" s="3" t="s">
        <v>17</v>
      </c>
      <c r="H2097" s="5">
        <v>-822597.14</v>
      </c>
      <c r="I2097" s="3" t="s">
        <v>18</v>
      </c>
      <c r="J2097" s="3" t="s">
        <v>14</v>
      </c>
      <c r="K2097" s="3" t="s">
        <v>14</v>
      </c>
      <c r="L2097" s="3" t="s">
        <v>1211</v>
      </c>
      <c r="M2097" s="4">
        <v>46293</v>
      </c>
      <c r="N2097" s="3" t="s">
        <v>1838</v>
      </c>
      <c r="O2097" s="3" t="s">
        <v>22</v>
      </c>
      <c r="P2097" t="str">
        <f t="shared" si="32"/>
        <v>450013705020</v>
      </c>
      <c r="Q2097" s="7" cm="1">
        <f t="array" ref="Q2097:S2097">VLOOKUP(P2097,Hoja1!C:F,{2,3,4},FALSE)</f>
        <v>46290</v>
      </c>
      <c r="R2097" t="str">
        <v>C03</v>
      </c>
      <c r="S2097" t="str">
        <v>1000000012 IGARRETA MAQUINAS S.A.</v>
      </c>
    </row>
    <row r="2098" spans="1:19" x14ac:dyDescent="0.3">
      <c r="A2098" s="2" t="s">
        <v>14</v>
      </c>
      <c r="B2098" s="3" t="s">
        <v>14</v>
      </c>
      <c r="C2098" s="3" t="s">
        <v>1839</v>
      </c>
      <c r="D2098" s="3" t="s">
        <v>14</v>
      </c>
      <c r="E2098" s="3" t="s">
        <v>466</v>
      </c>
      <c r="F2098" s="4">
        <v>46288</v>
      </c>
      <c r="G2098" s="3" t="s">
        <v>17</v>
      </c>
      <c r="H2098" s="5">
        <v>-330802.28999999998</v>
      </c>
      <c r="I2098" s="3" t="s">
        <v>18</v>
      </c>
      <c r="J2098" s="3" t="s">
        <v>14</v>
      </c>
      <c r="K2098" s="3" t="s">
        <v>14</v>
      </c>
      <c r="L2098" s="3" t="s">
        <v>1211</v>
      </c>
      <c r="M2098" s="4">
        <v>46293</v>
      </c>
      <c r="N2098" s="3" t="s">
        <v>1840</v>
      </c>
      <c r="O2098" s="3" t="s">
        <v>30</v>
      </c>
      <c r="P2098" t="str">
        <f t="shared" si="32"/>
        <v>450013906510</v>
      </c>
      <c r="Q2098" s="7" cm="1">
        <f t="array" ref="Q2098:S2098">VLOOKUP(P2098,Hoja1!C:F,{2,3,4},FALSE)</f>
        <v>46297</v>
      </c>
      <c r="R2098" t="str">
        <v>F03</v>
      </c>
      <c r="S2098" t="str">
        <v>1000000012 IGARRETA MAQUINAS S.A.</v>
      </c>
    </row>
    <row r="2099" spans="1:19" x14ac:dyDescent="0.3">
      <c r="A2099" s="2" t="s">
        <v>14</v>
      </c>
      <c r="B2099" s="3" t="s">
        <v>14</v>
      </c>
      <c r="C2099" s="3" t="s">
        <v>1839</v>
      </c>
      <c r="D2099" s="3" t="s">
        <v>14</v>
      </c>
      <c r="E2099" s="3" t="s">
        <v>466</v>
      </c>
      <c r="F2099" s="4">
        <v>46288</v>
      </c>
      <c r="G2099" s="3" t="s">
        <v>17</v>
      </c>
      <c r="H2099" s="5">
        <v>-370941.48</v>
      </c>
      <c r="I2099" s="3" t="s">
        <v>18</v>
      </c>
      <c r="J2099" s="3" t="s">
        <v>14</v>
      </c>
      <c r="K2099" s="3" t="s">
        <v>14</v>
      </c>
      <c r="L2099" s="3" t="s">
        <v>1211</v>
      </c>
      <c r="M2099" s="4">
        <v>46293</v>
      </c>
      <c r="N2099" s="3" t="s">
        <v>1840</v>
      </c>
      <c r="O2099" s="3" t="s">
        <v>22</v>
      </c>
      <c r="P2099" t="str">
        <f t="shared" si="32"/>
        <v>450013906520</v>
      </c>
      <c r="Q2099" s="7" cm="1">
        <f t="array" ref="Q2099:S2099">VLOOKUP(P2099,Hoja1!C:F,{2,3,4},FALSE)</f>
        <v>46297</v>
      </c>
      <c r="R2099" t="str">
        <v>F03</v>
      </c>
      <c r="S2099" t="str">
        <v>1000000012 IGARRETA MAQUINAS S.A.</v>
      </c>
    </row>
    <row r="2100" spans="1:19" x14ac:dyDescent="0.3">
      <c r="A2100" s="2" t="s">
        <v>14</v>
      </c>
      <c r="B2100" s="3" t="s">
        <v>14</v>
      </c>
      <c r="C2100" s="3" t="s">
        <v>1841</v>
      </c>
      <c r="D2100" s="3" t="s">
        <v>14</v>
      </c>
      <c r="E2100" s="3" t="s">
        <v>466</v>
      </c>
      <c r="F2100" s="4">
        <v>46293</v>
      </c>
      <c r="G2100" s="3" t="s">
        <v>17</v>
      </c>
      <c r="H2100" s="5">
        <v>-42857</v>
      </c>
      <c r="I2100" s="3" t="s">
        <v>18</v>
      </c>
      <c r="J2100" s="3" t="s">
        <v>14</v>
      </c>
      <c r="K2100" s="3" t="s">
        <v>14</v>
      </c>
      <c r="L2100" s="3" t="s">
        <v>1658</v>
      </c>
      <c r="M2100" s="4">
        <v>46293</v>
      </c>
      <c r="N2100" s="3" t="s">
        <v>1842</v>
      </c>
      <c r="O2100" s="3" t="s">
        <v>30</v>
      </c>
      <c r="P2100" t="str">
        <f t="shared" si="32"/>
        <v>450013948310</v>
      </c>
      <c r="Q2100" s="7" cm="1">
        <f t="array" ref="Q2100:S2100">VLOOKUP(P2100,Hoja1!C:F,{2,3,4},FALSE)</f>
        <v>46295</v>
      </c>
      <c r="R2100" t="str">
        <v>C42</v>
      </c>
      <c r="S2100" t="str">
        <v>1000000487 GRUPO AUTOPARTISTA S.A.</v>
      </c>
    </row>
    <row r="2101" spans="1:19" x14ac:dyDescent="0.3">
      <c r="A2101" s="2" t="s">
        <v>14</v>
      </c>
      <c r="B2101" s="3" t="s">
        <v>14</v>
      </c>
      <c r="C2101" s="3" t="s">
        <v>1843</v>
      </c>
      <c r="D2101" s="3" t="s">
        <v>14</v>
      </c>
      <c r="E2101" s="3" t="s">
        <v>466</v>
      </c>
      <c r="F2101" s="4">
        <v>46288</v>
      </c>
      <c r="G2101" s="3" t="s">
        <v>17</v>
      </c>
      <c r="H2101" s="5">
        <v>-77936.039999999994</v>
      </c>
      <c r="I2101" s="3" t="s">
        <v>18</v>
      </c>
      <c r="J2101" s="3" t="s">
        <v>14</v>
      </c>
      <c r="K2101" s="3" t="s">
        <v>14</v>
      </c>
      <c r="L2101" s="3" t="s">
        <v>1211</v>
      </c>
      <c r="M2101" s="4">
        <v>46293</v>
      </c>
      <c r="N2101" s="3" t="s">
        <v>1721</v>
      </c>
      <c r="O2101" s="3" t="s">
        <v>22</v>
      </c>
      <c r="P2101" t="str">
        <f t="shared" si="32"/>
        <v>450013909220</v>
      </c>
      <c r="Q2101" s="7" cm="1">
        <f t="array" ref="Q2101:S2101">VLOOKUP(P2101,Hoja1!C:F,{2,3,4},FALSE)</f>
        <v>46293</v>
      </c>
      <c r="R2101" t="str">
        <v>F04</v>
      </c>
      <c r="S2101" t="str">
        <v>1000000012 IGARRETA MAQUINAS S.A.</v>
      </c>
    </row>
    <row r="2102" spans="1:19" x14ac:dyDescent="0.3">
      <c r="A2102" s="2" t="s">
        <v>14</v>
      </c>
      <c r="B2102" s="3" t="s">
        <v>14</v>
      </c>
      <c r="C2102" s="3" t="s">
        <v>1844</v>
      </c>
      <c r="D2102" s="3" t="s">
        <v>14</v>
      </c>
      <c r="E2102" s="3" t="s">
        <v>466</v>
      </c>
      <c r="F2102" s="4">
        <v>46293</v>
      </c>
      <c r="G2102" s="3" t="s">
        <v>17</v>
      </c>
      <c r="H2102" s="5">
        <v>-25852.48</v>
      </c>
      <c r="I2102" s="3" t="s">
        <v>18</v>
      </c>
      <c r="J2102" s="3" t="s">
        <v>14</v>
      </c>
      <c r="K2102" s="3" t="s">
        <v>14</v>
      </c>
      <c r="L2102" s="3" t="s">
        <v>216</v>
      </c>
      <c r="M2102" s="4">
        <v>46293</v>
      </c>
      <c r="N2102" s="3" t="s">
        <v>1845</v>
      </c>
      <c r="O2102" s="3" t="s">
        <v>30</v>
      </c>
      <c r="P2102" t="str">
        <f t="shared" si="32"/>
        <v>450013948510</v>
      </c>
      <c r="Q2102" s="7" cm="1">
        <f t="array" ref="Q2102:S2102">VLOOKUP(P2102,Hoja1!C:F,{2,3,4},FALSE)</f>
        <v>46295</v>
      </c>
      <c r="R2102" t="str">
        <v>EFO</v>
      </c>
      <c r="S2102" t="str">
        <v>1000000861 TUBI-FLEX S.A.</v>
      </c>
    </row>
    <row r="2103" spans="1:19" x14ac:dyDescent="0.3">
      <c r="A2103" s="2" t="s">
        <v>14</v>
      </c>
      <c r="B2103" s="3" t="s">
        <v>14</v>
      </c>
      <c r="C2103" s="3" t="s">
        <v>1846</v>
      </c>
      <c r="D2103" s="3" t="s">
        <v>14</v>
      </c>
      <c r="E2103" s="3" t="s">
        <v>466</v>
      </c>
      <c r="F2103" s="4">
        <v>46293</v>
      </c>
      <c r="G2103" s="3" t="s">
        <v>17</v>
      </c>
      <c r="H2103" s="5">
        <v>-660387.78</v>
      </c>
      <c r="I2103" s="3" t="s">
        <v>18</v>
      </c>
      <c r="J2103" s="3" t="s">
        <v>14</v>
      </c>
      <c r="K2103" s="3" t="s">
        <v>14</v>
      </c>
      <c r="L2103" s="3" t="s">
        <v>399</v>
      </c>
      <c r="M2103" s="4">
        <v>46293</v>
      </c>
      <c r="N2103" s="3" t="s">
        <v>1847</v>
      </c>
      <c r="O2103" s="3" t="s">
        <v>30</v>
      </c>
      <c r="P2103" t="str">
        <f t="shared" si="32"/>
        <v>450013901410</v>
      </c>
      <c r="Q2103" s="7" cm="1">
        <f t="array" ref="Q2103:S2103">VLOOKUP(P2103,Hoja1!C:F,{2,3,4},FALSE)</f>
        <v>46295</v>
      </c>
      <c r="R2103" t="str">
        <v>C03</v>
      </c>
      <c r="S2103" t="str">
        <v>1000000561 ESCANDINAVIA DEL PLATA SA</v>
      </c>
    </row>
    <row r="2104" spans="1:19" x14ac:dyDescent="0.3">
      <c r="A2104" s="2" t="s">
        <v>14</v>
      </c>
      <c r="B2104" s="3" t="s">
        <v>14</v>
      </c>
      <c r="C2104" s="3" t="s">
        <v>1848</v>
      </c>
      <c r="D2104" s="3" t="s">
        <v>14</v>
      </c>
      <c r="E2104" s="3" t="s">
        <v>466</v>
      </c>
      <c r="F2104" s="4">
        <v>46293</v>
      </c>
      <c r="G2104" s="3" t="s">
        <v>17</v>
      </c>
      <c r="H2104" s="5">
        <v>-1334231.25</v>
      </c>
      <c r="I2104" s="3" t="s">
        <v>18</v>
      </c>
      <c r="J2104" s="3" t="s">
        <v>14</v>
      </c>
      <c r="K2104" s="3" t="s">
        <v>14</v>
      </c>
      <c r="L2104" s="3" t="s">
        <v>1000</v>
      </c>
      <c r="M2104" s="4">
        <v>46293</v>
      </c>
      <c r="N2104" s="3" t="s">
        <v>1849</v>
      </c>
      <c r="O2104" s="3" t="s">
        <v>30</v>
      </c>
      <c r="P2104" t="str">
        <f t="shared" si="32"/>
        <v>450013943110</v>
      </c>
      <c r="Q2104" s="7" cm="1">
        <f t="array" ref="Q2104:S2104">VLOOKUP(P2104,Hoja1!C:F,{2,3,4},FALSE)</f>
        <v>46301</v>
      </c>
      <c r="R2104" t="str">
        <v>C22</v>
      </c>
      <c r="S2104" t="str">
        <v>1000002348 L-A PINTURAS INDUSTRIALES SRL</v>
      </c>
    </row>
    <row r="2105" spans="1:19" x14ac:dyDescent="0.3">
      <c r="A2105" s="2" t="s">
        <v>14</v>
      </c>
      <c r="B2105" s="3" t="s">
        <v>14</v>
      </c>
      <c r="C2105" s="3" t="s">
        <v>1850</v>
      </c>
      <c r="D2105" s="3" t="s">
        <v>32</v>
      </c>
      <c r="E2105" s="3" t="s">
        <v>466</v>
      </c>
      <c r="F2105" s="4">
        <v>46293</v>
      </c>
      <c r="G2105" s="3" t="s">
        <v>17</v>
      </c>
      <c r="H2105" s="5">
        <v>-98000</v>
      </c>
      <c r="I2105" s="3" t="s">
        <v>18</v>
      </c>
      <c r="J2105" s="3" t="s">
        <v>14</v>
      </c>
      <c r="K2105" s="3" t="s">
        <v>14</v>
      </c>
      <c r="L2105" s="3" t="s">
        <v>1441</v>
      </c>
      <c r="M2105" s="4">
        <v>46293</v>
      </c>
      <c r="N2105" s="3" t="s">
        <v>1851</v>
      </c>
      <c r="O2105" s="3" t="s">
        <v>30</v>
      </c>
      <c r="P2105" t="str">
        <f t="shared" si="32"/>
        <v>450013959510</v>
      </c>
      <c r="Q2105" s="7" cm="1">
        <f t="array" ref="Q2105:S2105">VLOOKUP(P2105,Hoja1!C:F,{2,3,4},FALSE)</f>
        <v>46296</v>
      </c>
      <c r="R2105" t="str">
        <v>374</v>
      </c>
      <c r="S2105" t="str">
        <v>1000012812 FLORES JUAN MANUEL</v>
      </c>
    </row>
    <row r="2106" spans="1:19" x14ac:dyDescent="0.3">
      <c r="A2106" s="2" t="s">
        <v>14</v>
      </c>
      <c r="B2106" s="3" t="s">
        <v>14</v>
      </c>
      <c r="C2106" s="3" t="s">
        <v>1852</v>
      </c>
      <c r="D2106" s="3" t="s">
        <v>14</v>
      </c>
      <c r="E2106" s="3" t="s">
        <v>466</v>
      </c>
      <c r="F2106" s="4">
        <v>46293</v>
      </c>
      <c r="G2106" s="3" t="s">
        <v>17</v>
      </c>
      <c r="H2106" s="5">
        <v>-1550000</v>
      </c>
      <c r="I2106" s="3" t="s">
        <v>18</v>
      </c>
      <c r="J2106" s="3" t="s">
        <v>14</v>
      </c>
      <c r="K2106" s="3" t="s">
        <v>14</v>
      </c>
      <c r="L2106" s="3" t="s">
        <v>1853</v>
      </c>
      <c r="M2106" s="4">
        <v>46293</v>
      </c>
      <c r="N2106" s="3" t="s">
        <v>1854</v>
      </c>
      <c r="O2106" s="3" t="s">
        <v>30</v>
      </c>
      <c r="P2106" t="str">
        <f t="shared" si="32"/>
        <v>450013955110</v>
      </c>
      <c r="Q2106" s="7" cm="1">
        <f t="array" ref="Q2106:S2106">VLOOKUP(P2106,Hoja1!C:F,{2,3,4},FALSE)</f>
        <v>46294</v>
      </c>
      <c r="R2106" t="str">
        <v>C03</v>
      </c>
      <c r="S2106" t="str">
        <v>1000013456 DUBRAWSKI MAURICIO DARIO</v>
      </c>
    </row>
    <row r="2107" spans="1:19" x14ac:dyDescent="0.3">
      <c r="A2107" s="2" t="s">
        <v>14</v>
      </c>
      <c r="B2107" s="3" t="s">
        <v>14</v>
      </c>
      <c r="C2107" s="3" t="s">
        <v>1855</v>
      </c>
      <c r="D2107" s="3" t="s">
        <v>14</v>
      </c>
      <c r="E2107" s="3" t="s">
        <v>466</v>
      </c>
      <c r="F2107" s="4">
        <v>46293</v>
      </c>
      <c r="G2107" s="3" t="s">
        <v>17</v>
      </c>
      <c r="H2107" s="5">
        <v>-109440</v>
      </c>
      <c r="I2107" s="3" t="s">
        <v>18</v>
      </c>
      <c r="J2107" s="3" t="s">
        <v>14</v>
      </c>
      <c r="K2107" s="3" t="s">
        <v>14</v>
      </c>
      <c r="L2107" s="3" t="s">
        <v>1441</v>
      </c>
      <c r="M2107" s="4">
        <v>46293</v>
      </c>
      <c r="N2107" s="3" t="s">
        <v>1442</v>
      </c>
      <c r="O2107" s="3" t="s">
        <v>30</v>
      </c>
      <c r="P2107" t="str">
        <f t="shared" si="32"/>
        <v>450013850510</v>
      </c>
      <c r="Q2107" s="7" cm="1">
        <f t="array" ref="Q2107:S2107">VLOOKUP(P2107,Hoja1!C:F,{2,3,4},FALSE)</f>
        <v>46290</v>
      </c>
      <c r="R2107" t="str">
        <v>C17</v>
      </c>
      <c r="S2107" t="str">
        <v>1000012812 FLORES JUAN MANUEL</v>
      </c>
    </row>
    <row r="2108" spans="1:19" x14ac:dyDescent="0.3">
      <c r="A2108" s="2" t="s">
        <v>14</v>
      </c>
      <c r="B2108" s="3" t="s">
        <v>14</v>
      </c>
      <c r="C2108" s="3" t="s">
        <v>1856</v>
      </c>
      <c r="D2108" s="3" t="s">
        <v>14</v>
      </c>
      <c r="E2108" s="3" t="s">
        <v>466</v>
      </c>
      <c r="F2108" s="4">
        <v>46288</v>
      </c>
      <c r="G2108" s="3" t="s">
        <v>17</v>
      </c>
      <c r="H2108" s="5">
        <v>-191782.89</v>
      </c>
      <c r="I2108" s="3" t="s">
        <v>18</v>
      </c>
      <c r="J2108" s="3" t="s">
        <v>14</v>
      </c>
      <c r="K2108" s="3" t="s">
        <v>14</v>
      </c>
      <c r="L2108" s="3" t="s">
        <v>117</v>
      </c>
      <c r="M2108" s="4">
        <v>46293</v>
      </c>
      <c r="N2108" s="3" t="s">
        <v>1857</v>
      </c>
      <c r="O2108" s="3" t="s">
        <v>30</v>
      </c>
      <c r="P2108" t="str">
        <f t="shared" si="32"/>
        <v>450013805210</v>
      </c>
      <c r="Q2108" s="7" cm="1">
        <f t="array" ref="Q2108:S2108">VLOOKUP(P2108,Hoja1!C:F,{2,3,4},FALSE)</f>
        <v>46290</v>
      </c>
      <c r="R2108" t="str">
        <v>C29</v>
      </c>
      <c r="S2108" t="str">
        <v>1000001129 AGRONORTE S.R.L.</v>
      </c>
    </row>
    <row r="2109" spans="1:19" x14ac:dyDescent="0.3">
      <c r="A2109" s="2" t="s">
        <v>14</v>
      </c>
      <c r="B2109" s="3" t="s">
        <v>14</v>
      </c>
      <c r="C2109" s="3" t="s">
        <v>1856</v>
      </c>
      <c r="D2109" s="3" t="s">
        <v>14</v>
      </c>
      <c r="E2109" s="3" t="s">
        <v>466</v>
      </c>
      <c r="F2109" s="4">
        <v>46288</v>
      </c>
      <c r="G2109" s="3" t="s">
        <v>17</v>
      </c>
      <c r="H2109" s="5">
        <v>-28001.61</v>
      </c>
      <c r="I2109" s="3" t="s">
        <v>18</v>
      </c>
      <c r="J2109" s="3" t="s">
        <v>14</v>
      </c>
      <c r="K2109" s="3" t="s">
        <v>14</v>
      </c>
      <c r="L2109" s="3" t="s">
        <v>117</v>
      </c>
      <c r="M2109" s="4">
        <v>46293</v>
      </c>
      <c r="N2109" s="3" t="s">
        <v>1857</v>
      </c>
      <c r="O2109" s="3" t="s">
        <v>22</v>
      </c>
      <c r="P2109" t="str">
        <f t="shared" si="32"/>
        <v>450013805220</v>
      </c>
      <c r="Q2109" s="7" cm="1">
        <f t="array" ref="Q2109:S2109">VLOOKUP(P2109,Hoja1!C:F,{2,3,4},FALSE)</f>
        <v>46290</v>
      </c>
      <c r="R2109" t="str">
        <v>C29</v>
      </c>
      <c r="S2109" t="str">
        <v>1000001129 AGRONORTE S.R.L.</v>
      </c>
    </row>
    <row r="2110" spans="1:19" x14ac:dyDescent="0.3">
      <c r="A2110" s="2" t="s">
        <v>14</v>
      </c>
      <c r="B2110" s="3" t="s">
        <v>14</v>
      </c>
      <c r="C2110" s="3" t="s">
        <v>1856</v>
      </c>
      <c r="D2110" s="3" t="s">
        <v>14</v>
      </c>
      <c r="E2110" s="3" t="s">
        <v>466</v>
      </c>
      <c r="F2110" s="4">
        <v>46288</v>
      </c>
      <c r="G2110" s="3" t="s">
        <v>17</v>
      </c>
      <c r="H2110" s="5">
        <v>-1210594.32</v>
      </c>
      <c r="I2110" s="3" t="s">
        <v>18</v>
      </c>
      <c r="J2110" s="3" t="s">
        <v>14</v>
      </c>
      <c r="K2110" s="3" t="s">
        <v>14</v>
      </c>
      <c r="L2110" s="3" t="s">
        <v>117</v>
      </c>
      <c r="M2110" s="4">
        <v>46293</v>
      </c>
      <c r="N2110" s="3" t="s">
        <v>1857</v>
      </c>
      <c r="O2110" s="3" t="s">
        <v>35</v>
      </c>
      <c r="P2110" t="str">
        <f t="shared" si="32"/>
        <v>450013805230</v>
      </c>
      <c r="Q2110" s="7" cm="1">
        <f t="array" ref="Q2110:S2110">VLOOKUP(P2110,Hoja1!C:F,{2,3,4},FALSE)</f>
        <v>46290</v>
      </c>
      <c r="R2110" t="str">
        <v>C29</v>
      </c>
      <c r="S2110" t="str">
        <v>1000001129 AGRONORTE S.R.L.</v>
      </c>
    </row>
    <row r="2111" spans="1:19" x14ac:dyDescent="0.3">
      <c r="A2111" s="2" t="s">
        <v>14</v>
      </c>
      <c r="B2111" s="3" t="s">
        <v>14</v>
      </c>
      <c r="C2111" s="3" t="s">
        <v>1858</v>
      </c>
      <c r="D2111" s="3" t="s">
        <v>32</v>
      </c>
      <c r="E2111" s="3" t="s">
        <v>466</v>
      </c>
      <c r="F2111" s="4">
        <v>46293</v>
      </c>
      <c r="G2111" s="3" t="s">
        <v>17</v>
      </c>
      <c r="H2111" s="5">
        <v>-542500</v>
      </c>
      <c r="I2111" s="3" t="s">
        <v>18</v>
      </c>
      <c r="J2111" s="3" t="s">
        <v>14</v>
      </c>
      <c r="K2111" s="3" t="s">
        <v>14</v>
      </c>
      <c r="L2111" s="3" t="s">
        <v>457</v>
      </c>
      <c r="M2111" s="4">
        <v>46293</v>
      </c>
      <c r="N2111" s="3" t="s">
        <v>1859</v>
      </c>
      <c r="O2111" s="3" t="s">
        <v>30</v>
      </c>
      <c r="P2111" t="str">
        <f t="shared" si="32"/>
        <v>450013931910</v>
      </c>
      <c r="Q2111" s="7" cm="1">
        <f t="array" ref="Q2111:S2111">VLOOKUP(P2111,Hoja1!C:F,{2,3,4},FALSE)</f>
        <v>46295</v>
      </c>
      <c r="R2111" t="str">
        <v>C25</v>
      </c>
      <c r="S2111" t="str">
        <v>1000001691 LENOR SRL</v>
      </c>
    </row>
    <row r="2112" spans="1:19" x14ac:dyDescent="0.3">
      <c r="A2112" s="2" t="s">
        <v>14</v>
      </c>
      <c r="B2112" s="3" t="s">
        <v>14</v>
      </c>
      <c r="C2112" s="3" t="s">
        <v>1858</v>
      </c>
      <c r="D2112" s="3" t="s">
        <v>32</v>
      </c>
      <c r="E2112" s="3" t="s">
        <v>466</v>
      </c>
      <c r="F2112" s="4">
        <v>46293</v>
      </c>
      <c r="G2112" s="3" t="s">
        <v>17</v>
      </c>
      <c r="H2112" s="5">
        <v>-310000</v>
      </c>
      <c r="I2112" s="3" t="s">
        <v>18</v>
      </c>
      <c r="J2112" s="3" t="s">
        <v>14</v>
      </c>
      <c r="K2112" s="3" t="s">
        <v>14</v>
      </c>
      <c r="L2112" s="3" t="s">
        <v>457</v>
      </c>
      <c r="M2112" s="4">
        <v>46293</v>
      </c>
      <c r="N2112" s="3" t="s">
        <v>1859</v>
      </c>
      <c r="O2112" s="3" t="s">
        <v>22</v>
      </c>
      <c r="P2112" t="str">
        <f t="shared" si="32"/>
        <v>450013931920</v>
      </c>
      <c r="Q2112" s="7" cm="1">
        <f t="array" ref="Q2112:S2112">VLOOKUP(P2112,Hoja1!C:F,{2,3,4},FALSE)</f>
        <v>46295</v>
      </c>
      <c r="R2112" t="str">
        <v>C25</v>
      </c>
      <c r="S2112" t="str">
        <v>1000001691 LENOR SRL</v>
      </c>
    </row>
    <row r="2113" spans="1:19" x14ac:dyDescent="0.3">
      <c r="A2113" s="2" t="s">
        <v>14</v>
      </c>
      <c r="B2113" s="3" t="s">
        <v>14</v>
      </c>
      <c r="C2113" s="3" t="s">
        <v>1858</v>
      </c>
      <c r="D2113" s="3" t="s">
        <v>32</v>
      </c>
      <c r="E2113" s="3" t="s">
        <v>466</v>
      </c>
      <c r="F2113" s="4">
        <v>46293</v>
      </c>
      <c r="G2113" s="3" t="s">
        <v>17</v>
      </c>
      <c r="H2113" s="5">
        <v>-58900</v>
      </c>
      <c r="I2113" s="3" t="s">
        <v>18</v>
      </c>
      <c r="J2113" s="3" t="s">
        <v>14</v>
      </c>
      <c r="K2113" s="3" t="s">
        <v>14</v>
      </c>
      <c r="L2113" s="3" t="s">
        <v>457</v>
      </c>
      <c r="M2113" s="4">
        <v>46293</v>
      </c>
      <c r="N2113" s="3" t="s">
        <v>1859</v>
      </c>
      <c r="O2113" s="3" t="s">
        <v>35</v>
      </c>
      <c r="P2113" t="str">
        <f t="shared" si="32"/>
        <v>450013931930</v>
      </c>
      <c r="Q2113" s="7" cm="1">
        <f t="array" ref="Q2113:S2113">VLOOKUP(P2113,Hoja1!C:F,{2,3,4},FALSE)</f>
        <v>46295</v>
      </c>
      <c r="R2113" t="str">
        <v>C25</v>
      </c>
      <c r="S2113" t="str">
        <v>1000001691 LENOR SRL</v>
      </c>
    </row>
    <row r="2114" spans="1:19" x14ac:dyDescent="0.3">
      <c r="A2114" s="2" t="s">
        <v>14</v>
      </c>
      <c r="B2114" s="3" t="s">
        <v>14</v>
      </c>
      <c r="C2114" s="3" t="s">
        <v>1860</v>
      </c>
      <c r="D2114" s="3" t="s">
        <v>14</v>
      </c>
      <c r="E2114" s="3" t="s">
        <v>466</v>
      </c>
      <c r="F2114" s="4">
        <v>46293</v>
      </c>
      <c r="G2114" s="3" t="s">
        <v>17</v>
      </c>
      <c r="H2114" s="5">
        <v>-880172.28</v>
      </c>
      <c r="I2114" s="3" t="s">
        <v>18</v>
      </c>
      <c r="J2114" s="3" t="s">
        <v>14</v>
      </c>
      <c r="K2114" s="3" t="s">
        <v>14</v>
      </c>
      <c r="L2114" s="3" t="s">
        <v>1861</v>
      </c>
      <c r="M2114" s="4">
        <v>46293</v>
      </c>
      <c r="N2114" s="3" t="s">
        <v>1862</v>
      </c>
      <c r="O2114" s="3" t="s">
        <v>141</v>
      </c>
      <c r="P2114" t="str">
        <f t="shared" si="32"/>
        <v>450013886460</v>
      </c>
      <c r="Q2114" s="7" cm="1">
        <f t="array" ref="Q2114:S2114">VLOOKUP(P2114,Hoja1!C:F,{2,3,4},FALSE)</f>
        <v>46290</v>
      </c>
      <c r="R2114" t="str">
        <v>C28</v>
      </c>
      <c r="S2114" t="str">
        <v>1000002644 GRUPO AIVIL SRL</v>
      </c>
    </row>
    <row r="2115" spans="1:19" x14ac:dyDescent="0.3">
      <c r="A2115" s="2" t="s">
        <v>14</v>
      </c>
      <c r="B2115" s="3" t="s">
        <v>14</v>
      </c>
      <c r="C2115" s="3" t="s">
        <v>1863</v>
      </c>
      <c r="D2115" s="3" t="s">
        <v>14</v>
      </c>
      <c r="E2115" s="3" t="s">
        <v>466</v>
      </c>
      <c r="F2115" s="4">
        <v>46293</v>
      </c>
      <c r="G2115" s="3" t="s">
        <v>17</v>
      </c>
      <c r="H2115" s="5">
        <v>-30420</v>
      </c>
      <c r="I2115" s="3" t="s">
        <v>18</v>
      </c>
      <c r="J2115" s="3" t="s">
        <v>14</v>
      </c>
      <c r="K2115" s="3" t="s">
        <v>14</v>
      </c>
      <c r="L2115" s="3" t="s">
        <v>438</v>
      </c>
      <c r="M2115" s="4">
        <v>46293</v>
      </c>
      <c r="N2115" s="3" t="s">
        <v>1828</v>
      </c>
      <c r="O2115" s="3" t="s">
        <v>141</v>
      </c>
      <c r="P2115" t="str">
        <f t="shared" ref="P2115:P2178" si="33">_xlfn.CONCAT(N2115:O2115)</f>
        <v>450013857760</v>
      </c>
      <c r="Q2115" s="7" cm="1">
        <f t="array" ref="Q2115:S2115">VLOOKUP(P2115,Hoja1!C:F,{2,3,4},FALSE)</f>
        <v>46290</v>
      </c>
      <c r="R2115" t="str">
        <v>C03</v>
      </c>
      <c r="S2115" t="str">
        <v>1000010268 YEMA REPUESTOS SRL</v>
      </c>
    </row>
    <row r="2116" spans="1:19" x14ac:dyDescent="0.3">
      <c r="A2116" s="2" t="s">
        <v>14</v>
      </c>
      <c r="B2116" s="3" t="s">
        <v>14</v>
      </c>
      <c r="C2116" s="3" t="s">
        <v>1864</v>
      </c>
      <c r="D2116" s="3" t="s">
        <v>14</v>
      </c>
      <c r="E2116" s="3" t="s">
        <v>466</v>
      </c>
      <c r="F2116" s="4">
        <v>46293</v>
      </c>
      <c r="G2116" s="3" t="s">
        <v>17</v>
      </c>
      <c r="H2116" s="5">
        <v>-393860</v>
      </c>
      <c r="I2116" s="3" t="s">
        <v>18</v>
      </c>
      <c r="J2116" s="3" t="s">
        <v>14</v>
      </c>
      <c r="K2116" s="3" t="s">
        <v>14</v>
      </c>
      <c r="L2116" s="3" t="s">
        <v>1028</v>
      </c>
      <c r="M2116" s="4">
        <v>46293</v>
      </c>
      <c r="N2116" s="3" t="s">
        <v>1865</v>
      </c>
      <c r="O2116" s="3" t="s">
        <v>30</v>
      </c>
      <c r="P2116" t="str">
        <f t="shared" si="33"/>
        <v>450013952310</v>
      </c>
      <c r="Q2116" s="7" cm="1">
        <f t="array" ref="Q2116:S2116">VLOOKUP(P2116,Hoja1!C:F,{2,3,4},FALSE)</f>
        <v>46302</v>
      </c>
      <c r="R2116" t="str">
        <v>C38</v>
      </c>
      <c r="S2116" t="str">
        <v>1000012593 PASARON FABIO ALEXIS</v>
      </c>
    </row>
    <row r="2117" spans="1:19" x14ac:dyDescent="0.3">
      <c r="A2117" s="2" t="s">
        <v>14</v>
      </c>
      <c r="B2117" s="3" t="s">
        <v>14</v>
      </c>
      <c r="C2117" s="3" t="s">
        <v>1866</v>
      </c>
      <c r="D2117" s="3" t="s">
        <v>32</v>
      </c>
      <c r="E2117" s="3" t="s">
        <v>466</v>
      </c>
      <c r="F2117" s="4">
        <v>46293</v>
      </c>
      <c r="G2117" s="3" t="s">
        <v>17</v>
      </c>
      <c r="H2117" s="5">
        <v>-9664998.3900000006</v>
      </c>
      <c r="I2117" s="3" t="s">
        <v>18</v>
      </c>
      <c r="J2117" s="3" t="s">
        <v>14</v>
      </c>
      <c r="K2117" s="3" t="s">
        <v>14</v>
      </c>
      <c r="L2117" s="3" t="s">
        <v>1867</v>
      </c>
      <c r="M2117" s="4">
        <v>46293</v>
      </c>
      <c r="N2117" s="3" t="s">
        <v>1868</v>
      </c>
      <c r="O2117" s="3" t="s">
        <v>30</v>
      </c>
      <c r="P2117" t="str">
        <f t="shared" si="33"/>
        <v>450011828410</v>
      </c>
      <c r="Q2117" s="7" cm="1">
        <f t="array" ref="Q2117:S2117">VLOOKUP(P2117,Hoja1!C:F,{2,3,4},FALSE)</f>
        <v>46387</v>
      </c>
      <c r="R2117" t="str">
        <v>C25</v>
      </c>
      <c r="S2117" t="str">
        <v>1000011676 ARCE JAIME WALTER</v>
      </c>
    </row>
    <row r="2118" spans="1:19" x14ac:dyDescent="0.3">
      <c r="A2118" s="2" t="s">
        <v>14</v>
      </c>
      <c r="B2118" s="3" t="s">
        <v>14</v>
      </c>
      <c r="C2118" s="3" t="s">
        <v>1866</v>
      </c>
      <c r="D2118" s="3" t="s">
        <v>32</v>
      </c>
      <c r="E2118" s="3" t="s">
        <v>466</v>
      </c>
      <c r="F2118" s="4">
        <v>46293</v>
      </c>
      <c r="G2118" s="3" t="s">
        <v>17</v>
      </c>
      <c r="H2118" s="5">
        <v>-9049236.5199999996</v>
      </c>
      <c r="I2118" s="3" t="s">
        <v>18</v>
      </c>
      <c r="J2118" s="3" t="s">
        <v>14</v>
      </c>
      <c r="K2118" s="3" t="s">
        <v>14</v>
      </c>
      <c r="L2118" s="3" t="s">
        <v>1867</v>
      </c>
      <c r="M2118" s="4">
        <v>46293</v>
      </c>
      <c r="N2118" s="3" t="s">
        <v>1868</v>
      </c>
      <c r="O2118" s="3" t="s">
        <v>35</v>
      </c>
      <c r="P2118" t="str">
        <f t="shared" si="33"/>
        <v>450011828430</v>
      </c>
      <c r="Q2118" s="7" cm="1">
        <f t="array" ref="Q2118:S2118">VLOOKUP(P2118,Hoja1!C:F,{2,3,4},FALSE)</f>
        <v>46387</v>
      </c>
      <c r="R2118" t="str">
        <v>C25</v>
      </c>
      <c r="S2118" t="str">
        <v>1000011676 ARCE JAIME WALTER</v>
      </c>
    </row>
    <row r="2119" spans="1:19" x14ac:dyDescent="0.3">
      <c r="A2119" s="2" t="s">
        <v>14</v>
      </c>
      <c r="B2119" s="3" t="s">
        <v>14</v>
      </c>
      <c r="C2119" s="3" t="s">
        <v>1869</v>
      </c>
      <c r="D2119" s="3" t="s">
        <v>84</v>
      </c>
      <c r="E2119" s="3" t="s">
        <v>466</v>
      </c>
      <c r="F2119" s="4">
        <v>46293</v>
      </c>
      <c r="G2119" s="3" t="s">
        <v>17</v>
      </c>
      <c r="H2119" s="5">
        <v>-16731</v>
      </c>
      <c r="I2119" s="3" t="s">
        <v>18</v>
      </c>
      <c r="J2119" s="3" t="s">
        <v>14</v>
      </c>
      <c r="K2119" s="3" t="s">
        <v>14</v>
      </c>
      <c r="L2119" s="3" t="s">
        <v>1056</v>
      </c>
      <c r="M2119" s="4">
        <v>46293</v>
      </c>
      <c r="N2119" s="3" t="s">
        <v>1870</v>
      </c>
      <c r="O2119" s="3" t="s">
        <v>30</v>
      </c>
      <c r="P2119" t="str">
        <f t="shared" si="33"/>
        <v>450013948010</v>
      </c>
      <c r="Q2119" s="7" cm="1">
        <f t="array" ref="Q2119:S2119">VLOOKUP(P2119,Hoja1!C:F,{2,3,4},FALSE)</f>
        <v>46303</v>
      </c>
      <c r="R2119" t="str">
        <v>C06</v>
      </c>
      <c r="S2119" t="str">
        <v>1000007373 ANGIULLI SERGIO RAUL</v>
      </c>
    </row>
    <row r="2120" spans="1:19" x14ac:dyDescent="0.3">
      <c r="A2120" s="2" t="s">
        <v>14</v>
      </c>
      <c r="B2120" s="3" t="s">
        <v>14</v>
      </c>
      <c r="C2120" s="3" t="s">
        <v>1871</v>
      </c>
      <c r="D2120" s="3" t="s">
        <v>14</v>
      </c>
      <c r="E2120" s="3" t="s">
        <v>466</v>
      </c>
      <c r="F2120" s="4">
        <v>46290</v>
      </c>
      <c r="G2120" s="3" t="s">
        <v>17</v>
      </c>
      <c r="H2120" s="5">
        <v>-37428.589999999997</v>
      </c>
      <c r="I2120" s="3" t="s">
        <v>18</v>
      </c>
      <c r="J2120" s="3" t="s">
        <v>14</v>
      </c>
      <c r="K2120" s="3" t="s">
        <v>14</v>
      </c>
      <c r="L2120" s="3" t="s">
        <v>1211</v>
      </c>
      <c r="M2120" s="4">
        <v>46293</v>
      </c>
      <c r="N2120" s="3" t="s">
        <v>1872</v>
      </c>
      <c r="O2120" s="3" t="s">
        <v>68</v>
      </c>
      <c r="P2120" t="str">
        <f t="shared" si="33"/>
        <v>4500135796150</v>
      </c>
      <c r="Q2120" s="7" cm="1">
        <f t="array" ref="Q2120:S2120">VLOOKUP(P2120,Hoja1!C:F,{2,3,4},FALSE)</f>
        <v>46300</v>
      </c>
      <c r="R2120" t="str">
        <v>C03</v>
      </c>
      <c r="S2120" t="str">
        <v>1000000012 IGARRETA MAQUINAS S.A.</v>
      </c>
    </row>
    <row r="2121" spans="1:19" x14ac:dyDescent="0.3">
      <c r="A2121" s="2" t="s">
        <v>14</v>
      </c>
      <c r="B2121" s="3" t="s">
        <v>14</v>
      </c>
      <c r="C2121" s="3" t="s">
        <v>1871</v>
      </c>
      <c r="D2121" s="3" t="s">
        <v>14</v>
      </c>
      <c r="E2121" s="3" t="s">
        <v>466</v>
      </c>
      <c r="F2121" s="4">
        <v>46290</v>
      </c>
      <c r="G2121" s="3" t="s">
        <v>17</v>
      </c>
      <c r="H2121" s="5">
        <v>-108733.51</v>
      </c>
      <c r="I2121" s="3" t="s">
        <v>18</v>
      </c>
      <c r="J2121" s="3" t="s">
        <v>14</v>
      </c>
      <c r="K2121" s="3" t="s">
        <v>14</v>
      </c>
      <c r="L2121" s="3" t="s">
        <v>1211</v>
      </c>
      <c r="M2121" s="4">
        <v>46293</v>
      </c>
      <c r="N2121" s="3" t="s">
        <v>1872</v>
      </c>
      <c r="O2121" s="3" t="s">
        <v>147</v>
      </c>
      <c r="P2121" t="str">
        <f t="shared" si="33"/>
        <v>4500135796310</v>
      </c>
      <c r="Q2121" s="7" cm="1">
        <f t="array" ref="Q2121:S2121">VLOOKUP(P2121,Hoja1!C:F,{2,3,4},FALSE)</f>
        <v>46300</v>
      </c>
      <c r="R2121" t="str">
        <v>C03</v>
      </c>
      <c r="S2121" t="str">
        <v>1000000012 IGARRETA MAQUINAS S.A.</v>
      </c>
    </row>
    <row r="2122" spans="1:19" x14ac:dyDescent="0.3">
      <c r="A2122" s="2" t="s">
        <v>14</v>
      </c>
      <c r="B2122" s="3" t="s">
        <v>14</v>
      </c>
      <c r="C2122" s="3" t="s">
        <v>1873</v>
      </c>
      <c r="D2122" s="3" t="s">
        <v>14</v>
      </c>
      <c r="E2122" s="3" t="s">
        <v>466</v>
      </c>
      <c r="F2122" s="4">
        <v>46290</v>
      </c>
      <c r="G2122" s="3" t="s">
        <v>17</v>
      </c>
      <c r="H2122" s="5">
        <v>-84976.75</v>
      </c>
      <c r="I2122" s="3" t="s">
        <v>18</v>
      </c>
      <c r="J2122" s="3" t="s">
        <v>14</v>
      </c>
      <c r="K2122" s="3" t="s">
        <v>14</v>
      </c>
      <c r="L2122" s="3" t="s">
        <v>1211</v>
      </c>
      <c r="M2122" s="4">
        <v>46293</v>
      </c>
      <c r="N2122" s="3" t="s">
        <v>1874</v>
      </c>
      <c r="O2122" s="3" t="s">
        <v>135</v>
      </c>
      <c r="P2122" t="str">
        <f t="shared" si="33"/>
        <v>4500132243340</v>
      </c>
      <c r="Q2122" s="7" cm="1">
        <f t="array" ref="Q2122:S2122">VLOOKUP(P2122,Hoja1!C:F,{2,3,4},FALSE)</f>
        <v>46287</v>
      </c>
      <c r="R2122" t="str">
        <v>C03</v>
      </c>
      <c r="S2122" t="str">
        <v>1000000012 IGARRETA MAQUINAS S.A.</v>
      </c>
    </row>
    <row r="2123" spans="1:19" x14ac:dyDescent="0.3">
      <c r="A2123" s="2" t="s">
        <v>14</v>
      </c>
      <c r="B2123" s="3" t="s">
        <v>14</v>
      </c>
      <c r="C2123" s="3" t="s">
        <v>1875</v>
      </c>
      <c r="D2123" s="3" t="s">
        <v>14</v>
      </c>
      <c r="E2123" s="3" t="s">
        <v>466</v>
      </c>
      <c r="F2123" s="4">
        <v>46290</v>
      </c>
      <c r="G2123" s="3" t="s">
        <v>17</v>
      </c>
      <c r="H2123" s="5">
        <v>-891245.16</v>
      </c>
      <c r="I2123" s="3" t="s">
        <v>18</v>
      </c>
      <c r="J2123" s="3" t="s">
        <v>14</v>
      </c>
      <c r="K2123" s="3" t="s">
        <v>14</v>
      </c>
      <c r="L2123" s="3" t="s">
        <v>340</v>
      </c>
      <c r="M2123" s="4">
        <v>46293</v>
      </c>
      <c r="N2123" s="3" t="s">
        <v>1876</v>
      </c>
      <c r="O2123" s="3" t="s">
        <v>30</v>
      </c>
      <c r="P2123" t="str">
        <f t="shared" si="33"/>
        <v>450013881510</v>
      </c>
      <c r="Q2123" s="7" cm="1">
        <f t="array" ref="Q2123:S2123">VLOOKUP(P2123,Hoja1!C:F,{2,3,4},FALSE)</f>
        <v>46290</v>
      </c>
      <c r="R2123" t="str">
        <v>C03</v>
      </c>
      <c r="S2123" t="str">
        <v>1000000062 FINNING ARGENTINA S.A.</v>
      </c>
    </row>
    <row r="2124" spans="1:19" x14ac:dyDescent="0.3">
      <c r="A2124" s="2" t="s">
        <v>14</v>
      </c>
      <c r="B2124" s="3" t="s">
        <v>14</v>
      </c>
      <c r="C2124" s="3" t="s">
        <v>1875</v>
      </c>
      <c r="D2124" s="3" t="s">
        <v>14</v>
      </c>
      <c r="E2124" s="3" t="s">
        <v>466</v>
      </c>
      <c r="F2124" s="4">
        <v>46290</v>
      </c>
      <c r="G2124" s="3" t="s">
        <v>17</v>
      </c>
      <c r="H2124" s="5">
        <v>-364431.6</v>
      </c>
      <c r="I2124" s="3" t="s">
        <v>18</v>
      </c>
      <c r="J2124" s="3" t="s">
        <v>14</v>
      </c>
      <c r="K2124" s="3" t="s">
        <v>14</v>
      </c>
      <c r="L2124" s="3" t="s">
        <v>340</v>
      </c>
      <c r="M2124" s="4">
        <v>46293</v>
      </c>
      <c r="N2124" s="3" t="s">
        <v>1876</v>
      </c>
      <c r="O2124" s="3" t="s">
        <v>22</v>
      </c>
      <c r="P2124" t="str">
        <f t="shared" si="33"/>
        <v>450013881520</v>
      </c>
      <c r="Q2124" s="7" cm="1">
        <f t="array" ref="Q2124:S2124">VLOOKUP(P2124,Hoja1!C:F,{2,3,4},FALSE)</f>
        <v>46290</v>
      </c>
      <c r="R2124" t="str">
        <v>C03</v>
      </c>
      <c r="S2124" t="str">
        <v>1000000062 FINNING ARGENTINA S.A.</v>
      </c>
    </row>
    <row r="2125" spans="1:19" x14ac:dyDescent="0.3">
      <c r="A2125" s="2" t="s">
        <v>14</v>
      </c>
      <c r="B2125" s="3" t="s">
        <v>14</v>
      </c>
      <c r="C2125" s="3" t="s">
        <v>1875</v>
      </c>
      <c r="D2125" s="3" t="s">
        <v>14</v>
      </c>
      <c r="E2125" s="3" t="s">
        <v>466</v>
      </c>
      <c r="F2125" s="4">
        <v>46290</v>
      </c>
      <c r="G2125" s="3" t="s">
        <v>17</v>
      </c>
      <c r="H2125" s="5">
        <v>-284472.63</v>
      </c>
      <c r="I2125" s="3" t="s">
        <v>18</v>
      </c>
      <c r="J2125" s="3" t="s">
        <v>14</v>
      </c>
      <c r="K2125" s="3" t="s">
        <v>14</v>
      </c>
      <c r="L2125" s="3" t="s">
        <v>340</v>
      </c>
      <c r="M2125" s="4">
        <v>46293</v>
      </c>
      <c r="N2125" s="3" t="s">
        <v>1876</v>
      </c>
      <c r="O2125" s="3" t="s">
        <v>35</v>
      </c>
      <c r="P2125" t="str">
        <f t="shared" si="33"/>
        <v>450013881530</v>
      </c>
      <c r="Q2125" s="7" cm="1">
        <f t="array" ref="Q2125:S2125">VLOOKUP(P2125,Hoja1!C:F,{2,3,4},FALSE)</f>
        <v>46290</v>
      </c>
      <c r="R2125" t="str">
        <v>C03</v>
      </c>
      <c r="S2125" t="str">
        <v>1000000062 FINNING ARGENTINA S.A.</v>
      </c>
    </row>
    <row r="2126" spans="1:19" x14ac:dyDescent="0.3">
      <c r="A2126" s="2" t="s">
        <v>14</v>
      </c>
      <c r="B2126" s="3" t="s">
        <v>14</v>
      </c>
      <c r="C2126" s="3" t="s">
        <v>1875</v>
      </c>
      <c r="D2126" s="3" t="s">
        <v>14</v>
      </c>
      <c r="E2126" s="3" t="s">
        <v>466</v>
      </c>
      <c r="F2126" s="4">
        <v>46290</v>
      </c>
      <c r="G2126" s="3" t="s">
        <v>17</v>
      </c>
      <c r="H2126" s="5">
        <v>-16213.86</v>
      </c>
      <c r="I2126" s="3" t="s">
        <v>18</v>
      </c>
      <c r="J2126" s="3" t="s">
        <v>14</v>
      </c>
      <c r="K2126" s="3" t="s">
        <v>14</v>
      </c>
      <c r="L2126" s="3" t="s">
        <v>340</v>
      </c>
      <c r="M2126" s="4">
        <v>46293</v>
      </c>
      <c r="N2126" s="3" t="s">
        <v>1876</v>
      </c>
      <c r="O2126" s="3" t="s">
        <v>23</v>
      </c>
      <c r="P2126" t="str">
        <f t="shared" si="33"/>
        <v>450013881540</v>
      </c>
      <c r="Q2126" s="7" cm="1">
        <f t="array" ref="Q2126:S2126">VLOOKUP(P2126,Hoja1!C:F,{2,3,4},FALSE)</f>
        <v>46290</v>
      </c>
      <c r="R2126" t="str">
        <v>C03</v>
      </c>
      <c r="S2126" t="str">
        <v>1000000062 FINNING ARGENTINA S.A.</v>
      </c>
    </row>
    <row r="2127" spans="1:19" x14ac:dyDescent="0.3">
      <c r="A2127" s="2" t="s">
        <v>14</v>
      </c>
      <c r="B2127" s="3" t="s">
        <v>14</v>
      </c>
      <c r="C2127" s="3" t="s">
        <v>1875</v>
      </c>
      <c r="D2127" s="3" t="s">
        <v>14</v>
      </c>
      <c r="E2127" s="3" t="s">
        <v>466</v>
      </c>
      <c r="F2127" s="4">
        <v>46290</v>
      </c>
      <c r="G2127" s="3" t="s">
        <v>17</v>
      </c>
      <c r="H2127" s="5">
        <v>-15377.31</v>
      </c>
      <c r="I2127" s="3" t="s">
        <v>18</v>
      </c>
      <c r="J2127" s="3" t="s">
        <v>14</v>
      </c>
      <c r="K2127" s="3" t="s">
        <v>14</v>
      </c>
      <c r="L2127" s="3" t="s">
        <v>340</v>
      </c>
      <c r="M2127" s="4">
        <v>46293</v>
      </c>
      <c r="N2127" s="3" t="s">
        <v>1876</v>
      </c>
      <c r="O2127" s="3" t="s">
        <v>144</v>
      </c>
      <c r="P2127" t="str">
        <f t="shared" si="33"/>
        <v>450013881550</v>
      </c>
      <c r="Q2127" s="7" cm="1">
        <f t="array" ref="Q2127:S2127">VLOOKUP(P2127,Hoja1!C:F,{2,3,4},FALSE)</f>
        <v>46290</v>
      </c>
      <c r="R2127" t="str">
        <v>C03</v>
      </c>
      <c r="S2127" t="str">
        <v>1000000062 FINNING ARGENTINA S.A.</v>
      </c>
    </row>
    <row r="2128" spans="1:19" x14ac:dyDescent="0.3">
      <c r="A2128" s="2" t="s">
        <v>14</v>
      </c>
      <c r="B2128" s="3" t="s">
        <v>14</v>
      </c>
      <c r="C2128" s="3" t="s">
        <v>1875</v>
      </c>
      <c r="D2128" s="3" t="s">
        <v>14</v>
      </c>
      <c r="E2128" s="3" t="s">
        <v>466</v>
      </c>
      <c r="F2128" s="4">
        <v>46290</v>
      </c>
      <c r="G2128" s="3" t="s">
        <v>17</v>
      </c>
      <c r="H2128" s="5">
        <v>-12168</v>
      </c>
      <c r="I2128" s="3" t="s">
        <v>18</v>
      </c>
      <c r="J2128" s="3" t="s">
        <v>14</v>
      </c>
      <c r="K2128" s="3" t="s">
        <v>14</v>
      </c>
      <c r="L2128" s="3" t="s">
        <v>340</v>
      </c>
      <c r="M2128" s="4">
        <v>46293</v>
      </c>
      <c r="N2128" s="3" t="s">
        <v>1876</v>
      </c>
      <c r="O2128" s="3" t="s">
        <v>141</v>
      </c>
      <c r="P2128" t="str">
        <f t="shared" si="33"/>
        <v>450013881560</v>
      </c>
      <c r="Q2128" s="7" cm="1">
        <f t="array" ref="Q2128:S2128">VLOOKUP(P2128,Hoja1!C:F,{2,3,4},FALSE)</f>
        <v>46290</v>
      </c>
      <c r="R2128" t="str">
        <v>C03</v>
      </c>
      <c r="S2128" t="str">
        <v>1000000062 FINNING ARGENTINA S.A.</v>
      </c>
    </row>
    <row r="2129" spans="1:19" x14ac:dyDescent="0.3">
      <c r="A2129" s="2" t="s">
        <v>14</v>
      </c>
      <c r="B2129" s="3" t="s">
        <v>14</v>
      </c>
      <c r="C2129" s="3" t="s">
        <v>1875</v>
      </c>
      <c r="D2129" s="3" t="s">
        <v>14</v>
      </c>
      <c r="E2129" s="3" t="s">
        <v>466</v>
      </c>
      <c r="F2129" s="4">
        <v>46290</v>
      </c>
      <c r="G2129" s="3" t="s">
        <v>17</v>
      </c>
      <c r="H2129" s="5">
        <v>-18845.189999999999</v>
      </c>
      <c r="I2129" s="3" t="s">
        <v>18</v>
      </c>
      <c r="J2129" s="3" t="s">
        <v>14</v>
      </c>
      <c r="K2129" s="3" t="s">
        <v>14</v>
      </c>
      <c r="L2129" s="3" t="s">
        <v>340</v>
      </c>
      <c r="M2129" s="4">
        <v>46293</v>
      </c>
      <c r="N2129" s="3" t="s">
        <v>1876</v>
      </c>
      <c r="O2129" s="3" t="s">
        <v>134</v>
      </c>
      <c r="P2129" t="str">
        <f t="shared" si="33"/>
        <v>450013881570</v>
      </c>
      <c r="Q2129" s="7" cm="1">
        <f t="array" ref="Q2129:S2129">VLOOKUP(P2129,Hoja1!C:F,{2,3,4},FALSE)</f>
        <v>46290</v>
      </c>
      <c r="R2129" t="str">
        <v>C03</v>
      </c>
      <c r="S2129" t="str">
        <v>1000000062 FINNING ARGENTINA S.A.</v>
      </c>
    </row>
    <row r="2130" spans="1:19" x14ac:dyDescent="0.3">
      <c r="A2130" s="2" t="s">
        <v>14</v>
      </c>
      <c r="B2130" s="3" t="s">
        <v>14</v>
      </c>
      <c r="C2130" s="3" t="s">
        <v>1875</v>
      </c>
      <c r="D2130" s="3" t="s">
        <v>14</v>
      </c>
      <c r="E2130" s="3" t="s">
        <v>466</v>
      </c>
      <c r="F2130" s="4">
        <v>46290</v>
      </c>
      <c r="G2130" s="3" t="s">
        <v>17</v>
      </c>
      <c r="H2130" s="5">
        <v>-51729.21</v>
      </c>
      <c r="I2130" s="3" t="s">
        <v>18</v>
      </c>
      <c r="J2130" s="3" t="s">
        <v>14</v>
      </c>
      <c r="K2130" s="3" t="s">
        <v>14</v>
      </c>
      <c r="L2130" s="3" t="s">
        <v>340</v>
      </c>
      <c r="M2130" s="4">
        <v>46293</v>
      </c>
      <c r="N2130" s="3" t="s">
        <v>1876</v>
      </c>
      <c r="O2130" s="3" t="s">
        <v>45</v>
      </c>
      <c r="P2130" t="str">
        <f t="shared" si="33"/>
        <v>4500138815100</v>
      </c>
      <c r="Q2130" s="7" cm="1">
        <f t="array" ref="Q2130:S2130">VLOOKUP(P2130,Hoja1!C:F,{2,3,4},FALSE)</f>
        <v>46290</v>
      </c>
      <c r="R2130" t="str">
        <v>C03</v>
      </c>
      <c r="S2130" t="str">
        <v>1000000062 FINNING ARGENTINA S.A.</v>
      </c>
    </row>
    <row r="2131" spans="1:19" x14ac:dyDescent="0.3">
      <c r="A2131" s="2" t="s">
        <v>14</v>
      </c>
      <c r="B2131" s="3" t="s">
        <v>14</v>
      </c>
      <c r="C2131" s="3" t="s">
        <v>1875</v>
      </c>
      <c r="D2131" s="3" t="s">
        <v>14</v>
      </c>
      <c r="E2131" s="3" t="s">
        <v>466</v>
      </c>
      <c r="F2131" s="4">
        <v>46290</v>
      </c>
      <c r="G2131" s="3" t="s">
        <v>17</v>
      </c>
      <c r="H2131" s="5">
        <v>-126440.73</v>
      </c>
      <c r="I2131" s="3" t="s">
        <v>18</v>
      </c>
      <c r="J2131" s="3" t="s">
        <v>14</v>
      </c>
      <c r="K2131" s="3" t="s">
        <v>14</v>
      </c>
      <c r="L2131" s="3" t="s">
        <v>340</v>
      </c>
      <c r="M2131" s="4">
        <v>46293</v>
      </c>
      <c r="N2131" s="3" t="s">
        <v>1876</v>
      </c>
      <c r="O2131" s="3" t="s">
        <v>156</v>
      </c>
      <c r="P2131" t="str">
        <f t="shared" si="33"/>
        <v>4500138815110</v>
      </c>
      <c r="Q2131" s="7" cm="1">
        <f t="array" ref="Q2131:S2131">VLOOKUP(P2131,Hoja1!C:F,{2,3,4},FALSE)</f>
        <v>46290</v>
      </c>
      <c r="R2131" t="str">
        <v>C03</v>
      </c>
      <c r="S2131" t="str">
        <v>1000000062 FINNING ARGENTINA S.A.</v>
      </c>
    </row>
    <row r="2132" spans="1:19" x14ac:dyDescent="0.3">
      <c r="A2132" s="2" t="s">
        <v>14</v>
      </c>
      <c r="B2132" s="3" t="s">
        <v>14</v>
      </c>
      <c r="C2132" s="3" t="s">
        <v>1875</v>
      </c>
      <c r="D2132" s="3" t="s">
        <v>14</v>
      </c>
      <c r="E2132" s="3" t="s">
        <v>466</v>
      </c>
      <c r="F2132" s="4">
        <v>46290</v>
      </c>
      <c r="G2132" s="3" t="s">
        <v>17</v>
      </c>
      <c r="H2132" s="5">
        <v>-106378.74</v>
      </c>
      <c r="I2132" s="3" t="s">
        <v>18</v>
      </c>
      <c r="J2132" s="3" t="s">
        <v>14</v>
      </c>
      <c r="K2132" s="3" t="s">
        <v>14</v>
      </c>
      <c r="L2132" s="3" t="s">
        <v>340</v>
      </c>
      <c r="M2132" s="4">
        <v>46293</v>
      </c>
      <c r="N2132" s="3" t="s">
        <v>1876</v>
      </c>
      <c r="O2132" s="3" t="s">
        <v>132</v>
      </c>
      <c r="P2132" t="str">
        <f t="shared" si="33"/>
        <v>4500138815120</v>
      </c>
      <c r="Q2132" s="7" cm="1">
        <f t="array" ref="Q2132:S2132">VLOOKUP(P2132,Hoja1!C:F,{2,3,4},FALSE)</f>
        <v>46290</v>
      </c>
      <c r="R2132" t="str">
        <v>C03</v>
      </c>
      <c r="S2132" t="str">
        <v>1000000062 FINNING ARGENTINA S.A.</v>
      </c>
    </row>
    <row r="2133" spans="1:19" x14ac:dyDescent="0.3">
      <c r="A2133" s="2" t="s">
        <v>14</v>
      </c>
      <c r="B2133" s="3" t="s">
        <v>14</v>
      </c>
      <c r="C2133" s="3" t="s">
        <v>1875</v>
      </c>
      <c r="D2133" s="3" t="s">
        <v>14</v>
      </c>
      <c r="E2133" s="3" t="s">
        <v>466</v>
      </c>
      <c r="F2133" s="4">
        <v>46290</v>
      </c>
      <c r="G2133" s="3" t="s">
        <v>17</v>
      </c>
      <c r="H2133" s="5">
        <v>-1521</v>
      </c>
      <c r="I2133" s="3" t="s">
        <v>18</v>
      </c>
      <c r="J2133" s="3" t="s">
        <v>14</v>
      </c>
      <c r="K2133" s="3" t="s">
        <v>14</v>
      </c>
      <c r="L2133" s="3" t="s">
        <v>340</v>
      </c>
      <c r="M2133" s="4">
        <v>46293</v>
      </c>
      <c r="N2133" s="3" t="s">
        <v>1876</v>
      </c>
      <c r="O2133" s="3" t="s">
        <v>142</v>
      </c>
      <c r="P2133" t="str">
        <f t="shared" si="33"/>
        <v>4500138815130</v>
      </c>
      <c r="Q2133" s="7" cm="1">
        <f t="array" ref="Q2133:S2133">VLOOKUP(P2133,Hoja1!C:F,{2,3,4},FALSE)</f>
        <v>46290</v>
      </c>
      <c r="R2133" t="str">
        <v>C03</v>
      </c>
      <c r="S2133" t="str">
        <v>1000000062 FINNING ARGENTINA S.A.</v>
      </c>
    </row>
    <row r="2134" spans="1:19" x14ac:dyDescent="0.3">
      <c r="A2134" s="2" t="s">
        <v>14</v>
      </c>
      <c r="B2134" s="3" t="s">
        <v>14</v>
      </c>
      <c r="C2134" s="3" t="s">
        <v>1875</v>
      </c>
      <c r="D2134" s="3" t="s">
        <v>14</v>
      </c>
      <c r="E2134" s="3" t="s">
        <v>466</v>
      </c>
      <c r="F2134" s="4">
        <v>46290</v>
      </c>
      <c r="G2134" s="3" t="s">
        <v>17</v>
      </c>
      <c r="H2134" s="5">
        <v>-7087.86</v>
      </c>
      <c r="I2134" s="3" t="s">
        <v>18</v>
      </c>
      <c r="J2134" s="3" t="s">
        <v>14</v>
      </c>
      <c r="K2134" s="3" t="s">
        <v>14</v>
      </c>
      <c r="L2134" s="3" t="s">
        <v>340</v>
      </c>
      <c r="M2134" s="4">
        <v>46293</v>
      </c>
      <c r="N2134" s="3" t="s">
        <v>1876</v>
      </c>
      <c r="O2134" s="3" t="s">
        <v>68</v>
      </c>
      <c r="P2134" t="str">
        <f t="shared" si="33"/>
        <v>4500138815150</v>
      </c>
      <c r="Q2134" s="7" cm="1">
        <f t="array" ref="Q2134:S2134">VLOOKUP(P2134,Hoja1!C:F,{2,3,4},FALSE)</f>
        <v>46290</v>
      </c>
      <c r="R2134" t="str">
        <v>C03</v>
      </c>
      <c r="S2134" t="str">
        <v>1000000062 FINNING ARGENTINA S.A.</v>
      </c>
    </row>
    <row r="2135" spans="1:19" x14ac:dyDescent="0.3">
      <c r="A2135" s="2" t="s">
        <v>14</v>
      </c>
      <c r="B2135" s="3" t="s">
        <v>14</v>
      </c>
      <c r="C2135" s="3" t="s">
        <v>1875</v>
      </c>
      <c r="D2135" s="3" t="s">
        <v>14</v>
      </c>
      <c r="E2135" s="3" t="s">
        <v>466</v>
      </c>
      <c r="F2135" s="4">
        <v>46290</v>
      </c>
      <c r="G2135" s="3" t="s">
        <v>17</v>
      </c>
      <c r="H2135" s="5">
        <v>-532593.36</v>
      </c>
      <c r="I2135" s="3" t="s">
        <v>18</v>
      </c>
      <c r="J2135" s="3" t="s">
        <v>14</v>
      </c>
      <c r="K2135" s="3" t="s">
        <v>14</v>
      </c>
      <c r="L2135" s="3" t="s">
        <v>340</v>
      </c>
      <c r="M2135" s="4">
        <v>46293</v>
      </c>
      <c r="N2135" s="3" t="s">
        <v>1876</v>
      </c>
      <c r="O2135" s="3" t="s">
        <v>129</v>
      </c>
      <c r="P2135" t="str">
        <f t="shared" si="33"/>
        <v>4500138815160</v>
      </c>
      <c r="Q2135" s="7" cm="1">
        <f t="array" ref="Q2135:S2135">VLOOKUP(P2135,Hoja1!C:F,{2,3,4},FALSE)</f>
        <v>46290</v>
      </c>
      <c r="R2135" t="str">
        <v>C03</v>
      </c>
      <c r="S2135" t="str">
        <v>1000000062 FINNING ARGENTINA S.A.</v>
      </c>
    </row>
    <row r="2136" spans="1:19" x14ac:dyDescent="0.3">
      <c r="A2136" s="2" t="s">
        <v>14</v>
      </c>
      <c r="B2136" s="3" t="s">
        <v>14</v>
      </c>
      <c r="C2136" s="3" t="s">
        <v>1877</v>
      </c>
      <c r="D2136" s="3" t="s">
        <v>14</v>
      </c>
      <c r="E2136" s="3" t="s">
        <v>466</v>
      </c>
      <c r="F2136" s="4">
        <v>46293</v>
      </c>
      <c r="G2136" s="3" t="s">
        <v>17</v>
      </c>
      <c r="H2136" s="5">
        <v>-314049.58</v>
      </c>
      <c r="I2136" s="3" t="s">
        <v>18</v>
      </c>
      <c r="J2136" s="3" t="s">
        <v>14</v>
      </c>
      <c r="K2136" s="3" t="s">
        <v>14</v>
      </c>
      <c r="L2136" s="3" t="s">
        <v>915</v>
      </c>
      <c r="M2136" s="4">
        <v>46293</v>
      </c>
      <c r="N2136" s="3" t="s">
        <v>1878</v>
      </c>
      <c r="O2136" s="3" t="s">
        <v>30</v>
      </c>
      <c r="P2136" t="str">
        <f t="shared" si="33"/>
        <v>450013894610</v>
      </c>
      <c r="Q2136" s="7" cm="1">
        <f t="array" ref="Q2136:S2136">VLOOKUP(P2136,Hoja1!C:F,{2,3,4},FALSE)</f>
        <v>46301</v>
      </c>
      <c r="R2136" t="str">
        <v>EFO</v>
      </c>
      <c r="S2136" t="str">
        <v>1000013162 MADRYN REPUESTOS Y SERVICIOS SAS</v>
      </c>
    </row>
    <row r="2137" spans="1:19" x14ac:dyDescent="0.3">
      <c r="A2137" s="2" t="s">
        <v>14</v>
      </c>
      <c r="B2137" s="3" t="s">
        <v>14</v>
      </c>
      <c r="C2137" s="3" t="s">
        <v>1877</v>
      </c>
      <c r="D2137" s="3" t="s">
        <v>14</v>
      </c>
      <c r="E2137" s="3" t="s">
        <v>466</v>
      </c>
      <c r="F2137" s="4">
        <v>46293</v>
      </c>
      <c r="G2137" s="3" t="s">
        <v>17</v>
      </c>
      <c r="H2137" s="5">
        <v>-107438.02</v>
      </c>
      <c r="I2137" s="3" t="s">
        <v>18</v>
      </c>
      <c r="J2137" s="3" t="s">
        <v>14</v>
      </c>
      <c r="K2137" s="3" t="s">
        <v>14</v>
      </c>
      <c r="L2137" s="3" t="s">
        <v>915</v>
      </c>
      <c r="M2137" s="4">
        <v>46293</v>
      </c>
      <c r="N2137" s="3" t="s">
        <v>1878</v>
      </c>
      <c r="O2137" s="3" t="s">
        <v>22</v>
      </c>
      <c r="P2137" t="str">
        <f t="shared" si="33"/>
        <v>450013894620</v>
      </c>
      <c r="Q2137" s="7" cm="1">
        <f t="array" ref="Q2137:S2137">VLOOKUP(P2137,Hoja1!C:F,{2,3,4},FALSE)</f>
        <v>46301</v>
      </c>
      <c r="R2137" t="str">
        <v>EFO</v>
      </c>
      <c r="S2137" t="str">
        <v>1000013162 MADRYN REPUESTOS Y SERVICIOS SAS</v>
      </c>
    </row>
    <row r="2138" spans="1:19" x14ac:dyDescent="0.3">
      <c r="A2138" s="2" t="s">
        <v>14</v>
      </c>
      <c r="B2138" s="3" t="s">
        <v>14</v>
      </c>
      <c r="C2138" s="3" t="s">
        <v>1879</v>
      </c>
      <c r="D2138" s="3" t="s">
        <v>14</v>
      </c>
      <c r="E2138" s="3" t="s">
        <v>466</v>
      </c>
      <c r="F2138" s="4">
        <v>46290</v>
      </c>
      <c r="G2138" s="3" t="s">
        <v>17</v>
      </c>
      <c r="H2138" s="5">
        <v>-185123.96</v>
      </c>
      <c r="I2138" s="3" t="s">
        <v>18</v>
      </c>
      <c r="J2138" s="3" t="s">
        <v>14</v>
      </c>
      <c r="K2138" s="3" t="s">
        <v>14</v>
      </c>
      <c r="L2138" s="3" t="s">
        <v>1880</v>
      </c>
      <c r="M2138" s="4">
        <v>46293</v>
      </c>
      <c r="N2138" s="3" t="s">
        <v>1881</v>
      </c>
      <c r="O2138" s="3" t="s">
        <v>30</v>
      </c>
      <c r="P2138" t="str">
        <f t="shared" si="33"/>
        <v>450013588010</v>
      </c>
      <c r="Q2138" s="7" cm="1">
        <f t="array" ref="Q2138:S2138">VLOOKUP(P2138,Hoja1!C:F,{2,3,4},FALSE)</f>
        <v>46290</v>
      </c>
      <c r="R2138" t="str">
        <v>C03</v>
      </c>
      <c r="S2138" t="str">
        <v>1000000112 NATALIO AUTOMOTORES S.A.</v>
      </c>
    </row>
    <row r="2139" spans="1:19" x14ac:dyDescent="0.3">
      <c r="A2139" s="2" t="s">
        <v>14</v>
      </c>
      <c r="B2139" s="3" t="s">
        <v>14</v>
      </c>
      <c r="C2139" s="3" t="s">
        <v>1882</v>
      </c>
      <c r="D2139" s="3" t="s">
        <v>14</v>
      </c>
      <c r="E2139" s="3" t="s">
        <v>466</v>
      </c>
      <c r="F2139" s="4">
        <v>46290</v>
      </c>
      <c r="G2139" s="3" t="s">
        <v>17</v>
      </c>
      <c r="H2139" s="5">
        <v>-841478.04</v>
      </c>
      <c r="I2139" s="3" t="s">
        <v>18</v>
      </c>
      <c r="J2139" s="3" t="s">
        <v>14</v>
      </c>
      <c r="K2139" s="3" t="s">
        <v>14</v>
      </c>
      <c r="L2139" s="3" t="s">
        <v>340</v>
      </c>
      <c r="M2139" s="4">
        <v>46293</v>
      </c>
      <c r="N2139" s="3" t="s">
        <v>1883</v>
      </c>
      <c r="O2139" s="3" t="s">
        <v>129</v>
      </c>
      <c r="P2139" t="str">
        <f t="shared" si="33"/>
        <v>4500138163160</v>
      </c>
      <c r="Q2139" s="7" cm="1">
        <f t="array" ref="Q2139:S2139">VLOOKUP(P2139,Hoja1!C:F,{2,3,4},FALSE)</f>
        <v>46295</v>
      </c>
      <c r="R2139" t="str">
        <v>C03</v>
      </c>
      <c r="S2139" t="str">
        <v>1000000062 FINNING ARGENTINA S.A.</v>
      </c>
    </row>
    <row r="2140" spans="1:19" x14ac:dyDescent="0.3">
      <c r="A2140" s="2" t="s">
        <v>14</v>
      </c>
      <c r="B2140" s="3" t="s">
        <v>14</v>
      </c>
      <c r="C2140" s="3" t="s">
        <v>1884</v>
      </c>
      <c r="D2140" s="3" t="s">
        <v>14</v>
      </c>
      <c r="E2140" s="3" t="s">
        <v>466</v>
      </c>
      <c r="F2140" s="4">
        <v>46293</v>
      </c>
      <c r="G2140" s="3" t="s">
        <v>17</v>
      </c>
      <c r="H2140" s="5">
        <v>-99173.55</v>
      </c>
      <c r="I2140" s="3" t="s">
        <v>18</v>
      </c>
      <c r="J2140" s="3" t="s">
        <v>14</v>
      </c>
      <c r="K2140" s="3" t="s">
        <v>14</v>
      </c>
      <c r="L2140" s="3" t="s">
        <v>915</v>
      </c>
      <c r="M2140" s="4">
        <v>46293</v>
      </c>
      <c r="N2140" s="3" t="s">
        <v>1885</v>
      </c>
      <c r="O2140" s="3" t="s">
        <v>30</v>
      </c>
      <c r="P2140" t="str">
        <f t="shared" si="33"/>
        <v>450013904310</v>
      </c>
      <c r="Q2140" s="7" cm="1">
        <f t="array" ref="Q2140:S2140">VLOOKUP(P2140,Hoja1!C:F,{2,3,4},FALSE)</f>
        <v>46303</v>
      </c>
      <c r="R2140" t="str">
        <v>EFO</v>
      </c>
      <c r="S2140" t="str">
        <v>1000013162 MADRYN REPUESTOS Y SERVICIOS SAS</v>
      </c>
    </row>
    <row r="2141" spans="1:19" x14ac:dyDescent="0.3">
      <c r="A2141" s="2" t="s">
        <v>14</v>
      </c>
      <c r="B2141" s="3" t="s">
        <v>14</v>
      </c>
      <c r="C2141" s="3" t="s">
        <v>1884</v>
      </c>
      <c r="D2141" s="3" t="s">
        <v>14</v>
      </c>
      <c r="E2141" s="3" t="s">
        <v>466</v>
      </c>
      <c r="F2141" s="4">
        <v>46293</v>
      </c>
      <c r="G2141" s="3" t="s">
        <v>17</v>
      </c>
      <c r="H2141" s="5">
        <v>-99173.55</v>
      </c>
      <c r="I2141" s="3" t="s">
        <v>18</v>
      </c>
      <c r="J2141" s="3" t="s">
        <v>14</v>
      </c>
      <c r="K2141" s="3" t="s">
        <v>14</v>
      </c>
      <c r="L2141" s="3" t="s">
        <v>915</v>
      </c>
      <c r="M2141" s="4">
        <v>46293</v>
      </c>
      <c r="N2141" s="3" t="s">
        <v>1885</v>
      </c>
      <c r="O2141" s="3" t="s">
        <v>22</v>
      </c>
      <c r="P2141" t="str">
        <f t="shared" si="33"/>
        <v>450013904320</v>
      </c>
      <c r="Q2141" s="7" cm="1">
        <f t="array" ref="Q2141:S2141">VLOOKUP(P2141,Hoja1!C:F,{2,3,4},FALSE)</f>
        <v>46303</v>
      </c>
      <c r="R2141" t="str">
        <v>EFO</v>
      </c>
      <c r="S2141" t="str">
        <v>1000013162 MADRYN REPUESTOS Y SERVICIOS SAS</v>
      </c>
    </row>
    <row r="2142" spans="1:19" x14ac:dyDescent="0.3">
      <c r="A2142" s="2" t="s">
        <v>14</v>
      </c>
      <c r="B2142" s="3" t="s">
        <v>14</v>
      </c>
      <c r="C2142" s="3" t="s">
        <v>1886</v>
      </c>
      <c r="D2142" s="3" t="s">
        <v>14</v>
      </c>
      <c r="E2142" s="3" t="s">
        <v>466</v>
      </c>
      <c r="F2142" s="4">
        <v>46290</v>
      </c>
      <c r="G2142" s="3" t="s">
        <v>17</v>
      </c>
      <c r="H2142" s="5">
        <v>-955340.1</v>
      </c>
      <c r="I2142" s="3" t="s">
        <v>18</v>
      </c>
      <c r="J2142" s="3" t="s">
        <v>14</v>
      </c>
      <c r="K2142" s="3" t="s">
        <v>14</v>
      </c>
      <c r="L2142" s="3" t="s">
        <v>340</v>
      </c>
      <c r="M2142" s="4">
        <v>46293</v>
      </c>
      <c r="N2142" s="3" t="s">
        <v>1883</v>
      </c>
      <c r="O2142" s="3" t="s">
        <v>126</v>
      </c>
      <c r="P2142" t="str">
        <f t="shared" si="33"/>
        <v>4500138163260</v>
      </c>
      <c r="Q2142" s="7" cm="1">
        <f t="array" ref="Q2142:S2142">VLOOKUP(P2142,Hoja1!C:F,{2,3,4},FALSE)</f>
        <v>46295</v>
      </c>
      <c r="R2142" t="str">
        <v>C03</v>
      </c>
      <c r="S2142" t="str">
        <v>1000000062 FINNING ARGENTINA S.A.</v>
      </c>
    </row>
    <row r="2143" spans="1:19" x14ac:dyDescent="0.3">
      <c r="A2143" s="2" t="s">
        <v>14</v>
      </c>
      <c r="B2143" s="3" t="s">
        <v>14</v>
      </c>
      <c r="C2143" s="3" t="s">
        <v>1886</v>
      </c>
      <c r="D2143" s="3" t="s">
        <v>14</v>
      </c>
      <c r="E2143" s="3" t="s">
        <v>466</v>
      </c>
      <c r="F2143" s="4">
        <v>46290</v>
      </c>
      <c r="G2143" s="3" t="s">
        <v>17</v>
      </c>
      <c r="H2143" s="5">
        <v>-1336867.74</v>
      </c>
      <c r="I2143" s="3" t="s">
        <v>18</v>
      </c>
      <c r="J2143" s="3" t="s">
        <v>14</v>
      </c>
      <c r="K2143" s="3" t="s">
        <v>14</v>
      </c>
      <c r="L2143" s="3" t="s">
        <v>340</v>
      </c>
      <c r="M2143" s="4">
        <v>46293</v>
      </c>
      <c r="N2143" s="3" t="s">
        <v>1883</v>
      </c>
      <c r="O2143" s="3" t="s">
        <v>127</v>
      </c>
      <c r="P2143" t="str">
        <f t="shared" si="33"/>
        <v>4500138163190</v>
      </c>
      <c r="Q2143" s="7" cm="1">
        <f t="array" ref="Q2143:S2143">VLOOKUP(P2143,Hoja1!C:F,{2,3,4},FALSE)</f>
        <v>46295</v>
      </c>
      <c r="R2143" t="str">
        <v>C03</v>
      </c>
      <c r="S2143" t="str">
        <v>1000000062 FINNING ARGENTINA S.A.</v>
      </c>
    </row>
    <row r="2144" spans="1:19" x14ac:dyDescent="0.3">
      <c r="A2144" s="2" t="s">
        <v>14</v>
      </c>
      <c r="B2144" s="3" t="s">
        <v>14</v>
      </c>
      <c r="C2144" s="3" t="s">
        <v>1887</v>
      </c>
      <c r="D2144" s="3" t="s">
        <v>14</v>
      </c>
      <c r="E2144" s="3" t="s">
        <v>466</v>
      </c>
      <c r="F2144" s="4">
        <v>46288</v>
      </c>
      <c r="G2144" s="3" t="s">
        <v>17</v>
      </c>
      <c r="H2144" s="5">
        <v>-4000.23</v>
      </c>
      <c r="I2144" s="3" t="s">
        <v>18</v>
      </c>
      <c r="J2144" s="3" t="s">
        <v>14</v>
      </c>
      <c r="K2144" s="3" t="s">
        <v>14</v>
      </c>
      <c r="L2144" s="3" t="s">
        <v>117</v>
      </c>
      <c r="M2144" s="4">
        <v>46293</v>
      </c>
      <c r="N2144" s="3" t="s">
        <v>1857</v>
      </c>
      <c r="O2144" s="3" t="s">
        <v>22</v>
      </c>
      <c r="P2144" t="str">
        <f t="shared" si="33"/>
        <v>450013805220</v>
      </c>
      <c r="Q2144" s="7" cm="1">
        <f t="array" ref="Q2144:S2144">VLOOKUP(P2144,Hoja1!C:F,{2,3,4},FALSE)</f>
        <v>46290</v>
      </c>
      <c r="R2144" t="str">
        <v>C29</v>
      </c>
      <c r="S2144" t="str">
        <v>1000001129 AGRONORTE S.R.L.</v>
      </c>
    </row>
    <row r="2145" spans="1:19" x14ac:dyDescent="0.3">
      <c r="A2145" s="2" t="s">
        <v>14</v>
      </c>
      <c r="B2145" s="3" t="s">
        <v>14</v>
      </c>
      <c r="C2145" s="3" t="s">
        <v>1888</v>
      </c>
      <c r="D2145" s="3" t="s">
        <v>14</v>
      </c>
      <c r="E2145" s="3" t="s">
        <v>466</v>
      </c>
      <c r="F2145" s="4">
        <v>46293</v>
      </c>
      <c r="G2145" s="3" t="s">
        <v>17</v>
      </c>
      <c r="H2145" s="5">
        <v>-1801057.5</v>
      </c>
      <c r="I2145" s="3" t="s">
        <v>18</v>
      </c>
      <c r="J2145" s="3" t="s">
        <v>14</v>
      </c>
      <c r="K2145" s="3" t="s">
        <v>14</v>
      </c>
      <c r="L2145" s="3" t="s">
        <v>1000</v>
      </c>
      <c r="M2145" s="4">
        <v>46293</v>
      </c>
      <c r="N2145" s="3" t="s">
        <v>1889</v>
      </c>
      <c r="O2145" s="3" t="s">
        <v>30</v>
      </c>
      <c r="P2145" t="str">
        <f t="shared" si="33"/>
        <v>450013943210</v>
      </c>
      <c r="Q2145" s="7" cm="1">
        <f t="array" ref="Q2145:S2145">VLOOKUP(P2145,Hoja1!C:F,{2,3,4},FALSE)</f>
        <v>46301</v>
      </c>
      <c r="R2145" t="str">
        <v>C22</v>
      </c>
      <c r="S2145" t="str">
        <v>1000002348 L-A PINTURAS INDUSTRIALES SRL</v>
      </c>
    </row>
    <row r="2146" spans="1:19" x14ac:dyDescent="0.3">
      <c r="A2146" s="2" t="s">
        <v>14</v>
      </c>
      <c r="B2146" s="3" t="s">
        <v>14</v>
      </c>
      <c r="C2146" s="3" t="s">
        <v>1890</v>
      </c>
      <c r="D2146" s="3" t="s">
        <v>84</v>
      </c>
      <c r="E2146" s="3" t="s">
        <v>466</v>
      </c>
      <c r="F2146" s="4">
        <v>46293</v>
      </c>
      <c r="G2146" s="3" t="s">
        <v>17</v>
      </c>
      <c r="H2146" s="5">
        <v>-3052555.74</v>
      </c>
      <c r="I2146" s="3" t="s">
        <v>18</v>
      </c>
      <c r="J2146" s="3" t="s">
        <v>14</v>
      </c>
      <c r="K2146" s="3" t="s">
        <v>14</v>
      </c>
      <c r="L2146" s="3" t="s">
        <v>568</v>
      </c>
      <c r="M2146" s="4">
        <v>46293</v>
      </c>
      <c r="N2146" s="3" t="s">
        <v>1823</v>
      </c>
      <c r="O2146" s="3" t="s">
        <v>141</v>
      </c>
      <c r="P2146" t="str">
        <f t="shared" si="33"/>
        <v>450012889460</v>
      </c>
      <c r="Q2146" s="7" cm="1">
        <f t="array" ref="Q2146:S2146">VLOOKUP(P2146,Hoja1!C:F,{2,3,4},FALSE)</f>
        <v>46298</v>
      </c>
      <c r="R2146" t="str">
        <v>C11</v>
      </c>
      <c r="S2146" t="str">
        <v>1000000301 CASA MAGNANI S.R.L.</v>
      </c>
    </row>
    <row r="2147" spans="1:19" x14ac:dyDescent="0.3">
      <c r="A2147" s="2" t="s">
        <v>14</v>
      </c>
      <c r="B2147" s="3" t="s">
        <v>14</v>
      </c>
      <c r="C2147" s="3" t="s">
        <v>1890</v>
      </c>
      <c r="D2147" s="3" t="s">
        <v>84</v>
      </c>
      <c r="E2147" s="3" t="s">
        <v>466</v>
      </c>
      <c r="F2147" s="4">
        <v>46293</v>
      </c>
      <c r="G2147" s="3" t="s">
        <v>17</v>
      </c>
      <c r="H2147" s="5">
        <v>-694488.6</v>
      </c>
      <c r="I2147" s="3" t="s">
        <v>18</v>
      </c>
      <c r="J2147" s="3" t="s">
        <v>14</v>
      </c>
      <c r="K2147" s="3" t="s">
        <v>14</v>
      </c>
      <c r="L2147" s="3" t="s">
        <v>568</v>
      </c>
      <c r="M2147" s="4">
        <v>46293</v>
      </c>
      <c r="N2147" s="3" t="s">
        <v>1823</v>
      </c>
      <c r="O2147" s="3" t="s">
        <v>138</v>
      </c>
      <c r="P2147" t="str">
        <f t="shared" si="33"/>
        <v>450012889490</v>
      </c>
      <c r="Q2147" s="7" cm="1">
        <f t="array" ref="Q2147:S2147">VLOOKUP(P2147,Hoja1!C:F,{2,3,4},FALSE)</f>
        <v>46298</v>
      </c>
      <c r="R2147" t="str">
        <v>C11</v>
      </c>
      <c r="S2147" t="str">
        <v>1000000301 CASA MAGNANI S.R.L.</v>
      </c>
    </row>
    <row r="2148" spans="1:19" x14ac:dyDescent="0.3">
      <c r="A2148" s="2" t="s">
        <v>14</v>
      </c>
      <c r="B2148" s="3" t="s">
        <v>14</v>
      </c>
      <c r="C2148" s="3" t="s">
        <v>1890</v>
      </c>
      <c r="D2148" s="3" t="s">
        <v>84</v>
      </c>
      <c r="E2148" s="3" t="s">
        <v>466</v>
      </c>
      <c r="F2148" s="4">
        <v>46293</v>
      </c>
      <c r="G2148" s="3" t="s">
        <v>17</v>
      </c>
      <c r="H2148" s="5">
        <v>-1859894.01</v>
      </c>
      <c r="I2148" s="3" t="s">
        <v>18</v>
      </c>
      <c r="J2148" s="3" t="s">
        <v>14</v>
      </c>
      <c r="K2148" s="3" t="s">
        <v>14</v>
      </c>
      <c r="L2148" s="3" t="s">
        <v>568</v>
      </c>
      <c r="M2148" s="4">
        <v>46293</v>
      </c>
      <c r="N2148" s="3" t="s">
        <v>1823</v>
      </c>
      <c r="O2148" s="3" t="s">
        <v>131</v>
      </c>
      <c r="P2148" t="str">
        <f t="shared" si="33"/>
        <v>4500128894140</v>
      </c>
      <c r="Q2148" s="7" cm="1">
        <f t="array" ref="Q2148:S2148">VLOOKUP(P2148,Hoja1!C:F,{2,3,4},FALSE)</f>
        <v>46265</v>
      </c>
      <c r="R2148" t="str">
        <v>C11</v>
      </c>
      <c r="S2148" t="str">
        <v>1000000301 CASA MAGNANI S.R.L.</v>
      </c>
    </row>
    <row r="2149" spans="1:19" x14ac:dyDescent="0.3">
      <c r="A2149" s="2" t="s">
        <v>14</v>
      </c>
      <c r="B2149" s="3" t="s">
        <v>14</v>
      </c>
      <c r="C2149" s="3" t="s">
        <v>1891</v>
      </c>
      <c r="D2149" s="3" t="s">
        <v>14</v>
      </c>
      <c r="E2149" s="3" t="s">
        <v>466</v>
      </c>
      <c r="F2149" s="4">
        <v>46288</v>
      </c>
      <c r="G2149" s="3" t="s">
        <v>17</v>
      </c>
      <c r="H2149" s="5">
        <v>-161527.89000000001</v>
      </c>
      <c r="I2149" s="3" t="s">
        <v>18</v>
      </c>
      <c r="J2149" s="3" t="s">
        <v>14</v>
      </c>
      <c r="K2149" s="3" t="s">
        <v>14</v>
      </c>
      <c r="L2149" s="3" t="s">
        <v>434</v>
      </c>
      <c r="M2149" s="4">
        <v>46293</v>
      </c>
      <c r="N2149" s="3" t="s">
        <v>1892</v>
      </c>
      <c r="O2149" s="3" t="s">
        <v>23</v>
      </c>
      <c r="P2149" t="str">
        <f t="shared" si="33"/>
        <v>450013883140</v>
      </c>
      <c r="Q2149" s="7" cm="1">
        <f t="array" ref="Q2149:S2149">VLOOKUP(P2149,Hoja1!C:F,{2,3,4},FALSE)</f>
        <v>46295</v>
      </c>
      <c r="R2149" t="str">
        <v>C03</v>
      </c>
      <c r="S2149" t="str">
        <v>1000000488 BETA S.A.</v>
      </c>
    </row>
    <row r="2150" spans="1:19" x14ac:dyDescent="0.3">
      <c r="A2150" s="2" t="s">
        <v>14</v>
      </c>
      <c r="B2150" s="3" t="s">
        <v>14</v>
      </c>
      <c r="C2150" s="3" t="s">
        <v>1891</v>
      </c>
      <c r="D2150" s="3" t="s">
        <v>14</v>
      </c>
      <c r="E2150" s="3" t="s">
        <v>466</v>
      </c>
      <c r="F2150" s="4">
        <v>46288</v>
      </c>
      <c r="G2150" s="3" t="s">
        <v>17</v>
      </c>
      <c r="H2150" s="5">
        <v>-145716.59</v>
      </c>
      <c r="I2150" s="3" t="s">
        <v>18</v>
      </c>
      <c r="J2150" s="3" t="s">
        <v>14</v>
      </c>
      <c r="K2150" s="3" t="s">
        <v>14</v>
      </c>
      <c r="L2150" s="3" t="s">
        <v>434</v>
      </c>
      <c r="M2150" s="4">
        <v>46293</v>
      </c>
      <c r="N2150" s="3" t="s">
        <v>1892</v>
      </c>
      <c r="O2150" s="3" t="s">
        <v>144</v>
      </c>
      <c r="P2150" t="str">
        <f t="shared" si="33"/>
        <v>450013883150</v>
      </c>
      <c r="Q2150" s="7" cm="1">
        <f t="array" ref="Q2150:S2150">VLOOKUP(P2150,Hoja1!C:F,{2,3,4},FALSE)</f>
        <v>46295</v>
      </c>
      <c r="R2150" t="str">
        <v>C03</v>
      </c>
      <c r="S2150" t="str">
        <v>1000000488 BETA S.A.</v>
      </c>
    </row>
    <row r="2151" spans="1:19" x14ac:dyDescent="0.3">
      <c r="A2151" s="2" t="s">
        <v>14</v>
      </c>
      <c r="B2151" s="3" t="s">
        <v>14</v>
      </c>
      <c r="C2151" s="3" t="s">
        <v>1891</v>
      </c>
      <c r="D2151" s="3" t="s">
        <v>14</v>
      </c>
      <c r="E2151" s="3" t="s">
        <v>466</v>
      </c>
      <c r="F2151" s="4">
        <v>46288</v>
      </c>
      <c r="G2151" s="3" t="s">
        <v>17</v>
      </c>
      <c r="H2151" s="5">
        <v>-212020.54</v>
      </c>
      <c r="I2151" s="3" t="s">
        <v>18</v>
      </c>
      <c r="J2151" s="3" t="s">
        <v>14</v>
      </c>
      <c r="K2151" s="3" t="s">
        <v>14</v>
      </c>
      <c r="L2151" s="3" t="s">
        <v>434</v>
      </c>
      <c r="M2151" s="4">
        <v>46293</v>
      </c>
      <c r="N2151" s="3" t="s">
        <v>1892</v>
      </c>
      <c r="O2151" s="3" t="s">
        <v>141</v>
      </c>
      <c r="P2151" t="str">
        <f t="shared" si="33"/>
        <v>450013883160</v>
      </c>
      <c r="Q2151" s="7" cm="1">
        <f t="array" ref="Q2151:S2151">VLOOKUP(P2151,Hoja1!C:F,{2,3,4},FALSE)</f>
        <v>46295</v>
      </c>
      <c r="R2151" t="str">
        <v>C03</v>
      </c>
      <c r="S2151" t="str">
        <v>1000000488 BETA S.A.</v>
      </c>
    </row>
    <row r="2152" spans="1:19" x14ac:dyDescent="0.3">
      <c r="A2152" s="2" t="s">
        <v>14</v>
      </c>
      <c r="B2152" s="3" t="s">
        <v>14</v>
      </c>
      <c r="C2152" s="3" t="s">
        <v>1891</v>
      </c>
      <c r="D2152" s="3" t="s">
        <v>14</v>
      </c>
      <c r="E2152" s="3" t="s">
        <v>466</v>
      </c>
      <c r="F2152" s="4">
        <v>46288</v>
      </c>
      <c r="G2152" s="3" t="s">
        <v>17</v>
      </c>
      <c r="H2152" s="5">
        <v>-170845.96</v>
      </c>
      <c r="I2152" s="3" t="s">
        <v>18</v>
      </c>
      <c r="J2152" s="3" t="s">
        <v>14</v>
      </c>
      <c r="K2152" s="3" t="s">
        <v>14</v>
      </c>
      <c r="L2152" s="3" t="s">
        <v>434</v>
      </c>
      <c r="M2152" s="4">
        <v>46293</v>
      </c>
      <c r="N2152" s="3" t="s">
        <v>1892</v>
      </c>
      <c r="O2152" s="3" t="s">
        <v>134</v>
      </c>
      <c r="P2152" t="str">
        <f t="shared" si="33"/>
        <v>450013883170</v>
      </c>
      <c r="Q2152" s="7" cm="1">
        <f t="array" ref="Q2152:S2152">VLOOKUP(P2152,Hoja1!C:F,{2,3,4},FALSE)</f>
        <v>46295</v>
      </c>
      <c r="R2152" t="str">
        <v>C03</v>
      </c>
      <c r="S2152" t="str">
        <v>1000000488 BETA S.A.</v>
      </c>
    </row>
    <row r="2153" spans="1:19" x14ac:dyDescent="0.3">
      <c r="A2153" s="2" t="s">
        <v>14</v>
      </c>
      <c r="B2153" s="3" t="s">
        <v>14</v>
      </c>
      <c r="C2153" s="3" t="s">
        <v>1891</v>
      </c>
      <c r="D2153" s="3" t="s">
        <v>14</v>
      </c>
      <c r="E2153" s="3" t="s">
        <v>466</v>
      </c>
      <c r="F2153" s="4">
        <v>46288</v>
      </c>
      <c r="G2153" s="3" t="s">
        <v>17</v>
      </c>
      <c r="H2153" s="5">
        <v>-67951.179999999993</v>
      </c>
      <c r="I2153" s="3" t="s">
        <v>18</v>
      </c>
      <c r="J2153" s="3" t="s">
        <v>14</v>
      </c>
      <c r="K2153" s="3" t="s">
        <v>14</v>
      </c>
      <c r="L2153" s="3" t="s">
        <v>434</v>
      </c>
      <c r="M2153" s="4">
        <v>46293</v>
      </c>
      <c r="N2153" s="3" t="s">
        <v>1892</v>
      </c>
      <c r="O2153" s="3" t="s">
        <v>45</v>
      </c>
      <c r="P2153" t="str">
        <f t="shared" si="33"/>
        <v>4500138831100</v>
      </c>
      <c r="Q2153" s="7" cm="1">
        <f t="array" ref="Q2153:S2153">VLOOKUP(P2153,Hoja1!C:F,{2,3,4},FALSE)</f>
        <v>46295</v>
      </c>
      <c r="R2153" t="str">
        <v>C03</v>
      </c>
      <c r="S2153" t="str">
        <v>1000000488 BETA S.A.</v>
      </c>
    </row>
    <row r="2154" spans="1:19" x14ac:dyDescent="0.3">
      <c r="A2154" s="2" t="s">
        <v>14</v>
      </c>
      <c r="B2154" s="3" t="s">
        <v>14</v>
      </c>
      <c r="C2154" s="3" t="s">
        <v>1891</v>
      </c>
      <c r="D2154" s="3" t="s">
        <v>14</v>
      </c>
      <c r="E2154" s="3" t="s">
        <v>466</v>
      </c>
      <c r="F2154" s="4">
        <v>46288</v>
      </c>
      <c r="G2154" s="3" t="s">
        <v>17</v>
      </c>
      <c r="H2154" s="5">
        <v>-1599.84</v>
      </c>
      <c r="I2154" s="3" t="s">
        <v>18</v>
      </c>
      <c r="J2154" s="3" t="s">
        <v>14</v>
      </c>
      <c r="K2154" s="3" t="s">
        <v>14</v>
      </c>
      <c r="L2154" s="3" t="s">
        <v>434</v>
      </c>
      <c r="M2154" s="4">
        <v>46293</v>
      </c>
      <c r="N2154" s="3" t="s">
        <v>1892</v>
      </c>
      <c r="O2154" s="3" t="s">
        <v>156</v>
      </c>
      <c r="P2154" t="str">
        <f t="shared" si="33"/>
        <v>4500138831110</v>
      </c>
      <c r="Q2154" s="7" cm="1">
        <f t="array" ref="Q2154:S2154">VLOOKUP(P2154,Hoja1!C:F,{2,3,4},FALSE)</f>
        <v>46295</v>
      </c>
      <c r="R2154" t="str">
        <v>C03</v>
      </c>
      <c r="S2154" t="str">
        <v>1000000488 BETA S.A.</v>
      </c>
    </row>
    <row r="2155" spans="1:19" x14ac:dyDescent="0.3">
      <c r="A2155" s="2" t="s">
        <v>14</v>
      </c>
      <c r="B2155" s="3" t="s">
        <v>14</v>
      </c>
      <c r="C2155" s="3" t="s">
        <v>1891</v>
      </c>
      <c r="D2155" s="3" t="s">
        <v>14</v>
      </c>
      <c r="E2155" s="3" t="s">
        <v>466</v>
      </c>
      <c r="F2155" s="4">
        <v>46288</v>
      </c>
      <c r="G2155" s="3" t="s">
        <v>17</v>
      </c>
      <c r="H2155" s="5">
        <v>-147250.94</v>
      </c>
      <c r="I2155" s="3" t="s">
        <v>18</v>
      </c>
      <c r="J2155" s="3" t="s">
        <v>14</v>
      </c>
      <c r="K2155" s="3" t="s">
        <v>14</v>
      </c>
      <c r="L2155" s="3" t="s">
        <v>434</v>
      </c>
      <c r="M2155" s="4">
        <v>46293</v>
      </c>
      <c r="N2155" s="3" t="s">
        <v>1892</v>
      </c>
      <c r="O2155" s="3" t="s">
        <v>132</v>
      </c>
      <c r="P2155" t="str">
        <f t="shared" si="33"/>
        <v>4500138831120</v>
      </c>
      <c r="Q2155" s="7" cm="1">
        <f t="array" ref="Q2155:S2155">VLOOKUP(P2155,Hoja1!C:F,{2,3,4},FALSE)</f>
        <v>46295</v>
      </c>
      <c r="R2155" t="str">
        <v>C03</v>
      </c>
      <c r="S2155" t="str">
        <v>1000000488 BETA S.A.</v>
      </c>
    </row>
    <row r="2156" spans="1:19" x14ac:dyDescent="0.3">
      <c r="A2156" s="2" t="s">
        <v>14</v>
      </c>
      <c r="B2156" s="3" t="s">
        <v>14</v>
      </c>
      <c r="C2156" s="3" t="s">
        <v>1891</v>
      </c>
      <c r="D2156" s="3" t="s">
        <v>14</v>
      </c>
      <c r="E2156" s="3" t="s">
        <v>466</v>
      </c>
      <c r="F2156" s="4">
        <v>46288</v>
      </c>
      <c r="G2156" s="3" t="s">
        <v>17</v>
      </c>
      <c r="H2156" s="5">
        <v>-244298.64</v>
      </c>
      <c r="I2156" s="3" t="s">
        <v>18</v>
      </c>
      <c r="J2156" s="3" t="s">
        <v>14</v>
      </c>
      <c r="K2156" s="3" t="s">
        <v>14</v>
      </c>
      <c r="L2156" s="3" t="s">
        <v>434</v>
      </c>
      <c r="M2156" s="4">
        <v>46293</v>
      </c>
      <c r="N2156" s="3" t="s">
        <v>1892</v>
      </c>
      <c r="O2156" s="3" t="s">
        <v>53</v>
      </c>
      <c r="P2156" t="str">
        <f t="shared" si="33"/>
        <v>4500138831170</v>
      </c>
      <c r="Q2156" s="7" cm="1">
        <f t="array" ref="Q2156:S2156">VLOOKUP(P2156,Hoja1!C:F,{2,3,4},FALSE)</f>
        <v>46295</v>
      </c>
      <c r="R2156" t="str">
        <v>C03</v>
      </c>
      <c r="S2156" t="str">
        <v>1000000488 BETA S.A.</v>
      </c>
    </row>
    <row r="2157" spans="1:19" x14ac:dyDescent="0.3">
      <c r="A2157" s="2" t="s">
        <v>14</v>
      </c>
      <c r="B2157" s="3" t="s">
        <v>14</v>
      </c>
      <c r="C2157" s="3" t="s">
        <v>1891</v>
      </c>
      <c r="D2157" s="3" t="s">
        <v>14</v>
      </c>
      <c r="E2157" s="3" t="s">
        <v>466</v>
      </c>
      <c r="F2157" s="4">
        <v>46288</v>
      </c>
      <c r="G2157" s="3" t="s">
        <v>17</v>
      </c>
      <c r="H2157" s="5">
        <v>-241538.69</v>
      </c>
      <c r="I2157" s="3" t="s">
        <v>18</v>
      </c>
      <c r="J2157" s="3" t="s">
        <v>14</v>
      </c>
      <c r="K2157" s="3" t="s">
        <v>14</v>
      </c>
      <c r="L2157" s="3" t="s">
        <v>434</v>
      </c>
      <c r="M2157" s="4">
        <v>46293</v>
      </c>
      <c r="N2157" s="3" t="s">
        <v>1892</v>
      </c>
      <c r="O2157" s="3" t="s">
        <v>130</v>
      </c>
      <c r="P2157" t="str">
        <f t="shared" si="33"/>
        <v>4500138831180</v>
      </c>
      <c r="Q2157" s="7" cm="1">
        <f t="array" ref="Q2157:S2157">VLOOKUP(P2157,Hoja1!C:F,{2,3,4},FALSE)</f>
        <v>46295</v>
      </c>
      <c r="R2157" t="str">
        <v>C03</v>
      </c>
      <c r="S2157" t="str">
        <v>1000000488 BETA S.A.</v>
      </c>
    </row>
    <row r="2158" spans="1:19" x14ac:dyDescent="0.3">
      <c r="A2158" s="2" t="s">
        <v>14</v>
      </c>
      <c r="B2158" s="3" t="s">
        <v>14</v>
      </c>
      <c r="C2158" s="3" t="s">
        <v>1891</v>
      </c>
      <c r="D2158" s="3" t="s">
        <v>14</v>
      </c>
      <c r="E2158" s="3" t="s">
        <v>466</v>
      </c>
      <c r="F2158" s="4">
        <v>46288</v>
      </c>
      <c r="G2158" s="3" t="s">
        <v>17</v>
      </c>
      <c r="H2158" s="5">
        <v>-11694.76</v>
      </c>
      <c r="I2158" s="3" t="s">
        <v>18</v>
      </c>
      <c r="J2158" s="3" t="s">
        <v>14</v>
      </c>
      <c r="K2158" s="3" t="s">
        <v>14</v>
      </c>
      <c r="L2158" s="3" t="s">
        <v>434</v>
      </c>
      <c r="M2158" s="4">
        <v>46293</v>
      </c>
      <c r="N2158" s="3" t="s">
        <v>1892</v>
      </c>
      <c r="O2158" s="3" t="s">
        <v>136</v>
      </c>
      <c r="P2158" t="str">
        <f t="shared" si="33"/>
        <v>4500138831210</v>
      </c>
      <c r="Q2158" s="7" cm="1">
        <f t="array" ref="Q2158:S2158">VLOOKUP(P2158,Hoja1!C:F,{2,3,4},FALSE)</f>
        <v>46295</v>
      </c>
      <c r="R2158" t="str">
        <v>C03</v>
      </c>
      <c r="S2158" t="str">
        <v>1000000488 BETA S.A.</v>
      </c>
    </row>
    <row r="2159" spans="1:19" x14ac:dyDescent="0.3">
      <c r="A2159" s="2" t="s">
        <v>14</v>
      </c>
      <c r="B2159" s="3" t="s">
        <v>14</v>
      </c>
      <c r="C2159" s="3" t="s">
        <v>1893</v>
      </c>
      <c r="D2159" s="3" t="s">
        <v>32</v>
      </c>
      <c r="E2159" s="3" t="s">
        <v>466</v>
      </c>
      <c r="F2159" s="4">
        <v>46293</v>
      </c>
      <c r="G2159" s="3" t="s">
        <v>17</v>
      </c>
      <c r="H2159" s="5">
        <v>-150000</v>
      </c>
      <c r="I2159" s="3" t="s">
        <v>18</v>
      </c>
      <c r="J2159" s="3" t="s">
        <v>14</v>
      </c>
      <c r="K2159" s="3" t="s">
        <v>14</v>
      </c>
      <c r="L2159" s="3" t="s">
        <v>1773</v>
      </c>
      <c r="M2159" s="4">
        <v>46293</v>
      </c>
      <c r="N2159" s="3" t="s">
        <v>1894</v>
      </c>
      <c r="O2159" s="3" t="s">
        <v>30</v>
      </c>
      <c r="P2159" t="str">
        <f t="shared" si="33"/>
        <v>450013953510</v>
      </c>
      <c r="Q2159" s="7" cm="1">
        <f t="array" ref="Q2159:S2159">VLOOKUP(P2159,Hoja1!C:F,{2,3,4},FALSE)</f>
        <v>46295</v>
      </c>
      <c r="R2159" t="str">
        <v>EFO</v>
      </c>
      <c r="S2159" t="str">
        <v>1000013585 S&amp;B SERVICIOS S. R. L.</v>
      </c>
    </row>
    <row r="2160" spans="1:19" x14ac:dyDescent="0.3">
      <c r="A2160" s="2" t="s">
        <v>14</v>
      </c>
      <c r="B2160" s="3" t="s">
        <v>14</v>
      </c>
      <c r="C2160" s="3" t="s">
        <v>1895</v>
      </c>
      <c r="D2160" s="3" t="s">
        <v>32</v>
      </c>
      <c r="E2160" s="3" t="s">
        <v>466</v>
      </c>
      <c r="F2160" s="4">
        <v>46293</v>
      </c>
      <c r="G2160" s="3" t="s">
        <v>17</v>
      </c>
      <c r="H2160" s="5">
        <v>-2403180</v>
      </c>
      <c r="I2160" s="3" t="s">
        <v>18</v>
      </c>
      <c r="J2160" s="3" t="s">
        <v>14</v>
      </c>
      <c r="K2160" s="3" t="s">
        <v>14</v>
      </c>
      <c r="L2160" s="3" t="s">
        <v>1773</v>
      </c>
      <c r="M2160" s="4">
        <v>46293</v>
      </c>
      <c r="N2160" s="3" t="s">
        <v>1896</v>
      </c>
      <c r="O2160" s="3" t="s">
        <v>30</v>
      </c>
      <c r="P2160" t="str">
        <f t="shared" si="33"/>
        <v>450013952910</v>
      </c>
      <c r="Q2160" s="7" cm="1">
        <f t="array" ref="Q2160:S2160">VLOOKUP(P2160,Hoja1!C:F,{2,3,4},FALSE)</f>
        <v>46295</v>
      </c>
      <c r="R2160" t="str">
        <v>EFO</v>
      </c>
      <c r="S2160" t="str">
        <v>1000013585 S&amp;B SERVICIOS S. R. L.</v>
      </c>
    </row>
    <row r="2161" spans="1:19" x14ac:dyDescent="0.3">
      <c r="A2161" s="2" t="s">
        <v>14</v>
      </c>
      <c r="B2161" s="3" t="s">
        <v>14</v>
      </c>
      <c r="C2161" s="3" t="s">
        <v>1898</v>
      </c>
      <c r="D2161" s="3" t="s">
        <v>14</v>
      </c>
      <c r="E2161" s="3" t="s">
        <v>466</v>
      </c>
      <c r="F2161" s="4">
        <v>46290</v>
      </c>
      <c r="G2161" s="3" t="s">
        <v>17</v>
      </c>
      <c r="H2161" s="5">
        <v>-52298.400000000001</v>
      </c>
      <c r="I2161" s="3" t="s">
        <v>18</v>
      </c>
      <c r="J2161" s="3" t="s">
        <v>14</v>
      </c>
      <c r="K2161" s="3" t="s">
        <v>14</v>
      </c>
      <c r="L2161" s="3" t="s">
        <v>438</v>
      </c>
      <c r="M2161" s="4">
        <v>46293</v>
      </c>
      <c r="N2161" s="3" t="s">
        <v>1899</v>
      </c>
      <c r="O2161" s="3" t="s">
        <v>30</v>
      </c>
      <c r="P2161" t="str">
        <f t="shared" si="33"/>
        <v>450013938110</v>
      </c>
      <c r="Q2161" s="7" cm="1">
        <f t="array" ref="Q2161:S2161">VLOOKUP(P2161,Hoja1!C:F,{2,3,4},FALSE)</f>
        <v>46303</v>
      </c>
      <c r="R2161" t="str">
        <v>C29</v>
      </c>
      <c r="S2161" t="str">
        <v>1000010268 YEMA REPUESTOS SRL</v>
      </c>
    </row>
    <row r="2162" spans="1:19" x14ac:dyDescent="0.3">
      <c r="A2162" s="2" t="s">
        <v>14</v>
      </c>
      <c r="B2162" s="3" t="s">
        <v>14</v>
      </c>
      <c r="C2162" s="3" t="s">
        <v>1900</v>
      </c>
      <c r="D2162" s="3" t="s">
        <v>14</v>
      </c>
      <c r="E2162" s="3" t="s">
        <v>466</v>
      </c>
      <c r="F2162" s="4">
        <v>46290</v>
      </c>
      <c r="G2162" s="3" t="s">
        <v>17</v>
      </c>
      <c r="H2162" s="5">
        <v>-1145693.25</v>
      </c>
      <c r="I2162" s="3" t="s">
        <v>18</v>
      </c>
      <c r="J2162" s="3" t="s">
        <v>14</v>
      </c>
      <c r="K2162" s="3" t="s">
        <v>14</v>
      </c>
      <c r="L2162" s="3" t="s">
        <v>340</v>
      </c>
      <c r="M2162" s="4">
        <v>46293</v>
      </c>
      <c r="N2162" s="3" t="s">
        <v>1901</v>
      </c>
      <c r="O2162" s="3" t="s">
        <v>138</v>
      </c>
      <c r="P2162" t="str">
        <f t="shared" si="33"/>
        <v>450013800690</v>
      </c>
      <c r="Q2162" s="7" cm="1">
        <f t="array" ref="Q2162:S2162">VLOOKUP(P2162,Hoja1!C:F,{2,3,4},FALSE)</f>
        <v>46338</v>
      </c>
      <c r="R2162" t="str">
        <v>C03</v>
      </c>
      <c r="S2162" t="str">
        <v>1000000062 FINNING ARGENTINA S.A.</v>
      </c>
    </row>
    <row r="2163" spans="1:19" x14ac:dyDescent="0.3">
      <c r="A2163" s="2" t="s">
        <v>14</v>
      </c>
      <c r="B2163" s="3" t="s">
        <v>14</v>
      </c>
      <c r="C2163" s="3" t="s">
        <v>1900</v>
      </c>
      <c r="D2163" s="3" t="s">
        <v>14</v>
      </c>
      <c r="E2163" s="3" t="s">
        <v>466</v>
      </c>
      <c r="F2163" s="4">
        <v>46290</v>
      </c>
      <c r="G2163" s="3" t="s">
        <v>17</v>
      </c>
      <c r="H2163" s="5">
        <v>-3819459.15</v>
      </c>
      <c r="I2163" s="3" t="s">
        <v>18</v>
      </c>
      <c r="J2163" s="3" t="s">
        <v>14</v>
      </c>
      <c r="K2163" s="3" t="s">
        <v>14</v>
      </c>
      <c r="L2163" s="3" t="s">
        <v>340</v>
      </c>
      <c r="M2163" s="4">
        <v>46293</v>
      </c>
      <c r="N2163" s="3" t="s">
        <v>1901</v>
      </c>
      <c r="O2163" s="3" t="s">
        <v>68</v>
      </c>
      <c r="P2163" t="str">
        <f t="shared" si="33"/>
        <v>4500138006150</v>
      </c>
      <c r="Q2163" s="7" cm="1">
        <f t="array" ref="Q2163:S2163">VLOOKUP(P2163,Hoja1!C:F,{2,3,4},FALSE)</f>
        <v>46338</v>
      </c>
      <c r="R2163" t="str">
        <v>C03</v>
      </c>
      <c r="S2163" t="str">
        <v>1000000062 FINNING ARGENTINA S.A.</v>
      </c>
    </row>
    <row r="2164" spans="1:19" x14ac:dyDescent="0.3">
      <c r="A2164" s="2" t="s">
        <v>14</v>
      </c>
      <c r="B2164" s="3" t="s">
        <v>14</v>
      </c>
      <c r="C2164" s="3" t="s">
        <v>1900</v>
      </c>
      <c r="D2164" s="3" t="s">
        <v>14</v>
      </c>
      <c r="E2164" s="3" t="s">
        <v>466</v>
      </c>
      <c r="F2164" s="4">
        <v>46290</v>
      </c>
      <c r="G2164" s="3" t="s">
        <v>17</v>
      </c>
      <c r="H2164" s="5">
        <v>-2722970.25</v>
      </c>
      <c r="I2164" s="3" t="s">
        <v>18</v>
      </c>
      <c r="J2164" s="3" t="s">
        <v>14</v>
      </c>
      <c r="K2164" s="3" t="s">
        <v>14</v>
      </c>
      <c r="L2164" s="3" t="s">
        <v>340</v>
      </c>
      <c r="M2164" s="4">
        <v>46293</v>
      </c>
      <c r="N2164" s="3" t="s">
        <v>1901</v>
      </c>
      <c r="O2164" s="3" t="s">
        <v>126</v>
      </c>
      <c r="P2164" t="str">
        <f t="shared" si="33"/>
        <v>4500138006260</v>
      </c>
      <c r="Q2164" s="7" cm="1">
        <f t="array" ref="Q2164:S2164">VLOOKUP(P2164,Hoja1!C:F,{2,3,4},FALSE)</f>
        <v>46338</v>
      </c>
      <c r="R2164" t="str">
        <v>C03</v>
      </c>
      <c r="S2164" t="str">
        <v>1000000062 FINNING ARGENTINA S.A.</v>
      </c>
    </row>
    <row r="2165" spans="1:19" x14ac:dyDescent="0.3">
      <c r="A2165" s="2" t="s">
        <v>14</v>
      </c>
      <c r="B2165" s="3" t="s">
        <v>14</v>
      </c>
      <c r="C2165" s="3" t="s">
        <v>1900</v>
      </c>
      <c r="D2165" s="3" t="s">
        <v>14</v>
      </c>
      <c r="E2165" s="3" t="s">
        <v>466</v>
      </c>
      <c r="F2165" s="4">
        <v>46290</v>
      </c>
      <c r="G2165" s="3" t="s">
        <v>17</v>
      </c>
      <c r="H2165" s="5">
        <v>-1307421.18</v>
      </c>
      <c r="I2165" s="3" t="s">
        <v>18</v>
      </c>
      <c r="J2165" s="3" t="s">
        <v>14</v>
      </c>
      <c r="K2165" s="3" t="s">
        <v>14</v>
      </c>
      <c r="L2165" s="3" t="s">
        <v>340</v>
      </c>
      <c r="M2165" s="4">
        <v>46293</v>
      </c>
      <c r="N2165" s="3" t="s">
        <v>1901</v>
      </c>
      <c r="O2165" s="3" t="s">
        <v>173</v>
      </c>
      <c r="P2165" t="str">
        <f t="shared" si="33"/>
        <v>4500138006290</v>
      </c>
      <c r="Q2165" s="7" cm="1">
        <f t="array" ref="Q2165:S2165">VLOOKUP(P2165,Hoja1!C:F,{2,3,4},FALSE)</f>
        <v>46338</v>
      </c>
      <c r="R2165" t="str">
        <v>C03</v>
      </c>
      <c r="S2165" t="str">
        <v>1000000062 FINNING ARGENTINA S.A.</v>
      </c>
    </row>
    <row r="2166" spans="1:19" x14ac:dyDescent="0.3">
      <c r="A2166" s="2" t="s">
        <v>14</v>
      </c>
      <c r="B2166" s="3" t="s">
        <v>14</v>
      </c>
      <c r="C2166" s="3" t="s">
        <v>1902</v>
      </c>
      <c r="D2166" s="3" t="s">
        <v>14</v>
      </c>
      <c r="E2166" s="3" t="s">
        <v>466</v>
      </c>
      <c r="F2166" s="4">
        <v>46293</v>
      </c>
      <c r="G2166" s="3" t="s">
        <v>17</v>
      </c>
      <c r="H2166" s="5">
        <v>-564443.1</v>
      </c>
      <c r="I2166" s="3" t="s">
        <v>18</v>
      </c>
      <c r="J2166" s="3" t="s">
        <v>14</v>
      </c>
      <c r="K2166" s="3" t="s">
        <v>14</v>
      </c>
      <c r="L2166" s="3" t="s">
        <v>340</v>
      </c>
      <c r="M2166" s="4">
        <v>46293</v>
      </c>
      <c r="N2166" s="3" t="s">
        <v>1883</v>
      </c>
      <c r="O2166" s="3" t="s">
        <v>35</v>
      </c>
      <c r="P2166" t="str">
        <f t="shared" si="33"/>
        <v>450013816330</v>
      </c>
      <c r="Q2166" s="7" cm="1">
        <f t="array" ref="Q2166:S2166">VLOOKUP(P2166,Hoja1!C:F,{2,3,4},FALSE)</f>
        <v>46295</v>
      </c>
      <c r="R2166" t="str">
        <v>C03</v>
      </c>
      <c r="S2166" t="str">
        <v>1000000062 FINNING ARGENTINA S.A.</v>
      </c>
    </row>
    <row r="2167" spans="1:19" x14ac:dyDescent="0.3">
      <c r="A2167" s="2" t="s">
        <v>14</v>
      </c>
      <c r="B2167" s="3" t="s">
        <v>14</v>
      </c>
      <c r="C2167" s="3" t="s">
        <v>1902</v>
      </c>
      <c r="D2167" s="3" t="s">
        <v>14</v>
      </c>
      <c r="E2167" s="3" t="s">
        <v>466</v>
      </c>
      <c r="F2167" s="4">
        <v>46293</v>
      </c>
      <c r="G2167" s="3" t="s">
        <v>17</v>
      </c>
      <c r="H2167" s="5">
        <v>-213168.15</v>
      </c>
      <c r="I2167" s="3" t="s">
        <v>18</v>
      </c>
      <c r="J2167" s="3" t="s">
        <v>14</v>
      </c>
      <c r="K2167" s="3" t="s">
        <v>14</v>
      </c>
      <c r="L2167" s="3" t="s">
        <v>340</v>
      </c>
      <c r="M2167" s="4">
        <v>46293</v>
      </c>
      <c r="N2167" s="3" t="s">
        <v>1883</v>
      </c>
      <c r="O2167" s="3" t="s">
        <v>161</v>
      </c>
      <c r="P2167" t="str">
        <f t="shared" si="33"/>
        <v>4500138163200</v>
      </c>
      <c r="Q2167" s="7" cm="1">
        <f t="array" ref="Q2167:S2167">VLOOKUP(P2167,Hoja1!C:F,{2,3,4},FALSE)</f>
        <v>46295</v>
      </c>
      <c r="R2167" t="str">
        <v>C03</v>
      </c>
      <c r="S2167" t="str">
        <v>1000000062 FINNING ARGENTINA S.A.</v>
      </c>
    </row>
    <row r="2168" spans="1:19" x14ac:dyDescent="0.3">
      <c r="A2168" s="2" t="s">
        <v>14</v>
      </c>
      <c r="B2168" s="3" t="s">
        <v>14</v>
      </c>
      <c r="C2168" s="3" t="s">
        <v>1902</v>
      </c>
      <c r="D2168" s="3" t="s">
        <v>14</v>
      </c>
      <c r="E2168" s="3" t="s">
        <v>466</v>
      </c>
      <c r="F2168" s="4">
        <v>46293</v>
      </c>
      <c r="G2168" s="3" t="s">
        <v>17</v>
      </c>
      <c r="H2168" s="5">
        <v>-771937.92</v>
      </c>
      <c r="I2168" s="3" t="s">
        <v>18</v>
      </c>
      <c r="J2168" s="3" t="s">
        <v>14</v>
      </c>
      <c r="K2168" s="3" t="s">
        <v>14</v>
      </c>
      <c r="L2168" s="3" t="s">
        <v>340</v>
      </c>
      <c r="M2168" s="4">
        <v>46293</v>
      </c>
      <c r="N2168" s="3" t="s">
        <v>1883</v>
      </c>
      <c r="O2168" s="3" t="s">
        <v>147</v>
      </c>
      <c r="P2168" t="str">
        <f t="shared" si="33"/>
        <v>4500138163310</v>
      </c>
      <c r="Q2168" s="7" cm="1">
        <f t="array" ref="Q2168:S2168">VLOOKUP(P2168,Hoja1!C:F,{2,3,4},FALSE)</f>
        <v>46295</v>
      </c>
      <c r="R2168" t="str">
        <v>C03</v>
      </c>
      <c r="S2168" t="str">
        <v>1000000062 FINNING ARGENTINA S.A.</v>
      </c>
    </row>
    <row r="2169" spans="1:19" x14ac:dyDescent="0.3">
      <c r="A2169" s="2" t="s">
        <v>14</v>
      </c>
      <c r="B2169" s="3" t="s">
        <v>14</v>
      </c>
      <c r="C2169" s="3" t="s">
        <v>1903</v>
      </c>
      <c r="D2169" s="3" t="s">
        <v>32</v>
      </c>
      <c r="E2169" s="3" t="s">
        <v>466</v>
      </c>
      <c r="F2169" s="4">
        <v>46293</v>
      </c>
      <c r="G2169" s="3" t="s">
        <v>17</v>
      </c>
      <c r="H2169" s="5">
        <v>-429150.15</v>
      </c>
      <c r="I2169" s="3" t="s">
        <v>18</v>
      </c>
      <c r="J2169" s="3" t="s">
        <v>14</v>
      </c>
      <c r="K2169" s="3" t="s">
        <v>14</v>
      </c>
      <c r="L2169" s="3" t="s">
        <v>1904</v>
      </c>
      <c r="M2169" s="4">
        <v>46293</v>
      </c>
      <c r="N2169" s="3" t="s">
        <v>1905</v>
      </c>
      <c r="O2169" s="3" t="s">
        <v>30</v>
      </c>
      <c r="P2169" t="str">
        <f t="shared" si="33"/>
        <v>450013863210</v>
      </c>
      <c r="Q2169" s="7" cm="1">
        <f t="array" ref="Q2169:S2169">VLOOKUP(P2169,Hoja1!C:F,{2,3,4},FALSE)</f>
        <v>46289</v>
      </c>
      <c r="R2169" t="str">
        <v>377</v>
      </c>
      <c r="S2169" t="str">
        <v>1000006578 MGF FIJACIONES SA</v>
      </c>
    </row>
    <row r="2170" spans="1:19" x14ac:dyDescent="0.3">
      <c r="A2170" s="2" t="s">
        <v>14</v>
      </c>
      <c r="B2170" s="3" t="s">
        <v>14</v>
      </c>
      <c r="C2170" s="3" t="s">
        <v>1903</v>
      </c>
      <c r="D2170" s="3" t="s">
        <v>32</v>
      </c>
      <c r="E2170" s="3" t="s">
        <v>466</v>
      </c>
      <c r="F2170" s="4">
        <v>46293</v>
      </c>
      <c r="G2170" s="3" t="s">
        <v>17</v>
      </c>
      <c r="H2170" s="5">
        <v>-4047563.52</v>
      </c>
      <c r="I2170" s="3" t="s">
        <v>18</v>
      </c>
      <c r="J2170" s="3" t="s">
        <v>14</v>
      </c>
      <c r="K2170" s="3" t="s">
        <v>14</v>
      </c>
      <c r="L2170" s="3" t="s">
        <v>1904</v>
      </c>
      <c r="M2170" s="4">
        <v>46293</v>
      </c>
      <c r="N2170" s="3" t="s">
        <v>1905</v>
      </c>
      <c r="O2170" s="3" t="s">
        <v>22</v>
      </c>
      <c r="P2170" t="str">
        <f t="shared" si="33"/>
        <v>450013863220</v>
      </c>
      <c r="Q2170" s="7" cm="1">
        <f t="array" ref="Q2170:S2170">VLOOKUP(P2170,Hoja1!C:F,{2,3,4},FALSE)</f>
        <v>46289</v>
      </c>
      <c r="R2170" t="str">
        <v>377</v>
      </c>
      <c r="S2170" t="str">
        <v>1000006578 MGF FIJACIONES SA</v>
      </c>
    </row>
    <row r="2171" spans="1:19" x14ac:dyDescent="0.3">
      <c r="A2171" s="2" t="s">
        <v>14</v>
      </c>
      <c r="B2171" s="3" t="s">
        <v>14</v>
      </c>
      <c r="C2171" s="3" t="s">
        <v>1903</v>
      </c>
      <c r="D2171" s="3" t="s">
        <v>32</v>
      </c>
      <c r="E2171" s="3" t="s">
        <v>466</v>
      </c>
      <c r="F2171" s="4">
        <v>46293</v>
      </c>
      <c r="G2171" s="3" t="s">
        <v>17</v>
      </c>
      <c r="H2171" s="5">
        <v>-43804.800000000003</v>
      </c>
      <c r="I2171" s="3" t="s">
        <v>18</v>
      </c>
      <c r="J2171" s="3" t="s">
        <v>14</v>
      </c>
      <c r="K2171" s="3" t="s">
        <v>14</v>
      </c>
      <c r="L2171" s="3" t="s">
        <v>1904</v>
      </c>
      <c r="M2171" s="4">
        <v>46293</v>
      </c>
      <c r="N2171" s="3" t="s">
        <v>1905</v>
      </c>
      <c r="O2171" s="3" t="s">
        <v>144</v>
      </c>
      <c r="P2171" t="str">
        <f t="shared" si="33"/>
        <v>450013863250</v>
      </c>
      <c r="Q2171" s="7" cm="1">
        <f t="array" ref="Q2171:S2171">VLOOKUP(P2171,Hoja1!C:F,{2,3,4},FALSE)</f>
        <v>46289</v>
      </c>
      <c r="R2171" t="str">
        <v>377</v>
      </c>
      <c r="S2171" t="str">
        <v>1000006578 MGF FIJACIONES SA</v>
      </c>
    </row>
    <row r="2172" spans="1:19" x14ac:dyDescent="0.3">
      <c r="A2172" s="2" t="s">
        <v>14</v>
      </c>
      <c r="B2172" s="3" t="s">
        <v>14</v>
      </c>
      <c r="C2172" s="3" t="s">
        <v>1906</v>
      </c>
      <c r="D2172" s="3" t="s">
        <v>14</v>
      </c>
      <c r="E2172" s="3" t="s">
        <v>466</v>
      </c>
      <c r="F2172" s="4">
        <v>46293</v>
      </c>
      <c r="G2172" s="3" t="s">
        <v>17</v>
      </c>
      <c r="H2172" s="5">
        <v>-310055.84999999998</v>
      </c>
      <c r="I2172" s="3" t="s">
        <v>18</v>
      </c>
      <c r="J2172" s="3" t="s">
        <v>14</v>
      </c>
      <c r="K2172" s="3" t="s">
        <v>14</v>
      </c>
      <c r="L2172" s="3" t="s">
        <v>340</v>
      </c>
      <c r="M2172" s="4">
        <v>46293</v>
      </c>
      <c r="N2172" s="3" t="s">
        <v>1907</v>
      </c>
      <c r="O2172" s="3" t="s">
        <v>30</v>
      </c>
      <c r="P2172" t="str">
        <f t="shared" si="33"/>
        <v>450013827410</v>
      </c>
      <c r="Q2172" s="7" cm="1">
        <f t="array" ref="Q2172:S2172">VLOOKUP(P2172,Hoja1!C:F,{2,3,4},FALSE)</f>
        <v>46295</v>
      </c>
      <c r="R2172" t="str">
        <v>C03</v>
      </c>
      <c r="S2172" t="str">
        <v>1000000062 FINNING ARGENTINA S.A.</v>
      </c>
    </row>
    <row r="2173" spans="1:19" x14ac:dyDescent="0.3">
      <c r="A2173" s="2" t="s">
        <v>14</v>
      </c>
      <c r="B2173" s="3" t="s">
        <v>14</v>
      </c>
      <c r="C2173" s="3" t="s">
        <v>1908</v>
      </c>
      <c r="D2173" s="3" t="s">
        <v>14</v>
      </c>
      <c r="E2173" s="3" t="s">
        <v>466</v>
      </c>
      <c r="F2173" s="4">
        <v>46293</v>
      </c>
      <c r="G2173" s="3" t="s">
        <v>17</v>
      </c>
      <c r="H2173" s="5">
        <v>-46907.64</v>
      </c>
      <c r="I2173" s="3" t="s">
        <v>18</v>
      </c>
      <c r="J2173" s="3" t="s">
        <v>14</v>
      </c>
      <c r="K2173" s="3" t="s">
        <v>14</v>
      </c>
      <c r="L2173" s="3" t="s">
        <v>340</v>
      </c>
      <c r="M2173" s="4">
        <v>46293</v>
      </c>
      <c r="N2173" s="3" t="s">
        <v>1909</v>
      </c>
      <c r="O2173" s="3" t="s">
        <v>35</v>
      </c>
      <c r="P2173" t="str">
        <f t="shared" si="33"/>
        <v>450013890530</v>
      </c>
      <c r="Q2173" s="7" cm="1">
        <f t="array" ref="Q2173:S2173">VLOOKUP(P2173,Hoja1!C:F,{2,3,4},FALSE)</f>
        <v>46297</v>
      </c>
      <c r="R2173" t="str">
        <v>F13</v>
      </c>
      <c r="S2173" t="str">
        <v>1000000062 FINNING ARGENTINA S.A.</v>
      </c>
    </row>
    <row r="2174" spans="1:19" x14ac:dyDescent="0.3">
      <c r="A2174" s="2" t="s">
        <v>14</v>
      </c>
      <c r="B2174" s="3" t="s">
        <v>14</v>
      </c>
      <c r="C2174" s="3" t="s">
        <v>1910</v>
      </c>
      <c r="D2174" s="3" t="s">
        <v>14</v>
      </c>
      <c r="E2174" s="3" t="s">
        <v>466</v>
      </c>
      <c r="F2174" s="4">
        <v>46290</v>
      </c>
      <c r="G2174" s="3" t="s">
        <v>17</v>
      </c>
      <c r="H2174" s="5">
        <v>-1783127.2</v>
      </c>
      <c r="I2174" s="3" t="s">
        <v>18</v>
      </c>
      <c r="J2174" s="3" t="s">
        <v>14</v>
      </c>
      <c r="K2174" s="3" t="s">
        <v>14</v>
      </c>
      <c r="L2174" s="3" t="s">
        <v>340</v>
      </c>
      <c r="M2174" s="4">
        <v>46294</v>
      </c>
      <c r="N2174" s="3" t="s">
        <v>404</v>
      </c>
      <c r="O2174" s="3" t="s">
        <v>156</v>
      </c>
      <c r="P2174" t="str">
        <f t="shared" si="33"/>
        <v>4500136768110</v>
      </c>
      <c r="Q2174" s="7" cm="1">
        <f t="array" ref="Q2174:S2174">VLOOKUP(P2174,Hoja1!C:F,{2,3,4},FALSE)</f>
        <v>46290</v>
      </c>
      <c r="R2174" t="str">
        <v>C03</v>
      </c>
      <c r="S2174" t="str">
        <v>1000000062 FINNING ARGENTINA S.A.</v>
      </c>
    </row>
    <row r="2175" spans="1:19" x14ac:dyDescent="0.3">
      <c r="A2175" s="2" t="s">
        <v>14</v>
      </c>
      <c r="B2175" s="3" t="s">
        <v>14</v>
      </c>
      <c r="C2175" s="3" t="s">
        <v>1911</v>
      </c>
      <c r="D2175" s="3" t="s">
        <v>14</v>
      </c>
      <c r="E2175" s="3" t="s">
        <v>466</v>
      </c>
      <c r="F2175" s="4">
        <v>46290</v>
      </c>
      <c r="G2175" s="3" t="s">
        <v>17</v>
      </c>
      <c r="H2175" s="5">
        <v>-181700.8</v>
      </c>
      <c r="I2175" s="3" t="s">
        <v>18</v>
      </c>
      <c r="J2175" s="3" t="s">
        <v>14</v>
      </c>
      <c r="K2175" s="3" t="s">
        <v>14</v>
      </c>
      <c r="L2175" s="3" t="s">
        <v>340</v>
      </c>
      <c r="M2175" s="4">
        <v>46294</v>
      </c>
      <c r="N2175" s="3" t="s">
        <v>1723</v>
      </c>
      <c r="O2175" s="3" t="s">
        <v>30</v>
      </c>
      <c r="P2175" t="str">
        <f t="shared" si="33"/>
        <v>450013541410</v>
      </c>
      <c r="Q2175" s="7" cm="1">
        <f t="array" ref="Q2175:S2175">VLOOKUP(P2175,Hoja1!C:F,{2,3,4},FALSE)</f>
        <v>46295</v>
      </c>
      <c r="R2175" t="str">
        <v>C03</v>
      </c>
      <c r="S2175" t="str">
        <v>1000000062 FINNING ARGENTINA S.A.</v>
      </c>
    </row>
    <row r="2176" spans="1:19" x14ac:dyDescent="0.3">
      <c r="A2176" s="2" t="s">
        <v>14</v>
      </c>
      <c r="B2176" s="3" t="s">
        <v>14</v>
      </c>
      <c r="C2176" s="3" t="s">
        <v>1912</v>
      </c>
      <c r="D2176" s="3" t="s">
        <v>14</v>
      </c>
      <c r="E2176" s="3" t="s">
        <v>466</v>
      </c>
      <c r="F2176" s="4">
        <v>46290</v>
      </c>
      <c r="G2176" s="3" t="s">
        <v>17</v>
      </c>
      <c r="H2176" s="5">
        <v>-3373412</v>
      </c>
      <c r="I2176" s="3" t="s">
        <v>18</v>
      </c>
      <c r="J2176" s="3" t="s">
        <v>14</v>
      </c>
      <c r="K2176" s="3" t="s">
        <v>14</v>
      </c>
      <c r="L2176" s="3" t="s">
        <v>340</v>
      </c>
      <c r="M2176" s="4">
        <v>46294</v>
      </c>
      <c r="N2176" s="3" t="s">
        <v>1883</v>
      </c>
      <c r="O2176" s="3" t="s">
        <v>130</v>
      </c>
      <c r="P2176" t="str">
        <f t="shared" si="33"/>
        <v>4500138163180</v>
      </c>
      <c r="Q2176" s="7" cm="1">
        <f t="array" ref="Q2176:S2176">VLOOKUP(P2176,Hoja1!C:F,{2,3,4},FALSE)</f>
        <v>46295</v>
      </c>
      <c r="R2176" t="str">
        <v>C03</v>
      </c>
      <c r="S2176" t="str">
        <v>1000000062 FINNING ARGENTINA S.A.</v>
      </c>
    </row>
    <row r="2177" spans="1:19" x14ac:dyDescent="0.3">
      <c r="A2177" s="2" t="s">
        <v>14</v>
      </c>
      <c r="B2177" s="3" t="s">
        <v>14</v>
      </c>
      <c r="C2177" s="3" t="s">
        <v>1913</v>
      </c>
      <c r="D2177" s="3" t="s">
        <v>14</v>
      </c>
      <c r="E2177" s="3" t="s">
        <v>466</v>
      </c>
      <c r="F2177" s="4">
        <v>46290</v>
      </c>
      <c r="G2177" s="3" t="s">
        <v>17</v>
      </c>
      <c r="H2177" s="5">
        <v>-529948</v>
      </c>
      <c r="I2177" s="3" t="s">
        <v>18</v>
      </c>
      <c r="J2177" s="3" t="s">
        <v>14</v>
      </c>
      <c r="K2177" s="3" t="s">
        <v>14</v>
      </c>
      <c r="L2177" s="3" t="s">
        <v>340</v>
      </c>
      <c r="M2177" s="4">
        <v>46294</v>
      </c>
      <c r="N2177" s="3" t="s">
        <v>1909</v>
      </c>
      <c r="O2177" s="3" t="s">
        <v>22</v>
      </c>
      <c r="P2177" t="str">
        <f t="shared" si="33"/>
        <v>450013890520</v>
      </c>
      <c r="Q2177" s="7" cm="1">
        <f t="array" ref="Q2177:S2177">VLOOKUP(P2177,Hoja1!C:F,{2,3,4},FALSE)</f>
        <v>46297</v>
      </c>
      <c r="R2177" t="str">
        <v>F13</v>
      </c>
      <c r="S2177" t="str">
        <v>1000000062 FINNING ARGENTINA S.A.</v>
      </c>
    </row>
    <row r="2178" spans="1:19" x14ac:dyDescent="0.3">
      <c r="A2178" s="2" t="s">
        <v>14</v>
      </c>
      <c r="B2178" s="3" t="s">
        <v>14</v>
      </c>
      <c r="C2178" s="3" t="s">
        <v>1914</v>
      </c>
      <c r="D2178" s="3" t="s">
        <v>14</v>
      </c>
      <c r="E2178" s="3" t="s">
        <v>466</v>
      </c>
      <c r="F2178" s="4">
        <v>46290</v>
      </c>
      <c r="G2178" s="3" t="s">
        <v>17</v>
      </c>
      <c r="H2178" s="5">
        <v>-87134.11</v>
      </c>
      <c r="I2178" s="3" t="s">
        <v>18</v>
      </c>
      <c r="J2178" s="3" t="s">
        <v>14</v>
      </c>
      <c r="K2178" s="3" t="s">
        <v>14</v>
      </c>
      <c r="L2178" s="3" t="s">
        <v>1211</v>
      </c>
      <c r="M2178" s="4">
        <v>46294</v>
      </c>
      <c r="N2178" s="3" t="s">
        <v>1872</v>
      </c>
      <c r="O2178" s="3" t="s">
        <v>35</v>
      </c>
      <c r="P2178" t="str">
        <f t="shared" si="33"/>
        <v>450013579630</v>
      </c>
      <c r="Q2178" s="7" cm="1">
        <f t="array" ref="Q2178:S2178">VLOOKUP(P2178,Hoja1!C:F,{2,3,4},FALSE)</f>
        <v>46300</v>
      </c>
      <c r="R2178" t="str">
        <v>C03</v>
      </c>
      <c r="S2178" t="str">
        <v>1000000012 IGARRETA MAQUINAS S.A.</v>
      </c>
    </row>
    <row r="2179" spans="1:19" x14ac:dyDescent="0.3">
      <c r="A2179" s="2" t="s">
        <v>14</v>
      </c>
      <c r="B2179" s="3" t="s">
        <v>14</v>
      </c>
      <c r="C2179" s="3" t="s">
        <v>1914</v>
      </c>
      <c r="D2179" s="3" t="s">
        <v>14</v>
      </c>
      <c r="E2179" s="3" t="s">
        <v>466</v>
      </c>
      <c r="F2179" s="4">
        <v>46290</v>
      </c>
      <c r="G2179" s="3" t="s">
        <v>17</v>
      </c>
      <c r="H2179" s="5">
        <v>-3311718.69</v>
      </c>
      <c r="I2179" s="3" t="s">
        <v>18</v>
      </c>
      <c r="J2179" s="3" t="s">
        <v>14</v>
      </c>
      <c r="K2179" s="3" t="s">
        <v>14</v>
      </c>
      <c r="L2179" s="3" t="s">
        <v>1211</v>
      </c>
      <c r="M2179" s="4">
        <v>46294</v>
      </c>
      <c r="N2179" s="3" t="s">
        <v>1872</v>
      </c>
      <c r="O2179" s="3" t="s">
        <v>23</v>
      </c>
      <c r="P2179" t="str">
        <f t="shared" ref="P2179:P2242" si="34">_xlfn.CONCAT(N2179:O2179)</f>
        <v>450013579640</v>
      </c>
      <c r="Q2179" s="7" cm="1">
        <f t="array" ref="Q2179:S2179">VLOOKUP(P2179,Hoja1!C:F,{2,3,4},FALSE)</f>
        <v>46300</v>
      </c>
      <c r="R2179" t="str">
        <v>C03</v>
      </c>
      <c r="S2179" t="str">
        <v>1000000012 IGARRETA MAQUINAS S.A.</v>
      </c>
    </row>
    <row r="2180" spans="1:19" x14ac:dyDescent="0.3">
      <c r="A2180" s="2" t="s">
        <v>14</v>
      </c>
      <c r="B2180" s="3" t="s">
        <v>14</v>
      </c>
      <c r="C2180" s="3" t="s">
        <v>1914</v>
      </c>
      <c r="D2180" s="3" t="s">
        <v>14</v>
      </c>
      <c r="E2180" s="3" t="s">
        <v>466</v>
      </c>
      <c r="F2180" s="4">
        <v>46290</v>
      </c>
      <c r="G2180" s="3" t="s">
        <v>17</v>
      </c>
      <c r="H2180" s="5">
        <v>-894655.24</v>
      </c>
      <c r="I2180" s="3" t="s">
        <v>18</v>
      </c>
      <c r="J2180" s="3" t="s">
        <v>14</v>
      </c>
      <c r="K2180" s="3" t="s">
        <v>14</v>
      </c>
      <c r="L2180" s="3" t="s">
        <v>1211</v>
      </c>
      <c r="M2180" s="4">
        <v>46294</v>
      </c>
      <c r="N2180" s="3" t="s">
        <v>1872</v>
      </c>
      <c r="O2180" s="3" t="s">
        <v>141</v>
      </c>
      <c r="P2180" t="str">
        <f t="shared" si="34"/>
        <v>450013579660</v>
      </c>
      <c r="Q2180" s="7" cm="1">
        <f t="array" ref="Q2180:S2180">VLOOKUP(P2180,Hoja1!C:F,{2,3,4},FALSE)</f>
        <v>46300</v>
      </c>
      <c r="R2180" t="str">
        <v>C03</v>
      </c>
      <c r="S2180" t="str">
        <v>1000000012 IGARRETA MAQUINAS S.A.</v>
      </c>
    </row>
    <row r="2181" spans="1:19" x14ac:dyDescent="0.3">
      <c r="A2181" s="2" t="s">
        <v>14</v>
      </c>
      <c r="B2181" s="3" t="s">
        <v>14</v>
      </c>
      <c r="C2181" s="3" t="s">
        <v>1914</v>
      </c>
      <c r="D2181" s="3" t="s">
        <v>14</v>
      </c>
      <c r="E2181" s="3" t="s">
        <v>466</v>
      </c>
      <c r="F2181" s="4">
        <v>46290</v>
      </c>
      <c r="G2181" s="3" t="s">
        <v>17</v>
      </c>
      <c r="H2181" s="5">
        <v>-248396.2</v>
      </c>
      <c r="I2181" s="3" t="s">
        <v>18</v>
      </c>
      <c r="J2181" s="3" t="s">
        <v>14</v>
      </c>
      <c r="K2181" s="3" t="s">
        <v>14</v>
      </c>
      <c r="L2181" s="3" t="s">
        <v>1211</v>
      </c>
      <c r="M2181" s="4">
        <v>46294</v>
      </c>
      <c r="N2181" s="3" t="s">
        <v>1872</v>
      </c>
      <c r="O2181" s="3" t="s">
        <v>138</v>
      </c>
      <c r="P2181" t="str">
        <f t="shared" si="34"/>
        <v>450013579690</v>
      </c>
      <c r="Q2181" s="7" cm="1">
        <f t="array" ref="Q2181:S2181">VLOOKUP(P2181,Hoja1!C:F,{2,3,4},FALSE)</f>
        <v>46300</v>
      </c>
      <c r="R2181" t="str">
        <v>C03</v>
      </c>
      <c r="S2181" t="str">
        <v>1000000012 IGARRETA MAQUINAS S.A.</v>
      </c>
    </row>
    <row r="2182" spans="1:19" x14ac:dyDescent="0.3">
      <c r="A2182" s="2" t="s">
        <v>14</v>
      </c>
      <c r="B2182" s="3" t="s">
        <v>14</v>
      </c>
      <c r="C2182" s="3" t="s">
        <v>1915</v>
      </c>
      <c r="D2182" s="3" t="s">
        <v>14</v>
      </c>
      <c r="E2182" s="3" t="s">
        <v>466</v>
      </c>
      <c r="F2182" s="4">
        <v>46290</v>
      </c>
      <c r="G2182" s="3" t="s">
        <v>17</v>
      </c>
      <c r="H2182" s="5">
        <v>-181532.27</v>
      </c>
      <c r="I2182" s="3" t="s">
        <v>18</v>
      </c>
      <c r="J2182" s="3" t="s">
        <v>14</v>
      </c>
      <c r="K2182" s="3" t="s">
        <v>14</v>
      </c>
      <c r="L2182" s="3" t="s">
        <v>1211</v>
      </c>
      <c r="M2182" s="4">
        <v>46294</v>
      </c>
      <c r="N2182" s="3" t="s">
        <v>1872</v>
      </c>
      <c r="O2182" s="3" t="s">
        <v>145</v>
      </c>
      <c r="P2182" t="str">
        <f t="shared" si="34"/>
        <v>4500135796300</v>
      </c>
      <c r="Q2182" s="7" cm="1">
        <f t="array" ref="Q2182:S2182">VLOOKUP(P2182,Hoja1!C:F,{2,3,4},FALSE)</f>
        <v>46300</v>
      </c>
      <c r="R2182" t="str">
        <v>C03</v>
      </c>
      <c r="S2182" t="str">
        <v>1000000012 IGARRETA MAQUINAS S.A.</v>
      </c>
    </row>
    <row r="2183" spans="1:19" x14ac:dyDescent="0.3">
      <c r="A2183" s="2" t="s">
        <v>14</v>
      </c>
      <c r="B2183" s="3" t="s">
        <v>14</v>
      </c>
      <c r="C2183" s="3" t="s">
        <v>1915</v>
      </c>
      <c r="D2183" s="3" t="s">
        <v>14</v>
      </c>
      <c r="E2183" s="3" t="s">
        <v>466</v>
      </c>
      <c r="F2183" s="4">
        <v>46290</v>
      </c>
      <c r="G2183" s="3" t="s">
        <v>17</v>
      </c>
      <c r="H2183" s="5">
        <v>-288348.52</v>
      </c>
      <c r="I2183" s="3" t="s">
        <v>18</v>
      </c>
      <c r="J2183" s="3" t="s">
        <v>14</v>
      </c>
      <c r="K2183" s="3" t="s">
        <v>14</v>
      </c>
      <c r="L2183" s="3" t="s">
        <v>1211</v>
      </c>
      <c r="M2183" s="4">
        <v>46294</v>
      </c>
      <c r="N2183" s="3" t="s">
        <v>1872</v>
      </c>
      <c r="O2183" s="3" t="s">
        <v>52</v>
      </c>
      <c r="P2183" t="str">
        <f t="shared" si="34"/>
        <v>450013579680</v>
      </c>
      <c r="Q2183" s="7" cm="1">
        <f t="array" ref="Q2183:S2183">VLOOKUP(P2183,Hoja1!C:F,{2,3,4},FALSE)</f>
        <v>46300</v>
      </c>
      <c r="R2183" t="str">
        <v>C03</v>
      </c>
      <c r="S2183" t="str">
        <v>1000000012 IGARRETA MAQUINAS S.A.</v>
      </c>
    </row>
    <row r="2184" spans="1:19" x14ac:dyDescent="0.3">
      <c r="A2184" s="2" t="s">
        <v>14</v>
      </c>
      <c r="B2184" s="3" t="s">
        <v>14</v>
      </c>
      <c r="C2184" s="3" t="s">
        <v>1915</v>
      </c>
      <c r="D2184" s="3" t="s">
        <v>14</v>
      </c>
      <c r="E2184" s="3" t="s">
        <v>466</v>
      </c>
      <c r="F2184" s="4">
        <v>46290</v>
      </c>
      <c r="G2184" s="3" t="s">
        <v>17</v>
      </c>
      <c r="H2184" s="5">
        <v>-224424.81</v>
      </c>
      <c r="I2184" s="3" t="s">
        <v>18</v>
      </c>
      <c r="J2184" s="3" t="s">
        <v>14</v>
      </c>
      <c r="K2184" s="3" t="s">
        <v>14</v>
      </c>
      <c r="L2184" s="3" t="s">
        <v>1211</v>
      </c>
      <c r="M2184" s="4">
        <v>46294</v>
      </c>
      <c r="N2184" s="3" t="s">
        <v>1872</v>
      </c>
      <c r="O2184" s="3" t="s">
        <v>134</v>
      </c>
      <c r="P2184" t="str">
        <f t="shared" si="34"/>
        <v>450013579670</v>
      </c>
      <c r="Q2184" s="7" cm="1">
        <f t="array" ref="Q2184:S2184">VLOOKUP(P2184,Hoja1!C:F,{2,3,4},FALSE)</f>
        <v>46300</v>
      </c>
      <c r="R2184" t="str">
        <v>C03</v>
      </c>
      <c r="S2184" t="str">
        <v>1000000012 IGARRETA MAQUINAS S.A.</v>
      </c>
    </row>
    <row r="2185" spans="1:19" x14ac:dyDescent="0.3">
      <c r="A2185" s="2" t="s">
        <v>14</v>
      </c>
      <c r="B2185" s="3" t="s">
        <v>14</v>
      </c>
      <c r="C2185" s="3" t="s">
        <v>1915</v>
      </c>
      <c r="D2185" s="3" t="s">
        <v>14</v>
      </c>
      <c r="E2185" s="3" t="s">
        <v>466</v>
      </c>
      <c r="F2185" s="4">
        <v>46290</v>
      </c>
      <c r="G2185" s="3" t="s">
        <v>17</v>
      </c>
      <c r="H2185" s="5">
        <v>-90766.14</v>
      </c>
      <c r="I2185" s="3" t="s">
        <v>18</v>
      </c>
      <c r="J2185" s="3" t="s">
        <v>14</v>
      </c>
      <c r="K2185" s="3" t="s">
        <v>14</v>
      </c>
      <c r="L2185" s="3" t="s">
        <v>1211</v>
      </c>
      <c r="M2185" s="4">
        <v>46294</v>
      </c>
      <c r="N2185" s="3" t="s">
        <v>1872</v>
      </c>
      <c r="O2185" s="3" t="s">
        <v>144</v>
      </c>
      <c r="P2185" t="str">
        <f t="shared" si="34"/>
        <v>450013579650</v>
      </c>
      <c r="Q2185" s="7" cm="1">
        <f t="array" ref="Q2185:S2185">VLOOKUP(P2185,Hoja1!C:F,{2,3,4},FALSE)</f>
        <v>46300</v>
      </c>
      <c r="R2185" t="str">
        <v>C03</v>
      </c>
      <c r="S2185" t="str">
        <v>1000000012 IGARRETA MAQUINAS S.A.</v>
      </c>
    </row>
    <row r="2186" spans="1:19" x14ac:dyDescent="0.3">
      <c r="A2186" s="2" t="s">
        <v>14</v>
      </c>
      <c r="B2186" s="3" t="s">
        <v>14</v>
      </c>
      <c r="C2186" s="3" t="s">
        <v>1915</v>
      </c>
      <c r="D2186" s="3" t="s">
        <v>14</v>
      </c>
      <c r="E2186" s="3" t="s">
        <v>466</v>
      </c>
      <c r="F2186" s="4">
        <v>46290</v>
      </c>
      <c r="G2186" s="3" t="s">
        <v>17</v>
      </c>
      <c r="H2186" s="5">
        <v>-278420.96999999997</v>
      </c>
      <c r="I2186" s="3" t="s">
        <v>18</v>
      </c>
      <c r="J2186" s="3" t="s">
        <v>14</v>
      </c>
      <c r="K2186" s="3" t="s">
        <v>14</v>
      </c>
      <c r="L2186" s="3" t="s">
        <v>1211</v>
      </c>
      <c r="M2186" s="4">
        <v>46294</v>
      </c>
      <c r="N2186" s="3" t="s">
        <v>1872</v>
      </c>
      <c r="O2186" s="3" t="s">
        <v>142</v>
      </c>
      <c r="P2186" t="str">
        <f t="shared" si="34"/>
        <v>4500135796130</v>
      </c>
      <c r="Q2186" s="7" cm="1">
        <f t="array" ref="Q2186:S2186">VLOOKUP(P2186,Hoja1!C:F,{2,3,4},FALSE)</f>
        <v>46300</v>
      </c>
      <c r="R2186" t="str">
        <v>C03</v>
      </c>
      <c r="S2186" t="str">
        <v>1000000012 IGARRETA MAQUINAS S.A.</v>
      </c>
    </row>
    <row r="2187" spans="1:19" x14ac:dyDescent="0.3">
      <c r="A2187" s="2" t="s">
        <v>14</v>
      </c>
      <c r="B2187" s="3" t="s">
        <v>14</v>
      </c>
      <c r="C2187" s="3" t="s">
        <v>1915</v>
      </c>
      <c r="D2187" s="3" t="s">
        <v>14</v>
      </c>
      <c r="E2187" s="3" t="s">
        <v>466</v>
      </c>
      <c r="F2187" s="4">
        <v>46290</v>
      </c>
      <c r="G2187" s="3" t="s">
        <v>17</v>
      </c>
      <c r="H2187" s="5">
        <v>-22691.53</v>
      </c>
      <c r="I2187" s="3" t="s">
        <v>18</v>
      </c>
      <c r="J2187" s="3" t="s">
        <v>14</v>
      </c>
      <c r="K2187" s="3" t="s">
        <v>14</v>
      </c>
      <c r="L2187" s="3" t="s">
        <v>1211</v>
      </c>
      <c r="M2187" s="4">
        <v>46294</v>
      </c>
      <c r="N2187" s="3" t="s">
        <v>1872</v>
      </c>
      <c r="O2187" s="3" t="s">
        <v>53</v>
      </c>
      <c r="P2187" t="str">
        <f t="shared" si="34"/>
        <v>4500135796170</v>
      </c>
      <c r="Q2187" s="7" cm="1">
        <f t="array" ref="Q2187:S2187">VLOOKUP(P2187,Hoja1!C:F,{2,3,4},FALSE)</f>
        <v>46300</v>
      </c>
      <c r="R2187" t="str">
        <v>C03</v>
      </c>
      <c r="S2187" t="str">
        <v>1000000012 IGARRETA MAQUINAS S.A.</v>
      </c>
    </row>
    <row r="2188" spans="1:19" x14ac:dyDescent="0.3">
      <c r="A2188" s="2" t="s">
        <v>14</v>
      </c>
      <c r="B2188" s="3" t="s">
        <v>14</v>
      </c>
      <c r="C2188" s="3" t="s">
        <v>1915</v>
      </c>
      <c r="D2188" s="3" t="s">
        <v>14</v>
      </c>
      <c r="E2188" s="3" t="s">
        <v>466</v>
      </c>
      <c r="F2188" s="4">
        <v>46290</v>
      </c>
      <c r="G2188" s="3" t="s">
        <v>17</v>
      </c>
      <c r="H2188" s="5">
        <v>-45383.07</v>
      </c>
      <c r="I2188" s="3" t="s">
        <v>18</v>
      </c>
      <c r="J2188" s="3" t="s">
        <v>14</v>
      </c>
      <c r="K2188" s="3" t="s">
        <v>14</v>
      </c>
      <c r="L2188" s="3" t="s">
        <v>1211</v>
      </c>
      <c r="M2188" s="4">
        <v>46294</v>
      </c>
      <c r="N2188" s="3" t="s">
        <v>1872</v>
      </c>
      <c r="O2188" s="3" t="s">
        <v>131</v>
      </c>
      <c r="P2188" t="str">
        <f t="shared" si="34"/>
        <v>4500135796140</v>
      </c>
      <c r="Q2188" s="7" cm="1">
        <f t="array" ref="Q2188:S2188">VLOOKUP(P2188,Hoja1!C:F,{2,3,4},FALSE)</f>
        <v>46300</v>
      </c>
      <c r="R2188" t="str">
        <v>C03</v>
      </c>
      <c r="S2188" t="str">
        <v>1000000012 IGARRETA MAQUINAS S.A.</v>
      </c>
    </row>
    <row r="2189" spans="1:19" x14ac:dyDescent="0.3">
      <c r="A2189" s="2" t="s">
        <v>14</v>
      </c>
      <c r="B2189" s="3" t="s">
        <v>14</v>
      </c>
      <c r="C2189" s="3" t="s">
        <v>1915</v>
      </c>
      <c r="D2189" s="3" t="s">
        <v>14</v>
      </c>
      <c r="E2189" s="3" t="s">
        <v>466</v>
      </c>
      <c r="F2189" s="4">
        <v>46290</v>
      </c>
      <c r="G2189" s="3" t="s">
        <v>17</v>
      </c>
      <c r="H2189" s="5">
        <v>-133658.67000000001</v>
      </c>
      <c r="I2189" s="3" t="s">
        <v>18</v>
      </c>
      <c r="J2189" s="3" t="s">
        <v>14</v>
      </c>
      <c r="K2189" s="3" t="s">
        <v>14</v>
      </c>
      <c r="L2189" s="3" t="s">
        <v>1211</v>
      </c>
      <c r="M2189" s="4">
        <v>46294</v>
      </c>
      <c r="N2189" s="3" t="s">
        <v>1872</v>
      </c>
      <c r="O2189" s="3" t="s">
        <v>156</v>
      </c>
      <c r="P2189" t="str">
        <f t="shared" si="34"/>
        <v>4500135796110</v>
      </c>
      <c r="Q2189" s="7" cm="1">
        <f t="array" ref="Q2189:S2189">VLOOKUP(P2189,Hoja1!C:F,{2,3,4},FALSE)</f>
        <v>46300</v>
      </c>
      <c r="R2189" t="str">
        <v>C03</v>
      </c>
      <c r="S2189" t="str">
        <v>1000000012 IGARRETA MAQUINAS S.A.</v>
      </c>
    </row>
    <row r="2190" spans="1:19" x14ac:dyDescent="0.3">
      <c r="A2190" s="2" t="s">
        <v>14</v>
      </c>
      <c r="B2190" s="3" t="s">
        <v>14</v>
      </c>
      <c r="C2190" s="3" t="s">
        <v>1915</v>
      </c>
      <c r="D2190" s="3" t="s">
        <v>14</v>
      </c>
      <c r="E2190" s="3" t="s">
        <v>466</v>
      </c>
      <c r="F2190" s="4">
        <v>46290</v>
      </c>
      <c r="G2190" s="3" t="s">
        <v>17</v>
      </c>
      <c r="H2190" s="5">
        <v>-66829.33</v>
      </c>
      <c r="I2190" s="3" t="s">
        <v>18</v>
      </c>
      <c r="J2190" s="3" t="s">
        <v>14</v>
      </c>
      <c r="K2190" s="3" t="s">
        <v>14</v>
      </c>
      <c r="L2190" s="3" t="s">
        <v>1211</v>
      </c>
      <c r="M2190" s="4">
        <v>46294</v>
      </c>
      <c r="N2190" s="3" t="s">
        <v>1872</v>
      </c>
      <c r="O2190" s="3" t="s">
        <v>132</v>
      </c>
      <c r="P2190" t="str">
        <f t="shared" si="34"/>
        <v>4500135796120</v>
      </c>
      <c r="Q2190" s="7" cm="1">
        <f t="array" ref="Q2190:S2190">VLOOKUP(P2190,Hoja1!C:F,{2,3,4},FALSE)</f>
        <v>46300</v>
      </c>
      <c r="R2190" t="str">
        <v>C03</v>
      </c>
      <c r="S2190" t="str">
        <v>1000000012 IGARRETA MAQUINAS S.A.</v>
      </c>
    </row>
    <row r="2191" spans="1:19" x14ac:dyDescent="0.3">
      <c r="A2191" s="2" t="s">
        <v>14</v>
      </c>
      <c r="B2191" s="3" t="s">
        <v>14</v>
      </c>
      <c r="C2191" s="3" t="s">
        <v>1915</v>
      </c>
      <c r="D2191" s="3" t="s">
        <v>14</v>
      </c>
      <c r="E2191" s="3" t="s">
        <v>466</v>
      </c>
      <c r="F2191" s="4">
        <v>46290</v>
      </c>
      <c r="G2191" s="3" t="s">
        <v>17</v>
      </c>
      <c r="H2191" s="5">
        <v>-61467.77</v>
      </c>
      <c r="I2191" s="3" t="s">
        <v>18</v>
      </c>
      <c r="J2191" s="3" t="s">
        <v>14</v>
      </c>
      <c r="K2191" s="3" t="s">
        <v>14</v>
      </c>
      <c r="L2191" s="3" t="s">
        <v>1211</v>
      </c>
      <c r="M2191" s="4">
        <v>46294</v>
      </c>
      <c r="N2191" s="3" t="s">
        <v>1872</v>
      </c>
      <c r="O2191" s="3" t="s">
        <v>45</v>
      </c>
      <c r="P2191" t="str">
        <f t="shared" si="34"/>
        <v>4500135796100</v>
      </c>
      <c r="Q2191" s="7" cm="1">
        <f t="array" ref="Q2191:S2191">VLOOKUP(P2191,Hoja1!C:F,{2,3,4},FALSE)</f>
        <v>46300</v>
      </c>
      <c r="R2191" t="str">
        <v>C03</v>
      </c>
      <c r="S2191" t="str">
        <v>1000000012 IGARRETA MAQUINAS S.A.</v>
      </c>
    </row>
    <row r="2192" spans="1:19" x14ac:dyDescent="0.3">
      <c r="A2192" s="2" t="s">
        <v>14</v>
      </c>
      <c r="B2192" s="3" t="s">
        <v>14</v>
      </c>
      <c r="C2192" s="3" t="s">
        <v>1915</v>
      </c>
      <c r="D2192" s="3" t="s">
        <v>14</v>
      </c>
      <c r="E2192" s="3" t="s">
        <v>466</v>
      </c>
      <c r="F2192" s="4">
        <v>46290</v>
      </c>
      <c r="G2192" s="3" t="s">
        <v>17</v>
      </c>
      <c r="H2192" s="5">
        <v>-126221.66</v>
      </c>
      <c r="I2192" s="3" t="s">
        <v>18</v>
      </c>
      <c r="J2192" s="3" t="s">
        <v>14</v>
      </c>
      <c r="K2192" s="3" t="s">
        <v>14</v>
      </c>
      <c r="L2192" s="3" t="s">
        <v>1211</v>
      </c>
      <c r="M2192" s="4">
        <v>46294</v>
      </c>
      <c r="N2192" s="3" t="s">
        <v>1872</v>
      </c>
      <c r="O2192" s="3" t="s">
        <v>22</v>
      </c>
      <c r="P2192" t="str">
        <f t="shared" si="34"/>
        <v>450013579620</v>
      </c>
      <c r="Q2192" s="7" cm="1">
        <f t="array" ref="Q2192:S2192">VLOOKUP(P2192,Hoja1!C:F,{2,3,4},FALSE)</f>
        <v>46300</v>
      </c>
      <c r="R2192" t="str">
        <v>C03</v>
      </c>
      <c r="S2192" t="str">
        <v>1000000012 IGARRETA MAQUINAS S.A.</v>
      </c>
    </row>
    <row r="2193" spans="1:19" x14ac:dyDescent="0.3">
      <c r="A2193" s="2" t="s">
        <v>14</v>
      </c>
      <c r="B2193" s="3" t="s">
        <v>14</v>
      </c>
      <c r="C2193" s="3" t="s">
        <v>1915</v>
      </c>
      <c r="D2193" s="3" t="s">
        <v>14</v>
      </c>
      <c r="E2193" s="3" t="s">
        <v>466</v>
      </c>
      <c r="F2193" s="4">
        <v>46290</v>
      </c>
      <c r="G2193" s="3" t="s">
        <v>17</v>
      </c>
      <c r="H2193" s="5">
        <v>-191701.95</v>
      </c>
      <c r="I2193" s="3" t="s">
        <v>18</v>
      </c>
      <c r="J2193" s="3" t="s">
        <v>14</v>
      </c>
      <c r="K2193" s="3" t="s">
        <v>14</v>
      </c>
      <c r="L2193" s="3" t="s">
        <v>1211</v>
      </c>
      <c r="M2193" s="4">
        <v>46294</v>
      </c>
      <c r="N2193" s="3" t="s">
        <v>1872</v>
      </c>
      <c r="O2193" s="3" t="s">
        <v>30</v>
      </c>
      <c r="P2193" t="str">
        <f t="shared" si="34"/>
        <v>450013579610</v>
      </c>
      <c r="Q2193" s="7" cm="1">
        <f t="array" ref="Q2193:S2193">VLOOKUP(P2193,Hoja1!C:F,{2,3,4},FALSE)</f>
        <v>46300</v>
      </c>
      <c r="R2193" t="str">
        <v>C03</v>
      </c>
      <c r="S2193" t="str">
        <v>1000000012 IGARRETA MAQUINAS S.A.</v>
      </c>
    </row>
    <row r="2194" spans="1:19" x14ac:dyDescent="0.3">
      <c r="A2194" s="2" t="s">
        <v>14</v>
      </c>
      <c r="B2194" s="3" t="s">
        <v>14</v>
      </c>
      <c r="C2194" s="3" t="s">
        <v>1916</v>
      </c>
      <c r="D2194" s="3" t="s">
        <v>32</v>
      </c>
      <c r="E2194" s="3" t="s">
        <v>466</v>
      </c>
      <c r="F2194" s="4">
        <v>46294</v>
      </c>
      <c r="G2194" s="3" t="s">
        <v>17</v>
      </c>
      <c r="H2194" s="5">
        <v>-25000</v>
      </c>
      <c r="I2194" s="3" t="s">
        <v>18</v>
      </c>
      <c r="J2194" s="3" t="s">
        <v>14</v>
      </c>
      <c r="K2194" s="3" t="s">
        <v>14</v>
      </c>
      <c r="L2194" s="3" t="s">
        <v>1917</v>
      </c>
      <c r="M2194" s="4">
        <v>46294</v>
      </c>
      <c r="N2194" s="3" t="s">
        <v>1918</v>
      </c>
      <c r="O2194" s="3" t="s">
        <v>30</v>
      </c>
      <c r="P2194" t="str">
        <f t="shared" si="34"/>
        <v>450013968710</v>
      </c>
      <c r="Q2194" s="7" cm="1">
        <f t="array" ref="Q2194:S2194">VLOOKUP(P2194,Hoja1!C:F,{2,3,4},FALSE)</f>
        <v>46297</v>
      </c>
      <c r="R2194" t="str">
        <v>374</v>
      </c>
      <c r="S2194" t="str">
        <v>1000011463 CASA PATRICELLI SOC. LEY 19550 CAP.</v>
      </c>
    </row>
    <row r="2195" spans="1:19" x14ac:dyDescent="0.3">
      <c r="A2195" s="2" t="s">
        <v>14</v>
      </c>
      <c r="B2195" s="3" t="s">
        <v>14</v>
      </c>
      <c r="C2195" s="3" t="s">
        <v>1916</v>
      </c>
      <c r="D2195" s="3" t="s">
        <v>32</v>
      </c>
      <c r="E2195" s="3" t="s">
        <v>466</v>
      </c>
      <c r="F2195" s="4">
        <v>46294</v>
      </c>
      <c r="G2195" s="3" t="s">
        <v>17</v>
      </c>
      <c r="H2195" s="5">
        <v>-6000</v>
      </c>
      <c r="I2195" s="3" t="s">
        <v>18</v>
      </c>
      <c r="J2195" s="3" t="s">
        <v>14</v>
      </c>
      <c r="K2195" s="3" t="s">
        <v>14</v>
      </c>
      <c r="L2195" s="3" t="s">
        <v>1917</v>
      </c>
      <c r="M2195" s="4">
        <v>46294</v>
      </c>
      <c r="N2195" s="3" t="s">
        <v>1918</v>
      </c>
      <c r="O2195" s="3" t="s">
        <v>22</v>
      </c>
      <c r="P2195" t="str">
        <f t="shared" si="34"/>
        <v>450013968720</v>
      </c>
      <c r="Q2195" s="7" cm="1">
        <f t="array" ref="Q2195:S2195">VLOOKUP(P2195,Hoja1!C:F,{2,3,4},FALSE)</f>
        <v>46297</v>
      </c>
      <c r="R2195" t="str">
        <v>374</v>
      </c>
      <c r="S2195" t="str">
        <v>1000011463 CASA PATRICELLI SOC. LEY 19550 CAP.</v>
      </c>
    </row>
    <row r="2196" spans="1:19" x14ac:dyDescent="0.3">
      <c r="A2196" s="2" t="s">
        <v>14</v>
      </c>
      <c r="B2196" s="3" t="s">
        <v>14</v>
      </c>
      <c r="C2196" s="3" t="s">
        <v>1919</v>
      </c>
      <c r="D2196" s="3" t="s">
        <v>14</v>
      </c>
      <c r="E2196" s="3" t="s">
        <v>466</v>
      </c>
      <c r="F2196" s="4">
        <v>46294</v>
      </c>
      <c r="G2196" s="3" t="s">
        <v>17</v>
      </c>
      <c r="H2196" s="5">
        <v>-327651.20000000001</v>
      </c>
      <c r="I2196" s="3" t="s">
        <v>18</v>
      </c>
      <c r="J2196" s="3" t="s">
        <v>14</v>
      </c>
      <c r="K2196" s="3" t="s">
        <v>14</v>
      </c>
      <c r="L2196" s="3" t="s">
        <v>1211</v>
      </c>
      <c r="M2196" s="4">
        <v>46294</v>
      </c>
      <c r="N2196" s="3" t="s">
        <v>1706</v>
      </c>
      <c r="O2196" s="3" t="s">
        <v>35</v>
      </c>
      <c r="P2196" t="str">
        <f t="shared" si="34"/>
        <v>450013711830</v>
      </c>
      <c r="Q2196" s="7" cm="1">
        <f t="array" ref="Q2196:S2196">VLOOKUP(P2196,Hoja1!C:F,{2,3,4},FALSE)</f>
        <v>46295</v>
      </c>
      <c r="R2196" t="str">
        <v>C03</v>
      </c>
      <c r="S2196" t="str">
        <v>1000000012 IGARRETA MAQUINAS S.A.</v>
      </c>
    </row>
    <row r="2197" spans="1:19" x14ac:dyDescent="0.3">
      <c r="A2197" s="2" t="s">
        <v>14</v>
      </c>
      <c r="B2197" s="3" t="s">
        <v>14</v>
      </c>
      <c r="C2197" s="3" t="s">
        <v>1920</v>
      </c>
      <c r="D2197" s="3" t="s">
        <v>14</v>
      </c>
      <c r="E2197" s="3" t="s">
        <v>466</v>
      </c>
      <c r="F2197" s="4">
        <v>46288</v>
      </c>
      <c r="G2197" s="3" t="s">
        <v>17</v>
      </c>
      <c r="H2197" s="5">
        <v>-417354.69</v>
      </c>
      <c r="I2197" s="3" t="s">
        <v>18</v>
      </c>
      <c r="J2197" s="3" t="s">
        <v>14</v>
      </c>
      <c r="K2197" s="3" t="s">
        <v>14</v>
      </c>
      <c r="L2197" s="3" t="s">
        <v>434</v>
      </c>
      <c r="M2197" s="4">
        <v>46294</v>
      </c>
      <c r="N2197" s="3" t="s">
        <v>1892</v>
      </c>
      <c r="O2197" s="3" t="s">
        <v>30</v>
      </c>
      <c r="P2197" t="str">
        <f t="shared" si="34"/>
        <v>450013883110</v>
      </c>
      <c r="Q2197" s="7" cm="1">
        <f t="array" ref="Q2197:S2197">VLOOKUP(P2197,Hoja1!C:F,{2,3,4},FALSE)</f>
        <v>46295</v>
      </c>
      <c r="R2197" t="str">
        <v>C03</v>
      </c>
      <c r="S2197" t="str">
        <v>1000000488 BETA S.A.</v>
      </c>
    </row>
    <row r="2198" spans="1:19" x14ac:dyDescent="0.3">
      <c r="A2198" s="2" t="s">
        <v>14</v>
      </c>
      <c r="B2198" s="3" t="s">
        <v>14</v>
      </c>
      <c r="C2198" s="3" t="s">
        <v>1920</v>
      </c>
      <c r="D2198" s="3" t="s">
        <v>14</v>
      </c>
      <c r="E2198" s="3" t="s">
        <v>466</v>
      </c>
      <c r="F2198" s="4">
        <v>46288</v>
      </c>
      <c r="G2198" s="3" t="s">
        <v>17</v>
      </c>
      <c r="H2198" s="5">
        <v>-147279</v>
      </c>
      <c r="I2198" s="3" t="s">
        <v>18</v>
      </c>
      <c r="J2198" s="3" t="s">
        <v>14</v>
      </c>
      <c r="K2198" s="3" t="s">
        <v>14</v>
      </c>
      <c r="L2198" s="3" t="s">
        <v>434</v>
      </c>
      <c r="M2198" s="4">
        <v>46294</v>
      </c>
      <c r="N2198" s="3" t="s">
        <v>1892</v>
      </c>
      <c r="O2198" s="3" t="s">
        <v>22</v>
      </c>
      <c r="P2198" t="str">
        <f t="shared" si="34"/>
        <v>450013883120</v>
      </c>
      <c r="Q2198" s="7" cm="1">
        <f t="array" ref="Q2198:S2198">VLOOKUP(P2198,Hoja1!C:F,{2,3,4},FALSE)</f>
        <v>46295</v>
      </c>
      <c r="R2198" t="str">
        <v>C03</v>
      </c>
      <c r="S2198" t="str">
        <v>1000000488 BETA S.A.</v>
      </c>
    </row>
    <row r="2199" spans="1:19" x14ac:dyDescent="0.3">
      <c r="A2199" s="2" t="s">
        <v>14</v>
      </c>
      <c r="B2199" s="3" t="s">
        <v>14</v>
      </c>
      <c r="C2199" s="3" t="s">
        <v>1920</v>
      </c>
      <c r="D2199" s="3" t="s">
        <v>14</v>
      </c>
      <c r="E2199" s="3" t="s">
        <v>466</v>
      </c>
      <c r="F2199" s="4">
        <v>46288</v>
      </c>
      <c r="G2199" s="3" t="s">
        <v>17</v>
      </c>
      <c r="H2199" s="5">
        <v>-50717.79</v>
      </c>
      <c r="I2199" s="3" t="s">
        <v>18</v>
      </c>
      <c r="J2199" s="3" t="s">
        <v>14</v>
      </c>
      <c r="K2199" s="3" t="s">
        <v>14</v>
      </c>
      <c r="L2199" s="3" t="s">
        <v>434</v>
      </c>
      <c r="M2199" s="4">
        <v>46294</v>
      </c>
      <c r="N2199" s="3" t="s">
        <v>1892</v>
      </c>
      <c r="O2199" s="3" t="s">
        <v>35</v>
      </c>
      <c r="P2199" t="str">
        <f t="shared" si="34"/>
        <v>450013883130</v>
      </c>
      <c r="Q2199" s="7" cm="1">
        <f t="array" ref="Q2199:S2199">VLOOKUP(P2199,Hoja1!C:F,{2,3,4},FALSE)</f>
        <v>46295</v>
      </c>
      <c r="R2199" t="str">
        <v>C03</v>
      </c>
      <c r="S2199" t="str">
        <v>1000000488 BETA S.A.</v>
      </c>
    </row>
    <row r="2200" spans="1:19" x14ac:dyDescent="0.3">
      <c r="A2200" s="2" t="s">
        <v>14</v>
      </c>
      <c r="B2200" s="3" t="s">
        <v>14</v>
      </c>
      <c r="C2200" s="3" t="s">
        <v>1920</v>
      </c>
      <c r="D2200" s="3" t="s">
        <v>14</v>
      </c>
      <c r="E2200" s="3" t="s">
        <v>466</v>
      </c>
      <c r="F2200" s="4">
        <v>46288</v>
      </c>
      <c r="G2200" s="3" t="s">
        <v>17</v>
      </c>
      <c r="H2200" s="5">
        <v>-158300.14000000001</v>
      </c>
      <c r="I2200" s="3" t="s">
        <v>18</v>
      </c>
      <c r="J2200" s="3" t="s">
        <v>14</v>
      </c>
      <c r="K2200" s="3" t="s">
        <v>14</v>
      </c>
      <c r="L2200" s="3" t="s">
        <v>434</v>
      </c>
      <c r="M2200" s="4">
        <v>46294</v>
      </c>
      <c r="N2200" s="3" t="s">
        <v>1892</v>
      </c>
      <c r="O2200" s="3" t="s">
        <v>138</v>
      </c>
      <c r="P2200" t="str">
        <f t="shared" si="34"/>
        <v>450013883190</v>
      </c>
      <c r="Q2200" s="7" cm="1">
        <f t="array" ref="Q2200:S2200">VLOOKUP(P2200,Hoja1!C:F,{2,3,4},FALSE)</f>
        <v>46295</v>
      </c>
      <c r="R2200" t="str">
        <v>C03</v>
      </c>
      <c r="S2200" t="str">
        <v>1000000488 BETA S.A.</v>
      </c>
    </row>
    <row r="2201" spans="1:19" x14ac:dyDescent="0.3">
      <c r="A2201" s="2" t="s">
        <v>14</v>
      </c>
      <c r="B2201" s="3" t="s">
        <v>14</v>
      </c>
      <c r="C2201" s="3" t="s">
        <v>1920</v>
      </c>
      <c r="D2201" s="3" t="s">
        <v>14</v>
      </c>
      <c r="E2201" s="3" t="s">
        <v>466</v>
      </c>
      <c r="F2201" s="4">
        <v>46288</v>
      </c>
      <c r="G2201" s="3" t="s">
        <v>17</v>
      </c>
      <c r="H2201" s="5">
        <v>-58885.38</v>
      </c>
      <c r="I2201" s="3" t="s">
        <v>18</v>
      </c>
      <c r="J2201" s="3" t="s">
        <v>14</v>
      </c>
      <c r="K2201" s="3" t="s">
        <v>14</v>
      </c>
      <c r="L2201" s="3" t="s">
        <v>434</v>
      </c>
      <c r="M2201" s="4">
        <v>46294</v>
      </c>
      <c r="N2201" s="3" t="s">
        <v>1892</v>
      </c>
      <c r="O2201" s="3" t="s">
        <v>142</v>
      </c>
      <c r="P2201" t="str">
        <f t="shared" si="34"/>
        <v>4500138831130</v>
      </c>
      <c r="Q2201" s="7" cm="1">
        <f t="array" ref="Q2201:S2201">VLOOKUP(P2201,Hoja1!C:F,{2,3,4},FALSE)</f>
        <v>46295</v>
      </c>
      <c r="R2201" t="str">
        <v>C03</v>
      </c>
      <c r="S2201" t="str">
        <v>1000000488 BETA S.A.</v>
      </c>
    </row>
    <row r="2202" spans="1:19" x14ac:dyDescent="0.3">
      <c r="A2202" s="2" t="s">
        <v>14</v>
      </c>
      <c r="B2202" s="3" t="s">
        <v>14</v>
      </c>
      <c r="C2202" s="3" t="s">
        <v>1920</v>
      </c>
      <c r="D2202" s="3" t="s">
        <v>14</v>
      </c>
      <c r="E2202" s="3" t="s">
        <v>466</v>
      </c>
      <c r="F2202" s="4">
        <v>46288</v>
      </c>
      <c r="G2202" s="3" t="s">
        <v>17</v>
      </c>
      <c r="H2202" s="5">
        <v>-1858250.2</v>
      </c>
      <c r="I2202" s="3" t="s">
        <v>18</v>
      </c>
      <c r="J2202" s="3" t="s">
        <v>14</v>
      </c>
      <c r="K2202" s="3" t="s">
        <v>14</v>
      </c>
      <c r="L2202" s="3" t="s">
        <v>434</v>
      </c>
      <c r="M2202" s="4">
        <v>46294</v>
      </c>
      <c r="N2202" s="3" t="s">
        <v>1892</v>
      </c>
      <c r="O2202" s="3" t="s">
        <v>131</v>
      </c>
      <c r="P2202" t="str">
        <f t="shared" si="34"/>
        <v>4500138831140</v>
      </c>
      <c r="Q2202" s="7" cm="1">
        <f t="array" ref="Q2202:S2202">VLOOKUP(P2202,Hoja1!C:F,{2,3,4},FALSE)</f>
        <v>46295</v>
      </c>
      <c r="R2202" t="str">
        <v>C03</v>
      </c>
      <c r="S2202" t="str">
        <v>1000000488 BETA S.A.</v>
      </c>
    </row>
    <row r="2203" spans="1:19" x14ac:dyDescent="0.3">
      <c r="A2203" s="2" t="s">
        <v>14</v>
      </c>
      <c r="B2203" s="3" t="s">
        <v>14</v>
      </c>
      <c r="C2203" s="3" t="s">
        <v>1920</v>
      </c>
      <c r="D2203" s="3" t="s">
        <v>14</v>
      </c>
      <c r="E2203" s="3" t="s">
        <v>466</v>
      </c>
      <c r="F2203" s="4">
        <v>46288</v>
      </c>
      <c r="G2203" s="3" t="s">
        <v>17</v>
      </c>
      <c r="H2203" s="5">
        <v>-1494235.9</v>
      </c>
      <c r="I2203" s="3" t="s">
        <v>18</v>
      </c>
      <c r="J2203" s="3" t="s">
        <v>14</v>
      </c>
      <c r="K2203" s="3" t="s">
        <v>14</v>
      </c>
      <c r="L2203" s="3" t="s">
        <v>434</v>
      </c>
      <c r="M2203" s="4">
        <v>46294</v>
      </c>
      <c r="N2203" s="3" t="s">
        <v>1892</v>
      </c>
      <c r="O2203" s="3" t="s">
        <v>68</v>
      </c>
      <c r="P2203" t="str">
        <f t="shared" si="34"/>
        <v>4500138831150</v>
      </c>
      <c r="Q2203" s="7" cm="1">
        <f t="array" ref="Q2203:S2203">VLOOKUP(P2203,Hoja1!C:F,{2,3,4},FALSE)</f>
        <v>46295</v>
      </c>
      <c r="R2203" t="str">
        <v>C03</v>
      </c>
      <c r="S2203" t="str">
        <v>1000000488 BETA S.A.</v>
      </c>
    </row>
    <row r="2204" spans="1:19" x14ac:dyDescent="0.3">
      <c r="A2204" s="2" t="s">
        <v>14</v>
      </c>
      <c r="B2204" s="3" t="s">
        <v>14</v>
      </c>
      <c r="C2204" s="3" t="s">
        <v>1920</v>
      </c>
      <c r="D2204" s="3" t="s">
        <v>14</v>
      </c>
      <c r="E2204" s="3" t="s">
        <v>466</v>
      </c>
      <c r="F2204" s="4">
        <v>46288</v>
      </c>
      <c r="G2204" s="3" t="s">
        <v>17</v>
      </c>
      <c r="H2204" s="5">
        <v>-43588.68</v>
      </c>
      <c r="I2204" s="3" t="s">
        <v>18</v>
      </c>
      <c r="J2204" s="3" t="s">
        <v>14</v>
      </c>
      <c r="K2204" s="3" t="s">
        <v>14</v>
      </c>
      <c r="L2204" s="3" t="s">
        <v>434</v>
      </c>
      <c r="M2204" s="4">
        <v>46294</v>
      </c>
      <c r="N2204" s="3" t="s">
        <v>1892</v>
      </c>
      <c r="O2204" s="3" t="s">
        <v>127</v>
      </c>
      <c r="P2204" t="str">
        <f t="shared" si="34"/>
        <v>4500138831190</v>
      </c>
      <c r="Q2204" s="7" cm="1">
        <f t="array" ref="Q2204:S2204">VLOOKUP(P2204,Hoja1!C:F,{2,3,4},FALSE)</f>
        <v>46295</v>
      </c>
      <c r="R2204" t="str">
        <v>C03</v>
      </c>
      <c r="S2204" t="str">
        <v>1000000488 BETA S.A.</v>
      </c>
    </row>
    <row r="2205" spans="1:19" x14ac:dyDescent="0.3">
      <c r="A2205" s="2" t="s">
        <v>14</v>
      </c>
      <c r="B2205" s="3" t="s">
        <v>14</v>
      </c>
      <c r="C2205" s="3" t="s">
        <v>1920</v>
      </c>
      <c r="D2205" s="3" t="s">
        <v>14</v>
      </c>
      <c r="E2205" s="3" t="s">
        <v>466</v>
      </c>
      <c r="F2205" s="4">
        <v>46288</v>
      </c>
      <c r="G2205" s="3" t="s">
        <v>17</v>
      </c>
      <c r="H2205" s="5">
        <v>-8569.91</v>
      </c>
      <c r="I2205" s="3" t="s">
        <v>18</v>
      </c>
      <c r="J2205" s="3" t="s">
        <v>14</v>
      </c>
      <c r="K2205" s="3" t="s">
        <v>14</v>
      </c>
      <c r="L2205" s="3" t="s">
        <v>434</v>
      </c>
      <c r="M2205" s="4">
        <v>46294</v>
      </c>
      <c r="N2205" s="3" t="s">
        <v>1892</v>
      </c>
      <c r="O2205" s="3" t="s">
        <v>161</v>
      </c>
      <c r="P2205" t="str">
        <f t="shared" si="34"/>
        <v>4500138831200</v>
      </c>
      <c r="Q2205" s="7" cm="1">
        <f t="array" ref="Q2205:S2205">VLOOKUP(P2205,Hoja1!C:F,{2,3,4},FALSE)</f>
        <v>46295</v>
      </c>
      <c r="R2205" t="str">
        <v>C03</v>
      </c>
      <c r="S2205" t="str">
        <v>1000000488 BETA S.A.</v>
      </c>
    </row>
    <row r="2206" spans="1:19" x14ac:dyDescent="0.3">
      <c r="A2206" s="2" t="s">
        <v>14</v>
      </c>
      <c r="B2206" s="3" t="s">
        <v>14</v>
      </c>
      <c r="C2206" s="3" t="s">
        <v>1921</v>
      </c>
      <c r="D2206" s="3" t="s">
        <v>14</v>
      </c>
      <c r="E2206" s="3" t="s">
        <v>466</v>
      </c>
      <c r="F2206" s="4">
        <v>46294</v>
      </c>
      <c r="G2206" s="3" t="s">
        <v>17</v>
      </c>
      <c r="H2206" s="5">
        <v>-20661.16</v>
      </c>
      <c r="I2206" s="3" t="s">
        <v>18</v>
      </c>
      <c r="J2206" s="3" t="s">
        <v>14</v>
      </c>
      <c r="K2206" s="3" t="s">
        <v>14</v>
      </c>
      <c r="L2206" s="3" t="s">
        <v>949</v>
      </c>
      <c r="M2206" s="4">
        <v>46294</v>
      </c>
      <c r="N2206" s="3" t="s">
        <v>1922</v>
      </c>
      <c r="O2206" s="3" t="s">
        <v>30</v>
      </c>
      <c r="P2206" t="str">
        <f t="shared" si="34"/>
        <v>450013208710</v>
      </c>
      <c r="Q2206" s="7" cm="1">
        <f t="array" ref="Q2206:S2206">VLOOKUP(P2206,Hoja1!C:F,{2,3,4},FALSE)</f>
        <v>46230</v>
      </c>
      <c r="R2206" t="str">
        <v>EFO</v>
      </c>
      <c r="S2206" t="str">
        <v>1000003117 SALDAÑA CARLOS ALBERTO</v>
      </c>
    </row>
    <row r="2207" spans="1:19" x14ac:dyDescent="0.3">
      <c r="A2207" s="2" t="s">
        <v>14</v>
      </c>
      <c r="B2207" s="3" t="s">
        <v>14</v>
      </c>
      <c r="C2207" s="3" t="s">
        <v>1921</v>
      </c>
      <c r="D2207" s="3" t="s">
        <v>14</v>
      </c>
      <c r="E2207" s="3" t="s">
        <v>466</v>
      </c>
      <c r="F2207" s="4">
        <v>46294</v>
      </c>
      <c r="G2207" s="3" t="s">
        <v>17</v>
      </c>
      <c r="H2207" s="5">
        <v>-991735.54</v>
      </c>
      <c r="I2207" s="3" t="s">
        <v>18</v>
      </c>
      <c r="J2207" s="3" t="s">
        <v>14</v>
      </c>
      <c r="K2207" s="3" t="s">
        <v>14</v>
      </c>
      <c r="L2207" s="3" t="s">
        <v>949</v>
      </c>
      <c r="M2207" s="4">
        <v>46294</v>
      </c>
      <c r="N2207" s="3" t="s">
        <v>1922</v>
      </c>
      <c r="O2207" s="3" t="s">
        <v>22</v>
      </c>
      <c r="P2207" t="str">
        <f t="shared" si="34"/>
        <v>450013208720</v>
      </c>
      <c r="Q2207" s="7" cm="1">
        <f t="array" ref="Q2207:S2207">VLOOKUP(P2207,Hoja1!C:F,{2,3,4},FALSE)</f>
        <v>46230</v>
      </c>
      <c r="R2207" t="str">
        <v>EFO</v>
      </c>
      <c r="S2207" t="str">
        <v>1000003117 SALDAÑA CARLOS ALBERTO</v>
      </c>
    </row>
    <row r="2208" spans="1:19" x14ac:dyDescent="0.3">
      <c r="A2208" s="2" t="s">
        <v>14</v>
      </c>
      <c r="B2208" s="3" t="s">
        <v>14</v>
      </c>
      <c r="C2208" s="3" t="s">
        <v>1923</v>
      </c>
      <c r="D2208" s="3" t="s">
        <v>14</v>
      </c>
      <c r="E2208" s="3" t="s">
        <v>466</v>
      </c>
      <c r="F2208" s="4">
        <v>46293</v>
      </c>
      <c r="G2208" s="3" t="s">
        <v>17</v>
      </c>
      <c r="H2208" s="5">
        <v>-608000</v>
      </c>
      <c r="I2208" s="3" t="s">
        <v>18</v>
      </c>
      <c r="J2208" s="3" t="s">
        <v>14</v>
      </c>
      <c r="K2208" s="3" t="s">
        <v>14</v>
      </c>
      <c r="L2208" s="3" t="s">
        <v>269</v>
      </c>
      <c r="M2208" s="4">
        <v>46294</v>
      </c>
      <c r="N2208" s="3" t="s">
        <v>1768</v>
      </c>
      <c r="O2208" s="3" t="s">
        <v>30</v>
      </c>
      <c r="P2208" t="str">
        <f t="shared" si="34"/>
        <v>450013881810</v>
      </c>
      <c r="Q2208" s="7" cm="1">
        <f t="array" ref="Q2208:S2208">VLOOKUP(P2208,Hoja1!C:F,{2,3,4},FALSE)</f>
        <v>46290</v>
      </c>
      <c r="R2208" t="str">
        <v>C03</v>
      </c>
      <c r="S2208" t="str">
        <v>1000000190 FERNANDEZ INSUA S.A.</v>
      </c>
    </row>
    <row r="2209" spans="1:19" x14ac:dyDescent="0.3">
      <c r="A2209" s="2" t="s">
        <v>14</v>
      </c>
      <c r="B2209" s="3" t="s">
        <v>14</v>
      </c>
      <c r="C2209" s="3" t="s">
        <v>1923</v>
      </c>
      <c r="D2209" s="3" t="s">
        <v>14</v>
      </c>
      <c r="E2209" s="3" t="s">
        <v>466</v>
      </c>
      <c r="F2209" s="4">
        <v>46293</v>
      </c>
      <c r="G2209" s="3" t="s">
        <v>17</v>
      </c>
      <c r="H2209" s="5">
        <v>-176320</v>
      </c>
      <c r="I2209" s="3" t="s">
        <v>18</v>
      </c>
      <c r="J2209" s="3" t="s">
        <v>14</v>
      </c>
      <c r="K2209" s="3" t="s">
        <v>14</v>
      </c>
      <c r="L2209" s="3" t="s">
        <v>269</v>
      </c>
      <c r="M2209" s="4">
        <v>46294</v>
      </c>
      <c r="N2209" s="3" t="s">
        <v>1768</v>
      </c>
      <c r="O2209" s="3" t="s">
        <v>22</v>
      </c>
      <c r="P2209" t="str">
        <f t="shared" si="34"/>
        <v>450013881820</v>
      </c>
      <c r="Q2209" s="7" cm="1">
        <f t="array" ref="Q2209:S2209">VLOOKUP(P2209,Hoja1!C:F,{2,3,4},FALSE)</f>
        <v>46290</v>
      </c>
      <c r="R2209" t="str">
        <v>C03</v>
      </c>
      <c r="S2209" t="str">
        <v>1000000190 FERNANDEZ INSUA S.A.</v>
      </c>
    </row>
    <row r="2210" spans="1:19" x14ac:dyDescent="0.3">
      <c r="A2210" s="2" t="s">
        <v>14</v>
      </c>
      <c r="B2210" s="3" t="s">
        <v>14</v>
      </c>
      <c r="C2210" s="3" t="s">
        <v>1924</v>
      </c>
      <c r="D2210" s="3" t="s">
        <v>14</v>
      </c>
      <c r="E2210" s="3" t="s">
        <v>466</v>
      </c>
      <c r="F2210" s="4">
        <v>46294</v>
      </c>
      <c r="G2210" s="3" t="s">
        <v>17</v>
      </c>
      <c r="H2210" s="5">
        <v>-54720</v>
      </c>
      <c r="I2210" s="3" t="s">
        <v>18</v>
      </c>
      <c r="J2210" s="3" t="s">
        <v>14</v>
      </c>
      <c r="K2210" s="3" t="s">
        <v>14</v>
      </c>
      <c r="L2210" s="3" t="s">
        <v>269</v>
      </c>
      <c r="M2210" s="4">
        <v>46294</v>
      </c>
      <c r="N2210" s="3" t="s">
        <v>459</v>
      </c>
      <c r="O2210" s="3" t="s">
        <v>173</v>
      </c>
      <c r="P2210" t="str">
        <f t="shared" si="34"/>
        <v>4500137125290</v>
      </c>
      <c r="Q2210" s="7" cm="1">
        <f t="array" ref="Q2210:S2210">VLOOKUP(P2210,Hoja1!C:F,{2,3,4},FALSE)</f>
        <v>46295</v>
      </c>
      <c r="R2210" t="str">
        <v>C03</v>
      </c>
      <c r="S2210" t="str">
        <v>1000000190 FERNANDEZ INSUA S.A.</v>
      </c>
    </row>
    <row r="2211" spans="1:19" x14ac:dyDescent="0.3">
      <c r="A2211" s="2" t="s">
        <v>14</v>
      </c>
      <c r="B2211" s="3" t="s">
        <v>14</v>
      </c>
      <c r="C2211" s="3" t="s">
        <v>1924</v>
      </c>
      <c r="D2211" s="3" t="s">
        <v>14</v>
      </c>
      <c r="E2211" s="3" t="s">
        <v>466</v>
      </c>
      <c r="F2211" s="4">
        <v>46294</v>
      </c>
      <c r="G2211" s="3" t="s">
        <v>17</v>
      </c>
      <c r="H2211" s="5">
        <v>-304000</v>
      </c>
      <c r="I2211" s="3" t="s">
        <v>18</v>
      </c>
      <c r="J2211" s="3" t="s">
        <v>14</v>
      </c>
      <c r="K2211" s="3" t="s">
        <v>14</v>
      </c>
      <c r="L2211" s="3" t="s">
        <v>269</v>
      </c>
      <c r="M2211" s="4">
        <v>46294</v>
      </c>
      <c r="N2211" s="3" t="s">
        <v>459</v>
      </c>
      <c r="O2211" s="3" t="s">
        <v>133</v>
      </c>
      <c r="P2211" t="str">
        <f t="shared" si="34"/>
        <v>4500137125280</v>
      </c>
      <c r="Q2211" s="7" cm="1">
        <f t="array" ref="Q2211:S2211">VLOOKUP(P2211,Hoja1!C:F,{2,3,4},FALSE)</f>
        <v>46295</v>
      </c>
      <c r="R2211" t="str">
        <v>C03</v>
      </c>
      <c r="S2211" t="str">
        <v>1000000190 FERNANDEZ INSUA S.A.</v>
      </c>
    </row>
    <row r="2212" spans="1:19" x14ac:dyDescent="0.3">
      <c r="A2212" s="2" t="s">
        <v>14</v>
      </c>
      <c r="B2212" s="3" t="s">
        <v>14</v>
      </c>
      <c r="C2212" s="3" t="s">
        <v>1924</v>
      </c>
      <c r="D2212" s="3" t="s">
        <v>14</v>
      </c>
      <c r="E2212" s="3" t="s">
        <v>466</v>
      </c>
      <c r="F2212" s="4">
        <v>46294</v>
      </c>
      <c r="G2212" s="3" t="s">
        <v>17</v>
      </c>
      <c r="H2212" s="5">
        <v>-21280</v>
      </c>
      <c r="I2212" s="3" t="s">
        <v>18</v>
      </c>
      <c r="J2212" s="3" t="s">
        <v>14</v>
      </c>
      <c r="K2212" s="3" t="s">
        <v>14</v>
      </c>
      <c r="L2212" s="3" t="s">
        <v>269</v>
      </c>
      <c r="M2212" s="4">
        <v>46294</v>
      </c>
      <c r="N2212" s="3" t="s">
        <v>459</v>
      </c>
      <c r="O2212" s="3" t="s">
        <v>23</v>
      </c>
      <c r="P2212" t="str">
        <f t="shared" si="34"/>
        <v>450013712540</v>
      </c>
      <c r="Q2212" s="7" cm="1">
        <f t="array" ref="Q2212:S2212">VLOOKUP(P2212,Hoja1!C:F,{2,3,4},FALSE)</f>
        <v>46295</v>
      </c>
      <c r="R2212" t="str">
        <v>C03</v>
      </c>
      <c r="S2212" t="str">
        <v>1000000190 FERNANDEZ INSUA S.A.</v>
      </c>
    </row>
    <row r="2213" spans="1:19" x14ac:dyDescent="0.3">
      <c r="A2213" s="2" t="s">
        <v>14</v>
      </c>
      <c r="B2213" s="3" t="s">
        <v>14</v>
      </c>
      <c r="C2213" s="3" t="s">
        <v>1924</v>
      </c>
      <c r="D2213" s="3" t="s">
        <v>14</v>
      </c>
      <c r="E2213" s="3" t="s">
        <v>466</v>
      </c>
      <c r="F2213" s="4">
        <v>46294</v>
      </c>
      <c r="G2213" s="3" t="s">
        <v>17</v>
      </c>
      <c r="H2213" s="5">
        <v>-144400</v>
      </c>
      <c r="I2213" s="3" t="s">
        <v>18</v>
      </c>
      <c r="J2213" s="3" t="s">
        <v>14</v>
      </c>
      <c r="K2213" s="3" t="s">
        <v>14</v>
      </c>
      <c r="L2213" s="3" t="s">
        <v>269</v>
      </c>
      <c r="M2213" s="4">
        <v>46294</v>
      </c>
      <c r="N2213" s="3" t="s">
        <v>459</v>
      </c>
      <c r="O2213" s="3" t="s">
        <v>22</v>
      </c>
      <c r="P2213" t="str">
        <f t="shared" si="34"/>
        <v>450013712520</v>
      </c>
      <c r="Q2213" s="7" cm="1">
        <f t="array" ref="Q2213:S2213">VLOOKUP(P2213,Hoja1!C:F,{2,3,4},FALSE)</f>
        <v>46295</v>
      </c>
      <c r="R2213" t="str">
        <v>C03</v>
      </c>
      <c r="S2213" t="str">
        <v>1000000190 FERNANDEZ INSUA S.A.</v>
      </c>
    </row>
    <row r="2214" spans="1:19" x14ac:dyDescent="0.3">
      <c r="A2214" s="2" t="s">
        <v>14</v>
      </c>
      <c r="B2214" s="3" t="s">
        <v>14</v>
      </c>
      <c r="C2214" s="3" t="s">
        <v>1925</v>
      </c>
      <c r="D2214" s="3" t="s">
        <v>14</v>
      </c>
      <c r="E2214" s="3" t="s">
        <v>466</v>
      </c>
      <c r="F2214" s="4">
        <v>46293</v>
      </c>
      <c r="G2214" s="3" t="s">
        <v>17</v>
      </c>
      <c r="H2214" s="5">
        <v>-273600</v>
      </c>
      <c r="I2214" s="3" t="s">
        <v>18</v>
      </c>
      <c r="J2214" s="3" t="s">
        <v>14</v>
      </c>
      <c r="K2214" s="3" t="s">
        <v>14</v>
      </c>
      <c r="L2214" s="3" t="s">
        <v>269</v>
      </c>
      <c r="M2214" s="4">
        <v>46294</v>
      </c>
      <c r="N2214" s="3" t="s">
        <v>1554</v>
      </c>
      <c r="O2214" s="3" t="s">
        <v>143</v>
      </c>
      <c r="P2214" t="str">
        <f t="shared" si="34"/>
        <v>4500138075240</v>
      </c>
      <c r="Q2214" s="7" cm="1">
        <f t="array" ref="Q2214:S2214">VLOOKUP(P2214,Hoja1!C:F,{2,3,4},FALSE)</f>
        <v>46290</v>
      </c>
      <c r="R2214" t="str">
        <v>C03</v>
      </c>
      <c r="S2214" t="str">
        <v>1000000190 FERNANDEZ INSUA S.A.</v>
      </c>
    </row>
    <row r="2215" spans="1:19" x14ac:dyDescent="0.3">
      <c r="A2215" s="2" t="s">
        <v>14</v>
      </c>
      <c r="B2215" s="3" t="s">
        <v>14</v>
      </c>
      <c r="C2215" s="3" t="s">
        <v>1925</v>
      </c>
      <c r="D2215" s="3" t="s">
        <v>14</v>
      </c>
      <c r="E2215" s="3" t="s">
        <v>466</v>
      </c>
      <c r="F2215" s="4">
        <v>46293</v>
      </c>
      <c r="G2215" s="3" t="s">
        <v>17</v>
      </c>
      <c r="H2215" s="5">
        <v>-281200</v>
      </c>
      <c r="I2215" s="3" t="s">
        <v>18</v>
      </c>
      <c r="J2215" s="3" t="s">
        <v>14</v>
      </c>
      <c r="K2215" s="3" t="s">
        <v>14</v>
      </c>
      <c r="L2215" s="3" t="s">
        <v>269</v>
      </c>
      <c r="M2215" s="4">
        <v>46294</v>
      </c>
      <c r="N2215" s="3" t="s">
        <v>1554</v>
      </c>
      <c r="O2215" s="3" t="s">
        <v>137</v>
      </c>
      <c r="P2215" t="str">
        <f t="shared" si="34"/>
        <v>4500138075230</v>
      </c>
      <c r="Q2215" s="7" cm="1">
        <f t="array" ref="Q2215:S2215">VLOOKUP(P2215,Hoja1!C:F,{2,3,4},FALSE)</f>
        <v>46290</v>
      </c>
      <c r="R2215" t="str">
        <v>C03</v>
      </c>
      <c r="S2215" t="str">
        <v>1000000190 FERNANDEZ INSUA S.A.</v>
      </c>
    </row>
    <row r="2216" spans="1:19" x14ac:dyDescent="0.3">
      <c r="A2216" s="2" t="s">
        <v>14</v>
      </c>
      <c r="B2216" s="3" t="s">
        <v>14</v>
      </c>
      <c r="C2216" s="3" t="s">
        <v>1926</v>
      </c>
      <c r="D2216" s="3" t="s">
        <v>14</v>
      </c>
      <c r="E2216" s="3" t="s">
        <v>466</v>
      </c>
      <c r="F2216" s="4">
        <v>46293</v>
      </c>
      <c r="G2216" s="3" t="s">
        <v>17</v>
      </c>
      <c r="H2216" s="5">
        <v>-551695.35</v>
      </c>
      <c r="I2216" s="3" t="s">
        <v>18</v>
      </c>
      <c r="J2216" s="3" t="s">
        <v>14</v>
      </c>
      <c r="K2216" s="3" t="s">
        <v>14</v>
      </c>
      <c r="L2216" s="3" t="s">
        <v>73</v>
      </c>
      <c r="M2216" s="4">
        <v>46293</v>
      </c>
      <c r="N2216" s="3" t="s">
        <v>402</v>
      </c>
      <c r="O2216" s="3" t="s">
        <v>30</v>
      </c>
      <c r="P2216" t="str">
        <f t="shared" si="34"/>
        <v>450013790610</v>
      </c>
      <c r="Q2216" s="7" cm="1">
        <f t="array" ref="Q2216:S2216">VLOOKUP(P2216,Hoja1!C:F,{2,3,4},FALSE)</f>
        <v>46295</v>
      </c>
      <c r="R2216" t="str">
        <v>C21</v>
      </c>
      <c r="S2216" t="str">
        <v>1000000808 GLOBAL OIL S.R.L.</v>
      </c>
    </row>
    <row r="2217" spans="1:19" x14ac:dyDescent="0.3">
      <c r="A2217" s="2" t="s">
        <v>14</v>
      </c>
      <c r="B2217" s="3" t="s">
        <v>14</v>
      </c>
      <c r="C2217" s="3" t="s">
        <v>1926</v>
      </c>
      <c r="D2217" s="3" t="s">
        <v>14</v>
      </c>
      <c r="E2217" s="3" t="s">
        <v>466</v>
      </c>
      <c r="F2217" s="4">
        <v>46293</v>
      </c>
      <c r="G2217" s="3" t="s">
        <v>17</v>
      </c>
      <c r="H2217" s="5">
        <v>-116109.93</v>
      </c>
      <c r="I2217" s="3" t="s">
        <v>18</v>
      </c>
      <c r="J2217" s="3" t="s">
        <v>14</v>
      </c>
      <c r="K2217" s="3" t="s">
        <v>14</v>
      </c>
      <c r="L2217" s="3" t="s">
        <v>73</v>
      </c>
      <c r="M2217" s="4">
        <v>46293</v>
      </c>
      <c r="N2217" s="3" t="s">
        <v>402</v>
      </c>
      <c r="O2217" s="3" t="s">
        <v>30</v>
      </c>
      <c r="P2217" t="str">
        <f t="shared" si="34"/>
        <v>450013790610</v>
      </c>
      <c r="Q2217" s="7" cm="1">
        <f t="array" ref="Q2217:S2217">VLOOKUP(P2217,Hoja1!C:F,{2,3,4},FALSE)</f>
        <v>46295</v>
      </c>
      <c r="R2217" t="str">
        <v>C21</v>
      </c>
      <c r="S2217" t="str">
        <v>1000000808 GLOBAL OIL S.R.L.</v>
      </c>
    </row>
    <row r="2218" spans="1:19" x14ac:dyDescent="0.3">
      <c r="A2218" s="2" t="s">
        <v>14</v>
      </c>
      <c r="B2218" s="3" t="s">
        <v>14</v>
      </c>
      <c r="C2218" s="3" t="s">
        <v>1927</v>
      </c>
      <c r="D2218" s="3" t="s">
        <v>14</v>
      </c>
      <c r="E2218" s="3" t="s">
        <v>466</v>
      </c>
      <c r="F2218" s="4">
        <v>46293</v>
      </c>
      <c r="G2218" s="3" t="s">
        <v>17</v>
      </c>
      <c r="H2218" s="5">
        <v>-30400</v>
      </c>
      <c r="I2218" s="3" t="s">
        <v>18</v>
      </c>
      <c r="J2218" s="3" t="s">
        <v>14</v>
      </c>
      <c r="K2218" s="3" t="s">
        <v>14</v>
      </c>
      <c r="L2218" s="3" t="s">
        <v>269</v>
      </c>
      <c r="M2218" s="4">
        <v>46294</v>
      </c>
      <c r="N2218" s="3" t="s">
        <v>1928</v>
      </c>
      <c r="O2218" s="3" t="s">
        <v>30</v>
      </c>
      <c r="P2218" t="str">
        <f t="shared" si="34"/>
        <v>450013928810</v>
      </c>
      <c r="Q2218" s="7" cm="1">
        <f t="array" ref="Q2218:S2218">VLOOKUP(P2218,Hoja1!C:F,{2,3,4},FALSE)</f>
        <v>46295</v>
      </c>
      <c r="R2218" t="str">
        <v>C03</v>
      </c>
      <c r="S2218" t="str">
        <v>1000000190 FERNANDEZ INSUA S.A.</v>
      </c>
    </row>
    <row r="2219" spans="1:19" x14ac:dyDescent="0.3">
      <c r="A2219" s="2" t="s">
        <v>14</v>
      </c>
      <c r="B2219" s="3" t="s">
        <v>14</v>
      </c>
      <c r="C2219" s="3" t="s">
        <v>1927</v>
      </c>
      <c r="D2219" s="3" t="s">
        <v>14</v>
      </c>
      <c r="E2219" s="3" t="s">
        <v>466</v>
      </c>
      <c r="F2219" s="4">
        <v>46293</v>
      </c>
      <c r="G2219" s="3" t="s">
        <v>17</v>
      </c>
      <c r="H2219" s="5">
        <v>-311600</v>
      </c>
      <c r="I2219" s="3" t="s">
        <v>18</v>
      </c>
      <c r="J2219" s="3" t="s">
        <v>14</v>
      </c>
      <c r="K2219" s="3" t="s">
        <v>14</v>
      </c>
      <c r="L2219" s="3" t="s">
        <v>269</v>
      </c>
      <c r="M2219" s="4">
        <v>46294</v>
      </c>
      <c r="N2219" s="3" t="s">
        <v>1928</v>
      </c>
      <c r="O2219" s="3" t="s">
        <v>22</v>
      </c>
      <c r="P2219" t="str">
        <f t="shared" si="34"/>
        <v>450013928820</v>
      </c>
      <c r="Q2219" s="7" cm="1">
        <f t="array" ref="Q2219:S2219">VLOOKUP(P2219,Hoja1!C:F,{2,3,4},FALSE)</f>
        <v>46295</v>
      </c>
      <c r="R2219" t="str">
        <v>C03</v>
      </c>
      <c r="S2219" t="str">
        <v>1000000190 FERNANDEZ INSUA S.A.</v>
      </c>
    </row>
    <row r="2220" spans="1:19" x14ac:dyDescent="0.3">
      <c r="A2220" s="2" t="s">
        <v>14</v>
      </c>
      <c r="B2220" s="3" t="s">
        <v>14</v>
      </c>
      <c r="C2220" s="3" t="s">
        <v>1929</v>
      </c>
      <c r="D2220" s="3" t="s">
        <v>14</v>
      </c>
      <c r="E2220" s="3" t="s">
        <v>466</v>
      </c>
      <c r="F2220" s="4">
        <v>46294</v>
      </c>
      <c r="G2220" s="3" t="s">
        <v>17</v>
      </c>
      <c r="H2220" s="5">
        <v>-623899.19999999995</v>
      </c>
      <c r="I2220" s="3" t="s">
        <v>18</v>
      </c>
      <c r="J2220" s="3" t="s">
        <v>14</v>
      </c>
      <c r="K2220" s="3" t="s">
        <v>14</v>
      </c>
      <c r="L2220" s="3" t="s">
        <v>117</v>
      </c>
      <c r="M2220" s="4">
        <v>46294</v>
      </c>
      <c r="N2220" s="3" t="s">
        <v>1930</v>
      </c>
      <c r="O2220" s="3" t="s">
        <v>30</v>
      </c>
      <c r="P2220" t="str">
        <f t="shared" si="34"/>
        <v>450013906110</v>
      </c>
      <c r="Q2220" s="7" cm="1">
        <f t="array" ref="Q2220:S2220">VLOOKUP(P2220,Hoja1!C:F,{2,3,4},FALSE)</f>
        <v>46289</v>
      </c>
      <c r="R2220" t="str">
        <v>C03</v>
      </c>
      <c r="S2220" t="str">
        <v>1000001129 AGRONORTE S.R.L.</v>
      </c>
    </row>
    <row r="2221" spans="1:19" x14ac:dyDescent="0.3">
      <c r="A2221" s="2" t="s">
        <v>14</v>
      </c>
      <c r="B2221" s="3" t="s">
        <v>14</v>
      </c>
      <c r="C2221" s="3" t="s">
        <v>1931</v>
      </c>
      <c r="D2221" s="3" t="s">
        <v>14</v>
      </c>
      <c r="E2221" s="3" t="s">
        <v>466</v>
      </c>
      <c r="F2221" s="4">
        <v>46293</v>
      </c>
      <c r="G2221" s="3" t="s">
        <v>17</v>
      </c>
      <c r="H2221" s="5">
        <v>-2149158.4</v>
      </c>
      <c r="I2221" s="3" t="s">
        <v>18</v>
      </c>
      <c r="J2221" s="3" t="s">
        <v>14</v>
      </c>
      <c r="K2221" s="3" t="s">
        <v>14</v>
      </c>
      <c r="L2221" s="3" t="s">
        <v>1211</v>
      </c>
      <c r="M2221" s="4">
        <v>46294</v>
      </c>
      <c r="N2221" s="3" t="s">
        <v>1932</v>
      </c>
      <c r="O2221" s="3" t="s">
        <v>30</v>
      </c>
      <c r="P2221" t="str">
        <f t="shared" si="34"/>
        <v>450013915210</v>
      </c>
      <c r="Q2221" s="7" cm="1">
        <f t="array" ref="Q2221:S2221">VLOOKUP(P2221,Hoja1!C:F,{2,3,4},FALSE)</f>
        <v>46310</v>
      </c>
      <c r="R2221" t="str">
        <v>C29</v>
      </c>
      <c r="S2221" t="str">
        <v>1000000012 IGARRETA MAQUINAS S.A.</v>
      </c>
    </row>
    <row r="2222" spans="1:19" x14ac:dyDescent="0.3">
      <c r="A2222" s="2" t="s">
        <v>14</v>
      </c>
      <c r="B2222" s="3" t="s">
        <v>14</v>
      </c>
      <c r="C2222" s="3" t="s">
        <v>1933</v>
      </c>
      <c r="D2222" s="3" t="s">
        <v>14</v>
      </c>
      <c r="E2222" s="3" t="s">
        <v>466</v>
      </c>
      <c r="F2222" s="4">
        <v>46294</v>
      </c>
      <c r="G2222" s="3" t="s">
        <v>17</v>
      </c>
      <c r="H2222" s="5">
        <v>-344888</v>
      </c>
      <c r="I2222" s="3" t="s">
        <v>18</v>
      </c>
      <c r="J2222" s="3" t="s">
        <v>14</v>
      </c>
      <c r="K2222" s="3" t="s">
        <v>14</v>
      </c>
      <c r="L2222" s="3" t="s">
        <v>117</v>
      </c>
      <c r="M2222" s="4">
        <v>46294</v>
      </c>
      <c r="N2222" s="3" t="s">
        <v>1934</v>
      </c>
      <c r="O2222" s="3" t="s">
        <v>30</v>
      </c>
      <c r="P2222" t="str">
        <f t="shared" si="34"/>
        <v>450013885010</v>
      </c>
      <c r="Q2222" s="7" cm="1">
        <f t="array" ref="Q2222:S2222">VLOOKUP(P2222,Hoja1!C:F,{2,3,4},FALSE)</f>
        <v>46288</v>
      </c>
      <c r="R2222" t="str">
        <v>C03</v>
      </c>
      <c r="S2222" t="str">
        <v>1000001129 AGRONORTE S.R.L.</v>
      </c>
    </row>
    <row r="2223" spans="1:19" x14ac:dyDescent="0.3">
      <c r="A2223" s="2" t="s">
        <v>14</v>
      </c>
      <c r="B2223" s="3" t="s">
        <v>14</v>
      </c>
      <c r="C2223" s="3" t="s">
        <v>1933</v>
      </c>
      <c r="D2223" s="3" t="s">
        <v>14</v>
      </c>
      <c r="E2223" s="3" t="s">
        <v>466</v>
      </c>
      <c r="F2223" s="4">
        <v>46294</v>
      </c>
      <c r="G2223" s="3" t="s">
        <v>17</v>
      </c>
      <c r="H2223" s="5">
        <v>-112328</v>
      </c>
      <c r="I2223" s="3" t="s">
        <v>18</v>
      </c>
      <c r="J2223" s="3" t="s">
        <v>14</v>
      </c>
      <c r="K2223" s="3" t="s">
        <v>14</v>
      </c>
      <c r="L2223" s="3" t="s">
        <v>117</v>
      </c>
      <c r="M2223" s="4">
        <v>46294</v>
      </c>
      <c r="N2223" s="3" t="s">
        <v>1934</v>
      </c>
      <c r="O2223" s="3" t="s">
        <v>22</v>
      </c>
      <c r="P2223" t="str">
        <f t="shared" si="34"/>
        <v>450013885020</v>
      </c>
      <c r="Q2223" s="7" cm="1">
        <f t="array" ref="Q2223:S2223">VLOOKUP(P2223,Hoja1!C:F,{2,3,4},FALSE)</f>
        <v>46288</v>
      </c>
      <c r="R2223" t="str">
        <v>C03</v>
      </c>
      <c r="S2223" t="str">
        <v>1000001129 AGRONORTE S.R.L.</v>
      </c>
    </row>
    <row r="2224" spans="1:19" x14ac:dyDescent="0.3">
      <c r="A2224" s="2" t="s">
        <v>14</v>
      </c>
      <c r="B2224" s="3" t="s">
        <v>14</v>
      </c>
      <c r="C2224" s="3" t="s">
        <v>1935</v>
      </c>
      <c r="D2224" s="3" t="s">
        <v>32</v>
      </c>
      <c r="E2224" s="3" t="s">
        <v>466</v>
      </c>
      <c r="F2224" s="4">
        <v>46294</v>
      </c>
      <c r="G2224" s="3" t="s">
        <v>17</v>
      </c>
      <c r="H2224" s="5">
        <v>-112850</v>
      </c>
      <c r="I2224" s="3" t="s">
        <v>18</v>
      </c>
      <c r="J2224" s="3" t="s">
        <v>14</v>
      </c>
      <c r="K2224" s="3" t="s">
        <v>14</v>
      </c>
      <c r="L2224" s="3" t="s">
        <v>1441</v>
      </c>
      <c r="M2224" s="4">
        <v>46294</v>
      </c>
      <c r="N2224" s="3" t="s">
        <v>1851</v>
      </c>
      <c r="O2224" s="3" t="s">
        <v>22</v>
      </c>
      <c r="P2224" t="str">
        <f t="shared" si="34"/>
        <v>450013959520</v>
      </c>
      <c r="Q2224" s="7" cm="1">
        <f t="array" ref="Q2224:S2224">VLOOKUP(P2224,Hoja1!C:F,{2,3,4},FALSE)</f>
        <v>46296</v>
      </c>
      <c r="R2224" t="str">
        <v>374</v>
      </c>
      <c r="S2224" t="str">
        <v>1000012812 FLORES JUAN MANUEL</v>
      </c>
    </row>
    <row r="2225" spans="1:19" x14ac:dyDescent="0.3">
      <c r="A2225" s="2" t="s">
        <v>14</v>
      </c>
      <c r="B2225" s="3" t="s">
        <v>14</v>
      </c>
      <c r="C2225" s="3" t="s">
        <v>1936</v>
      </c>
      <c r="D2225" s="3" t="s">
        <v>14</v>
      </c>
      <c r="E2225" s="3" t="s">
        <v>466</v>
      </c>
      <c r="F2225" s="4">
        <v>46294</v>
      </c>
      <c r="G2225" s="3" t="s">
        <v>17</v>
      </c>
      <c r="H2225" s="5">
        <v>-106557</v>
      </c>
      <c r="I2225" s="3" t="s">
        <v>18</v>
      </c>
      <c r="J2225" s="3" t="s">
        <v>14</v>
      </c>
      <c r="K2225" s="3" t="s">
        <v>14</v>
      </c>
      <c r="L2225" s="3" t="s">
        <v>844</v>
      </c>
      <c r="M2225" s="4">
        <v>46294</v>
      </c>
      <c r="N2225" s="3" t="s">
        <v>1937</v>
      </c>
      <c r="O2225" s="3" t="s">
        <v>30</v>
      </c>
      <c r="P2225" t="str">
        <f t="shared" si="34"/>
        <v>450013974410</v>
      </c>
      <c r="Q2225" s="7" cm="1">
        <f t="array" ref="Q2225:S2225">VLOOKUP(P2225,Hoja1!C:F,{2,3,4},FALSE)</f>
        <v>46296</v>
      </c>
      <c r="R2225" t="str">
        <v>EFO</v>
      </c>
      <c r="S2225" t="str">
        <v>1000006585 SALDAÑA LEANDRO EZEQUIEL</v>
      </c>
    </row>
    <row r="2226" spans="1:19" x14ac:dyDescent="0.3">
      <c r="A2226" s="2" t="s">
        <v>14</v>
      </c>
      <c r="B2226" s="3" t="s">
        <v>14</v>
      </c>
      <c r="C2226" s="3" t="s">
        <v>1938</v>
      </c>
      <c r="D2226" s="3" t="s">
        <v>14</v>
      </c>
      <c r="E2226" s="3" t="s">
        <v>466</v>
      </c>
      <c r="F2226" s="4">
        <v>46294</v>
      </c>
      <c r="G2226" s="3" t="s">
        <v>17</v>
      </c>
      <c r="H2226" s="5">
        <v>-41496</v>
      </c>
      <c r="I2226" s="3" t="s">
        <v>18</v>
      </c>
      <c r="J2226" s="3" t="s">
        <v>14</v>
      </c>
      <c r="K2226" s="3" t="s">
        <v>14</v>
      </c>
      <c r="L2226" s="3" t="s">
        <v>117</v>
      </c>
      <c r="M2226" s="4">
        <v>46294</v>
      </c>
      <c r="N2226" s="3" t="s">
        <v>1939</v>
      </c>
      <c r="O2226" s="3" t="s">
        <v>144</v>
      </c>
      <c r="P2226" t="str">
        <f t="shared" si="34"/>
        <v>450013696450</v>
      </c>
      <c r="Q2226" s="7" cm="1">
        <f t="array" ref="Q2226:S2226">VLOOKUP(P2226,Hoja1!C:F,{2,3,4},FALSE)</f>
        <v>46295</v>
      </c>
      <c r="R2226" t="str">
        <v>C03</v>
      </c>
      <c r="S2226" t="str">
        <v>1000001129 AGRONORTE S.R.L.</v>
      </c>
    </row>
    <row r="2227" spans="1:19" x14ac:dyDescent="0.3">
      <c r="A2227" s="2" t="s">
        <v>14</v>
      </c>
      <c r="B2227" s="3" t="s">
        <v>14</v>
      </c>
      <c r="C2227" s="3" t="s">
        <v>1938</v>
      </c>
      <c r="D2227" s="3" t="s">
        <v>14</v>
      </c>
      <c r="E2227" s="3" t="s">
        <v>466</v>
      </c>
      <c r="F2227" s="4">
        <v>46294</v>
      </c>
      <c r="G2227" s="3" t="s">
        <v>17</v>
      </c>
      <c r="H2227" s="5">
        <v>-44718.400000000001</v>
      </c>
      <c r="I2227" s="3" t="s">
        <v>18</v>
      </c>
      <c r="J2227" s="3" t="s">
        <v>14</v>
      </c>
      <c r="K2227" s="3" t="s">
        <v>14</v>
      </c>
      <c r="L2227" s="3" t="s">
        <v>117</v>
      </c>
      <c r="M2227" s="4">
        <v>46294</v>
      </c>
      <c r="N2227" s="3" t="s">
        <v>1939</v>
      </c>
      <c r="O2227" s="3" t="s">
        <v>141</v>
      </c>
      <c r="P2227" t="str">
        <f t="shared" si="34"/>
        <v>450013696460</v>
      </c>
      <c r="Q2227" s="7" cm="1">
        <f t="array" ref="Q2227:S2227">VLOOKUP(P2227,Hoja1!C:F,{2,3,4},FALSE)</f>
        <v>46295</v>
      </c>
      <c r="R2227" t="str">
        <v>C03</v>
      </c>
      <c r="S2227" t="str">
        <v>1000001129 AGRONORTE S.R.L.</v>
      </c>
    </row>
    <row r="2228" spans="1:19" x14ac:dyDescent="0.3">
      <c r="A2228" s="2" t="s">
        <v>14</v>
      </c>
      <c r="B2228" s="3" t="s">
        <v>14</v>
      </c>
      <c r="C2228" s="3" t="s">
        <v>1940</v>
      </c>
      <c r="D2228" s="3" t="s">
        <v>14</v>
      </c>
      <c r="E2228" s="3" t="s">
        <v>466</v>
      </c>
      <c r="F2228" s="4">
        <v>46294</v>
      </c>
      <c r="G2228" s="3" t="s">
        <v>17</v>
      </c>
      <c r="H2228" s="5">
        <v>-37787.199999999997</v>
      </c>
      <c r="I2228" s="3" t="s">
        <v>18</v>
      </c>
      <c r="J2228" s="3" t="s">
        <v>14</v>
      </c>
      <c r="K2228" s="3" t="s">
        <v>14</v>
      </c>
      <c r="L2228" s="3" t="s">
        <v>399</v>
      </c>
      <c r="M2228" s="4">
        <v>46294</v>
      </c>
      <c r="N2228" s="3" t="s">
        <v>1941</v>
      </c>
      <c r="O2228" s="3" t="s">
        <v>22</v>
      </c>
      <c r="P2228" t="str">
        <f t="shared" si="34"/>
        <v>450013942620</v>
      </c>
      <c r="Q2228" s="7" cm="1">
        <f t="array" ref="Q2228:S2228">VLOOKUP(P2228,Hoja1!C:F,{2,3,4},FALSE)</f>
        <v>46320</v>
      </c>
      <c r="R2228" t="str">
        <v>C03</v>
      </c>
      <c r="S2228" t="str">
        <v>1000000561 ESCANDINAVIA DEL PLATA SA</v>
      </c>
    </row>
    <row r="2229" spans="1:19" x14ac:dyDescent="0.3">
      <c r="A2229" s="2" t="s">
        <v>14</v>
      </c>
      <c r="B2229" s="3" t="s">
        <v>14</v>
      </c>
      <c r="C2229" s="3" t="s">
        <v>1942</v>
      </c>
      <c r="D2229" s="3" t="s">
        <v>14</v>
      </c>
      <c r="E2229" s="3" t="s">
        <v>466</v>
      </c>
      <c r="F2229" s="4">
        <v>46294</v>
      </c>
      <c r="G2229" s="3" t="s">
        <v>17</v>
      </c>
      <c r="H2229" s="5">
        <v>-533174.72</v>
      </c>
      <c r="I2229" s="3" t="s">
        <v>18</v>
      </c>
      <c r="J2229" s="3" t="s">
        <v>14</v>
      </c>
      <c r="K2229" s="3" t="s">
        <v>14</v>
      </c>
      <c r="L2229" s="3" t="s">
        <v>442</v>
      </c>
      <c r="M2229" s="4">
        <v>46294</v>
      </c>
      <c r="N2229" s="3" t="s">
        <v>443</v>
      </c>
      <c r="O2229" s="3" t="s">
        <v>30</v>
      </c>
      <c r="P2229" t="str">
        <f t="shared" si="34"/>
        <v>450013827010</v>
      </c>
      <c r="Q2229" s="7" cm="1">
        <f t="array" ref="Q2229:S2229">VLOOKUP(P2229,Hoja1!C:F,{2,3,4},FALSE)</f>
        <v>46301</v>
      </c>
      <c r="R2229" t="str">
        <v>C29</v>
      </c>
      <c r="S2229" t="str">
        <v>1000010923 PROVIARG SRL</v>
      </c>
    </row>
    <row r="2230" spans="1:19" x14ac:dyDescent="0.3">
      <c r="A2230" s="2" t="s">
        <v>14</v>
      </c>
      <c r="B2230" s="3" t="s">
        <v>14</v>
      </c>
      <c r="C2230" s="3" t="s">
        <v>1943</v>
      </c>
      <c r="D2230" s="3" t="s">
        <v>32</v>
      </c>
      <c r="E2230" s="3" t="s">
        <v>466</v>
      </c>
      <c r="F2230" s="4">
        <v>46294</v>
      </c>
      <c r="G2230" s="3" t="s">
        <v>17</v>
      </c>
      <c r="H2230" s="5">
        <v>-12307.32</v>
      </c>
      <c r="I2230" s="3" t="s">
        <v>18</v>
      </c>
      <c r="J2230" s="3" t="s">
        <v>14</v>
      </c>
      <c r="K2230" s="3" t="s">
        <v>14</v>
      </c>
      <c r="L2230" s="3" t="s">
        <v>1944</v>
      </c>
      <c r="M2230" s="4">
        <v>46294</v>
      </c>
      <c r="N2230" s="3" t="s">
        <v>1945</v>
      </c>
      <c r="O2230" s="3" t="s">
        <v>30</v>
      </c>
      <c r="P2230" t="str">
        <f t="shared" si="34"/>
        <v>450013974010</v>
      </c>
      <c r="Q2230" s="7" cm="1">
        <f t="array" ref="Q2230:S2230">VLOOKUP(P2230,Hoja1!C:F,{2,3,4},FALSE)</f>
        <v>46297</v>
      </c>
      <c r="R2230" t="str">
        <v>374</v>
      </c>
      <c r="S2230" t="str">
        <v>1000011427 NICOSIA ORLANDO</v>
      </c>
    </row>
    <row r="2231" spans="1:19" x14ac:dyDescent="0.3">
      <c r="A2231" s="2" t="s">
        <v>14</v>
      </c>
      <c r="B2231" s="3" t="s">
        <v>14</v>
      </c>
      <c r="C2231" s="3" t="s">
        <v>1943</v>
      </c>
      <c r="D2231" s="3" t="s">
        <v>32</v>
      </c>
      <c r="E2231" s="3" t="s">
        <v>466</v>
      </c>
      <c r="F2231" s="4">
        <v>46294</v>
      </c>
      <c r="G2231" s="3" t="s">
        <v>17</v>
      </c>
      <c r="H2231" s="5">
        <v>-6228.44</v>
      </c>
      <c r="I2231" s="3" t="s">
        <v>18</v>
      </c>
      <c r="J2231" s="3" t="s">
        <v>14</v>
      </c>
      <c r="K2231" s="3" t="s">
        <v>14</v>
      </c>
      <c r="L2231" s="3" t="s">
        <v>1944</v>
      </c>
      <c r="M2231" s="4">
        <v>46294</v>
      </c>
      <c r="N2231" s="3" t="s">
        <v>1945</v>
      </c>
      <c r="O2231" s="3" t="s">
        <v>22</v>
      </c>
      <c r="P2231" t="str">
        <f t="shared" si="34"/>
        <v>450013974020</v>
      </c>
      <c r="Q2231" s="7" cm="1">
        <f t="array" ref="Q2231:S2231">VLOOKUP(P2231,Hoja1!C:F,{2,3,4},FALSE)</f>
        <v>46297</v>
      </c>
      <c r="R2231" t="str">
        <v>374</v>
      </c>
      <c r="S2231" t="str">
        <v>1000011427 NICOSIA ORLANDO</v>
      </c>
    </row>
    <row r="2232" spans="1:19" x14ac:dyDescent="0.3">
      <c r="A2232" s="2" t="s">
        <v>14</v>
      </c>
      <c r="B2232" s="3" t="s">
        <v>14</v>
      </c>
      <c r="C2232" s="3" t="s">
        <v>1943</v>
      </c>
      <c r="D2232" s="3" t="s">
        <v>32</v>
      </c>
      <c r="E2232" s="3" t="s">
        <v>466</v>
      </c>
      <c r="F2232" s="4">
        <v>46294</v>
      </c>
      <c r="G2232" s="3" t="s">
        <v>17</v>
      </c>
      <c r="H2232" s="5">
        <v>-7814.04</v>
      </c>
      <c r="I2232" s="3" t="s">
        <v>18</v>
      </c>
      <c r="J2232" s="3" t="s">
        <v>14</v>
      </c>
      <c r="K2232" s="3" t="s">
        <v>14</v>
      </c>
      <c r="L2232" s="3" t="s">
        <v>1944</v>
      </c>
      <c r="M2232" s="4">
        <v>46294</v>
      </c>
      <c r="N2232" s="3" t="s">
        <v>1945</v>
      </c>
      <c r="O2232" s="3" t="s">
        <v>35</v>
      </c>
      <c r="P2232" t="str">
        <f t="shared" si="34"/>
        <v>450013974030</v>
      </c>
      <c r="Q2232" s="7" cm="1">
        <f t="array" ref="Q2232:S2232">VLOOKUP(P2232,Hoja1!C:F,{2,3,4},FALSE)</f>
        <v>46297</v>
      </c>
      <c r="R2232" t="str">
        <v>374</v>
      </c>
      <c r="S2232" t="str">
        <v>1000011427 NICOSIA ORLANDO</v>
      </c>
    </row>
    <row r="2233" spans="1:19" x14ac:dyDescent="0.3">
      <c r="A2233" s="2" t="s">
        <v>14</v>
      </c>
      <c r="B2233" s="3" t="s">
        <v>14</v>
      </c>
      <c r="C2233" s="3" t="s">
        <v>1943</v>
      </c>
      <c r="D2233" s="3" t="s">
        <v>32</v>
      </c>
      <c r="E2233" s="3" t="s">
        <v>466</v>
      </c>
      <c r="F2233" s="4">
        <v>46294</v>
      </c>
      <c r="G2233" s="3" t="s">
        <v>17</v>
      </c>
      <c r="H2233" s="5">
        <v>-16742</v>
      </c>
      <c r="I2233" s="3" t="s">
        <v>18</v>
      </c>
      <c r="J2233" s="3" t="s">
        <v>14</v>
      </c>
      <c r="K2233" s="3" t="s">
        <v>14</v>
      </c>
      <c r="L2233" s="3" t="s">
        <v>1944</v>
      </c>
      <c r="M2233" s="4">
        <v>46294</v>
      </c>
      <c r="N2233" s="3" t="s">
        <v>1945</v>
      </c>
      <c r="O2233" s="3" t="s">
        <v>23</v>
      </c>
      <c r="P2233" t="str">
        <f t="shared" si="34"/>
        <v>450013974040</v>
      </c>
      <c r="Q2233" s="7" cm="1">
        <f t="array" ref="Q2233:S2233">VLOOKUP(P2233,Hoja1!C:F,{2,3,4},FALSE)</f>
        <v>46297</v>
      </c>
      <c r="R2233" t="str">
        <v>374</v>
      </c>
      <c r="S2233" t="str">
        <v>1000011427 NICOSIA ORLANDO</v>
      </c>
    </row>
    <row r="2234" spans="1:19" x14ac:dyDescent="0.3">
      <c r="A2234" s="2" t="s">
        <v>14</v>
      </c>
      <c r="B2234" s="3" t="s">
        <v>14</v>
      </c>
      <c r="C2234" s="3" t="s">
        <v>1943</v>
      </c>
      <c r="D2234" s="3" t="s">
        <v>32</v>
      </c>
      <c r="E2234" s="3" t="s">
        <v>466</v>
      </c>
      <c r="F2234" s="4">
        <v>46294</v>
      </c>
      <c r="G2234" s="3" t="s">
        <v>17</v>
      </c>
      <c r="H2234" s="5">
        <v>-86785</v>
      </c>
      <c r="I2234" s="3" t="s">
        <v>18</v>
      </c>
      <c r="J2234" s="3" t="s">
        <v>14</v>
      </c>
      <c r="K2234" s="3" t="s">
        <v>14</v>
      </c>
      <c r="L2234" s="3" t="s">
        <v>1944</v>
      </c>
      <c r="M2234" s="4">
        <v>46294</v>
      </c>
      <c r="N2234" s="3" t="s">
        <v>1945</v>
      </c>
      <c r="O2234" s="3" t="s">
        <v>144</v>
      </c>
      <c r="P2234" t="str">
        <f t="shared" si="34"/>
        <v>450013974050</v>
      </c>
      <c r="Q2234" s="7" cm="1">
        <f t="array" ref="Q2234:S2234">VLOOKUP(P2234,Hoja1!C:F,{2,3,4},FALSE)</f>
        <v>46297</v>
      </c>
      <c r="R2234" t="str">
        <v>374</v>
      </c>
      <c r="S2234" t="str">
        <v>1000011427 NICOSIA ORLANDO</v>
      </c>
    </row>
    <row r="2235" spans="1:19" x14ac:dyDescent="0.3">
      <c r="A2235" s="2" t="s">
        <v>14</v>
      </c>
      <c r="B2235" s="3" t="s">
        <v>14</v>
      </c>
      <c r="C2235" s="3" t="s">
        <v>1946</v>
      </c>
      <c r="D2235" s="3" t="s">
        <v>14</v>
      </c>
      <c r="E2235" s="3" t="s">
        <v>466</v>
      </c>
      <c r="F2235" s="4">
        <v>46294</v>
      </c>
      <c r="G2235" s="3" t="s">
        <v>17</v>
      </c>
      <c r="H2235" s="5">
        <v>-1534166.4</v>
      </c>
      <c r="I2235" s="3" t="s">
        <v>18</v>
      </c>
      <c r="J2235" s="3" t="s">
        <v>14</v>
      </c>
      <c r="K2235" s="3" t="s">
        <v>14</v>
      </c>
      <c r="L2235" s="3" t="s">
        <v>399</v>
      </c>
      <c r="M2235" s="4">
        <v>46294</v>
      </c>
      <c r="N2235" s="3" t="s">
        <v>1947</v>
      </c>
      <c r="O2235" s="3" t="s">
        <v>30</v>
      </c>
      <c r="P2235" t="str">
        <f t="shared" si="34"/>
        <v>450013946410</v>
      </c>
      <c r="Q2235" s="7" cm="1">
        <f t="array" ref="Q2235:S2235">VLOOKUP(P2235,Hoja1!C:F,{2,3,4},FALSE)</f>
        <v>46302</v>
      </c>
      <c r="R2235" t="str">
        <v>C29</v>
      </c>
      <c r="S2235" t="str">
        <v>1000000561 ESCANDINAVIA DEL PLATA SA</v>
      </c>
    </row>
    <row r="2236" spans="1:19" x14ac:dyDescent="0.3">
      <c r="A2236" s="2" t="s">
        <v>14</v>
      </c>
      <c r="B2236" s="3" t="s">
        <v>14</v>
      </c>
      <c r="C2236" s="3" t="s">
        <v>1948</v>
      </c>
      <c r="D2236" s="3" t="s">
        <v>32</v>
      </c>
      <c r="E2236" s="3" t="s">
        <v>466</v>
      </c>
      <c r="F2236" s="4">
        <v>46294</v>
      </c>
      <c r="G2236" s="3" t="s">
        <v>17</v>
      </c>
      <c r="H2236" s="5">
        <v>-63079</v>
      </c>
      <c r="I2236" s="3" t="s">
        <v>18</v>
      </c>
      <c r="J2236" s="3" t="s">
        <v>14</v>
      </c>
      <c r="K2236" s="3" t="s">
        <v>14</v>
      </c>
      <c r="L2236" s="3" t="s">
        <v>240</v>
      </c>
      <c r="M2236" s="4">
        <v>46294</v>
      </c>
      <c r="N2236" s="3" t="s">
        <v>1949</v>
      </c>
      <c r="O2236" s="3" t="s">
        <v>30</v>
      </c>
      <c r="P2236" t="str">
        <f t="shared" si="34"/>
        <v>450013840210</v>
      </c>
      <c r="Q2236" s="7" cm="1">
        <f t="array" ref="Q2236:S2236">VLOOKUP(P2236,Hoja1!C:F,{2,3,4},FALSE)</f>
        <v>46294</v>
      </c>
      <c r="R2236" t="str">
        <v>374</v>
      </c>
      <c r="S2236" t="str">
        <v>1000011415 SI (SERVICIOS INDUSTRIALES) SIERRA</v>
      </c>
    </row>
    <row r="2237" spans="1:19" x14ac:dyDescent="0.3">
      <c r="A2237" s="2" t="s">
        <v>14</v>
      </c>
      <c r="B2237" s="3" t="s">
        <v>14</v>
      </c>
      <c r="C2237" s="3" t="s">
        <v>1950</v>
      </c>
      <c r="D2237" s="3" t="s">
        <v>14</v>
      </c>
      <c r="E2237" s="3" t="s">
        <v>466</v>
      </c>
      <c r="F2237" s="4">
        <v>46294</v>
      </c>
      <c r="G2237" s="3" t="s">
        <v>17</v>
      </c>
      <c r="H2237" s="5">
        <v>-92936.76</v>
      </c>
      <c r="I2237" s="3" t="s">
        <v>18</v>
      </c>
      <c r="J2237" s="3" t="s">
        <v>14</v>
      </c>
      <c r="K2237" s="3" t="s">
        <v>14</v>
      </c>
      <c r="L2237" s="3" t="s">
        <v>1951</v>
      </c>
      <c r="M2237" s="4">
        <v>46294</v>
      </c>
      <c r="N2237" s="3" t="s">
        <v>1952</v>
      </c>
      <c r="O2237" s="3" t="s">
        <v>30</v>
      </c>
      <c r="P2237" t="str">
        <f t="shared" si="34"/>
        <v>450013630010</v>
      </c>
      <c r="Q2237" s="7" cm="1">
        <f t="array" ref="Q2237:S2237">VLOOKUP(P2237,Hoja1!C:F,{2,3,4},FALSE)</f>
        <v>46285</v>
      </c>
      <c r="R2237" t="str">
        <v>C19</v>
      </c>
      <c r="S2237" t="str">
        <v>1000000462 HORCADA MARCELO,GUSTAVO Y FERN</v>
      </c>
    </row>
    <row r="2238" spans="1:19" x14ac:dyDescent="0.3">
      <c r="A2238" s="2" t="s">
        <v>14</v>
      </c>
      <c r="B2238" s="3" t="s">
        <v>14</v>
      </c>
      <c r="C2238" s="3" t="s">
        <v>1953</v>
      </c>
      <c r="D2238" s="3" t="s">
        <v>14</v>
      </c>
      <c r="E2238" s="3" t="s">
        <v>466</v>
      </c>
      <c r="F2238" s="4">
        <v>46294</v>
      </c>
      <c r="G2238" s="3" t="s">
        <v>17</v>
      </c>
      <c r="H2238" s="5">
        <v>-943920</v>
      </c>
      <c r="I2238" s="3" t="s">
        <v>18</v>
      </c>
      <c r="J2238" s="3" t="s">
        <v>14</v>
      </c>
      <c r="K2238" s="3" t="s">
        <v>14</v>
      </c>
      <c r="L2238" s="3" t="s">
        <v>1211</v>
      </c>
      <c r="M2238" s="4">
        <v>46294</v>
      </c>
      <c r="N2238" s="3" t="s">
        <v>1954</v>
      </c>
      <c r="O2238" s="3" t="s">
        <v>30</v>
      </c>
      <c r="P2238" t="str">
        <f t="shared" si="34"/>
        <v>450013657610</v>
      </c>
      <c r="Q2238" s="7" cm="1">
        <f t="array" ref="Q2238:S2238">VLOOKUP(P2238,Hoja1!C:F,{2,3,4},FALSE)</f>
        <v>46297</v>
      </c>
      <c r="R2238" t="str">
        <v>C03</v>
      </c>
      <c r="S2238" t="str">
        <v>1000000012 IGARRETA MAQUINAS S.A.</v>
      </c>
    </row>
    <row r="2239" spans="1:19" x14ac:dyDescent="0.3">
      <c r="A2239" s="2" t="s">
        <v>14</v>
      </c>
      <c r="B2239" s="3" t="s">
        <v>14</v>
      </c>
      <c r="C2239" s="3" t="s">
        <v>1955</v>
      </c>
      <c r="D2239" s="3" t="s">
        <v>14</v>
      </c>
      <c r="E2239" s="3" t="s">
        <v>466</v>
      </c>
      <c r="F2239" s="4">
        <v>46294</v>
      </c>
      <c r="G2239" s="3" t="s">
        <v>17</v>
      </c>
      <c r="H2239" s="5">
        <v>-266836</v>
      </c>
      <c r="I2239" s="3" t="s">
        <v>18</v>
      </c>
      <c r="J2239" s="3" t="s">
        <v>14</v>
      </c>
      <c r="K2239" s="3" t="s">
        <v>14</v>
      </c>
      <c r="L2239" s="3" t="s">
        <v>589</v>
      </c>
      <c r="M2239" s="4">
        <v>46294</v>
      </c>
      <c r="N2239" s="3" t="s">
        <v>1956</v>
      </c>
      <c r="O2239" s="3" t="s">
        <v>30</v>
      </c>
      <c r="P2239" t="str">
        <f t="shared" si="34"/>
        <v>450013868810</v>
      </c>
      <c r="Q2239" s="7" cm="1">
        <f t="array" ref="Q2239:S2239">VLOOKUP(P2239,Hoja1!C:F,{2,3,4},FALSE)</f>
        <v>46325</v>
      </c>
      <c r="R2239" t="str">
        <v>C29</v>
      </c>
      <c r="S2239" t="str">
        <v>1000001123 HAULOTTE ARGENTINA S.A.</v>
      </c>
    </row>
    <row r="2240" spans="1:19" x14ac:dyDescent="0.3">
      <c r="A2240" s="2" t="s">
        <v>14</v>
      </c>
      <c r="B2240" s="3" t="s">
        <v>14</v>
      </c>
      <c r="C2240" s="3" t="s">
        <v>1957</v>
      </c>
      <c r="D2240" s="3" t="s">
        <v>14</v>
      </c>
      <c r="E2240" s="3" t="s">
        <v>466</v>
      </c>
      <c r="F2240" s="4">
        <v>46294</v>
      </c>
      <c r="G2240" s="3" t="s">
        <v>17</v>
      </c>
      <c r="H2240" s="5">
        <v>-195928</v>
      </c>
      <c r="I2240" s="3" t="s">
        <v>18</v>
      </c>
      <c r="J2240" s="3" t="s">
        <v>14</v>
      </c>
      <c r="K2240" s="3" t="s">
        <v>14</v>
      </c>
      <c r="L2240" s="3" t="s">
        <v>589</v>
      </c>
      <c r="M2240" s="4">
        <v>46294</v>
      </c>
      <c r="N2240" s="3" t="s">
        <v>1958</v>
      </c>
      <c r="O2240" s="3" t="s">
        <v>30</v>
      </c>
      <c r="P2240" t="str">
        <f t="shared" si="34"/>
        <v>450013852610</v>
      </c>
      <c r="Q2240" s="7" cm="1">
        <f t="array" ref="Q2240:S2240">VLOOKUP(P2240,Hoja1!C:F,{2,3,4},FALSE)</f>
        <v>46325</v>
      </c>
      <c r="R2240" t="str">
        <v>C03</v>
      </c>
      <c r="S2240" t="str">
        <v>1000001123 HAULOTTE ARGENTINA S.A.</v>
      </c>
    </row>
    <row r="2241" spans="1:19" x14ac:dyDescent="0.3">
      <c r="A2241" s="2" t="s">
        <v>14</v>
      </c>
      <c r="B2241" s="3" t="s">
        <v>14</v>
      </c>
      <c r="C2241" s="3" t="s">
        <v>1959</v>
      </c>
      <c r="D2241" s="3" t="s">
        <v>14</v>
      </c>
      <c r="E2241" s="3" t="s">
        <v>466</v>
      </c>
      <c r="F2241" s="4">
        <v>46294</v>
      </c>
      <c r="G2241" s="3" t="s">
        <v>17</v>
      </c>
      <c r="H2241" s="5">
        <v>-934777.2</v>
      </c>
      <c r="I2241" s="3" t="s">
        <v>18</v>
      </c>
      <c r="J2241" s="3" t="s">
        <v>14</v>
      </c>
      <c r="K2241" s="3" t="s">
        <v>14</v>
      </c>
      <c r="L2241" s="3" t="s">
        <v>125</v>
      </c>
      <c r="M2241" s="4">
        <v>46294</v>
      </c>
      <c r="N2241" s="3" t="s">
        <v>1960</v>
      </c>
      <c r="O2241" s="3" t="s">
        <v>30</v>
      </c>
      <c r="P2241" t="str">
        <f t="shared" si="34"/>
        <v>450013724210</v>
      </c>
      <c r="Q2241" s="7" cm="1">
        <f t="array" ref="Q2241:S2241">VLOOKUP(P2241,Hoja1!C:F,{2,3,4},FALSE)</f>
        <v>46315</v>
      </c>
      <c r="R2241" t="str">
        <v>C03</v>
      </c>
      <c r="S2241" t="str">
        <v>1000001470 SUDAMERICANA CAMIONES SA</v>
      </c>
    </row>
    <row r="2242" spans="1:19" x14ac:dyDescent="0.3">
      <c r="A2242" s="2" t="s">
        <v>14</v>
      </c>
      <c r="B2242" s="3" t="s">
        <v>14</v>
      </c>
      <c r="C2242" s="3" t="s">
        <v>1961</v>
      </c>
      <c r="D2242" s="3" t="s">
        <v>14</v>
      </c>
      <c r="E2242" s="3" t="s">
        <v>466</v>
      </c>
      <c r="F2242" s="4">
        <v>46294</v>
      </c>
      <c r="G2242" s="3" t="s">
        <v>17</v>
      </c>
      <c r="H2242" s="5">
        <v>-538080</v>
      </c>
      <c r="I2242" s="3" t="s">
        <v>18</v>
      </c>
      <c r="J2242" s="3" t="s">
        <v>14</v>
      </c>
      <c r="K2242" s="3" t="s">
        <v>14</v>
      </c>
      <c r="L2242" s="3" t="s">
        <v>510</v>
      </c>
      <c r="M2242" s="4">
        <v>46294</v>
      </c>
      <c r="N2242" s="3" t="s">
        <v>1962</v>
      </c>
      <c r="O2242" s="3" t="s">
        <v>22</v>
      </c>
      <c r="P2242" t="str">
        <f t="shared" si="34"/>
        <v>450013939020</v>
      </c>
      <c r="Q2242" s="7" cm="1">
        <f t="array" ref="Q2242:S2242">VLOOKUP(P2242,Hoja1!C:F,{2,3,4},FALSE)</f>
        <v>46293</v>
      </c>
      <c r="R2242" t="str">
        <v>C08</v>
      </c>
      <c r="S2242" t="str">
        <v>1000001935 ACEROS COCO S.A.</v>
      </c>
    </row>
    <row r="2243" spans="1:19" x14ac:dyDescent="0.3">
      <c r="A2243" s="2" t="s">
        <v>14</v>
      </c>
      <c r="B2243" s="3" t="s">
        <v>14</v>
      </c>
      <c r="C2243" s="3" t="s">
        <v>1963</v>
      </c>
      <c r="D2243" s="3" t="s">
        <v>14</v>
      </c>
      <c r="E2243" s="3" t="s">
        <v>466</v>
      </c>
      <c r="F2243" s="4">
        <v>46294</v>
      </c>
      <c r="G2243" s="3" t="s">
        <v>17</v>
      </c>
      <c r="H2243" s="5">
        <v>-461244</v>
      </c>
      <c r="I2243" s="3" t="s">
        <v>18</v>
      </c>
      <c r="J2243" s="3" t="s">
        <v>14</v>
      </c>
      <c r="K2243" s="3" t="s">
        <v>14</v>
      </c>
      <c r="L2243" s="3" t="s">
        <v>510</v>
      </c>
      <c r="M2243" s="4">
        <v>46294</v>
      </c>
      <c r="N2243" s="3" t="s">
        <v>1962</v>
      </c>
      <c r="O2243" s="3" t="s">
        <v>30</v>
      </c>
      <c r="P2243" t="str">
        <f t="shared" ref="P2243:P2306" si="35">_xlfn.CONCAT(N2243:O2243)</f>
        <v>450013939010</v>
      </c>
      <c r="Q2243" s="7" cm="1">
        <f t="array" ref="Q2243:S2243">VLOOKUP(P2243,Hoja1!C:F,{2,3,4},FALSE)</f>
        <v>46293</v>
      </c>
      <c r="R2243" t="str">
        <v>C08</v>
      </c>
      <c r="S2243" t="str">
        <v>1000001935 ACEROS COCO S.A.</v>
      </c>
    </row>
    <row r="2244" spans="1:19" x14ac:dyDescent="0.3">
      <c r="A2244" s="2" t="s">
        <v>14</v>
      </c>
      <c r="B2244" s="3" t="s">
        <v>14</v>
      </c>
      <c r="C2244" s="3" t="s">
        <v>1963</v>
      </c>
      <c r="D2244" s="3" t="s">
        <v>14</v>
      </c>
      <c r="E2244" s="3" t="s">
        <v>466</v>
      </c>
      <c r="F2244" s="4">
        <v>46294</v>
      </c>
      <c r="G2244" s="3" t="s">
        <v>17</v>
      </c>
      <c r="H2244" s="5">
        <v>-484180.8</v>
      </c>
      <c r="I2244" s="3" t="s">
        <v>18</v>
      </c>
      <c r="J2244" s="3" t="s">
        <v>14</v>
      </c>
      <c r="K2244" s="3" t="s">
        <v>14</v>
      </c>
      <c r="L2244" s="3" t="s">
        <v>510</v>
      </c>
      <c r="M2244" s="4">
        <v>46294</v>
      </c>
      <c r="N2244" s="3" t="s">
        <v>1962</v>
      </c>
      <c r="O2244" s="3" t="s">
        <v>35</v>
      </c>
      <c r="P2244" t="str">
        <f t="shared" si="35"/>
        <v>450013939030</v>
      </c>
      <c r="Q2244" s="7" cm="1">
        <f t="array" ref="Q2244:S2244">VLOOKUP(P2244,Hoja1!C:F,{2,3,4},FALSE)</f>
        <v>46293</v>
      </c>
      <c r="R2244" t="str">
        <v>C08</v>
      </c>
      <c r="S2244" t="str">
        <v>1000001935 ACEROS COCO S.A.</v>
      </c>
    </row>
    <row r="2245" spans="1:19" x14ac:dyDescent="0.3">
      <c r="A2245" s="2" t="s">
        <v>14</v>
      </c>
      <c r="B2245" s="3" t="s">
        <v>14</v>
      </c>
      <c r="C2245" s="3" t="s">
        <v>1963</v>
      </c>
      <c r="D2245" s="3" t="s">
        <v>14</v>
      </c>
      <c r="E2245" s="3" t="s">
        <v>466</v>
      </c>
      <c r="F2245" s="4">
        <v>46294</v>
      </c>
      <c r="G2245" s="3" t="s">
        <v>17</v>
      </c>
      <c r="H2245" s="5">
        <v>-357260.79999999999</v>
      </c>
      <c r="I2245" s="3" t="s">
        <v>18</v>
      </c>
      <c r="J2245" s="3" t="s">
        <v>14</v>
      </c>
      <c r="K2245" s="3" t="s">
        <v>14</v>
      </c>
      <c r="L2245" s="3" t="s">
        <v>510</v>
      </c>
      <c r="M2245" s="4">
        <v>46294</v>
      </c>
      <c r="N2245" s="3" t="s">
        <v>1962</v>
      </c>
      <c r="O2245" s="3" t="s">
        <v>23</v>
      </c>
      <c r="P2245" t="str">
        <f t="shared" si="35"/>
        <v>450013939040</v>
      </c>
      <c r="Q2245" s="7" cm="1">
        <f t="array" ref="Q2245:S2245">VLOOKUP(P2245,Hoja1!C:F,{2,3,4},FALSE)</f>
        <v>46293</v>
      </c>
      <c r="R2245" t="str">
        <v>C08</v>
      </c>
      <c r="S2245" t="str">
        <v>1000001935 ACEROS COCO S.A.</v>
      </c>
    </row>
    <row r="2246" spans="1:19" x14ac:dyDescent="0.3">
      <c r="A2246" s="2" t="s">
        <v>14</v>
      </c>
      <c r="B2246" s="3" t="s">
        <v>14</v>
      </c>
      <c r="C2246" s="3" t="s">
        <v>1964</v>
      </c>
      <c r="D2246" s="3" t="s">
        <v>14</v>
      </c>
      <c r="E2246" s="3" t="s">
        <v>466</v>
      </c>
      <c r="F2246" s="4">
        <v>46293</v>
      </c>
      <c r="G2246" s="3" t="s">
        <v>17</v>
      </c>
      <c r="H2246" s="5">
        <v>-3892507.2</v>
      </c>
      <c r="I2246" s="3" t="s">
        <v>18</v>
      </c>
      <c r="J2246" s="3" t="s">
        <v>14</v>
      </c>
      <c r="K2246" s="3" t="s">
        <v>14</v>
      </c>
      <c r="L2246" s="3" t="s">
        <v>125</v>
      </c>
      <c r="M2246" s="4">
        <v>46294</v>
      </c>
      <c r="N2246" s="3" t="s">
        <v>1965</v>
      </c>
      <c r="O2246" s="3" t="s">
        <v>30</v>
      </c>
      <c r="P2246" t="str">
        <f t="shared" si="35"/>
        <v>450013878210</v>
      </c>
      <c r="Q2246" s="7" cm="1">
        <f t="array" ref="Q2246:S2246">VLOOKUP(P2246,Hoja1!C:F,{2,3,4},FALSE)</f>
        <v>46295</v>
      </c>
      <c r="R2246" t="str">
        <v>C03</v>
      </c>
      <c r="S2246" t="str">
        <v>1000001470 SUDAMERICANA CAMIONES SA</v>
      </c>
    </row>
    <row r="2247" spans="1:19" x14ac:dyDescent="0.3">
      <c r="A2247" s="2" t="s">
        <v>14</v>
      </c>
      <c r="B2247" s="3" t="s">
        <v>14</v>
      </c>
      <c r="C2247" s="3" t="s">
        <v>1964</v>
      </c>
      <c r="D2247" s="3" t="s">
        <v>14</v>
      </c>
      <c r="E2247" s="3" t="s">
        <v>466</v>
      </c>
      <c r="F2247" s="4">
        <v>46293</v>
      </c>
      <c r="G2247" s="3" t="s">
        <v>17</v>
      </c>
      <c r="H2247" s="5">
        <v>-958481.6</v>
      </c>
      <c r="I2247" s="3" t="s">
        <v>18</v>
      </c>
      <c r="J2247" s="3" t="s">
        <v>14</v>
      </c>
      <c r="K2247" s="3" t="s">
        <v>14</v>
      </c>
      <c r="L2247" s="3" t="s">
        <v>125</v>
      </c>
      <c r="M2247" s="4">
        <v>46294</v>
      </c>
      <c r="N2247" s="3" t="s">
        <v>1965</v>
      </c>
      <c r="O2247" s="3" t="s">
        <v>22</v>
      </c>
      <c r="P2247" t="str">
        <f t="shared" si="35"/>
        <v>450013878220</v>
      </c>
      <c r="Q2247" s="7" cm="1">
        <f t="array" ref="Q2247:S2247">VLOOKUP(P2247,Hoja1!C:F,{2,3,4},FALSE)</f>
        <v>46295</v>
      </c>
      <c r="R2247" t="str">
        <v>C03</v>
      </c>
      <c r="S2247" t="str">
        <v>1000001470 SUDAMERICANA CAMIONES SA</v>
      </c>
    </row>
    <row r="2248" spans="1:19" x14ac:dyDescent="0.3">
      <c r="A2248" s="2" t="s">
        <v>14</v>
      </c>
      <c r="B2248" s="3" t="s">
        <v>14</v>
      </c>
      <c r="C2248" s="3" t="s">
        <v>1964</v>
      </c>
      <c r="D2248" s="3" t="s">
        <v>14</v>
      </c>
      <c r="E2248" s="3" t="s">
        <v>466</v>
      </c>
      <c r="F2248" s="4">
        <v>46293</v>
      </c>
      <c r="G2248" s="3" t="s">
        <v>17</v>
      </c>
      <c r="H2248" s="5">
        <v>-19243.2</v>
      </c>
      <c r="I2248" s="3" t="s">
        <v>18</v>
      </c>
      <c r="J2248" s="3" t="s">
        <v>14</v>
      </c>
      <c r="K2248" s="3" t="s">
        <v>14</v>
      </c>
      <c r="L2248" s="3" t="s">
        <v>125</v>
      </c>
      <c r="M2248" s="4">
        <v>46294</v>
      </c>
      <c r="N2248" s="3" t="s">
        <v>1965</v>
      </c>
      <c r="O2248" s="3" t="s">
        <v>35</v>
      </c>
      <c r="P2248" t="str">
        <f t="shared" si="35"/>
        <v>450013878230</v>
      </c>
      <c r="Q2248" s="7" cm="1">
        <f t="array" ref="Q2248:S2248">VLOOKUP(P2248,Hoja1!C:F,{2,3,4},FALSE)</f>
        <v>46311</v>
      </c>
      <c r="R2248" t="str">
        <v>C03</v>
      </c>
      <c r="S2248" t="str">
        <v>1000001470 SUDAMERICANA CAMIONES SA</v>
      </c>
    </row>
    <row r="2249" spans="1:19" x14ac:dyDescent="0.3">
      <c r="A2249" s="2" t="s">
        <v>14</v>
      </c>
      <c r="B2249" s="3" t="s">
        <v>14</v>
      </c>
      <c r="C2249" s="3" t="s">
        <v>1964</v>
      </c>
      <c r="D2249" s="3" t="s">
        <v>14</v>
      </c>
      <c r="E2249" s="3" t="s">
        <v>466</v>
      </c>
      <c r="F2249" s="4">
        <v>46293</v>
      </c>
      <c r="G2249" s="3" t="s">
        <v>17</v>
      </c>
      <c r="H2249" s="5">
        <v>-119958.39999999999</v>
      </c>
      <c r="I2249" s="3" t="s">
        <v>18</v>
      </c>
      <c r="J2249" s="3" t="s">
        <v>14</v>
      </c>
      <c r="K2249" s="3" t="s">
        <v>14</v>
      </c>
      <c r="L2249" s="3" t="s">
        <v>125</v>
      </c>
      <c r="M2249" s="4">
        <v>46294</v>
      </c>
      <c r="N2249" s="3" t="s">
        <v>1965</v>
      </c>
      <c r="O2249" s="3" t="s">
        <v>23</v>
      </c>
      <c r="P2249" t="str">
        <f t="shared" si="35"/>
        <v>450013878240</v>
      </c>
      <c r="Q2249" s="7" cm="1">
        <f t="array" ref="Q2249:S2249">VLOOKUP(P2249,Hoja1!C:F,{2,3,4},FALSE)</f>
        <v>46295</v>
      </c>
      <c r="R2249" t="str">
        <v>C03</v>
      </c>
      <c r="S2249" t="str">
        <v>1000001470 SUDAMERICANA CAMIONES SA</v>
      </c>
    </row>
    <row r="2250" spans="1:19" x14ac:dyDescent="0.3">
      <c r="A2250" s="2" t="s">
        <v>14</v>
      </c>
      <c r="B2250" s="3" t="s">
        <v>14</v>
      </c>
      <c r="C2250" s="3" t="s">
        <v>1966</v>
      </c>
      <c r="D2250" s="3" t="s">
        <v>32</v>
      </c>
      <c r="E2250" s="3" t="s">
        <v>466</v>
      </c>
      <c r="F2250" s="4">
        <v>46293</v>
      </c>
      <c r="G2250" s="3" t="s">
        <v>17</v>
      </c>
      <c r="H2250" s="5">
        <v>-230188.79999999999</v>
      </c>
      <c r="I2250" s="3" t="s">
        <v>18</v>
      </c>
      <c r="J2250" s="3" t="s">
        <v>14</v>
      </c>
      <c r="K2250" s="3" t="s">
        <v>14</v>
      </c>
      <c r="L2250" s="3" t="s">
        <v>1904</v>
      </c>
      <c r="M2250" s="4">
        <v>46294</v>
      </c>
      <c r="N2250" s="3" t="s">
        <v>1967</v>
      </c>
      <c r="O2250" s="3" t="s">
        <v>30</v>
      </c>
      <c r="P2250" t="str">
        <f t="shared" si="35"/>
        <v>450013908010</v>
      </c>
      <c r="Q2250" s="7" cm="1">
        <f t="array" ref="Q2250:S2250">VLOOKUP(P2250,Hoja1!C:F,{2,3,4},FALSE)</f>
        <v>46297</v>
      </c>
      <c r="R2250" t="str">
        <v>C09</v>
      </c>
      <c r="S2250" t="str">
        <v>1000006578 MGF FIJACIONES SA</v>
      </c>
    </row>
    <row r="2251" spans="1:19" x14ac:dyDescent="0.3">
      <c r="A2251" s="2" t="s">
        <v>14</v>
      </c>
      <c r="B2251" s="3" t="s">
        <v>14</v>
      </c>
      <c r="C2251" s="3" t="s">
        <v>1966</v>
      </c>
      <c r="D2251" s="3" t="s">
        <v>32</v>
      </c>
      <c r="E2251" s="3" t="s">
        <v>466</v>
      </c>
      <c r="F2251" s="4">
        <v>46293</v>
      </c>
      <c r="G2251" s="3" t="s">
        <v>17</v>
      </c>
      <c r="H2251" s="5">
        <v>-32680</v>
      </c>
      <c r="I2251" s="3" t="s">
        <v>18</v>
      </c>
      <c r="J2251" s="3" t="s">
        <v>14</v>
      </c>
      <c r="K2251" s="3" t="s">
        <v>14</v>
      </c>
      <c r="L2251" s="3" t="s">
        <v>1904</v>
      </c>
      <c r="M2251" s="4">
        <v>46294</v>
      </c>
      <c r="N2251" s="3" t="s">
        <v>1967</v>
      </c>
      <c r="O2251" s="3" t="s">
        <v>22</v>
      </c>
      <c r="P2251" t="str">
        <f t="shared" si="35"/>
        <v>450013908020</v>
      </c>
      <c r="Q2251" s="7" cm="1">
        <f t="array" ref="Q2251:S2251">VLOOKUP(P2251,Hoja1!C:F,{2,3,4},FALSE)</f>
        <v>46297</v>
      </c>
      <c r="R2251" t="str">
        <v>C09</v>
      </c>
      <c r="S2251" t="str">
        <v>1000006578 MGF FIJACIONES SA</v>
      </c>
    </row>
    <row r="2252" spans="1:19" x14ac:dyDescent="0.3">
      <c r="A2252" s="2" t="s">
        <v>14</v>
      </c>
      <c r="B2252" s="3" t="s">
        <v>14</v>
      </c>
      <c r="C2252" s="3" t="s">
        <v>1966</v>
      </c>
      <c r="D2252" s="3" t="s">
        <v>14</v>
      </c>
      <c r="E2252" s="3" t="s">
        <v>466</v>
      </c>
      <c r="F2252" s="4">
        <v>46293</v>
      </c>
      <c r="G2252" s="3" t="s">
        <v>17</v>
      </c>
      <c r="H2252" s="5">
        <v>-64372</v>
      </c>
      <c r="I2252" s="3" t="s">
        <v>18</v>
      </c>
      <c r="J2252" s="3" t="s">
        <v>14</v>
      </c>
      <c r="K2252" s="3" t="s">
        <v>14</v>
      </c>
      <c r="L2252" s="3" t="s">
        <v>1904</v>
      </c>
      <c r="M2252" s="4">
        <v>46294</v>
      </c>
      <c r="N2252" s="3" t="s">
        <v>1967</v>
      </c>
      <c r="O2252" s="3" t="s">
        <v>35</v>
      </c>
      <c r="P2252" t="str">
        <f t="shared" si="35"/>
        <v>450013908030</v>
      </c>
      <c r="Q2252" s="7" cm="1">
        <f t="array" ref="Q2252:S2252">VLOOKUP(P2252,Hoja1!C:F,{2,3,4},FALSE)</f>
        <v>46297</v>
      </c>
      <c r="R2252" t="str">
        <v>C09</v>
      </c>
      <c r="S2252" t="str">
        <v>1000006578 MGF FIJACIONES SA</v>
      </c>
    </row>
    <row r="2253" spans="1:19" x14ac:dyDescent="0.3">
      <c r="A2253" s="2" t="s">
        <v>14</v>
      </c>
      <c r="B2253" s="3" t="s">
        <v>14</v>
      </c>
      <c r="C2253" s="3" t="s">
        <v>1968</v>
      </c>
      <c r="D2253" s="3" t="s">
        <v>32</v>
      </c>
      <c r="E2253" s="3" t="s">
        <v>466</v>
      </c>
      <c r="F2253" s="4">
        <v>46294</v>
      </c>
      <c r="G2253" s="3" t="s">
        <v>17</v>
      </c>
      <c r="H2253" s="5">
        <v>-1800516</v>
      </c>
      <c r="I2253" s="3" t="s">
        <v>18</v>
      </c>
      <c r="J2253" s="3" t="s">
        <v>14</v>
      </c>
      <c r="K2253" s="3" t="s">
        <v>14</v>
      </c>
      <c r="L2253" s="3" t="s">
        <v>1969</v>
      </c>
      <c r="M2253" s="4">
        <v>46294</v>
      </c>
      <c r="N2253" s="3" t="s">
        <v>1970</v>
      </c>
      <c r="O2253" s="3" t="s">
        <v>30</v>
      </c>
      <c r="P2253" t="str">
        <f t="shared" si="35"/>
        <v>450013804010</v>
      </c>
      <c r="Q2253" s="7" cm="1">
        <f t="array" ref="Q2253:S2253">VLOOKUP(P2253,Hoja1!C:F,{2,3,4},FALSE)</f>
        <v>46301</v>
      </c>
      <c r="R2253" t="str">
        <v>C09</v>
      </c>
      <c r="S2253" t="str">
        <v>1000004840 FARCA SRL</v>
      </c>
    </row>
    <row r="2254" spans="1:19" x14ac:dyDescent="0.3">
      <c r="A2254" s="2" t="s">
        <v>14</v>
      </c>
      <c r="B2254" s="3" t="s">
        <v>14</v>
      </c>
      <c r="C2254" s="3" t="s">
        <v>1971</v>
      </c>
      <c r="D2254" s="3" t="s">
        <v>14</v>
      </c>
      <c r="E2254" s="3" t="s">
        <v>466</v>
      </c>
      <c r="F2254" s="4">
        <v>46294</v>
      </c>
      <c r="G2254" s="3" t="s">
        <v>17</v>
      </c>
      <c r="H2254" s="5">
        <v>-332800</v>
      </c>
      <c r="I2254" s="3" t="s">
        <v>18</v>
      </c>
      <c r="J2254" s="3" t="s">
        <v>14</v>
      </c>
      <c r="K2254" s="3" t="s">
        <v>14</v>
      </c>
      <c r="L2254" s="3" t="s">
        <v>912</v>
      </c>
      <c r="M2254" s="4">
        <v>46294</v>
      </c>
      <c r="N2254" s="3" t="s">
        <v>1972</v>
      </c>
      <c r="O2254" s="3" t="s">
        <v>22</v>
      </c>
      <c r="P2254" t="str">
        <f t="shared" si="35"/>
        <v>450013949720</v>
      </c>
      <c r="Q2254" s="7" cm="1">
        <f t="array" ref="Q2254:S2254">VLOOKUP(P2254,Hoja1!C:F,{2,3,4},FALSE)</f>
        <v>46297</v>
      </c>
      <c r="R2254" t="str">
        <v>C38</v>
      </c>
      <c r="S2254" t="str">
        <v>1000009217 PITTACOLO WALTER Y PITTACOLO JUAN</v>
      </c>
    </row>
    <row r="2255" spans="1:19" x14ac:dyDescent="0.3">
      <c r="A2255" s="2" t="s">
        <v>14</v>
      </c>
      <c r="B2255" s="3" t="s">
        <v>14</v>
      </c>
      <c r="C2255" s="3" t="s">
        <v>1973</v>
      </c>
      <c r="D2255" s="3" t="s">
        <v>14</v>
      </c>
      <c r="E2255" s="3" t="s">
        <v>466</v>
      </c>
      <c r="F2255" s="4">
        <v>46294</v>
      </c>
      <c r="G2255" s="3" t="s">
        <v>17</v>
      </c>
      <c r="H2255" s="5">
        <v>-55936</v>
      </c>
      <c r="I2255" s="3" t="s">
        <v>18</v>
      </c>
      <c r="J2255" s="3" t="s">
        <v>14</v>
      </c>
      <c r="K2255" s="3" t="s">
        <v>14</v>
      </c>
      <c r="L2255" s="3" t="s">
        <v>1904</v>
      </c>
      <c r="M2255" s="4">
        <v>46294</v>
      </c>
      <c r="N2255" s="3" t="s">
        <v>1905</v>
      </c>
      <c r="O2255" s="3" t="s">
        <v>23</v>
      </c>
      <c r="P2255" t="str">
        <f t="shared" si="35"/>
        <v>450013863240</v>
      </c>
      <c r="Q2255" s="7" cm="1">
        <f t="array" ref="Q2255:S2255">VLOOKUP(P2255,Hoja1!C:F,{2,3,4},FALSE)</f>
        <v>46290</v>
      </c>
      <c r="R2255" t="str">
        <v>377</v>
      </c>
      <c r="S2255" t="str">
        <v>1000006578 MGF FIJACIONES SA</v>
      </c>
    </row>
    <row r="2256" spans="1:19" x14ac:dyDescent="0.3">
      <c r="A2256" s="2" t="s">
        <v>14</v>
      </c>
      <c r="B2256" s="3" t="s">
        <v>14</v>
      </c>
      <c r="C2256" s="3" t="s">
        <v>1974</v>
      </c>
      <c r="D2256" s="3" t="s">
        <v>32</v>
      </c>
      <c r="E2256" s="3" t="s">
        <v>466</v>
      </c>
      <c r="F2256" s="4">
        <v>46294</v>
      </c>
      <c r="G2256" s="3" t="s">
        <v>17</v>
      </c>
      <c r="H2256" s="5">
        <v>-25706.639999999999</v>
      </c>
      <c r="I2256" s="3" t="s">
        <v>18</v>
      </c>
      <c r="J2256" s="3" t="s">
        <v>14</v>
      </c>
      <c r="K2256" s="3" t="s">
        <v>14</v>
      </c>
      <c r="L2256" s="3" t="s">
        <v>1832</v>
      </c>
      <c r="M2256" s="4">
        <v>46294</v>
      </c>
      <c r="N2256" s="3" t="s">
        <v>1833</v>
      </c>
      <c r="O2256" s="3" t="s">
        <v>22</v>
      </c>
      <c r="P2256" t="str">
        <f t="shared" si="35"/>
        <v>450013956420</v>
      </c>
      <c r="Q2256" s="7" cm="1">
        <f t="array" ref="Q2256:S2256">VLOOKUP(P2256,Hoja1!C:F,{2,3,4},FALSE)</f>
        <v>46291</v>
      </c>
      <c r="R2256" t="str">
        <v>377</v>
      </c>
      <c r="S2256" t="str">
        <v>1000000211 LA CASA DE LAS HERRAMIENTAS SA</v>
      </c>
    </row>
    <row r="2257" spans="1:19" x14ac:dyDescent="0.3">
      <c r="A2257" s="2" t="s">
        <v>14</v>
      </c>
      <c r="B2257" s="3" t="s">
        <v>14</v>
      </c>
      <c r="C2257" s="3" t="s">
        <v>1975</v>
      </c>
      <c r="D2257" s="3" t="s">
        <v>32</v>
      </c>
      <c r="E2257" s="3" t="s">
        <v>466</v>
      </c>
      <c r="F2257" s="4">
        <v>46293</v>
      </c>
      <c r="G2257" s="3" t="s">
        <v>17</v>
      </c>
      <c r="H2257" s="5">
        <v>-50000</v>
      </c>
      <c r="I2257" s="3" t="s">
        <v>18</v>
      </c>
      <c r="J2257" s="3" t="s">
        <v>14</v>
      </c>
      <c r="K2257" s="3" t="s">
        <v>14</v>
      </c>
      <c r="L2257" s="3" t="s">
        <v>1976</v>
      </c>
      <c r="M2257" s="4">
        <v>46295</v>
      </c>
      <c r="N2257" s="3" t="s">
        <v>1977</v>
      </c>
      <c r="O2257" s="3" t="s">
        <v>30</v>
      </c>
      <c r="P2257" t="str">
        <f t="shared" si="35"/>
        <v>450013851810</v>
      </c>
      <c r="Q2257" s="7" cm="1">
        <f t="array" ref="Q2257:S2257">VLOOKUP(P2257,Hoja1!C:F,{2,3,4},FALSE)</f>
        <v>46296</v>
      </c>
      <c r="R2257" t="str">
        <v>C28</v>
      </c>
      <c r="S2257" t="str">
        <v>1000001481 D'AGOSTINO LUCIANO MATIAS</v>
      </c>
    </row>
    <row r="2258" spans="1:19" x14ac:dyDescent="0.3">
      <c r="A2258" s="2" t="s">
        <v>14</v>
      </c>
      <c r="B2258" s="3" t="s">
        <v>14</v>
      </c>
      <c r="C2258" s="3" t="s">
        <v>1975</v>
      </c>
      <c r="D2258" s="3" t="s">
        <v>32</v>
      </c>
      <c r="E2258" s="3" t="s">
        <v>466</v>
      </c>
      <c r="F2258" s="4">
        <v>46293</v>
      </c>
      <c r="G2258" s="3" t="s">
        <v>17</v>
      </c>
      <c r="H2258" s="5">
        <v>-100000</v>
      </c>
      <c r="I2258" s="3" t="s">
        <v>18</v>
      </c>
      <c r="J2258" s="3" t="s">
        <v>14</v>
      </c>
      <c r="K2258" s="3" t="s">
        <v>14</v>
      </c>
      <c r="L2258" s="3" t="s">
        <v>1976</v>
      </c>
      <c r="M2258" s="4">
        <v>46295</v>
      </c>
      <c r="N2258" s="3" t="s">
        <v>1977</v>
      </c>
      <c r="O2258" s="3" t="s">
        <v>22</v>
      </c>
      <c r="P2258" t="str">
        <f t="shared" si="35"/>
        <v>450013851820</v>
      </c>
      <c r="Q2258" s="7" cm="1">
        <f t="array" ref="Q2258:S2258">VLOOKUP(P2258,Hoja1!C:F,{2,3,4},FALSE)</f>
        <v>46296</v>
      </c>
      <c r="R2258" t="str">
        <v>C28</v>
      </c>
      <c r="S2258" t="str">
        <v>1000001481 D'AGOSTINO LUCIANO MATIAS</v>
      </c>
    </row>
    <row r="2259" spans="1:19" x14ac:dyDescent="0.3">
      <c r="A2259" s="2" t="s">
        <v>14</v>
      </c>
      <c r="B2259" s="3" t="s">
        <v>14</v>
      </c>
      <c r="C2259" s="3" t="s">
        <v>1975</v>
      </c>
      <c r="D2259" s="3" t="s">
        <v>32</v>
      </c>
      <c r="E2259" s="3" t="s">
        <v>466</v>
      </c>
      <c r="F2259" s="4">
        <v>46293</v>
      </c>
      <c r="G2259" s="3" t="s">
        <v>17</v>
      </c>
      <c r="H2259" s="5">
        <v>-100000</v>
      </c>
      <c r="I2259" s="3" t="s">
        <v>18</v>
      </c>
      <c r="J2259" s="3" t="s">
        <v>14</v>
      </c>
      <c r="K2259" s="3" t="s">
        <v>14</v>
      </c>
      <c r="L2259" s="3" t="s">
        <v>1976</v>
      </c>
      <c r="M2259" s="4">
        <v>46295</v>
      </c>
      <c r="N2259" s="3" t="s">
        <v>1977</v>
      </c>
      <c r="O2259" s="3" t="s">
        <v>35</v>
      </c>
      <c r="P2259" t="str">
        <f t="shared" si="35"/>
        <v>450013851830</v>
      </c>
      <c r="Q2259" s="7" cm="1">
        <f t="array" ref="Q2259:S2259">VLOOKUP(P2259,Hoja1!C:F,{2,3,4},FALSE)</f>
        <v>46296</v>
      </c>
      <c r="R2259" t="str">
        <v>C28</v>
      </c>
      <c r="S2259" t="str">
        <v>1000001481 D'AGOSTINO LUCIANO MATIAS</v>
      </c>
    </row>
    <row r="2260" spans="1:19" x14ac:dyDescent="0.3">
      <c r="A2260" s="2" t="s">
        <v>14</v>
      </c>
      <c r="B2260" s="3" t="s">
        <v>14</v>
      </c>
      <c r="C2260" s="3" t="s">
        <v>1975</v>
      </c>
      <c r="D2260" s="3" t="s">
        <v>32</v>
      </c>
      <c r="E2260" s="3" t="s">
        <v>466</v>
      </c>
      <c r="F2260" s="4">
        <v>46293</v>
      </c>
      <c r="G2260" s="3" t="s">
        <v>17</v>
      </c>
      <c r="H2260" s="5">
        <v>-100000</v>
      </c>
      <c r="I2260" s="3" t="s">
        <v>18</v>
      </c>
      <c r="J2260" s="3" t="s">
        <v>14</v>
      </c>
      <c r="K2260" s="3" t="s">
        <v>14</v>
      </c>
      <c r="L2260" s="3" t="s">
        <v>1976</v>
      </c>
      <c r="M2260" s="4">
        <v>46295</v>
      </c>
      <c r="N2260" s="3" t="s">
        <v>1977</v>
      </c>
      <c r="O2260" s="3" t="s">
        <v>23</v>
      </c>
      <c r="P2260" t="str">
        <f t="shared" si="35"/>
        <v>450013851840</v>
      </c>
      <c r="Q2260" s="7" cm="1">
        <f t="array" ref="Q2260:S2260">VLOOKUP(P2260,Hoja1!C:F,{2,3,4},FALSE)</f>
        <v>46296</v>
      </c>
      <c r="R2260" t="str">
        <v>C28</v>
      </c>
      <c r="S2260" t="str">
        <v>1000001481 D'AGOSTINO LUCIANO MATIAS</v>
      </c>
    </row>
    <row r="2261" spans="1:19" x14ac:dyDescent="0.3">
      <c r="A2261" s="2" t="s">
        <v>14</v>
      </c>
      <c r="B2261" s="3" t="s">
        <v>14</v>
      </c>
      <c r="C2261" s="3" t="s">
        <v>1975</v>
      </c>
      <c r="D2261" s="3" t="s">
        <v>32</v>
      </c>
      <c r="E2261" s="3" t="s">
        <v>466</v>
      </c>
      <c r="F2261" s="4">
        <v>46293</v>
      </c>
      <c r="G2261" s="3" t="s">
        <v>17</v>
      </c>
      <c r="H2261" s="5">
        <v>-50000</v>
      </c>
      <c r="I2261" s="3" t="s">
        <v>18</v>
      </c>
      <c r="J2261" s="3" t="s">
        <v>14</v>
      </c>
      <c r="K2261" s="3" t="s">
        <v>14</v>
      </c>
      <c r="L2261" s="3" t="s">
        <v>1976</v>
      </c>
      <c r="M2261" s="4">
        <v>46295</v>
      </c>
      <c r="N2261" s="3" t="s">
        <v>1977</v>
      </c>
      <c r="O2261" s="3" t="s">
        <v>144</v>
      </c>
      <c r="P2261" t="str">
        <f t="shared" si="35"/>
        <v>450013851850</v>
      </c>
      <c r="Q2261" s="7" cm="1">
        <f t="array" ref="Q2261:S2261">VLOOKUP(P2261,Hoja1!C:F,{2,3,4},FALSE)</f>
        <v>46296</v>
      </c>
      <c r="R2261" t="str">
        <v>C28</v>
      </c>
      <c r="S2261" t="str">
        <v>1000001481 D'AGOSTINO LUCIANO MATIAS</v>
      </c>
    </row>
    <row r="2262" spans="1:19" x14ac:dyDescent="0.3">
      <c r="A2262" s="2" t="s">
        <v>14</v>
      </c>
      <c r="B2262" s="3" t="s">
        <v>14</v>
      </c>
      <c r="C2262" s="3" t="s">
        <v>1975</v>
      </c>
      <c r="D2262" s="3" t="s">
        <v>32</v>
      </c>
      <c r="E2262" s="3" t="s">
        <v>466</v>
      </c>
      <c r="F2262" s="4">
        <v>46293</v>
      </c>
      <c r="G2262" s="3" t="s">
        <v>17</v>
      </c>
      <c r="H2262" s="5">
        <v>-100000</v>
      </c>
      <c r="I2262" s="3" t="s">
        <v>18</v>
      </c>
      <c r="J2262" s="3" t="s">
        <v>14</v>
      </c>
      <c r="K2262" s="3" t="s">
        <v>14</v>
      </c>
      <c r="L2262" s="3" t="s">
        <v>1976</v>
      </c>
      <c r="M2262" s="4">
        <v>46295</v>
      </c>
      <c r="N2262" s="3" t="s">
        <v>1977</v>
      </c>
      <c r="O2262" s="3" t="s">
        <v>141</v>
      </c>
      <c r="P2262" t="str">
        <f t="shared" si="35"/>
        <v>450013851860</v>
      </c>
      <c r="Q2262" s="7" cm="1">
        <f t="array" ref="Q2262:S2262">VLOOKUP(P2262,Hoja1!C:F,{2,3,4},FALSE)</f>
        <v>46296</v>
      </c>
      <c r="R2262" t="str">
        <v>C28</v>
      </c>
      <c r="S2262" t="str">
        <v>1000001481 D'AGOSTINO LUCIANO MATIAS</v>
      </c>
    </row>
    <row r="2263" spans="1:19" x14ac:dyDescent="0.3">
      <c r="A2263" s="2" t="s">
        <v>14</v>
      </c>
      <c r="B2263" s="3" t="s">
        <v>14</v>
      </c>
      <c r="C2263" s="3" t="s">
        <v>1975</v>
      </c>
      <c r="D2263" s="3" t="s">
        <v>32</v>
      </c>
      <c r="E2263" s="3" t="s">
        <v>466</v>
      </c>
      <c r="F2263" s="4">
        <v>46293</v>
      </c>
      <c r="G2263" s="3" t="s">
        <v>17</v>
      </c>
      <c r="H2263" s="5">
        <v>-75000</v>
      </c>
      <c r="I2263" s="3" t="s">
        <v>18</v>
      </c>
      <c r="J2263" s="3" t="s">
        <v>14</v>
      </c>
      <c r="K2263" s="3" t="s">
        <v>14</v>
      </c>
      <c r="L2263" s="3" t="s">
        <v>1976</v>
      </c>
      <c r="M2263" s="4">
        <v>46295</v>
      </c>
      <c r="N2263" s="3" t="s">
        <v>1977</v>
      </c>
      <c r="O2263" s="3" t="s">
        <v>134</v>
      </c>
      <c r="P2263" t="str">
        <f t="shared" si="35"/>
        <v>450013851870</v>
      </c>
      <c r="Q2263" s="7" cm="1">
        <f t="array" ref="Q2263:S2263">VLOOKUP(P2263,Hoja1!C:F,{2,3,4},FALSE)</f>
        <v>46296</v>
      </c>
      <c r="R2263" t="str">
        <v>C28</v>
      </c>
      <c r="S2263" t="str">
        <v>1000001481 D'AGOSTINO LUCIANO MATIAS</v>
      </c>
    </row>
    <row r="2264" spans="1:19" x14ac:dyDescent="0.3">
      <c r="A2264" s="2" t="s">
        <v>14</v>
      </c>
      <c r="B2264" s="3" t="s">
        <v>14</v>
      </c>
      <c r="C2264" s="3" t="s">
        <v>1975</v>
      </c>
      <c r="D2264" s="3" t="s">
        <v>32</v>
      </c>
      <c r="E2264" s="3" t="s">
        <v>466</v>
      </c>
      <c r="F2264" s="4">
        <v>46293</v>
      </c>
      <c r="G2264" s="3" t="s">
        <v>17</v>
      </c>
      <c r="H2264" s="5">
        <v>-25000</v>
      </c>
      <c r="I2264" s="3" t="s">
        <v>18</v>
      </c>
      <c r="J2264" s="3" t="s">
        <v>14</v>
      </c>
      <c r="K2264" s="3" t="s">
        <v>14</v>
      </c>
      <c r="L2264" s="3" t="s">
        <v>1976</v>
      </c>
      <c r="M2264" s="4">
        <v>46295</v>
      </c>
      <c r="N2264" s="3" t="s">
        <v>1977</v>
      </c>
      <c r="O2264" s="3" t="s">
        <v>52</v>
      </c>
      <c r="P2264" t="str">
        <f t="shared" si="35"/>
        <v>450013851880</v>
      </c>
      <c r="Q2264" s="7" cm="1">
        <f t="array" ref="Q2264:S2264">VLOOKUP(P2264,Hoja1!C:F,{2,3,4},FALSE)</f>
        <v>46296</v>
      </c>
      <c r="R2264" t="str">
        <v>C28</v>
      </c>
      <c r="S2264" t="str">
        <v>1000001481 D'AGOSTINO LUCIANO MATIAS</v>
      </c>
    </row>
    <row r="2265" spans="1:19" x14ac:dyDescent="0.3">
      <c r="A2265" s="2" t="s">
        <v>14</v>
      </c>
      <c r="B2265" s="3" t="s">
        <v>14</v>
      </c>
      <c r="C2265" s="3" t="s">
        <v>1975</v>
      </c>
      <c r="D2265" s="3" t="s">
        <v>32</v>
      </c>
      <c r="E2265" s="3" t="s">
        <v>466</v>
      </c>
      <c r="F2265" s="4">
        <v>46293</v>
      </c>
      <c r="G2265" s="3" t="s">
        <v>17</v>
      </c>
      <c r="H2265" s="5">
        <v>-840000</v>
      </c>
      <c r="I2265" s="3" t="s">
        <v>18</v>
      </c>
      <c r="J2265" s="3" t="s">
        <v>14</v>
      </c>
      <c r="K2265" s="3" t="s">
        <v>14</v>
      </c>
      <c r="L2265" s="3" t="s">
        <v>1976</v>
      </c>
      <c r="M2265" s="4">
        <v>46295</v>
      </c>
      <c r="N2265" s="3" t="s">
        <v>1977</v>
      </c>
      <c r="O2265" s="3" t="s">
        <v>138</v>
      </c>
      <c r="P2265" t="str">
        <f t="shared" si="35"/>
        <v>450013851890</v>
      </c>
      <c r="Q2265" s="7" cm="1">
        <f t="array" ref="Q2265:S2265">VLOOKUP(P2265,Hoja1!C:F,{2,3,4},FALSE)</f>
        <v>46296</v>
      </c>
      <c r="R2265" t="str">
        <v>C28</v>
      </c>
      <c r="S2265" t="str">
        <v>1000001481 D'AGOSTINO LUCIANO MATIAS</v>
      </c>
    </row>
    <row r="2266" spans="1:19" x14ac:dyDescent="0.3">
      <c r="A2266" s="2" t="s">
        <v>14</v>
      </c>
      <c r="B2266" s="3" t="s">
        <v>14</v>
      </c>
      <c r="C2266" s="3" t="s">
        <v>1975</v>
      </c>
      <c r="D2266" s="3" t="s">
        <v>32</v>
      </c>
      <c r="E2266" s="3" t="s">
        <v>466</v>
      </c>
      <c r="F2266" s="4">
        <v>46293</v>
      </c>
      <c r="G2266" s="3" t="s">
        <v>17</v>
      </c>
      <c r="H2266" s="5">
        <v>-31500</v>
      </c>
      <c r="I2266" s="3" t="s">
        <v>18</v>
      </c>
      <c r="J2266" s="3" t="s">
        <v>14</v>
      </c>
      <c r="K2266" s="3" t="s">
        <v>14</v>
      </c>
      <c r="L2266" s="3" t="s">
        <v>1976</v>
      </c>
      <c r="M2266" s="4">
        <v>46295</v>
      </c>
      <c r="N2266" s="3" t="s">
        <v>1977</v>
      </c>
      <c r="O2266" s="3" t="s">
        <v>45</v>
      </c>
      <c r="P2266" t="str">
        <f t="shared" si="35"/>
        <v>4500138518100</v>
      </c>
      <c r="Q2266" s="7" cm="1">
        <f t="array" ref="Q2266:S2266">VLOOKUP(P2266,Hoja1!C:F,{2,3,4},FALSE)</f>
        <v>46296</v>
      </c>
      <c r="R2266" t="str">
        <v>C28</v>
      </c>
      <c r="S2266" t="str">
        <v>1000001481 D'AGOSTINO LUCIANO MATIAS</v>
      </c>
    </row>
    <row r="2267" spans="1:19" x14ac:dyDescent="0.3">
      <c r="A2267" s="2" t="s">
        <v>14</v>
      </c>
      <c r="B2267" s="3" t="s">
        <v>14</v>
      </c>
      <c r="C2267" s="3" t="s">
        <v>1975</v>
      </c>
      <c r="D2267" s="3" t="s">
        <v>32</v>
      </c>
      <c r="E2267" s="3" t="s">
        <v>466</v>
      </c>
      <c r="F2267" s="4">
        <v>46293</v>
      </c>
      <c r="G2267" s="3" t="s">
        <v>17</v>
      </c>
      <c r="H2267" s="5">
        <v>-160</v>
      </c>
      <c r="I2267" s="3" t="s">
        <v>18</v>
      </c>
      <c r="J2267" s="3" t="s">
        <v>14</v>
      </c>
      <c r="K2267" s="3" t="s">
        <v>14</v>
      </c>
      <c r="L2267" s="3" t="s">
        <v>1976</v>
      </c>
      <c r="M2267" s="4">
        <v>46295</v>
      </c>
      <c r="N2267" s="3" t="s">
        <v>1977</v>
      </c>
      <c r="O2267" s="3" t="s">
        <v>156</v>
      </c>
      <c r="P2267" t="str">
        <f t="shared" si="35"/>
        <v>4500138518110</v>
      </c>
      <c r="Q2267" s="7" cm="1">
        <f t="array" ref="Q2267:S2267">VLOOKUP(P2267,Hoja1!C:F,{2,3,4},FALSE)</f>
        <v>46296</v>
      </c>
      <c r="R2267" t="str">
        <v>C28</v>
      </c>
      <c r="S2267" t="str">
        <v>1000001481 D'AGOSTINO LUCIANO MATIAS</v>
      </c>
    </row>
    <row r="2268" spans="1:19" x14ac:dyDescent="0.3">
      <c r="A2268" s="2" t="s">
        <v>14</v>
      </c>
      <c r="B2268" s="3" t="s">
        <v>14</v>
      </c>
      <c r="C2268" s="3" t="s">
        <v>1978</v>
      </c>
      <c r="D2268" s="3" t="s">
        <v>32</v>
      </c>
      <c r="E2268" s="3" t="s">
        <v>466</v>
      </c>
      <c r="F2268" s="4">
        <v>46294</v>
      </c>
      <c r="G2268" s="3" t="s">
        <v>17</v>
      </c>
      <c r="H2268" s="5">
        <v>-366368.78</v>
      </c>
      <c r="I2268" s="3" t="s">
        <v>18</v>
      </c>
      <c r="J2268" s="3" t="s">
        <v>14</v>
      </c>
      <c r="K2268" s="3" t="s">
        <v>14</v>
      </c>
      <c r="L2268" s="3" t="s">
        <v>73</v>
      </c>
      <c r="M2268" s="4">
        <v>46294</v>
      </c>
      <c r="N2268" s="3" t="s">
        <v>436</v>
      </c>
      <c r="O2268" s="3" t="s">
        <v>30</v>
      </c>
      <c r="P2268" t="str">
        <f t="shared" si="35"/>
        <v>450013922410</v>
      </c>
      <c r="Q2268" s="7" cm="1">
        <f t="array" ref="Q2268:S2268">VLOOKUP(P2268,Hoja1!C:F,{2,3,4},FALSE)</f>
        <v>46326</v>
      </c>
      <c r="R2268" t="str">
        <v>C21</v>
      </c>
      <c r="S2268" t="str">
        <v>1000000808 GLOBAL OIL S.R.L.</v>
      </c>
    </row>
    <row r="2269" spans="1:19" x14ac:dyDescent="0.3">
      <c r="A2269" s="2" t="s">
        <v>14</v>
      </c>
      <c r="B2269" s="3" t="s">
        <v>14</v>
      </c>
      <c r="C2269" s="3" t="s">
        <v>1979</v>
      </c>
      <c r="D2269" s="3" t="s">
        <v>14</v>
      </c>
      <c r="E2269" s="3" t="s">
        <v>466</v>
      </c>
      <c r="F2269" s="4">
        <v>46293</v>
      </c>
      <c r="G2269" s="3" t="s">
        <v>17</v>
      </c>
      <c r="H2269" s="5">
        <v>-211205.65</v>
      </c>
      <c r="I2269" s="3" t="s">
        <v>18</v>
      </c>
      <c r="J2269" s="3" t="s">
        <v>14</v>
      </c>
      <c r="K2269" s="3" t="s">
        <v>14</v>
      </c>
      <c r="L2269" s="3" t="s">
        <v>117</v>
      </c>
      <c r="M2269" s="4">
        <v>46295</v>
      </c>
      <c r="N2269" s="3" t="s">
        <v>1980</v>
      </c>
      <c r="O2269" s="3" t="s">
        <v>22</v>
      </c>
      <c r="P2269" t="str">
        <f t="shared" si="35"/>
        <v>450013897020</v>
      </c>
      <c r="Q2269" s="7" cm="1">
        <f t="array" ref="Q2269:S2269">VLOOKUP(P2269,Hoja1!C:F,{2,3,4},FALSE)</f>
        <v>46292</v>
      </c>
      <c r="R2269" t="str">
        <v>C03</v>
      </c>
      <c r="S2269" t="str">
        <v>1000001129 AGRONORTE S.R.L.</v>
      </c>
    </row>
    <row r="2270" spans="1:19" x14ac:dyDescent="0.3">
      <c r="A2270" s="2" t="s">
        <v>14</v>
      </c>
      <c r="B2270" s="3" t="s">
        <v>14</v>
      </c>
      <c r="C2270" s="3" t="s">
        <v>1981</v>
      </c>
      <c r="D2270" s="3" t="s">
        <v>14</v>
      </c>
      <c r="E2270" s="3" t="s">
        <v>466</v>
      </c>
      <c r="F2270" s="4">
        <v>46293</v>
      </c>
      <c r="G2270" s="3" t="s">
        <v>17</v>
      </c>
      <c r="H2270" s="5">
        <v>-370361.05</v>
      </c>
      <c r="I2270" s="3" t="s">
        <v>18</v>
      </c>
      <c r="J2270" s="3" t="s">
        <v>14</v>
      </c>
      <c r="K2270" s="3" t="s">
        <v>14</v>
      </c>
      <c r="L2270" s="3" t="s">
        <v>117</v>
      </c>
      <c r="M2270" s="4">
        <v>46295</v>
      </c>
      <c r="N2270" s="3" t="s">
        <v>1982</v>
      </c>
      <c r="O2270" s="3" t="s">
        <v>22</v>
      </c>
      <c r="P2270" t="str">
        <f t="shared" si="35"/>
        <v>450013892120</v>
      </c>
      <c r="Q2270" s="7" cm="1">
        <f t="array" ref="Q2270:S2270">VLOOKUP(P2270,Hoja1!C:F,{2,3,4},FALSE)</f>
        <v>46325</v>
      </c>
      <c r="R2270" t="str">
        <v>C03</v>
      </c>
      <c r="S2270" t="str">
        <v>1000001129 AGRONORTE S.R.L.</v>
      </c>
    </row>
    <row r="2271" spans="1:19" x14ac:dyDescent="0.3">
      <c r="A2271" s="2" t="s">
        <v>14</v>
      </c>
      <c r="B2271" s="3" t="s">
        <v>14</v>
      </c>
      <c r="C2271" s="3" t="s">
        <v>1981</v>
      </c>
      <c r="D2271" s="3" t="s">
        <v>14</v>
      </c>
      <c r="E2271" s="3" t="s">
        <v>466</v>
      </c>
      <c r="F2271" s="4">
        <v>46293</v>
      </c>
      <c r="G2271" s="3" t="s">
        <v>17</v>
      </c>
      <c r="H2271" s="5">
        <v>-481684.85</v>
      </c>
      <c r="I2271" s="3" t="s">
        <v>18</v>
      </c>
      <c r="J2271" s="3" t="s">
        <v>14</v>
      </c>
      <c r="K2271" s="3" t="s">
        <v>14</v>
      </c>
      <c r="L2271" s="3" t="s">
        <v>117</v>
      </c>
      <c r="M2271" s="4">
        <v>46295</v>
      </c>
      <c r="N2271" s="3" t="s">
        <v>1982</v>
      </c>
      <c r="O2271" s="3" t="s">
        <v>23</v>
      </c>
      <c r="P2271" t="str">
        <f t="shared" si="35"/>
        <v>450013892140</v>
      </c>
      <c r="Q2271" s="7" cm="1">
        <f t="array" ref="Q2271:S2271">VLOOKUP(P2271,Hoja1!C:F,{2,3,4},FALSE)</f>
        <v>46315</v>
      </c>
      <c r="R2271" t="str">
        <v>C03</v>
      </c>
      <c r="S2271" t="str">
        <v>1000001129 AGRONORTE S.R.L.</v>
      </c>
    </row>
    <row r="2272" spans="1:19" x14ac:dyDescent="0.3">
      <c r="A2272" s="2" t="s">
        <v>14</v>
      </c>
      <c r="B2272" s="3" t="s">
        <v>14</v>
      </c>
      <c r="C2272" s="3" t="s">
        <v>1983</v>
      </c>
      <c r="D2272" s="3" t="s">
        <v>84</v>
      </c>
      <c r="E2272" s="3" t="s">
        <v>466</v>
      </c>
      <c r="F2272" s="4">
        <v>46295</v>
      </c>
      <c r="G2272" s="3" t="s">
        <v>17</v>
      </c>
      <c r="H2272" s="5">
        <v>-142936.20000000001</v>
      </c>
      <c r="I2272" s="3" t="s">
        <v>18</v>
      </c>
      <c r="J2272" s="3" t="s">
        <v>14</v>
      </c>
      <c r="K2272" s="3" t="s">
        <v>14</v>
      </c>
      <c r="L2272" s="3" t="s">
        <v>91</v>
      </c>
      <c r="M2272" s="4">
        <v>46295</v>
      </c>
      <c r="N2272" s="3" t="s">
        <v>1984</v>
      </c>
      <c r="O2272" s="3" t="s">
        <v>30</v>
      </c>
      <c r="P2272" t="str">
        <f t="shared" si="35"/>
        <v>450013970510</v>
      </c>
      <c r="Q2272" s="7" cm="1">
        <f t="array" ref="Q2272:S2272">VLOOKUP(P2272,Hoja1!C:F,{2,3,4},FALSE)</f>
        <v>46296</v>
      </c>
      <c r="R2272" t="str">
        <v>C06</v>
      </c>
      <c r="S2272" t="str">
        <v>1000000015 MADETEC S.A.</v>
      </c>
    </row>
    <row r="2273" spans="1:19" x14ac:dyDescent="0.3">
      <c r="A2273" s="2" t="s">
        <v>14</v>
      </c>
      <c r="B2273" s="3" t="s">
        <v>14</v>
      </c>
      <c r="C2273" s="3" t="s">
        <v>1983</v>
      </c>
      <c r="D2273" s="3" t="s">
        <v>84</v>
      </c>
      <c r="E2273" s="3" t="s">
        <v>466</v>
      </c>
      <c r="F2273" s="4">
        <v>46295</v>
      </c>
      <c r="G2273" s="3" t="s">
        <v>17</v>
      </c>
      <c r="H2273" s="5">
        <v>-366717.84</v>
      </c>
      <c r="I2273" s="3" t="s">
        <v>18</v>
      </c>
      <c r="J2273" s="3" t="s">
        <v>14</v>
      </c>
      <c r="K2273" s="3" t="s">
        <v>14</v>
      </c>
      <c r="L2273" s="3" t="s">
        <v>91</v>
      </c>
      <c r="M2273" s="4">
        <v>46295</v>
      </c>
      <c r="N2273" s="3" t="s">
        <v>1984</v>
      </c>
      <c r="O2273" s="3" t="s">
        <v>22</v>
      </c>
      <c r="P2273" t="str">
        <f t="shared" si="35"/>
        <v>450013970520</v>
      </c>
      <c r="Q2273" s="7" cm="1">
        <f t="array" ref="Q2273:S2273">VLOOKUP(P2273,Hoja1!C:F,{2,3,4},FALSE)</f>
        <v>46296</v>
      </c>
      <c r="R2273" t="str">
        <v>C06</v>
      </c>
      <c r="S2273" t="str">
        <v>1000000015 MADETEC S.A.</v>
      </c>
    </row>
    <row r="2274" spans="1:19" x14ac:dyDescent="0.3">
      <c r="A2274" s="2" t="s">
        <v>14</v>
      </c>
      <c r="B2274" s="3" t="s">
        <v>14</v>
      </c>
      <c r="C2274" s="3" t="s">
        <v>1985</v>
      </c>
      <c r="D2274" s="3" t="s">
        <v>25</v>
      </c>
      <c r="E2274" s="3" t="s">
        <v>466</v>
      </c>
      <c r="F2274" s="4">
        <v>46283</v>
      </c>
      <c r="G2274" s="3" t="s">
        <v>17</v>
      </c>
      <c r="H2274" s="5">
        <v>-147197.5</v>
      </c>
      <c r="I2274" s="3" t="s">
        <v>18</v>
      </c>
      <c r="J2274" s="3" t="s">
        <v>14</v>
      </c>
      <c r="K2274" s="3" t="s">
        <v>14</v>
      </c>
      <c r="L2274" s="3" t="s">
        <v>720</v>
      </c>
      <c r="M2274" s="4">
        <v>46295</v>
      </c>
      <c r="N2274" s="3" t="s">
        <v>1986</v>
      </c>
      <c r="O2274" s="3" t="s">
        <v>22</v>
      </c>
      <c r="P2274" t="str">
        <f t="shared" si="35"/>
        <v>450013738520</v>
      </c>
      <c r="Q2274" s="7" cm="1">
        <f t="array" ref="Q2274:S2274">VLOOKUP(P2274,Hoja1!C:F,{2,3,4},FALSE)</f>
        <v>46301</v>
      </c>
      <c r="R2274" t="str">
        <v>C38</v>
      </c>
      <c r="S2274" t="str">
        <v>1000001379 TECNO CONSULTING SA</v>
      </c>
    </row>
    <row r="2275" spans="1:19" x14ac:dyDescent="0.3">
      <c r="A2275" s="2" t="s">
        <v>14</v>
      </c>
      <c r="B2275" s="3" t="s">
        <v>14</v>
      </c>
      <c r="C2275" s="3" t="s">
        <v>1987</v>
      </c>
      <c r="D2275" s="3" t="s">
        <v>14</v>
      </c>
      <c r="E2275" s="3" t="s">
        <v>466</v>
      </c>
      <c r="F2275" s="4">
        <v>46293</v>
      </c>
      <c r="G2275" s="3" t="s">
        <v>17</v>
      </c>
      <c r="H2275" s="5">
        <v>-1616137.5</v>
      </c>
      <c r="I2275" s="3" t="s">
        <v>18</v>
      </c>
      <c r="J2275" s="3" t="s">
        <v>14</v>
      </c>
      <c r="K2275" s="3" t="s">
        <v>14</v>
      </c>
      <c r="L2275" s="3" t="s">
        <v>117</v>
      </c>
      <c r="M2275" s="4">
        <v>46295</v>
      </c>
      <c r="N2275" s="3" t="s">
        <v>1988</v>
      </c>
      <c r="O2275" s="3" t="s">
        <v>30</v>
      </c>
      <c r="P2275" t="str">
        <f t="shared" si="35"/>
        <v>450013946610</v>
      </c>
      <c r="Q2275" s="7" cm="1">
        <f t="array" ref="Q2275:S2275">VLOOKUP(P2275,Hoja1!C:F,{2,3,4},FALSE)</f>
        <v>46295</v>
      </c>
      <c r="R2275" t="str">
        <v>G01</v>
      </c>
      <c r="S2275" t="str">
        <v>1000001129 AGRONORTE S.R.L.</v>
      </c>
    </row>
    <row r="2276" spans="1:19" x14ac:dyDescent="0.3">
      <c r="A2276" s="2" t="s">
        <v>14</v>
      </c>
      <c r="B2276" s="3" t="s">
        <v>14</v>
      </c>
      <c r="C2276" s="3" t="s">
        <v>1989</v>
      </c>
      <c r="D2276" s="3" t="s">
        <v>32</v>
      </c>
      <c r="E2276" s="3" t="s">
        <v>466</v>
      </c>
      <c r="F2276" s="4">
        <v>46294</v>
      </c>
      <c r="G2276" s="3" t="s">
        <v>17</v>
      </c>
      <c r="H2276" s="5">
        <v>-683906.9</v>
      </c>
      <c r="I2276" s="3" t="s">
        <v>18</v>
      </c>
      <c r="J2276" s="3" t="s">
        <v>14</v>
      </c>
      <c r="K2276" s="3" t="s">
        <v>14</v>
      </c>
      <c r="L2276" s="3" t="s">
        <v>1990</v>
      </c>
      <c r="M2276" s="4">
        <v>46295</v>
      </c>
      <c r="N2276" s="3" t="s">
        <v>1991</v>
      </c>
      <c r="O2276" s="3" t="s">
        <v>30</v>
      </c>
      <c r="P2276" t="str">
        <f t="shared" si="35"/>
        <v>450013961210</v>
      </c>
      <c r="Q2276" s="7" cm="1">
        <f t="array" ref="Q2276:S2276">VLOOKUP(P2276,Hoja1!C:F,{2,3,4},FALSE)</f>
        <v>46325</v>
      </c>
      <c r="R2276" t="str">
        <v>377</v>
      </c>
      <c r="S2276" t="str">
        <v>1000008359 SIDERCAM S.A.</v>
      </c>
    </row>
    <row r="2277" spans="1:19" x14ac:dyDescent="0.3">
      <c r="A2277" s="2" t="s">
        <v>14</v>
      </c>
      <c r="B2277" s="3" t="s">
        <v>14</v>
      </c>
      <c r="C2277" s="3" t="s">
        <v>1992</v>
      </c>
      <c r="D2277" s="3" t="s">
        <v>14</v>
      </c>
      <c r="E2277" s="3" t="s">
        <v>466</v>
      </c>
      <c r="F2277" s="4">
        <v>46293</v>
      </c>
      <c r="G2277" s="3" t="s">
        <v>17</v>
      </c>
      <c r="H2277" s="5">
        <v>-3680089.25</v>
      </c>
      <c r="I2277" s="3" t="s">
        <v>18</v>
      </c>
      <c r="J2277" s="3" t="s">
        <v>14</v>
      </c>
      <c r="K2277" s="3" t="s">
        <v>14</v>
      </c>
      <c r="L2277" s="3" t="s">
        <v>117</v>
      </c>
      <c r="M2277" s="4">
        <v>46295</v>
      </c>
      <c r="N2277" s="3" t="s">
        <v>1993</v>
      </c>
      <c r="O2277" s="3" t="s">
        <v>30</v>
      </c>
      <c r="P2277" t="str">
        <f t="shared" si="35"/>
        <v>450013937010</v>
      </c>
      <c r="Q2277" s="7" cm="1">
        <f t="array" ref="Q2277:S2277">VLOOKUP(P2277,Hoja1!C:F,{2,3,4},FALSE)</f>
        <v>46309</v>
      </c>
      <c r="R2277" t="str">
        <v>C03</v>
      </c>
      <c r="S2277" t="str">
        <v>1000001129 AGRONORTE S.R.L.</v>
      </c>
    </row>
    <row r="2278" spans="1:19" x14ac:dyDescent="0.3">
      <c r="A2278" s="2" t="s">
        <v>14</v>
      </c>
      <c r="B2278" s="3" t="s">
        <v>14</v>
      </c>
      <c r="C2278" s="3" t="s">
        <v>1992</v>
      </c>
      <c r="D2278" s="3" t="s">
        <v>14</v>
      </c>
      <c r="E2278" s="3" t="s">
        <v>466</v>
      </c>
      <c r="F2278" s="4">
        <v>46293</v>
      </c>
      <c r="G2278" s="3" t="s">
        <v>17</v>
      </c>
      <c r="H2278" s="5">
        <v>-3884481.33</v>
      </c>
      <c r="I2278" s="3" t="s">
        <v>18</v>
      </c>
      <c r="J2278" s="3" t="s">
        <v>14</v>
      </c>
      <c r="K2278" s="3" t="s">
        <v>14</v>
      </c>
      <c r="L2278" s="3" t="s">
        <v>117</v>
      </c>
      <c r="M2278" s="4">
        <v>46295</v>
      </c>
      <c r="N2278" s="3" t="s">
        <v>1993</v>
      </c>
      <c r="O2278" s="3" t="s">
        <v>22</v>
      </c>
      <c r="P2278" t="str">
        <f t="shared" si="35"/>
        <v>450013937020</v>
      </c>
      <c r="Q2278" s="7" cm="1">
        <f t="array" ref="Q2278:S2278">VLOOKUP(P2278,Hoja1!C:F,{2,3,4},FALSE)</f>
        <v>46309</v>
      </c>
      <c r="R2278" t="str">
        <v>C03</v>
      </c>
      <c r="S2278" t="str">
        <v>1000001129 AGRONORTE S.R.L.</v>
      </c>
    </row>
    <row r="2279" spans="1:19" x14ac:dyDescent="0.3">
      <c r="A2279" s="2" t="s">
        <v>14</v>
      </c>
      <c r="B2279" s="3" t="s">
        <v>14</v>
      </c>
      <c r="C2279" s="3" t="s">
        <v>1994</v>
      </c>
      <c r="D2279" s="3" t="s">
        <v>14</v>
      </c>
      <c r="E2279" s="3" t="s">
        <v>466</v>
      </c>
      <c r="F2279" s="4">
        <v>46293</v>
      </c>
      <c r="G2279" s="3" t="s">
        <v>17</v>
      </c>
      <c r="H2279" s="5">
        <v>-459923.9</v>
      </c>
      <c r="I2279" s="3" t="s">
        <v>18</v>
      </c>
      <c r="J2279" s="3" t="s">
        <v>14</v>
      </c>
      <c r="K2279" s="3" t="s">
        <v>14</v>
      </c>
      <c r="L2279" s="3" t="s">
        <v>117</v>
      </c>
      <c r="M2279" s="4">
        <v>46295</v>
      </c>
      <c r="N2279" s="3" t="s">
        <v>1995</v>
      </c>
      <c r="O2279" s="3" t="s">
        <v>30</v>
      </c>
      <c r="P2279" t="str">
        <f t="shared" si="35"/>
        <v>450013750710</v>
      </c>
      <c r="Q2279" s="7" cm="1">
        <f t="array" ref="Q2279:S2279">VLOOKUP(P2279,Hoja1!C:F,{2,3,4},FALSE)</f>
        <v>46290</v>
      </c>
      <c r="R2279" t="str">
        <v>C03</v>
      </c>
      <c r="S2279" t="str">
        <v>1000001129 AGRONORTE S.R.L.</v>
      </c>
    </row>
    <row r="2280" spans="1:19" x14ac:dyDescent="0.3">
      <c r="A2280" s="2" t="s">
        <v>14</v>
      </c>
      <c r="B2280" s="3" t="s">
        <v>14</v>
      </c>
      <c r="C2280" s="3" t="s">
        <v>1996</v>
      </c>
      <c r="D2280" s="3" t="s">
        <v>14</v>
      </c>
      <c r="E2280" s="3" t="s">
        <v>466</v>
      </c>
      <c r="F2280" s="4">
        <v>46293</v>
      </c>
      <c r="G2280" s="3" t="s">
        <v>17</v>
      </c>
      <c r="H2280" s="5">
        <v>-304880.93</v>
      </c>
      <c r="I2280" s="3" t="s">
        <v>18</v>
      </c>
      <c r="J2280" s="3" t="s">
        <v>14</v>
      </c>
      <c r="K2280" s="3" t="s">
        <v>14</v>
      </c>
      <c r="L2280" s="3" t="s">
        <v>117</v>
      </c>
      <c r="M2280" s="4">
        <v>46295</v>
      </c>
      <c r="N2280" s="3" t="s">
        <v>1993</v>
      </c>
      <c r="O2280" s="3" t="s">
        <v>35</v>
      </c>
      <c r="P2280" t="str">
        <f t="shared" si="35"/>
        <v>450013937030</v>
      </c>
      <c r="Q2280" s="7" cm="1">
        <f t="array" ref="Q2280:S2280">VLOOKUP(P2280,Hoja1!C:F,{2,3,4},FALSE)</f>
        <v>46309</v>
      </c>
      <c r="R2280" t="str">
        <v>C03</v>
      </c>
      <c r="S2280" t="str">
        <v>1000001129 AGRONORTE S.R.L.</v>
      </c>
    </row>
    <row r="2281" spans="1:19" x14ac:dyDescent="0.3">
      <c r="A2281" s="2" t="s">
        <v>14</v>
      </c>
      <c r="B2281" s="3" t="s">
        <v>14</v>
      </c>
      <c r="C2281" s="3" t="s">
        <v>1997</v>
      </c>
      <c r="D2281" s="3" t="s">
        <v>14</v>
      </c>
      <c r="E2281" s="3" t="s">
        <v>466</v>
      </c>
      <c r="F2281" s="4">
        <v>46293</v>
      </c>
      <c r="G2281" s="3" t="s">
        <v>17</v>
      </c>
      <c r="H2281" s="5">
        <v>-878723.55</v>
      </c>
      <c r="I2281" s="3" t="s">
        <v>18</v>
      </c>
      <c r="J2281" s="3" t="s">
        <v>14</v>
      </c>
      <c r="K2281" s="3" t="s">
        <v>14</v>
      </c>
      <c r="L2281" s="3" t="s">
        <v>117</v>
      </c>
      <c r="M2281" s="4">
        <v>46295</v>
      </c>
      <c r="N2281" s="3" t="s">
        <v>1998</v>
      </c>
      <c r="O2281" s="3" t="s">
        <v>30</v>
      </c>
      <c r="P2281" t="str">
        <f t="shared" si="35"/>
        <v>450013963110</v>
      </c>
      <c r="Q2281" s="7" cm="1">
        <f t="array" ref="Q2281:S2281">VLOOKUP(P2281,Hoja1!C:F,{2,3,4},FALSE)</f>
        <v>46296</v>
      </c>
      <c r="R2281" t="str">
        <v>C03</v>
      </c>
      <c r="S2281" t="str">
        <v>1000001129 AGRONORTE S.R.L.</v>
      </c>
    </row>
    <row r="2282" spans="1:19" x14ac:dyDescent="0.3">
      <c r="A2282" s="2" t="s">
        <v>14</v>
      </c>
      <c r="B2282" s="3" t="s">
        <v>14</v>
      </c>
      <c r="C2282" s="3" t="s">
        <v>1999</v>
      </c>
      <c r="D2282" s="3" t="s">
        <v>14</v>
      </c>
      <c r="E2282" s="3" t="s">
        <v>466</v>
      </c>
      <c r="F2282" s="4">
        <v>46293</v>
      </c>
      <c r="G2282" s="3" t="s">
        <v>17</v>
      </c>
      <c r="H2282" s="5">
        <v>-75298.350000000006</v>
      </c>
      <c r="I2282" s="3" t="s">
        <v>18</v>
      </c>
      <c r="J2282" s="3" t="s">
        <v>14</v>
      </c>
      <c r="K2282" s="3" t="s">
        <v>14</v>
      </c>
      <c r="L2282" s="3" t="s">
        <v>117</v>
      </c>
      <c r="M2282" s="4">
        <v>46295</v>
      </c>
      <c r="N2282" s="3" t="s">
        <v>2000</v>
      </c>
      <c r="O2282" s="3" t="s">
        <v>30</v>
      </c>
      <c r="P2282" t="str">
        <f t="shared" si="35"/>
        <v>450013871610</v>
      </c>
      <c r="Q2282" s="7" cm="1">
        <f t="array" ref="Q2282:S2282">VLOOKUP(P2282,Hoja1!C:F,{2,3,4},FALSE)</f>
        <v>46290</v>
      </c>
      <c r="R2282" t="str">
        <v>F06</v>
      </c>
      <c r="S2282" t="str">
        <v>1000001129 AGRONORTE S.R.L.</v>
      </c>
    </row>
    <row r="2283" spans="1:19" x14ac:dyDescent="0.3">
      <c r="A2283" s="2" t="s">
        <v>14</v>
      </c>
      <c r="B2283" s="3" t="s">
        <v>14</v>
      </c>
      <c r="C2283" s="3" t="s">
        <v>1999</v>
      </c>
      <c r="D2283" s="3" t="s">
        <v>14</v>
      </c>
      <c r="E2283" s="3" t="s">
        <v>466</v>
      </c>
      <c r="F2283" s="4">
        <v>46293</v>
      </c>
      <c r="G2283" s="3" t="s">
        <v>17</v>
      </c>
      <c r="H2283" s="5">
        <v>-289083.75</v>
      </c>
      <c r="I2283" s="3" t="s">
        <v>18</v>
      </c>
      <c r="J2283" s="3" t="s">
        <v>14</v>
      </c>
      <c r="K2283" s="3" t="s">
        <v>14</v>
      </c>
      <c r="L2283" s="3" t="s">
        <v>117</v>
      </c>
      <c r="M2283" s="4">
        <v>46295</v>
      </c>
      <c r="N2283" s="3" t="s">
        <v>2000</v>
      </c>
      <c r="O2283" s="3" t="s">
        <v>22</v>
      </c>
      <c r="P2283" t="str">
        <f t="shared" si="35"/>
        <v>450013871620</v>
      </c>
      <c r="Q2283" s="7" cm="1">
        <f t="array" ref="Q2283:S2283">VLOOKUP(P2283,Hoja1!C:F,{2,3,4},FALSE)</f>
        <v>46290</v>
      </c>
      <c r="R2283" t="str">
        <v>F06</v>
      </c>
      <c r="S2283" t="str">
        <v>1000001129 AGRONORTE S.R.L.</v>
      </c>
    </row>
    <row r="2284" spans="1:19" x14ac:dyDescent="0.3">
      <c r="A2284" s="2" t="s">
        <v>14</v>
      </c>
      <c r="B2284" s="3" t="s">
        <v>14</v>
      </c>
      <c r="C2284" s="3" t="s">
        <v>1999</v>
      </c>
      <c r="D2284" s="3" t="s">
        <v>14</v>
      </c>
      <c r="E2284" s="3" t="s">
        <v>466</v>
      </c>
      <c r="F2284" s="4">
        <v>46293</v>
      </c>
      <c r="G2284" s="3" t="s">
        <v>17</v>
      </c>
      <c r="H2284" s="5">
        <v>-258157.1</v>
      </c>
      <c r="I2284" s="3" t="s">
        <v>18</v>
      </c>
      <c r="J2284" s="3" t="s">
        <v>14</v>
      </c>
      <c r="K2284" s="3" t="s">
        <v>14</v>
      </c>
      <c r="L2284" s="3" t="s">
        <v>117</v>
      </c>
      <c r="M2284" s="4">
        <v>46295</v>
      </c>
      <c r="N2284" s="3" t="s">
        <v>2000</v>
      </c>
      <c r="O2284" s="3" t="s">
        <v>35</v>
      </c>
      <c r="P2284" t="str">
        <f t="shared" si="35"/>
        <v>450013871630</v>
      </c>
      <c r="Q2284" s="7" cm="1">
        <f t="array" ref="Q2284:S2284">VLOOKUP(P2284,Hoja1!C:F,{2,3,4},FALSE)</f>
        <v>46290</v>
      </c>
      <c r="R2284" t="str">
        <v>F06</v>
      </c>
      <c r="S2284" t="str">
        <v>1000001129 AGRONORTE S.R.L.</v>
      </c>
    </row>
    <row r="2285" spans="1:19" x14ac:dyDescent="0.3">
      <c r="A2285" s="2" t="s">
        <v>14</v>
      </c>
      <c r="B2285" s="3" t="s">
        <v>14</v>
      </c>
      <c r="C2285" s="3" t="s">
        <v>1999</v>
      </c>
      <c r="D2285" s="3" t="s">
        <v>14</v>
      </c>
      <c r="E2285" s="3" t="s">
        <v>466</v>
      </c>
      <c r="F2285" s="4">
        <v>46293</v>
      </c>
      <c r="G2285" s="3" t="s">
        <v>17</v>
      </c>
      <c r="H2285" s="5">
        <v>-453702.15</v>
      </c>
      <c r="I2285" s="3" t="s">
        <v>18</v>
      </c>
      <c r="J2285" s="3" t="s">
        <v>14</v>
      </c>
      <c r="K2285" s="3" t="s">
        <v>14</v>
      </c>
      <c r="L2285" s="3" t="s">
        <v>117</v>
      </c>
      <c r="M2285" s="4">
        <v>46295</v>
      </c>
      <c r="N2285" s="3" t="s">
        <v>2000</v>
      </c>
      <c r="O2285" s="3" t="s">
        <v>23</v>
      </c>
      <c r="P2285" t="str">
        <f t="shared" si="35"/>
        <v>450013871640</v>
      </c>
      <c r="Q2285" s="7" cm="1">
        <f t="array" ref="Q2285:S2285">VLOOKUP(P2285,Hoja1!C:F,{2,3,4},FALSE)</f>
        <v>46290</v>
      </c>
      <c r="R2285" t="str">
        <v>F06</v>
      </c>
      <c r="S2285" t="str">
        <v>1000001129 AGRONORTE S.R.L.</v>
      </c>
    </row>
    <row r="2286" spans="1:19" x14ac:dyDescent="0.3">
      <c r="A2286" s="2" t="s">
        <v>14</v>
      </c>
      <c r="B2286" s="3" t="s">
        <v>14</v>
      </c>
      <c r="C2286" s="3" t="s">
        <v>1999</v>
      </c>
      <c r="D2286" s="3" t="s">
        <v>14</v>
      </c>
      <c r="E2286" s="3" t="s">
        <v>466</v>
      </c>
      <c r="F2286" s="4">
        <v>46293</v>
      </c>
      <c r="G2286" s="3" t="s">
        <v>17</v>
      </c>
      <c r="H2286" s="5">
        <v>-122234.63</v>
      </c>
      <c r="I2286" s="3" t="s">
        <v>18</v>
      </c>
      <c r="J2286" s="3" t="s">
        <v>14</v>
      </c>
      <c r="K2286" s="3" t="s">
        <v>14</v>
      </c>
      <c r="L2286" s="3" t="s">
        <v>117</v>
      </c>
      <c r="M2286" s="4">
        <v>46295</v>
      </c>
      <c r="N2286" s="3" t="s">
        <v>2000</v>
      </c>
      <c r="O2286" s="3" t="s">
        <v>144</v>
      </c>
      <c r="P2286" t="str">
        <f t="shared" si="35"/>
        <v>450013871650</v>
      </c>
      <c r="Q2286" s="7" cm="1">
        <f t="array" ref="Q2286:S2286">VLOOKUP(P2286,Hoja1!C:F,{2,3,4},FALSE)</f>
        <v>46290</v>
      </c>
      <c r="R2286" t="str">
        <v>F06</v>
      </c>
      <c r="S2286" t="str">
        <v>1000001129 AGRONORTE S.R.L.</v>
      </c>
    </row>
    <row r="2287" spans="1:19" x14ac:dyDescent="0.3">
      <c r="A2287" s="2" t="s">
        <v>14</v>
      </c>
      <c r="B2287" s="3" t="s">
        <v>14</v>
      </c>
      <c r="C2287" s="3" t="s">
        <v>1999</v>
      </c>
      <c r="D2287" s="3" t="s">
        <v>14</v>
      </c>
      <c r="E2287" s="3" t="s">
        <v>466</v>
      </c>
      <c r="F2287" s="4">
        <v>46293</v>
      </c>
      <c r="G2287" s="3" t="s">
        <v>17</v>
      </c>
      <c r="H2287" s="5">
        <v>-407904</v>
      </c>
      <c r="I2287" s="3" t="s">
        <v>18</v>
      </c>
      <c r="J2287" s="3" t="s">
        <v>14</v>
      </c>
      <c r="K2287" s="3" t="s">
        <v>14</v>
      </c>
      <c r="L2287" s="3" t="s">
        <v>117</v>
      </c>
      <c r="M2287" s="4">
        <v>46295</v>
      </c>
      <c r="N2287" s="3" t="s">
        <v>2000</v>
      </c>
      <c r="O2287" s="3" t="s">
        <v>141</v>
      </c>
      <c r="P2287" t="str">
        <f t="shared" si="35"/>
        <v>450013871660</v>
      </c>
      <c r="Q2287" s="7" cm="1">
        <f t="array" ref="Q2287:S2287">VLOOKUP(P2287,Hoja1!C:F,{2,3,4},FALSE)</f>
        <v>46290</v>
      </c>
      <c r="R2287" t="str">
        <v>F06</v>
      </c>
      <c r="S2287" t="str">
        <v>1000001129 AGRONORTE S.R.L.</v>
      </c>
    </row>
    <row r="2288" spans="1:19" x14ac:dyDescent="0.3">
      <c r="A2288" s="2" t="s">
        <v>14</v>
      </c>
      <c r="B2288" s="3" t="s">
        <v>14</v>
      </c>
      <c r="C2288" s="3" t="s">
        <v>1999</v>
      </c>
      <c r="D2288" s="3" t="s">
        <v>14</v>
      </c>
      <c r="E2288" s="3" t="s">
        <v>466</v>
      </c>
      <c r="F2288" s="4">
        <v>46293</v>
      </c>
      <c r="G2288" s="3" t="s">
        <v>17</v>
      </c>
      <c r="H2288" s="5">
        <v>-580170.6</v>
      </c>
      <c r="I2288" s="3" t="s">
        <v>18</v>
      </c>
      <c r="J2288" s="3" t="s">
        <v>14</v>
      </c>
      <c r="K2288" s="3" t="s">
        <v>14</v>
      </c>
      <c r="L2288" s="3" t="s">
        <v>117</v>
      </c>
      <c r="M2288" s="4">
        <v>46295</v>
      </c>
      <c r="N2288" s="3" t="s">
        <v>2000</v>
      </c>
      <c r="O2288" s="3" t="s">
        <v>134</v>
      </c>
      <c r="P2288" t="str">
        <f t="shared" si="35"/>
        <v>450013871670</v>
      </c>
      <c r="Q2288" s="7" cm="1">
        <f t="array" ref="Q2288:S2288">VLOOKUP(P2288,Hoja1!C:F,{2,3,4},FALSE)</f>
        <v>46290</v>
      </c>
      <c r="R2288" t="str">
        <v>F06</v>
      </c>
      <c r="S2288" t="str">
        <v>1000001129 AGRONORTE S.R.L.</v>
      </c>
    </row>
    <row r="2289" spans="1:19" x14ac:dyDescent="0.3">
      <c r="A2289" s="2" t="s">
        <v>14</v>
      </c>
      <c r="B2289" s="3" t="s">
        <v>14</v>
      </c>
      <c r="C2289" s="3" t="s">
        <v>1999</v>
      </c>
      <c r="D2289" s="3" t="s">
        <v>14</v>
      </c>
      <c r="E2289" s="3" t="s">
        <v>466</v>
      </c>
      <c r="F2289" s="4">
        <v>46293</v>
      </c>
      <c r="G2289" s="3" t="s">
        <v>17</v>
      </c>
      <c r="H2289" s="5">
        <v>-255789.8</v>
      </c>
      <c r="I2289" s="3" t="s">
        <v>18</v>
      </c>
      <c r="J2289" s="3" t="s">
        <v>14</v>
      </c>
      <c r="K2289" s="3" t="s">
        <v>14</v>
      </c>
      <c r="L2289" s="3" t="s">
        <v>117</v>
      </c>
      <c r="M2289" s="4">
        <v>46295</v>
      </c>
      <c r="N2289" s="3" t="s">
        <v>2000</v>
      </c>
      <c r="O2289" s="3" t="s">
        <v>52</v>
      </c>
      <c r="P2289" t="str">
        <f t="shared" si="35"/>
        <v>450013871680</v>
      </c>
      <c r="Q2289" s="7" cm="1">
        <f t="array" ref="Q2289:S2289">VLOOKUP(P2289,Hoja1!C:F,{2,3,4},FALSE)</f>
        <v>46290</v>
      </c>
      <c r="R2289" t="str">
        <v>F06</v>
      </c>
      <c r="S2289" t="str">
        <v>1000001129 AGRONORTE S.R.L.</v>
      </c>
    </row>
    <row r="2290" spans="1:19" x14ac:dyDescent="0.3">
      <c r="A2290" s="2" t="s">
        <v>14</v>
      </c>
      <c r="B2290" s="3" t="s">
        <v>14</v>
      </c>
      <c r="C2290" s="3" t="s">
        <v>1999</v>
      </c>
      <c r="D2290" s="3" t="s">
        <v>14</v>
      </c>
      <c r="E2290" s="3" t="s">
        <v>466</v>
      </c>
      <c r="F2290" s="4">
        <v>46293</v>
      </c>
      <c r="G2290" s="3" t="s">
        <v>17</v>
      </c>
      <c r="H2290" s="5">
        <v>-989592.1</v>
      </c>
      <c r="I2290" s="3" t="s">
        <v>18</v>
      </c>
      <c r="J2290" s="3" t="s">
        <v>14</v>
      </c>
      <c r="K2290" s="3" t="s">
        <v>14</v>
      </c>
      <c r="L2290" s="3" t="s">
        <v>117</v>
      </c>
      <c r="M2290" s="4">
        <v>46295</v>
      </c>
      <c r="N2290" s="3" t="s">
        <v>2000</v>
      </c>
      <c r="O2290" s="3" t="s">
        <v>138</v>
      </c>
      <c r="P2290" t="str">
        <f t="shared" si="35"/>
        <v>450013871690</v>
      </c>
      <c r="Q2290" s="7" cm="1">
        <f t="array" ref="Q2290:S2290">VLOOKUP(P2290,Hoja1!C:F,{2,3,4},FALSE)</f>
        <v>46290</v>
      </c>
      <c r="R2290" t="str">
        <v>F06</v>
      </c>
      <c r="S2290" t="str">
        <v>1000001129 AGRONORTE S.R.L.</v>
      </c>
    </row>
    <row r="2291" spans="1:19" x14ac:dyDescent="0.3">
      <c r="A2291" s="2" t="s">
        <v>14</v>
      </c>
      <c r="B2291" s="3" t="s">
        <v>14</v>
      </c>
      <c r="C2291" s="3" t="s">
        <v>1999</v>
      </c>
      <c r="D2291" s="3" t="s">
        <v>14</v>
      </c>
      <c r="E2291" s="3" t="s">
        <v>466</v>
      </c>
      <c r="F2291" s="4">
        <v>46293</v>
      </c>
      <c r="G2291" s="3" t="s">
        <v>17</v>
      </c>
      <c r="H2291" s="5">
        <v>-779448.7</v>
      </c>
      <c r="I2291" s="3" t="s">
        <v>18</v>
      </c>
      <c r="J2291" s="3" t="s">
        <v>14</v>
      </c>
      <c r="K2291" s="3" t="s">
        <v>14</v>
      </c>
      <c r="L2291" s="3" t="s">
        <v>117</v>
      </c>
      <c r="M2291" s="4">
        <v>46295</v>
      </c>
      <c r="N2291" s="3" t="s">
        <v>2000</v>
      </c>
      <c r="O2291" s="3" t="s">
        <v>45</v>
      </c>
      <c r="P2291" t="str">
        <f t="shared" si="35"/>
        <v>4500138716100</v>
      </c>
      <c r="Q2291" s="7" cm="1">
        <f t="array" ref="Q2291:S2291">VLOOKUP(P2291,Hoja1!C:F,{2,3,4},FALSE)</f>
        <v>46290</v>
      </c>
      <c r="R2291" t="str">
        <v>F06</v>
      </c>
      <c r="S2291" t="str">
        <v>1000001129 AGRONORTE S.R.L.</v>
      </c>
    </row>
    <row r="2292" spans="1:19" x14ac:dyDescent="0.3">
      <c r="A2292" s="2" t="s">
        <v>14</v>
      </c>
      <c r="B2292" s="3" t="s">
        <v>14</v>
      </c>
      <c r="C2292" s="3" t="s">
        <v>2001</v>
      </c>
      <c r="D2292" s="3" t="s">
        <v>32</v>
      </c>
      <c r="E2292" s="3" t="s">
        <v>466</v>
      </c>
      <c r="F2292" s="4">
        <v>46294</v>
      </c>
      <c r="G2292" s="3" t="s">
        <v>17</v>
      </c>
      <c r="H2292" s="5">
        <v>-142450.81</v>
      </c>
      <c r="I2292" s="3" t="s">
        <v>18</v>
      </c>
      <c r="J2292" s="3" t="s">
        <v>14</v>
      </c>
      <c r="K2292" s="3" t="s">
        <v>14</v>
      </c>
      <c r="L2292" s="3" t="s">
        <v>2002</v>
      </c>
      <c r="M2292" s="4">
        <v>46295</v>
      </c>
      <c r="N2292" s="3" t="s">
        <v>2003</v>
      </c>
      <c r="O2292" s="3" t="s">
        <v>30</v>
      </c>
      <c r="P2292" t="str">
        <f t="shared" si="35"/>
        <v>450013969010</v>
      </c>
      <c r="Q2292" s="7" cm="1">
        <f t="array" ref="Q2292:S2292">VLOOKUP(P2292,Hoja1!C:F,{2,3,4},FALSE)</f>
        <v>46301</v>
      </c>
      <c r="R2292" t="str">
        <v>377</v>
      </c>
      <c r="S2292" t="str">
        <v>1000000826 GEVA SRL</v>
      </c>
    </row>
    <row r="2293" spans="1:19" x14ac:dyDescent="0.3">
      <c r="A2293" s="2" t="s">
        <v>14</v>
      </c>
      <c r="B2293" s="3" t="s">
        <v>14</v>
      </c>
      <c r="C2293" s="3" t="s">
        <v>2004</v>
      </c>
      <c r="D2293" s="3" t="s">
        <v>14</v>
      </c>
      <c r="E2293" s="3" t="s">
        <v>466</v>
      </c>
      <c r="F2293" s="4">
        <v>46294</v>
      </c>
      <c r="G2293" s="3" t="s">
        <v>17</v>
      </c>
      <c r="H2293" s="5">
        <v>-394300</v>
      </c>
      <c r="I2293" s="3" t="s">
        <v>18</v>
      </c>
      <c r="J2293" s="3" t="s">
        <v>14</v>
      </c>
      <c r="K2293" s="3" t="s">
        <v>14</v>
      </c>
      <c r="L2293" s="3" t="s">
        <v>997</v>
      </c>
      <c r="M2293" s="4">
        <v>46295</v>
      </c>
      <c r="N2293" s="3" t="s">
        <v>2005</v>
      </c>
      <c r="O2293" s="3" t="s">
        <v>30</v>
      </c>
      <c r="P2293" t="str">
        <f t="shared" si="35"/>
        <v>450013626310</v>
      </c>
      <c r="Q2293" s="7" cm="1">
        <f t="array" ref="Q2293:S2293">VLOOKUP(P2293,Hoja1!C:F,{2,3,4},FALSE)</f>
        <v>46262</v>
      </c>
      <c r="R2293" t="str">
        <v>C27</v>
      </c>
      <c r="S2293" t="str">
        <v>1000000003 ARROYITO MAQUINARIAS S.R.L.</v>
      </c>
    </row>
    <row r="2294" spans="1:19" x14ac:dyDescent="0.3">
      <c r="A2294" s="2" t="s">
        <v>14</v>
      </c>
      <c r="B2294" s="3" t="s">
        <v>14</v>
      </c>
      <c r="C2294" s="3" t="s">
        <v>2004</v>
      </c>
      <c r="D2294" s="3" t="s">
        <v>14</v>
      </c>
      <c r="E2294" s="3" t="s">
        <v>466</v>
      </c>
      <c r="F2294" s="4">
        <v>46294</v>
      </c>
      <c r="G2294" s="3" t="s">
        <v>17</v>
      </c>
      <c r="H2294" s="5">
        <v>-91300</v>
      </c>
      <c r="I2294" s="3" t="s">
        <v>18</v>
      </c>
      <c r="J2294" s="3" t="s">
        <v>14</v>
      </c>
      <c r="K2294" s="3" t="s">
        <v>14</v>
      </c>
      <c r="L2294" s="3" t="s">
        <v>997</v>
      </c>
      <c r="M2294" s="4">
        <v>46295</v>
      </c>
      <c r="N2294" s="3" t="s">
        <v>2005</v>
      </c>
      <c r="O2294" s="3" t="s">
        <v>22</v>
      </c>
      <c r="P2294" t="str">
        <f t="shared" si="35"/>
        <v>450013626320</v>
      </c>
      <c r="Q2294" s="7" cm="1">
        <f t="array" ref="Q2294:S2294">VLOOKUP(P2294,Hoja1!C:F,{2,3,4},FALSE)</f>
        <v>46262</v>
      </c>
      <c r="R2294" t="str">
        <v>C27</v>
      </c>
      <c r="S2294" t="str">
        <v>1000000003 ARROYITO MAQUINARIAS S.R.L.</v>
      </c>
    </row>
    <row r="2295" spans="1:19" x14ac:dyDescent="0.3">
      <c r="A2295" s="2" t="s">
        <v>14</v>
      </c>
      <c r="B2295" s="3" t="s">
        <v>14</v>
      </c>
      <c r="C2295" s="3" t="s">
        <v>2006</v>
      </c>
      <c r="D2295" s="3" t="s">
        <v>32</v>
      </c>
      <c r="E2295" s="3" t="s">
        <v>466</v>
      </c>
      <c r="F2295" s="4">
        <v>46295</v>
      </c>
      <c r="G2295" s="3" t="s">
        <v>17</v>
      </c>
      <c r="H2295" s="5">
        <v>-2264125</v>
      </c>
      <c r="I2295" s="3" t="s">
        <v>18</v>
      </c>
      <c r="J2295" s="3" t="s">
        <v>14</v>
      </c>
      <c r="K2295" s="3" t="s">
        <v>14</v>
      </c>
      <c r="L2295" s="3" t="s">
        <v>2007</v>
      </c>
      <c r="M2295" s="4">
        <v>46295</v>
      </c>
      <c r="N2295" s="3" t="s">
        <v>2008</v>
      </c>
      <c r="O2295" s="3" t="s">
        <v>30</v>
      </c>
      <c r="P2295" t="str">
        <f t="shared" si="35"/>
        <v>450013972110</v>
      </c>
      <c r="Q2295" s="7" cm="1">
        <f t="array" ref="Q2295:S2295">VLOOKUP(P2295,Hoja1!C:F,{2,3,4},FALSE)</f>
        <v>46301</v>
      </c>
      <c r="R2295" t="str">
        <v>374</v>
      </c>
      <c r="S2295" t="str">
        <v>1000000390 TECNOBAHIA S.A.</v>
      </c>
    </row>
    <row r="2296" spans="1:19" x14ac:dyDescent="0.3">
      <c r="A2296" s="2" t="s">
        <v>14</v>
      </c>
      <c r="B2296" s="3" t="s">
        <v>14</v>
      </c>
      <c r="C2296" s="3" t="s">
        <v>2009</v>
      </c>
      <c r="D2296" s="3" t="s">
        <v>14</v>
      </c>
      <c r="E2296" s="3" t="s">
        <v>466</v>
      </c>
      <c r="F2296" s="4">
        <v>46290</v>
      </c>
      <c r="G2296" s="3" t="s">
        <v>17</v>
      </c>
      <c r="H2296" s="5">
        <v>-10668.03</v>
      </c>
      <c r="I2296" s="3" t="s">
        <v>18</v>
      </c>
      <c r="J2296" s="3" t="s">
        <v>14</v>
      </c>
      <c r="K2296" s="3" t="s">
        <v>14</v>
      </c>
      <c r="L2296" s="3" t="s">
        <v>340</v>
      </c>
      <c r="M2296" s="4">
        <v>46295</v>
      </c>
      <c r="N2296" s="3" t="s">
        <v>1876</v>
      </c>
      <c r="O2296" s="3" t="s">
        <v>131</v>
      </c>
      <c r="P2296" t="str">
        <f t="shared" si="35"/>
        <v>4500138815140</v>
      </c>
      <c r="Q2296" s="7" cm="1">
        <f t="array" ref="Q2296:S2296">VLOOKUP(P2296,Hoja1!C:F,{2,3,4},FALSE)</f>
        <v>46290</v>
      </c>
      <c r="R2296" t="str">
        <v>C03</v>
      </c>
      <c r="S2296" t="str">
        <v>1000000062 FINNING ARGENTINA S.A.</v>
      </c>
    </row>
    <row r="2297" spans="1:19" x14ac:dyDescent="0.3">
      <c r="A2297" s="2" t="s">
        <v>14</v>
      </c>
      <c r="B2297" s="3" t="s">
        <v>14</v>
      </c>
      <c r="C2297" s="3" t="s">
        <v>2009</v>
      </c>
      <c r="D2297" s="3" t="s">
        <v>14</v>
      </c>
      <c r="E2297" s="3" t="s">
        <v>466</v>
      </c>
      <c r="F2297" s="4">
        <v>46290</v>
      </c>
      <c r="G2297" s="3" t="s">
        <v>17</v>
      </c>
      <c r="H2297" s="5">
        <v>-112128.08</v>
      </c>
      <c r="I2297" s="3" t="s">
        <v>18</v>
      </c>
      <c r="J2297" s="3" t="s">
        <v>14</v>
      </c>
      <c r="K2297" s="3" t="s">
        <v>14</v>
      </c>
      <c r="L2297" s="3" t="s">
        <v>340</v>
      </c>
      <c r="M2297" s="4">
        <v>46295</v>
      </c>
      <c r="N2297" s="3" t="s">
        <v>1876</v>
      </c>
      <c r="O2297" s="3" t="s">
        <v>136</v>
      </c>
      <c r="P2297" t="str">
        <f t="shared" si="35"/>
        <v>4500138815210</v>
      </c>
      <c r="Q2297" s="7" cm="1">
        <f t="array" ref="Q2297:S2297">VLOOKUP(P2297,Hoja1!C:F,{2,3,4},FALSE)</f>
        <v>46290</v>
      </c>
      <c r="R2297" t="str">
        <v>C03</v>
      </c>
      <c r="S2297" t="str">
        <v>1000000062 FINNING ARGENTINA S.A.</v>
      </c>
    </row>
    <row r="2298" spans="1:19" x14ac:dyDescent="0.3">
      <c r="A2298" s="2" t="s">
        <v>14</v>
      </c>
      <c r="B2298" s="3" t="s">
        <v>14</v>
      </c>
      <c r="C2298" s="3" t="s">
        <v>2009</v>
      </c>
      <c r="D2298" s="3" t="s">
        <v>14</v>
      </c>
      <c r="E2298" s="3" t="s">
        <v>466</v>
      </c>
      <c r="F2298" s="4">
        <v>46290</v>
      </c>
      <c r="G2298" s="3" t="s">
        <v>17</v>
      </c>
      <c r="H2298" s="5">
        <v>-15326.75</v>
      </c>
      <c r="I2298" s="3" t="s">
        <v>18</v>
      </c>
      <c r="J2298" s="3" t="s">
        <v>14</v>
      </c>
      <c r="K2298" s="3" t="s">
        <v>14</v>
      </c>
      <c r="L2298" s="3" t="s">
        <v>340</v>
      </c>
      <c r="M2298" s="4">
        <v>46295</v>
      </c>
      <c r="N2298" s="3" t="s">
        <v>1876</v>
      </c>
      <c r="O2298" s="3" t="s">
        <v>140</v>
      </c>
      <c r="P2298" t="str">
        <f t="shared" si="35"/>
        <v>4500138815220</v>
      </c>
      <c r="Q2298" s="7" cm="1">
        <f t="array" ref="Q2298:S2298">VLOOKUP(P2298,Hoja1!C:F,{2,3,4},FALSE)</f>
        <v>46290</v>
      </c>
      <c r="R2298" t="str">
        <v>C03</v>
      </c>
      <c r="S2298" t="str">
        <v>1000000062 FINNING ARGENTINA S.A.</v>
      </c>
    </row>
    <row r="2299" spans="1:19" x14ac:dyDescent="0.3">
      <c r="A2299" s="2" t="s">
        <v>14</v>
      </c>
      <c r="B2299" s="3" t="s">
        <v>14</v>
      </c>
      <c r="C2299" s="3" t="s">
        <v>2010</v>
      </c>
      <c r="D2299" s="3" t="s">
        <v>14</v>
      </c>
      <c r="E2299" s="3" t="s">
        <v>466</v>
      </c>
      <c r="F2299" s="4">
        <v>46294</v>
      </c>
      <c r="G2299" s="3" t="s">
        <v>17</v>
      </c>
      <c r="H2299" s="5">
        <v>-1109747.75</v>
      </c>
      <c r="I2299" s="3" t="s">
        <v>18</v>
      </c>
      <c r="J2299" s="3" t="s">
        <v>14</v>
      </c>
      <c r="K2299" s="3" t="s">
        <v>14</v>
      </c>
      <c r="L2299" s="3" t="s">
        <v>340</v>
      </c>
      <c r="M2299" s="4">
        <v>46295</v>
      </c>
      <c r="N2299" s="3" t="s">
        <v>2011</v>
      </c>
      <c r="O2299" s="3" t="s">
        <v>30</v>
      </c>
      <c r="P2299" t="str">
        <f t="shared" si="35"/>
        <v>450013919010</v>
      </c>
      <c r="Q2299" s="7" cm="1">
        <f t="array" ref="Q2299:S2299">VLOOKUP(P2299,Hoja1!C:F,{2,3,4},FALSE)</f>
        <v>46300</v>
      </c>
      <c r="R2299" t="str">
        <v>F04</v>
      </c>
      <c r="S2299" t="str">
        <v>1000000062 FINNING ARGENTINA S.A.</v>
      </c>
    </row>
    <row r="2300" spans="1:19" x14ac:dyDescent="0.3">
      <c r="A2300" s="2" t="s">
        <v>14</v>
      </c>
      <c r="B2300" s="3" t="s">
        <v>14</v>
      </c>
      <c r="C2300" s="3" t="s">
        <v>2010</v>
      </c>
      <c r="D2300" s="3" t="s">
        <v>14</v>
      </c>
      <c r="E2300" s="3" t="s">
        <v>466</v>
      </c>
      <c r="F2300" s="4">
        <v>46294</v>
      </c>
      <c r="G2300" s="3" t="s">
        <v>17</v>
      </c>
      <c r="H2300" s="5">
        <v>-967861.5</v>
      </c>
      <c r="I2300" s="3" t="s">
        <v>18</v>
      </c>
      <c r="J2300" s="3" t="s">
        <v>14</v>
      </c>
      <c r="K2300" s="3" t="s">
        <v>14</v>
      </c>
      <c r="L2300" s="3" t="s">
        <v>340</v>
      </c>
      <c r="M2300" s="4">
        <v>46295</v>
      </c>
      <c r="N2300" s="3" t="s">
        <v>2011</v>
      </c>
      <c r="O2300" s="3" t="s">
        <v>22</v>
      </c>
      <c r="P2300" t="str">
        <f t="shared" si="35"/>
        <v>450013919020</v>
      </c>
      <c r="Q2300" s="7" cm="1">
        <f t="array" ref="Q2300:S2300">VLOOKUP(P2300,Hoja1!C:F,{2,3,4},FALSE)</f>
        <v>46300</v>
      </c>
      <c r="R2300" t="str">
        <v>F04</v>
      </c>
      <c r="S2300" t="str">
        <v>1000000062 FINNING ARGENTINA S.A.</v>
      </c>
    </row>
    <row r="2301" spans="1:19" x14ac:dyDescent="0.3">
      <c r="A2301" s="2" t="s">
        <v>14</v>
      </c>
      <c r="B2301" s="3" t="s">
        <v>14</v>
      </c>
      <c r="C2301" s="3" t="s">
        <v>2010</v>
      </c>
      <c r="D2301" s="3" t="s">
        <v>14</v>
      </c>
      <c r="E2301" s="3" t="s">
        <v>466</v>
      </c>
      <c r="F2301" s="4">
        <v>46294</v>
      </c>
      <c r="G2301" s="3" t="s">
        <v>17</v>
      </c>
      <c r="H2301" s="5">
        <v>-425142.8</v>
      </c>
      <c r="I2301" s="3" t="s">
        <v>18</v>
      </c>
      <c r="J2301" s="3" t="s">
        <v>14</v>
      </c>
      <c r="K2301" s="3" t="s">
        <v>14</v>
      </c>
      <c r="L2301" s="3" t="s">
        <v>340</v>
      </c>
      <c r="M2301" s="4">
        <v>46295</v>
      </c>
      <c r="N2301" s="3" t="s">
        <v>2011</v>
      </c>
      <c r="O2301" s="3" t="s">
        <v>35</v>
      </c>
      <c r="P2301" t="str">
        <f t="shared" si="35"/>
        <v>450013919030</v>
      </c>
      <c r="Q2301" s="7" cm="1">
        <f t="array" ref="Q2301:S2301">VLOOKUP(P2301,Hoja1!C:F,{2,3,4},FALSE)</f>
        <v>46300</v>
      </c>
      <c r="R2301" t="str">
        <v>F04</v>
      </c>
      <c r="S2301" t="str">
        <v>1000000062 FINNING ARGENTINA S.A.</v>
      </c>
    </row>
    <row r="2302" spans="1:19" x14ac:dyDescent="0.3">
      <c r="A2302" s="2" t="s">
        <v>14</v>
      </c>
      <c r="B2302" s="3" t="s">
        <v>14</v>
      </c>
      <c r="C2302" s="3" t="s">
        <v>2012</v>
      </c>
      <c r="D2302" s="3" t="s">
        <v>14</v>
      </c>
      <c r="E2302" s="3" t="s">
        <v>466</v>
      </c>
      <c r="F2302" s="4">
        <v>46288</v>
      </c>
      <c r="G2302" s="3" t="s">
        <v>17</v>
      </c>
      <c r="H2302" s="5">
        <v>-253059.3</v>
      </c>
      <c r="I2302" s="3" t="s">
        <v>18</v>
      </c>
      <c r="J2302" s="3" t="s">
        <v>14</v>
      </c>
      <c r="K2302" s="3" t="s">
        <v>14</v>
      </c>
      <c r="L2302" s="3" t="s">
        <v>434</v>
      </c>
      <c r="M2302" s="4">
        <v>46295</v>
      </c>
      <c r="N2302" s="3" t="s">
        <v>1892</v>
      </c>
      <c r="O2302" s="3" t="s">
        <v>129</v>
      </c>
      <c r="P2302" t="str">
        <f t="shared" si="35"/>
        <v>4500138831160</v>
      </c>
      <c r="Q2302" s="7" cm="1">
        <f t="array" ref="Q2302:S2302">VLOOKUP(P2302,Hoja1!C:F,{2,3,4},FALSE)</f>
        <v>46295</v>
      </c>
      <c r="R2302" t="str">
        <v>C03</v>
      </c>
      <c r="S2302" t="str">
        <v>1000000488 BETA S.A.</v>
      </c>
    </row>
    <row r="2303" spans="1:19" x14ac:dyDescent="0.3">
      <c r="A2303" s="2" t="s">
        <v>14</v>
      </c>
      <c r="B2303" s="3" t="s">
        <v>14</v>
      </c>
      <c r="C2303" s="3" t="s">
        <v>2013</v>
      </c>
      <c r="D2303" s="3" t="s">
        <v>14</v>
      </c>
      <c r="E2303" s="3" t="s">
        <v>466</v>
      </c>
      <c r="F2303" s="4">
        <v>46294</v>
      </c>
      <c r="G2303" s="3" t="s">
        <v>17</v>
      </c>
      <c r="H2303" s="5">
        <v>-123160.3</v>
      </c>
      <c r="I2303" s="3" t="s">
        <v>18</v>
      </c>
      <c r="J2303" s="3" t="s">
        <v>14</v>
      </c>
      <c r="K2303" s="3" t="s">
        <v>14</v>
      </c>
      <c r="L2303" s="3" t="s">
        <v>340</v>
      </c>
      <c r="M2303" s="4">
        <v>46295</v>
      </c>
      <c r="N2303" s="3" t="s">
        <v>1901</v>
      </c>
      <c r="O2303" s="3" t="s">
        <v>154</v>
      </c>
      <c r="P2303" t="str">
        <f t="shared" si="35"/>
        <v>4500138006330</v>
      </c>
      <c r="Q2303" s="7" cm="1">
        <f t="array" ref="Q2303:S2303">VLOOKUP(P2303,Hoja1!C:F,{2,3,4},FALSE)</f>
        <v>46338</v>
      </c>
      <c r="R2303" t="str">
        <v>C03</v>
      </c>
      <c r="S2303" t="str">
        <v>1000000062 FINNING ARGENTINA S.A.</v>
      </c>
    </row>
    <row r="2304" spans="1:19" x14ac:dyDescent="0.3">
      <c r="A2304" s="2" t="s">
        <v>14</v>
      </c>
      <c r="B2304" s="3" t="s">
        <v>14</v>
      </c>
      <c r="C2304" s="3" t="s">
        <v>2014</v>
      </c>
      <c r="D2304" s="3" t="s">
        <v>14</v>
      </c>
      <c r="E2304" s="3" t="s">
        <v>466</v>
      </c>
      <c r="F2304" s="4">
        <v>46295</v>
      </c>
      <c r="G2304" s="3" t="s">
        <v>17</v>
      </c>
      <c r="H2304" s="5">
        <v>-3950784</v>
      </c>
      <c r="I2304" s="3" t="s">
        <v>18</v>
      </c>
      <c r="J2304" s="3" t="s">
        <v>14</v>
      </c>
      <c r="K2304" s="3" t="s">
        <v>14</v>
      </c>
      <c r="L2304" s="3" t="s">
        <v>448</v>
      </c>
      <c r="M2304" s="4">
        <v>46295</v>
      </c>
      <c r="N2304" s="3" t="s">
        <v>2015</v>
      </c>
      <c r="O2304" s="3" t="s">
        <v>30</v>
      </c>
      <c r="P2304" t="str">
        <f t="shared" si="35"/>
        <v>450013913210</v>
      </c>
      <c r="Q2304" s="7" cm="1">
        <f t="array" ref="Q2304:S2304">VLOOKUP(P2304,Hoja1!C:F,{2,3,4},FALSE)</f>
        <v>46295</v>
      </c>
      <c r="R2304" t="str">
        <v>C48</v>
      </c>
      <c r="S2304" t="str">
        <v>1000006932 GUSTAVO CANO NEUMATICOS S.A.</v>
      </c>
    </row>
    <row r="2305" spans="1:19" x14ac:dyDescent="0.3">
      <c r="A2305" s="2" t="s">
        <v>14</v>
      </c>
      <c r="B2305" s="3" t="s">
        <v>14</v>
      </c>
      <c r="C2305" s="3" t="s">
        <v>2016</v>
      </c>
      <c r="D2305" s="3" t="s">
        <v>14</v>
      </c>
      <c r="E2305" s="3" t="s">
        <v>466</v>
      </c>
      <c r="F2305" s="4">
        <v>46295</v>
      </c>
      <c r="G2305" s="3" t="s">
        <v>17</v>
      </c>
      <c r="H2305" s="5">
        <v>-151750</v>
      </c>
      <c r="I2305" s="3" t="s">
        <v>18</v>
      </c>
      <c r="J2305" s="3" t="s">
        <v>14</v>
      </c>
      <c r="K2305" s="3" t="s">
        <v>14</v>
      </c>
      <c r="L2305" s="3" t="s">
        <v>269</v>
      </c>
      <c r="M2305" s="4">
        <v>46295</v>
      </c>
      <c r="N2305" s="3" t="s">
        <v>2017</v>
      </c>
      <c r="O2305" s="3" t="s">
        <v>30</v>
      </c>
      <c r="P2305" t="str">
        <f t="shared" si="35"/>
        <v>450013970410</v>
      </c>
      <c r="Q2305" s="7" cm="1">
        <f t="array" ref="Q2305:S2305">VLOOKUP(P2305,Hoja1!C:F,{2,3,4},FALSE)</f>
        <v>46308</v>
      </c>
      <c r="R2305" t="str">
        <v>C29</v>
      </c>
      <c r="S2305" t="str">
        <v>1000000190 FERNANDEZ INSUA S.A.</v>
      </c>
    </row>
    <row r="2306" spans="1:19" x14ac:dyDescent="0.3">
      <c r="A2306" s="2" t="s">
        <v>14</v>
      </c>
      <c r="B2306" s="3" t="s">
        <v>14</v>
      </c>
      <c r="C2306" s="3" t="s">
        <v>2016</v>
      </c>
      <c r="D2306" s="3" t="s">
        <v>14</v>
      </c>
      <c r="E2306" s="3" t="s">
        <v>466</v>
      </c>
      <c r="F2306" s="4">
        <v>46295</v>
      </c>
      <c r="G2306" s="3" t="s">
        <v>17</v>
      </c>
      <c r="H2306" s="5">
        <v>-91050</v>
      </c>
      <c r="I2306" s="3" t="s">
        <v>18</v>
      </c>
      <c r="J2306" s="3" t="s">
        <v>14</v>
      </c>
      <c r="K2306" s="3" t="s">
        <v>14</v>
      </c>
      <c r="L2306" s="3" t="s">
        <v>269</v>
      </c>
      <c r="M2306" s="4">
        <v>46295</v>
      </c>
      <c r="N2306" s="3" t="s">
        <v>2017</v>
      </c>
      <c r="O2306" s="3" t="s">
        <v>22</v>
      </c>
      <c r="P2306" t="str">
        <f t="shared" si="35"/>
        <v>450013970420</v>
      </c>
      <c r="Q2306" s="7" cm="1">
        <f t="array" ref="Q2306:S2306">VLOOKUP(P2306,Hoja1!C:F,{2,3,4},FALSE)</f>
        <v>46301</v>
      </c>
      <c r="R2306" t="str">
        <v>C29</v>
      </c>
      <c r="S2306" t="str">
        <v>1000000190 FERNANDEZ INSUA S.A.</v>
      </c>
    </row>
    <row r="2307" spans="1:19" x14ac:dyDescent="0.3">
      <c r="A2307" s="2" t="s">
        <v>14</v>
      </c>
      <c r="B2307" s="3" t="s">
        <v>14</v>
      </c>
      <c r="C2307" s="3" t="s">
        <v>2016</v>
      </c>
      <c r="D2307" s="3" t="s">
        <v>14</v>
      </c>
      <c r="E2307" s="3" t="s">
        <v>466</v>
      </c>
      <c r="F2307" s="4">
        <v>46295</v>
      </c>
      <c r="G2307" s="3" t="s">
        <v>17</v>
      </c>
      <c r="H2307" s="5">
        <v>-159337.5</v>
      </c>
      <c r="I2307" s="3" t="s">
        <v>18</v>
      </c>
      <c r="J2307" s="3" t="s">
        <v>14</v>
      </c>
      <c r="K2307" s="3" t="s">
        <v>14</v>
      </c>
      <c r="L2307" s="3" t="s">
        <v>269</v>
      </c>
      <c r="M2307" s="4">
        <v>46295</v>
      </c>
      <c r="N2307" s="3" t="s">
        <v>2017</v>
      </c>
      <c r="O2307" s="3" t="s">
        <v>35</v>
      </c>
      <c r="P2307" t="str">
        <f t="shared" ref="P2307:P2370" si="36">_xlfn.CONCAT(N2307:O2307)</f>
        <v>450013970430</v>
      </c>
      <c r="Q2307" s="7" cm="1">
        <f t="array" ref="Q2307:S2307">VLOOKUP(P2307,Hoja1!C:F,{2,3,4},FALSE)</f>
        <v>46301</v>
      </c>
      <c r="R2307" t="str">
        <v>C29</v>
      </c>
      <c r="S2307" t="str">
        <v>1000000190 FERNANDEZ INSUA S.A.</v>
      </c>
    </row>
    <row r="2308" spans="1:19" x14ac:dyDescent="0.3">
      <c r="A2308" s="2" t="s">
        <v>14</v>
      </c>
      <c r="B2308" s="3" t="s">
        <v>14</v>
      </c>
      <c r="C2308" s="3" t="s">
        <v>2016</v>
      </c>
      <c r="D2308" s="3" t="s">
        <v>14</v>
      </c>
      <c r="E2308" s="3" t="s">
        <v>466</v>
      </c>
      <c r="F2308" s="4">
        <v>46295</v>
      </c>
      <c r="G2308" s="3" t="s">
        <v>17</v>
      </c>
      <c r="H2308" s="5">
        <v>-150232.5</v>
      </c>
      <c r="I2308" s="3" t="s">
        <v>18</v>
      </c>
      <c r="J2308" s="3" t="s">
        <v>14</v>
      </c>
      <c r="K2308" s="3" t="s">
        <v>14</v>
      </c>
      <c r="L2308" s="3" t="s">
        <v>269</v>
      </c>
      <c r="M2308" s="4">
        <v>46295</v>
      </c>
      <c r="N2308" s="3" t="s">
        <v>2017</v>
      </c>
      <c r="O2308" s="3" t="s">
        <v>144</v>
      </c>
      <c r="P2308" t="str">
        <f t="shared" si="36"/>
        <v>450013970450</v>
      </c>
      <c r="Q2308" s="7" cm="1">
        <f t="array" ref="Q2308:S2308">VLOOKUP(P2308,Hoja1!C:F,{2,3,4},FALSE)</f>
        <v>46308</v>
      </c>
      <c r="R2308" t="str">
        <v>C29</v>
      </c>
      <c r="S2308" t="str">
        <v>1000000190 FERNANDEZ INSUA S.A.</v>
      </c>
    </row>
    <row r="2309" spans="1:19" x14ac:dyDescent="0.3">
      <c r="A2309" s="2" t="s">
        <v>14</v>
      </c>
      <c r="B2309" s="3" t="s">
        <v>14</v>
      </c>
      <c r="C2309" s="3" t="s">
        <v>2016</v>
      </c>
      <c r="D2309" s="3" t="s">
        <v>14</v>
      </c>
      <c r="E2309" s="3" t="s">
        <v>466</v>
      </c>
      <c r="F2309" s="4">
        <v>46295</v>
      </c>
      <c r="G2309" s="3" t="s">
        <v>17</v>
      </c>
      <c r="H2309" s="5">
        <v>-37937.5</v>
      </c>
      <c r="I2309" s="3" t="s">
        <v>18</v>
      </c>
      <c r="J2309" s="3" t="s">
        <v>14</v>
      </c>
      <c r="K2309" s="3" t="s">
        <v>14</v>
      </c>
      <c r="L2309" s="3" t="s">
        <v>269</v>
      </c>
      <c r="M2309" s="4">
        <v>46295</v>
      </c>
      <c r="N2309" s="3" t="s">
        <v>2017</v>
      </c>
      <c r="O2309" s="3" t="s">
        <v>141</v>
      </c>
      <c r="P2309" t="str">
        <f t="shared" si="36"/>
        <v>450013970460</v>
      </c>
      <c r="Q2309" s="7" cm="1">
        <f t="array" ref="Q2309:S2309">VLOOKUP(P2309,Hoja1!C:F,{2,3,4},FALSE)</f>
        <v>46320</v>
      </c>
      <c r="R2309" t="str">
        <v>C29</v>
      </c>
      <c r="S2309" t="str">
        <v>1000000190 FERNANDEZ INSUA S.A.</v>
      </c>
    </row>
    <row r="2310" spans="1:19" x14ac:dyDescent="0.3">
      <c r="A2310" s="2" t="s">
        <v>14</v>
      </c>
      <c r="B2310" s="3" t="s">
        <v>14</v>
      </c>
      <c r="C2310" s="3" t="s">
        <v>2018</v>
      </c>
      <c r="D2310" s="3" t="s">
        <v>14</v>
      </c>
      <c r="E2310" s="3" t="s">
        <v>466</v>
      </c>
      <c r="F2310" s="4">
        <v>46294</v>
      </c>
      <c r="G2310" s="3" t="s">
        <v>17</v>
      </c>
      <c r="H2310" s="5">
        <v>-300800</v>
      </c>
      <c r="I2310" s="3" t="s">
        <v>18</v>
      </c>
      <c r="J2310" s="3" t="s">
        <v>14</v>
      </c>
      <c r="K2310" s="3" t="s">
        <v>14</v>
      </c>
      <c r="L2310" s="3" t="s">
        <v>1438</v>
      </c>
      <c r="M2310" s="4">
        <v>46295</v>
      </c>
      <c r="N2310" s="3" t="s">
        <v>2019</v>
      </c>
      <c r="O2310" s="3" t="s">
        <v>30</v>
      </c>
      <c r="P2310" t="str">
        <f t="shared" si="36"/>
        <v>450013864010</v>
      </c>
      <c r="Q2310" s="7" cm="1">
        <f t="array" ref="Q2310:S2310">VLOOKUP(P2310,Hoja1!C:F,{2,3,4},FALSE)</f>
        <v>46290</v>
      </c>
      <c r="R2310" t="str">
        <v>C17</v>
      </c>
      <c r="S2310" t="str">
        <v>1000010102 SORIA NATALIA NAZARENA</v>
      </c>
    </row>
    <row r="2311" spans="1:19" x14ac:dyDescent="0.3">
      <c r="A2311" s="2" t="s">
        <v>14</v>
      </c>
      <c r="B2311" s="3" t="s">
        <v>14</v>
      </c>
      <c r="C2311" s="3" t="s">
        <v>2020</v>
      </c>
      <c r="D2311" s="3" t="s">
        <v>32</v>
      </c>
      <c r="E2311" s="3" t="s">
        <v>466</v>
      </c>
      <c r="F2311" s="4">
        <v>46295</v>
      </c>
      <c r="G2311" s="3" t="s">
        <v>17</v>
      </c>
      <c r="H2311" s="5">
        <v>-378000</v>
      </c>
      <c r="I2311" s="3" t="s">
        <v>18</v>
      </c>
      <c r="J2311" s="3" t="s">
        <v>14</v>
      </c>
      <c r="K2311" s="3" t="s">
        <v>14</v>
      </c>
      <c r="L2311" s="3" t="s">
        <v>2021</v>
      </c>
      <c r="M2311" s="4">
        <v>46295</v>
      </c>
      <c r="N2311" s="3" t="s">
        <v>2022</v>
      </c>
      <c r="O2311" s="3" t="s">
        <v>30</v>
      </c>
      <c r="P2311" t="str">
        <f t="shared" si="36"/>
        <v>450013975010</v>
      </c>
      <c r="Q2311" s="7" cm="1">
        <f t="array" ref="Q2311:S2311">VLOOKUP(P2311,Hoja1!C:F,{2,3,4},FALSE)</f>
        <v>46295</v>
      </c>
      <c r="R2311" t="str">
        <v>378</v>
      </c>
      <c r="S2311" t="str">
        <v>1000003638 NALDO LOMBARDI SA</v>
      </c>
    </row>
    <row r="2312" spans="1:19" x14ac:dyDescent="0.3">
      <c r="A2312" s="2" t="s">
        <v>14</v>
      </c>
      <c r="B2312" s="3" t="s">
        <v>14</v>
      </c>
      <c r="C2312" s="3" t="s">
        <v>2023</v>
      </c>
      <c r="D2312" s="3" t="s">
        <v>32</v>
      </c>
      <c r="E2312" s="3" t="s">
        <v>466</v>
      </c>
      <c r="F2312" s="4">
        <v>46295</v>
      </c>
      <c r="G2312" s="3" t="s">
        <v>17</v>
      </c>
      <c r="H2312" s="5">
        <v>-8198.34</v>
      </c>
      <c r="I2312" s="3" t="s">
        <v>18</v>
      </c>
      <c r="J2312" s="3" t="s">
        <v>14</v>
      </c>
      <c r="K2312" s="3" t="s">
        <v>14</v>
      </c>
      <c r="L2312" s="3" t="s">
        <v>2024</v>
      </c>
      <c r="M2312" s="4">
        <v>46295</v>
      </c>
      <c r="N2312" s="3" t="s">
        <v>2025</v>
      </c>
      <c r="O2312" s="3" t="s">
        <v>30</v>
      </c>
      <c r="P2312" t="str">
        <f t="shared" si="36"/>
        <v>450013979610</v>
      </c>
      <c r="Q2312" s="7" cm="1">
        <f t="array" ref="Q2312:S2312">VLOOKUP(P2312,Hoja1!C:F,{2,3,4},FALSE)</f>
        <v>46296</v>
      </c>
      <c r="R2312" t="str">
        <v>378</v>
      </c>
      <c r="S2312" t="str">
        <v>1000013171 CENTRO BULONERO TRES ARROYOS SRL</v>
      </c>
    </row>
    <row r="2313" spans="1:19" x14ac:dyDescent="0.3">
      <c r="A2313" s="2" t="s">
        <v>14</v>
      </c>
      <c r="B2313" s="3" t="s">
        <v>14</v>
      </c>
      <c r="C2313" s="3" t="s">
        <v>2026</v>
      </c>
      <c r="D2313" s="3" t="s">
        <v>32</v>
      </c>
      <c r="E2313" s="3" t="s">
        <v>466</v>
      </c>
      <c r="F2313" s="4">
        <v>46295</v>
      </c>
      <c r="G2313" s="3" t="s">
        <v>17</v>
      </c>
      <c r="H2313" s="5">
        <v>-29999</v>
      </c>
      <c r="I2313" s="3" t="s">
        <v>18</v>
      </c>
      <c r="J2313" s="3" t="s">
        <v>14</v>
      </c>
      <c r="K2313" s="3" t="s">
        <v>14</v>
      </c>
      <c r="L2313" s="3" t="s">
        <v>2027</v>
      </c>
      <c r="M2313" s="4">
        <v>46295</v>
      </c>
      <c r="N2313" s="3" t="s">
        <v>2028</v>
      </c>
      <c r="O2313" s="3" t="s">
        <v>30</v>
      </c>
      <c r="P2313" t="str">
        <f t="shared" si="36"/>
        <v>450013976110</v>
      </c>
      <c r="Q2313" s="7" cm="1">
        <f t="array" ref="Q2313:S2313">VLOOKUP(P2313,Hoja1!C:F,{2,3,4},FALSE)</f>
        <v>46295</v>
      </c>
      <c r="R2313" t="str">
        <v>378</v>
      </c>
      <c r="S2313" t="str">
        <v>1000013227 WARATHABS S.A.</v>
      </c>
    </row>
    <row r="2314" spans="1:19" x14ac:dyDescent="0.3">
      <c r="A2314" s="2" t="s">
        <v>14</v>
      </c>
      <c r="B2314" s="3" t="s">
        <v>14</v>
      </c>
      <c r="C2314" s="3" t="s">
        <v>2026</v>
      </c>
      <c r="D2314" s="3" t="s">
        <v>32</v>
      </c>
      <c r="E2314" s="3" t="s">
        <v>466</v>
      </c>
      <c r="F2314" s="4">
        <v>46295</v>
      </c>
      <c r="G2314" s="3" t="s">
        <v>17</v>
      </c>
      <c r="H2314" s="5">
        <v>-39998</v>
      </c>
      <c r="I2314" s="3" t="s">
        <v>18</v>
      </c>
      <c r="J2314" s="3" t="s">
        <v>14</v>
      </c>
      <c r="K2314" s="3" t="s">
        <v>14</v>
      </c>
      <c r="L2314" s="3" t="s">
        <v>2027</v>
      </c>
      <c r="M2314" s="4">
        <v>46295</v>
      </c>
      <c r="N2314" s="3" t="s">
        <v>2028</v>
      </c>
      <c r="O2314" s="3" t="s">
        <v>22</v>
      </c>
      <c r="P2314" t="str">
        <f t="shared" si="36"/>
        <v>450013976120</v>
      </c>
      <c r="Q2314" s="7" cm="1">
        <f t="array" ref="Q2314:S2314">VLOOKUP(P2314,Hoja1!C:F,{2,3,4},FALSE)</f>
        <v>46295</v>
      </c>
      <c r="R2314" t="str">
        <v>378</v>
      </c>
      <c r="S2314" t="str">
        <v>1000013227 WARATHABS S.A.</v>
      </c>
    </row>
    <row r="2315" spans="1:19" x14ac:dyDescent="0.3">
      <c r="A2315" s="2" t="s">
        <v>14</v>
      </c>
      <c r="B2315" s="3" t="s">
        <v>14</v>
      </c>
      <c r="C2315" s="3" t="s">
        <v>2026</v>
      </c>
      <c r="D2315" s="3" t="s">
        <v>32</v>
      </c>
      <c r="E2315" s="3" t="s">
        <v>466</v>
      </c>
      <c r="F2315" s="4">
        <v>46295</v>
      </c>
      <c r="G2315" s="3" t="s">
        <v>17</v>
      </c>
      <c r="H2315" s="5">
        <v>-69999</v>
      </c>
      <c r="I2315" s="3" t="s">
        <v>18</v>
      </c>
      <c r="J2315" s="3" t="s">
        <v>14</v>
      </c>
      <c r="K2315" s="3" t="s">
        <v>14</v>
      </c>
      <c r="L2315" s="3" t="s">
        <v>2027</v>
      </c>
      <c r="M2315" s="4">
        <v>46295</v>
      </c>
      <c r="N2315" s="3" t="s">
        <v>2028</v>
      </c>
      <c r="O2315" s="3" t="s">
        <v>35</v>
      </c>
      <c r="P2315" t="str">
        <f t="shared" si="36"/>
        <v>450013976130</v>
      </c>
      <c r="Q2315" s="7" cm="1">
        <f t="array" ref="Q2315:S2315">VLOOKUP(P2315,Hoja1!C:F,{2,3,4},FALSE)</f>
        <v>46295</v>
      </c>
      <c r="R2315" t="str">
        <v>378</v>
      </c>
      <c r="S2315" t="str">
        <v>1000013227 WARATHABS S.A.</v>
      </c>
    </row>
    <row r="2316" spans="1:19" x14ac:dyDescent="0.3">
      <c r="A2316" s="2" t="s">
        <v>14</v>
      </c>
      <c r="B2316" s="3" t="s">
        <v>14</v>
      </c>
      <c r="C2316" s="3" t="s">
        <v>2026</v>
      </c>
      <c r="D2316" s="3" t="s">
        <v>32</v>
      </c>
      <c r="E2316" s="3" t="s">
        <v>466</v>
      </c>
      <c r="F2316" s="4">
        <v>46295</v>
      </c>
      <c r="G2316" s="3" t="s">
        <v>17</v>
      </c>
      <c r="H2316" s="5">
        <v>-1999</v>
      </c>
      <c r="I2316" s="3" t="s">
        <v>18</v>
      </c>
      <c r="J2316" s="3" t="s">
        <v>14</v>
      </c>
      <c r="K2316" s="3" t="s">
        <v>14</v>
      </c>
      <c r="L2316" s="3" t="s">
        <v>2027</v>
      </c>
      <c r="M2316" s="4">
        <v>46295</v>
      </c>
      <c r="N2316" s="3" t="s">
        <v>2028</v>
      </c>
      <c r="O2316" s="3" t="s">
        <v>23</v>
      </c>
      <c r="P2316" t="str">
        <f t="shared" si="36"/>
        <v>450013976140</v>
      </c>
      <c r="Q2316" s="7" cm="1">
        <f t="array" ref="Q2316:S2316">VLOOKUP(P2316,Hoja1!C:F,{2,3,4},FALSE)</f>
        <v>46295</v>
      </c>
      <c r="R2316" t="str">
        <v>378</v>
      </c>
      <c r="S2316" t="str">
        <v>1000013227 WARATHABS S.A.</v>
      </c>
    </row>
    <row r="2317" spans="1:19" x14ac:dyDescent="0.3">
      <c r="A2317" s="2" t="s">
        <v>14</v>
      </c>
      <c r="B2317" s="3" t="s">
        <v>14</v>
      </c>
      <c r="C2317" s="3" t="s">
        <v>2026</v>
      </c>
      <c r="D2317" s="3" t="s">
        <v>32</v>
      </c>
      <c r="E2317" s="3" t="s">
        <v>466</v>
      </c>
      <c r="F2317" s="4">
        <v>46295</v>
      </c>
      <c r="G2317" s="3" t="s">
        <v>17</v>
      </c>
      <c r="H2317" s="5">
        <v>-9999</v>
      </c>
      <c r="I2317" s="3" t="s">
        <v>18</v>
      </c>
      <c r="J2317" s="3" t="s">
        <v>14</v>
      </c>
      <c r="K2317" s="3" t="s">
        <v>14</v>
      </c>
      <c r="L2317" s="3" t="s">
        <v>2027</v>
      </c>
      <c r="M2317" s="4">
        <v>46295</v>
      </c>
      <c r="N2317" s="3" t="s">
        <v>2028</v>
      </c>
      <c r="O2317" s="3" t="s">
        <v>144</v>
      </c>
      <c r="P2317" t="str">
        <f t="shared" si="36"/>
        <v>450013976150</v>
      </c>
      <c r="Q2317" s="7" cm="1">
        <f t="array" ref="Q2317:S2317">VLOOKUP(P2317,Hoja1!C:F,{2,3,4},FALSE)</f>
        <v>46295</v>
      </c>
      <c r="R2317" t="str">
        <v>378</v>
      </c>
      <c r="S2317" t="str">
        <v>1000013227 WARATHABS S.A.</v>
      </c>
    </row>
    <row r="2318" spans="1:19" x14ac:dyDescent="0.3">
      <c r="A2318" s="2" t="s">
        <v>14</v>
      </c>
      <c r="B2318" s="3" t="s">
        <v>14</v>
      </c>
      <c r="C2318" s="3" t="s">
        <v>2029</v>
      </c>
      <c r="D2318" s="3" t="s">
        <v>14</v>
      </c>
      <c r="E2318" s="3" t="s">
        <v>466</v>
      </c>
      <c r="F2318" s="4">
        <v>46281</v>
      </c>
      <c r="G2318" s="3" t="s">
        <v>17</v>
      </c>
      <c r="H2318" s="5">
        <v>-818235</v>
      </c>
      <c r="I2318" s="3" t="s">
        <v>18</v>
      </c>
      <c r="J2318" s="3" t="s">
        <v>14</v>
      </c>
      <c r="K2318" s="3" t="s">
        <v>14</v>
      </c>
      <c r="L2318" s="3" t="s">
        <v>1756</v>
      </c>
      <c r="M2318" s="4">
        <v>46295</v>
      </c>
      <c r="N2318" s="3" t="s">
        <v>2030</v>
      </c>
      <c r="O2318" s="3" t="s">
        <v>30</v>
      </c>
      <c r="P2318" t="str">
        <f t="shared" si="36"/>
        <v>450013831210</v>
      </c>
      <c r="Q2318" s="7" cm="1">
        <f t="array" ref="Q2318:S2318">VLOOKUP(P2318,Hoja1!C:F,{2,3,4},FALSE)</f>
        <v>46301</v>
      </c>
      <c r="R2318" t="str">
        <v>C29</v>
      </c>
      <c r="S2318" t="str">
        <v>1000000940 MELQUI PABLO</v>
      </c>
    </row>
    <row r="2319" spans="1:19" x14ac:dyDescent="0.3">
      <c r="A2319" s="2" t="s">
        <v>14</v>
      </c>
      <c r="B2319" s="3" t="s">
        <v>14</v>
      </c>
      <c r="C2319" s="3" t="s">
        <v>2031</v>
      </c>
      <c r="D2319" s="3" t="s">
        <v>32</v>
      </c>
      <c r="E2319" s="3" t="s">
        <v>466</v>
      </c>
      <c r="F2319" s="4">
        <v>46295</v>
      </c>
      <c r="G2319" s="3" t="s">
        <v>17</v>
      </c>
      <c r="H2319" s="5">
        <v>-11227507.199999999</v>
      </c>
      <c r="I2319" s="3" t="s">
        <v>18</v>
      </c>
      <c r="J2319" s="3" t="s">
        <v>14</v>
      </c>
      <c r="K2319" s="3" t="s">
        <v>14</v>
      </c>
      <c r="L2319" s="3" t="s">
        <v>1897</v>
      </c>
      <c r="M2319" s="4">
        <v>46295</v>
      </c>
      <c r="N2319" s="3" t="s">
        <v>2032</v>
      </c>
      <c r="O2319" s="3" t="s">
        <v>30</v>
      </c>
      <c r="P2319" t="str">
        <f t="shared" si="36"/>
        <v>450013909710</v>
      </c>
      <c r="Q2319" s="7" cm="1">
        <f t="array" ref="Q2319:S2319">VLOOKUP(P2319,Hoja1!C:F,{2,3,4},FALSE)</f>
        <v>46305</v>
      </c>
      <c r="R2319" t="str">
        <v>C18</v>
      </c>
      <c r="S2319" t="str">
        <v>1000013555 MARILLAN HECTOR GERVASIO</v>
      </c>
    </row>
    <row r="2320" spans="1:19" x14ac:dyDescent="0.3">
      <c r="A2320" s="2" t="s">
        <v>14</v>
      </c>
      <c r="B2320" s="3" t="s">
        <v>14</v>
      </c>
      <c r="C2320" s="3" t="s">
        <v>2033</v>
      </c>
      <c r="D2320" s="3" t="s">
        <v>32</v>
      </c>
      <c r="E2320" s="3" t="s">
        <v>466</v>
      </c>
      <c r="F2320" s="4">
        <v>46295</v>
      </c>
      <c r="G2320" s="3" t="s">
        <v>17</v>
      </c>
      <c r="H2320" s="5">
        <v>-740000</v>
      </c>
      <c r="I2320" s="3" t="s">
        <v>18</v>
      </c>
      <c r="J2320" s="3" t="s">
        <v>14</v>
      </c>
      <c r="K2320" s="3" t="s">
        <v>14</v>
      </c>
      <c r="L2320" s="3" t="s">
        <v>2034</v>
      </c>
      <c r="M2320" s="4">
        <v>46295</v>
      </c>
      <c r="N2320" s="3" t="s">
        <v>2035</v>
      </c>
      <c r="O2320" s="3" t="s">
        <v>30</v>
      </c>
      <c r="P2320" t="str">
        <f t="shared" si="36"/>
        <v>450013984910</v>
      </c>
      <c r="Q2320" s="7" cm="1">
        <f t="array" ref="Q2320:S2320">VLOOKUP(P2320,Hoja1!C:F,{2,3,4},FALSE)</f>
        <v>46310</v>
      </c>
      <c r="R2320" t="str">
        <v>C25</v>
      </c>
      <c r="S2320" t="str">
        <v>1000012926 PSB SERVICIOS INDUSTRIALES S.R.L.</v>
      </c>
    </row>
    <row r="2321" spans="1:19" x14ac:dyDescent="0.3">
      <c r="A2321" s="2" t="s">
        <v>14</v>
      </c>
      <c r="B2321" s="3" t="s">
        <v>14</v>
      </c>
      <c r="C2321" s="3" t="s">
        <v>2036</v>
      </c>
      <c r="D2321" s="3" t="s">
        <v>192</v>
      </c>
      <c r="E2321" s="3" t="s">
        <v>466</v>
      </c>
      <c r="F2321" s="4">
        <v>46295</v>
      </c>
      <c r="G2321" s="3" t="s">
        <v>17</v>
      </c>
      <c r="H2321" s="5">
        <v>-91272.73</v>
      </c>
      <c r="I2321" s="3" t="s">
        <v>18</v>
      </c>
      <c r="J2321" s="3" t="s">
        <v>14</v>
      </c>
      <c r="K2321" s="3" t="s">
        <v>14</v>
      </c>
      <c r="L2321" s="3" t="s">
        <v>1231</v>
      </c>
      <c r="M2321" s="4">
        <v>46295</v>
      </c>
      <c r="N2321" s="3" t="s">
        <v>1232</v>
      </c>
      <c r="O2321" s="3" t="s">
        <v>30</v>
      </c>
      <c r="P2321" t="str">
        <f t="shared" si="36"/>
        <v>450012486510</v>
      </c>
      <c r="Q2321" s="7" cm="1">
        <f t="array" ref="Q2321:S2321">VLOOKUP(P2321,Hoja1!C:F,{2,3,4},FALSE)</f>
        <v>46501</v>
      </c>
      <c r="R2321" t="str">
        <v>C25</v>
      </c>
      <c r="S2321" t="str">
        <v>1000003358 DIRECTV ARGENTINA S.A.</v>
      </c>
    </row>
    <row r="2322" spans="1:19" x14ac:dyDescent="0.3">
      <c r="A2322" s="2" t="s">
        <v>14</v>
      </c>
      <c r="B2322" s="3" t="s">
        <v>14</v>
      </c>
      <c r="C2322" s="3" t="s">
        <v>2037</v>
      </c>
      <c r="D2322" s="3" t="s">
        <v>14</v>
      </c>
      <c r="E2322" s="3" t="s">
        <v>466</v>
      </c>
      <c r="F2322" s="4">
        <v>46295</v>
      </c>
      <c r="G2322" s="3" t="s">
        <v>17</v>
      </c>
      <c r="H2322" s="5">
        <v>-95821.95</v>
      </c>
      <c r="I2322" s="3" t="s">
        <v>18</v>
      </c>
      <c r="J2322" s="3" t="s">
        <v>14</v>
      </c>
      <c r="K2322" s="3" t="s">
        <v>14</v>
      </c>
      <c r="L2322" s="3" t="s">
        <v>892</v>
      </c>
      <c r="M2322" s="4">
        <v>46295</v>
      </c>
      <c r="N2322" s="3" t="s">
        <v>1686</v>
      </c>
      <c r="O2322" s="3" t="s">
        <v>141</v>
      </c>
      <c r="P2322" t="str">
        <f t="shared" si="36"/>
        <v>450013895860</v>
      </c>
      <c r="Q2322" s="7" cm="1">
        <f t="array" ref="Q2322:S2322">VLOOKUP(P2322,Hoja1!C:F,{2,3,4},FALSE)</f>
        <v>46293</v>
      </c>
      <c r="R2322" t="str">
        <v>C28</v>
      </c>
      <c r="S2322" t="str">
        <v>1000000894 FORTIN REPUBLICA SA</v>
      </c>
    </row>
    <row r="2323" spans="1:19" x14ac:dyDescent="0.3">
      <c r="A2323" s="2" t="s">
        <v>14</v>
      </c>
      <c r="B2323" s="3" t="s">
        <v>14</v>
      </c>
      <c r="C2323" s="3" t="s">
        <v>2037</v>
      </c>
      <c r="D2323" s="3" t="s">
        <v>14</v>
      </c>
      <c r="E2323" s="3" t="s">
        <v>466</v>
      </c>
      <c r="F2323" s="4">
        <v>46295</v>
      </c>
      <c r="G2323" s="3" t="s">
        <v>17</v>
      </c>
      <c r="H2323" s="5">
        <v>-171267.20000000001</v>
      </c>
      <c r="I2323" s="3" t="s">
        <v>18</v>
      </c>
      <c r="J2323" s="3" t="s">
        <v>14</v>
      </c>
      <c r="K2323" s="3" t="s">
        <v>14</v>
      </c>
      <c r="L2323" s="3" t="s">
        <v>892</v>
      </c>
      <c r="M2323" s="4">
        <v>46295</v>
      </c>
      <c r="N2323" s="3" t="s">
        <v>1686</v>
      </c>
      <c r="O2323" s="3" t="s">
        <v>134</v>
      </c>
      <c r="P2323" t="str">
        <f t="shared" si="36"/>
        <v>450013895870</v>
      </c>
      <c r="Q2323" s="7" cm="1">
        <f t="array" ref="Q2323:S2323">VLOOKUP(P2323,Hoja1!C:F,{2,3,4},FALSE)</f>
        <v>46293</v>
      </c>
      <c r="R2323" t="str">
        <v>C28</v>
      </c>
      <c r="S2323" t="str">
        <v>1000000894 FORTIN REPUBLICA SA</v>
      </c>
    </row>
    <row r="2324" spans="1:19" x14ac:dyDescent="0.3">
      <c r="A2324" s="2" t="s">
        <v>14</v>
      </c>
      <c r="B2324" s="3" t="s">
        <v>14</v>
      </c>
      <c r="C2324" s="3" t="s">
        <v>2037</v>
      </c>
      <c r="D2324" s="3" t="s">
        <v>14</v>
      </c>
      <c r="E2324" s="3" t="s">
        <v>466</v>
      </c>
      <c r="F2324" s="4">
        <v>46295</v>
      </c>
      <c r="G2324" s="3" t="s">
        <v>17</v>
      </c>
      <c r="H2324" s="5">
        <v>-496674.88</v>
      </c>
      <c r="I2324" s="3" t="s">
        <v>18</v>
      </c>
      <c r="J2324" s="3" t="s">
        <v>14</v>
      </c>
      <c r="K2324" s="3" t="s">
        <v>14</v>
      </c>
      <c r="L2324" s="3" t="s">
        <v>892</v>
      </c>
      <c r="M2324" s="4">
        <v>46295</v>
      </c>
      <c r="N2324" s="3" t="s">
        <v>1686</v>
      </c>
      <c r="O2324" s="3" t="s">
        <v>45</v>
      </c>
      <c r="P2324" t="str">
        <f t="shared" si="36"/>
        <v>4500138958100</v>
      </c>
      <c r="Q2324" s="7" cm="1">
        <f t="array" ref="Q2324:S2324">VLOOKUP(P2324,Hoja1!C:F,{2,3,4},FALSE)</f>
        <v>46293</v>
      </c>
      <c r="R2324" t="str">
        <v>C28</v>
      </c>
      <c r="S2324" t="str">
        <v>1000000894 FORTIN REPUBLICA SA</v>
      </c>
    </row>
    <row r="2325" spans="1:19" x14ac:dyDescent="0.3">
      <c r="A2325" s="2" t="s">
        <v>14</v>
      </c>
      <c r="B2325" s="3" t="s">
        <v>14</v>
      </c>
      <c r="C2325" s="3" t="s">
        <v>2038</v>
      </c>
      <c r="D2325" s="3" t="s">
        <v>32</v>
      </c>
      <c r="E2325" s="3" t="s">
        <v>466</v>
      </c>
      <c r="F2325" s="4">
        <v>46295</v>
      </c>
      <c r="G2325" s="3" t="s">
        <v>17</v>
      </c>
      <c r="H2325" s="5">
        <v>-977628.04</v>
      </c>
      <c r="I2325" s="3" t="s">
        <v>18</v>
      </c>
      <c r="J2325" s="3" t="s">
        <v>14</v>
      </c>
      <c r="K2325" s="3" t="s">
        <v>14</v>
      </c>
      <c r="L2325" s="3" t="s">
        <v>892</v>
      </c>
      <c r="M2325" s="4">
        <v>46295</v>
      </c>
      <c r="N2325" s="3" t="s">
        <v>2039</v>
      </c>
      <c r="O2325" s="3" t="s">
        <v>30</v>
      </c>
      <c r="P2325" t="str">
        <f t="shared" si="36"/>
        <v>450013956110</v>
      </c>
      <c r="Q2325" s="7" cm="1">
        <f t="array" ref="Q2325:S2325">VLOOKUP(P2325,Hoja1!C:F,{2,3,4},FALSE)</f>
        <v>46301</v>
      </c>
      <c r="R2325" t="str">
        <v>374</v>
      </c>
      <c r="S2325" t="str">
        <v>1000000894 FORTIN REPUBLICA SA</v>
      </c>
    </row>
    <row r="2326" spans="1:19" x14ac:dyDescent="0.3">
      <c r="A2326" s="2" t="s">
        <v>14</v>
      </c>
      <c r="B2326" s="3" t="s">
        <v>14</v>
      </c>
      <c r="C2326" s="3" t="s">
        <v>2040</v>
      </c>
      <c r="D2326" s="3" t="s">
        <v>14</v>
      </c>
      <c r="E2326" s="3" t="s">
        <v>466</v>
      </c>
      <c r="F2326" s="4">
        <v>46295</v>
      </c>
      <c r="G2326" s="3" t="s">
        <v>17</v>
      </c>
      <c r="H2326" s="5">
        <v>-7115.66</v>
      </c>
      <c r="I2326" s="3" t="s">
        <v>18</v>
      </c>
      <c r="J2326" s="3" t="s">
        <v>14</v>
      </c>
      <c r="K2326" s="3" t="s">
        <v>14</v>
      </c>
      <c r="L2326" s="3" t="s">
        <v>892</v>
      </c>
      <c r="M2326" s="4">
        <v>46295</v>
      </c>
      <c r="N2326" s="3" t="s">
        <v>2041</v>
      </c>
      <c r="O2326" s="3" t="s">
        <v>144</v>
      </c>
      <c r="P2326" t="str">
        <f t="shared" si="36"/>
        <v>450013863950</v>
      </c>
      <c r="Q2326" s="7" cm="1">
        <f t="array" ref="Q2326:S2326">VLOOKUP(P2326,Hoja1!C:F,{2,3,4},FALSE)</f>
        <v>46290</v>
      </c>
      <c r="R2326" t="str">
        <v>C27</v>
      </c>
      <c r="S2326" t="str">
        <v>1000000894 FORTIN REPUBLICA SA</v>
      </c>
    </row>
    <row r="2327" spans="1:19" x14ac:dyDescent="0.3">
      <c r="A2327" s="2" t="s">
        <v>14</v>
      </c>
      <c r="B2327" s="3" t="s">
        <v>14</v>
      </c>
      <c r="C2327" s="3" t="s">
        <v>2040</v>
      </c>
      <c r="D2327" s="3" t="s">
        <v>14</v>
      </c>
      <c r="E2327" s="3" t="s">
        <v>466</v>
      </c>
      <c r="F2327" s="4">
        <v>46295</v>
      </c>
      <c r="G2327" s="3" t="s">
        <v>17</v>
      </c>
      <c r="H2327" s="5">
        <v>-41152.35</v>
      </c>
      <c r="I2327" s="3" t="s">
        <v>18</v>
      </c>
      <c r="J2327" s="3" t="s">
        <v>14</v>
      </c>
      <c r="K2327" s="3" t="s">
        <v>14</v>
      </c>
      <c r="L2327" s="3" t="s">
        <v>892</v>
      </c>
      <c r="M2327" s="4">
        <v>46295</v>
      </c>
      <c r="N2327" s="3" t="s">
        <v>2041</v>
      </c>
      <c r="O2327" s="3" t="s">
        <v>161</v>
      </c>
      <c r="P2327" t="str">
        <f t="shared" si="36"/>
        <v>4500138639200</v>
      </c>
      <c r="Q2327" s="7" cm="1">
        <f t="array" ref="Q2327:S2327">VLOOKUP(P2327,Hoja1!C:F,{2,3,4},FALSE)</f>
        <v>46290</v>
      </c>
      <c r="R2327" t="str">
        <v>C27</v>
      </c>
      <c r="S2327" t="str">
        <v>1000000894 FORTIN REPUBLICA SA</v>
      </c>
    </row>
    <row r="2328" spans="1:19" x14ac:dyDescent="0.3">
      <c r="A2328" s="2" t="s">
        <v>14</v>
      </c>
      <c r="B2328" s="3" t="s">
        <v>14</v>
      </c>
      <c r="C2328" s="3" t="s">
        <v>2042</v>
      </c>
      <c r="D2328" s="3" t="s">
        <v>14</v>
      </c>
      <c r="E2328" s="3" t="s">
        <v>466</v>
      </c>
      <c r="F2328" s="4">
        <v>46294</v>
      </c>
      <c r="G2328" s="3" t="s">
        <v>17</v>
      </c>
      <c r="H2328" s="5">
        <v>-352378.68</v>
      </c>
      <c r="I2328" s="3" t="s">
        <v>18</v>
      </c>
      <c r="J2328" s="3" t="s">
        <v>14</v>
      </c>
      <c r="K2328" s="3" t="s">
        <v>14</v>
      </c>
      <c r="L2328" s="3" t="s">
        <v>340</v>
      </c>
      <c r="M2328" s="4">
        <v>46295</v>
      </c>
      <c r="N2328" s="3" t="s">
        <v>2043</v>
      </c>
      <c r="O2328" s="3" t="s">
        <v>30</v>
      </c>
      <c r="P2328" t="str">
        <f t="shared" si="36"/>
        <v>450013943310</v>
      </c>
      <c r="Q2328" s="7" cm="1">
        <f t="array" ref="Q2328:S2328">VLOOKUP(P2328,Hoja1!C:F,{2,3,4},FALSE)</f>
        <v>46296</v>
      </c>
      <c r="R2328" t="str">
        <v>C03</v>
      </c>
      <c r="S2328" t="str">
        <v>1000000062 FINNING ARGENTINA S.A.</v>
      </c>
    </row>
    <row r="2329" spans="1:19" x14ac:dyDescent="0.3">
      <c r="A2329" s="2" t="s">
        <v>14</v>
      </c>
      <c r="B2329" s="3" t="s">
        <v>14</v>
      </c>
      <c r="C2329" s="3" t="s">
        <v>2044</v>
      </c>
      <c r="D2329" s="3" t="s">
        <v>14</v>
      </c>
      <c r="E2329" s="3" t="s">
        <v>466</v>
      </c>
      <c r="F2329" s="4">
        <v>46294</v>
      </c>
      <c r="G2329" s="3" t="s">
        <v>17</v>
      </c>
      <c r="H2329" s="5">
        <v>-7997.23</v>
      </c>
      <c r="I2329" s="3" t="s">
        <v>18</v>
      </c>
      <c r="J2329" s="3" t="s">
        <v>14</v>
      </c>
      <c r="K2329" s="3" t="s">
        <v>14</v>
      </c>
      <c r="L2329" s="3" t="s">
        <v>340</v>
      </c>
      <c r="M2329" s="4">
        <v>46295</v>
      </c>
      <c r="N2329" s="3" t="s">
        <v>2045</v>
      </c>
      <c r="O2329" s="3" t="s">
        <v>22</v>
      </c>
      <c r="P2329" t="str">
        <f t="shared" si="36"/>
        <v>450013946520</v>
      </c>
      <c r="Q2329" s="7" cm="1">
        <f t="array" ref="Q2329:S2329">VLOOKUP(P2329,Hoja1!C:F,{2,3,4},FALSE)</f>
        <v>46302</v>
      </c>
      <c r="R2329" t="str">
        <v>C03</v>
      </c>
      <c r="S2329" t="str">
        <v>1000000062 FINNING ARGENTINA S.A.</v>
      </c>
    </row>
    <row r="2330" spans="1:19" x14ac:dyDescent="0.3">
      <c r="A2330" s="2" t="s">
        <v>14</v>
      </c>
      <c r="B2330" s="3" t="s">
        <v>14</v>
      </c>
      <c r="C2330" s="3" t="s">
        <v>2046</v>
      </c>
      <c r="D2330" s="3" t="s">
        <v>14</v>
      </c>
      <c r="E2330" s="3" t="s">
        <v>466</v>
      </c>
      <c r="F2330" s="4">
        <v>46295</v>
      </c>
      <c r="G2330" s="3" t="s">
        <v>17</v>
      </c>
      <c r="H2330" s="5">
        <v>-88982.399999999994</v>
      </c>
      <c r="I2330" s="3" t="s">
        <v>18</v>
      </c>
      <c r="J2330" s="3" t="s">
        <v>14</v>
      </c>
      <c r="K2330" s="3" t="s">
        <v>14</v>
      </c>
      <c r="L2330" s="3" t="s">
        <v>437</v>
      </c>
      <c r="M2330" s="4">
        <v>46295</v>
      </c>
      <c r="N2330" s="3" t="s">
        <v>2047</v>
      </c>
      <c r="O2330" s="3" t="s">
        <v>30</v>
      </c>
      <c r="P2330" t="str">
        <f t="shared" si="36"/>
        <v>450013815010</v>
      </c>
      <c r="Q2330" s="7" cm="1">
        <f t="array" ref="Q2330:S2330">VLOOKUP(P2330,Hoja1!C:F,{2,3,4},FALSE)</f>
        <v>46290</v>
      </c>
      <c r="R2330" t="str">
        <v>C28</v>
      </c>
      <c r="S2330" t="str">
        <v>1000000075 NUEVA REGINA S.R.L.</v>
      </c>
    </row>
    <row r="2331" spans="1:19" x14ac:dyDescent="0.3">
      <c r="A2331" s="2" t="s">
        <v>14</v>
      </c>
      <c r="B2331" s="3" t="s">
        <v>14</v>
      </c>
      <c r="C2331" s="3" t="s">
        <v>2048</v>
      </c>
      <c r="D2331" s="3" t="s">
        <v>14</v>
      </c>
      <c r="E2331" s="3" t="s">
        <v>466</v>
      </c>
      <c r="F2331" s="4">
        <v>46294</v>
      </c>
      <c r="G2331" s="3" t="s">
        <v>17</v>
      </c>
      <c r="H2331" s="5">
        <v>-130956</v>
      </c>
      <c r="I2331" s="3" t="s">
        <v>18</v>
      </c>
      <c r="J2331" s="3" t="s">
        <v>14</v>
      </c>
      <c r="K2331" s="3" t="s">
        <v>14</v>
      </c>
      <c r="L2331" s="3" t="s">
        <v>997</v>
      </c>
      <c r="M2331" s="4">
        <v>46295</v>
      </c>
      <c r="N2331" s="3" t="s">
        <v>2049</v>
      </c>
      <c r="O2331" s="3" t="s">
        <v>30</v>
      </c>
      <c r="P2331" t="str">
        <f t="shared" si="36"/>
        <v>450013741710</v>
      </c>
      <c r="Q2331" s="7" cm="1">
        <f t="array" ref="Q2331:S2331">VLOOKUP(P2331,Hoja1!C:F,{2,3,4},FALSE)</f>
        <v>46272</v>
      </c>
      <c r="R2331" t="str">
        <v>C27</v>
      </c>
      <c r="S2331" t="str">
        <v>1000000003 ARROYITO MAQUINARIAS S.R.L.</v>
      </c>
    </row>
    <row r="2332" spans="1:19" x14ac:dyDescent="0.3">
      <c r="A2332" s="2" t="s">
        <v>14</v>
      </c>
      <c r="B2332" s="3" t="s">
        <v>14</v>
      </c>
      <c r="C2332" s="3" t="s">
        <v>2050</v>
      </c>
      <c r="D2332" s="3" t="s">
        <v>14</v>
      </c>
      <c r="E2332" s="3" t="s">
        <v>466</v>
      </c>
      <c r="F2332" s="4">
        <v>46294</v>
      </c>
      <c r="G2332" s="3" t="s">
        <v>17</v>
      </c>
      <c r="H2332" s="5">
        <v>-81747.73</v>
      </c>
      <c r="I2332" s="3" t="s">
        <v>18</v>
      </c>
      <c r="J2332" s="3" t="s">
        <v>14</v>
      </c>
      <c r="K2332" s="3" t="s">
        <v>14</v>
      </c>
      <c r="L2332" s="3" t="s">
        <v>125</v>
      </c>
      <c r="M2332" s="4">
        <v>46295</v>
      </c>
      <c r="N2332" s="3" t="s">
        <v>2051</v>
      </c>
      <c r="O2332" s="3" t="s">
        <v>30</v>
      </c>
      <c r="P2332" t="str">
        <f t="shared" si="36"/>
        <v>450013932710</v>
      </c>
      <c r="Q2332" s="7" cm="1">
        <f t="array" ref="Q2332:S2332">VLOOKUP(P2332,Hoja1!C:F,{2,3,4},FALSE)</f>
        <v>46295</v>
      </c>
      <c r="R2332" t="str">
        <v>C03</v>
      </c>
      <c r="S2332" t="str">
        <v>1000001470 SUDAMERICANA CAMIONES SA</v>
      </c>
    </row>
    <row r="2333" spans="1:19" x14ac:dyDescent="0.3">
      <c r="A2333" s="2" t="s">
        <v>14</v>
      </c>
      <c r="B2333" s="3" t="s">
        <v>14</v>
      </c>
      <c r="C2333" s="3" t="s">
        <v>2050</v>
      </c>
      <c r="D2333" s="3" t="s">
        <v>14</v>
      </c>
      <c r="E2333" s="3" t="s">
        <v>466</v>
      </c>
      <c r="F2333" s="4">
        <v>46294</v>
      </c>
      <c r="G2333" s="3" t="s">
        <v>17</v>
      </c>
      <c r="H2333" s="5">
        <v>-412122.65</v>
      </c>
      <c r="I2333" s="3" t="s">
        <v>18</v>
      </c>
      <c r="J2333" s="3" t="s">
        <v>14</v>
      </c>
      <c r="K2333" s="3" t="s">
        <v>14</v>
      </c>
      <c r="L2333" s="3" t="s">
        <v>125</v>
      </c>
      <c r="M2333" s="4">
        <v>46295</v>
      </c>
      <c r="N2333" s="3" t="s">
        <v>2051</v>
      </c>
      <c r="O2333" s="3" t="s">
        <v>22</v>
      </c>
      <c r="P2333" t="str">
        <f t="shared" si="36"/>
        <v>450013932720</v>
      </c>
      <c r="Q2333" s="7" cm="1">
        <f t="array" ref="Q2333:S2333">VLOOKUP(P2333,Hoja1!C:F,{2,3,4},FALSE)</f>
        <v>46295</v>
      </c>
      <c r="R2333" t="str">
        <v>C03</v>
      </c>
      <c r="S2333" t="str">
        <v>1000001470 SUDAMERICANA CAMIONES SA</v>
      </c>
    </row>
    <row r="2334" spans="1:19" x14ac:dyDescent="0.3">
      <c r="A2334" s="2" t="s">
        <v>14</v>
      </c>
      <c r="B2334" s="3" t="s">
        <v>14</v>
      </c>
      <c r="C2334" s="3" t="s">
        <v>2050</v>
      </c>
      <c r="D2334" s="3" t="s">
        <v>14</v>
      </c>
      <c r="E2334" s="3" t="s">
        <v>466</v>
      </c>
      <c r="F2334" s="4">
        <v>46294</v>
      </c>
      <c r="G2334" s="3" t="s">
        <v>17</v>
      </c>
      <c r="H2334" s="5">
        <v>-141400.65</v>
      </c>
      <c r="I2334" s="3" t="s">
        <v>18</v>
      </c>
      <c r="J2334" s="3" t="s">
        <v>14</v>
      </c>
      <c r="K2334" s="3" t="s">
        <v>14</v>
      </c>
      <c r="L2334" s="3" t="s">
        <v>125</v>
      </c>
      <c r="M2334" s="4">
        <v>46295</v>
      </c>
      <c r="N2334" s="3" t="s">
        <v>2051</v>
      </c>
      <c r="O2334" s="3" t="s">
        <v>35</v>
      </c>
      <c r="P2334" t="str">
        <f t="shared" si="36"/>
        <v>450013932730</v>
      </c>
      <c r="Q2334" s="7" cm="1">
        <f t="array" ref="Q2334:S2334">VLOOKUP(P2334,Hoja1!C:F,{2,3,4},FALSE)</f>
        <v>46302</v>
      </c>
      <c r="R2334" t="str">
        <v>C03</v>
      </c>
      <c r="S2334" t="str">
        <v>1000001470 SUDAMERICANA CAMIONES SA</v>
      </c>
    </row>
    <row r="2335" spans="1:19" x14ac:dyDescent="0.3">
      <c r="A2335" s="2" t="s">
        <v>14</v>
      </c>
      <c r="B2335" s="3" t="s">
        <v>14</v>
      </c>
      <c r="C2335" s="3" t="s">
        <v>2052</v>
      </c>
      <c r="D2335" s="3" t="s">
        <v>14</v>
      </c>
      <c r="E2335" s="3" t="s">
        <v>466</v>
      </c>
      <c r="F2335" s="4">
        <v>46294</v>
      </c>
      <c r="G2335" s="3" t="s">
        <v>17</v>
      </c>
      <c r="H2335" s="5">
        <v>-375072</v>
      </c>
      <c r="I2335" s="3" t="s">
        <v>18</v>
      </c>
      <c r="J2335" s="3" t="s">
        <v>14</v>
      </c>
      <c r="K2335" s="3" t="s">
        <v>14</v>
      </c>
      <c r="L2335" s="3" t="s">
        <v>997</v>
      </c>
      <c r="M2335" s="4">
        <v>46295</v>
      </c>
      <c r="N2335" s="3" t="s">
        <v>2053</v>
      </c>
      <c r="O2335" s="3" t="s">
        <v>30</v>
      </c>
      <c r="P2335" t="str">
        <f t="shared" si="36"/>
        <v>450013729510</v>
      </c>
      <c r="Q2335" s="7" cm="1">
        <f t="array" ref="Q2335:S2335">VLOOKUP(P2335,Hoja1!C:F,{2,3,4},FALSE)</f>
        <v>46269</v>
      </c>
      <c r="R2335" t="str">
        <v>C27</v>
      </c>
      <c r="S2335" t="str">
        <v>1000000003 ARROYITO MAQUINARIAS S.R.L.</v>
      </c>
    </row>
    <row r="2336" spans="1:19" x14ac:dyDescent="0.3">
      <c r="A2336" s="2" t="s">
        <v>14</v>
      </c>
      <c r="B2336" s="3" t="s">
        <v>14</v>
      </c>
      <c r="C2336" s="3" t="s">
        <v>2054</v>
      </c>
      <c r="D2336" s="3" t="s">
        <v>14</v>
      </c>
      <c r="E2336" s="3" t="s">
        <v>466</v>
      </c>
      <c r="F2336" s="4">
        <v>46294</v>
      </c>
      <c r="G2336" s="3" t="s">
        <v>17</v>
      </c>
      <c r="H2336" s="5">
        <v>-995722.8</v>
      </c>
      <c r="I2336" s="3" t="s">
        <v>18</v>
      </c>
      <c r="J2336" s="3" t="s">
        <v>14</v>
      </c>
      <c r="K2336" s="3" t="s">
        <v>14</v>
      </c>
      <c r="L2336" s="3" t="s">
        <v>1748</v>
      </c>
      <c r="M2336" s="4">
        <v>46295</v>
      </c>
      <c r="N2336" s="3" t="s">
        <v>2055</v>
      </c>
      <c r="O2336" s="3" t="s">
        <v>30</v>
      </c>
      <c r="P2336" t="str">
        <f t="shared" si="36"/>
        <v>450013876510</v>
      </c>
      <c r="Q2336" s="7" cm="1">
        <f t="array" ref="Q2336:S2336">VLOOKUP(P2336,Hoja1!C:F,{2,3,4},FALSE)</f>
        <v>46297</v>
      </c>
      <c r="R2336" t="str">
        <v>C42</v>
      </c>
      <c r="S2336" t="str">
        <v>1000000257 RODAMAR SRL</v>
      </c>
    </row>
    <row r="2337" spans="1:19" x14ac:dyDescent="0.3">
      <c r="A2337" s="2" t="s">
        <v>14</v>
      </c>
      <c r="B2337" s="3" t="s">
        <v>14</v>
      </c>
      <c r="C2337" s="3" t="s">
        <v>2054</v>
      </c>
      <c r="D2337" s="3" t="s">
        <v>14</v>
      </c>
      <c r="E2337" s="3" t="s">
        <v>466</v>
      </c>
      <c r="F2337" s="4">
        <v>46294</v>
      </c>
      <c r="G2337" s="3" t="s">
        <v>17</v>
      </c>
      <c r="H2337" s="5">
        <v>-214271</v>
      </c>
      <c r="I2337" s="3" t="s">
        <v>18</v>
      </c>
      <c r="J2337" s="3" t="s">
        <v>14</v>
      </c>
      <c r="K2337" s="3" t="s">
        <v>14</v>
      </c>
      <c r="L2337" s="3" t="s">
        <v>1748</v>
      </c>
      <c r="M2337" s="4">
        <v>46295</v>
      </c>
      <c r="N2337" s="3" t="s">
        <v>2055</v>
      </c>
      <c r="O2337" s="3" t="s">
        <v>22</v>
      </c>
      <c r="P2337" t="str">
        <f t="shared" si="36"/>
        <v>450013876520</v>
      </c>
      <c r="Q2337" s="7" cm="1">
        <f t="array" ref="Q2337:S2337">VLOOKUP(P2337,Hoja1!C:F,{2,3,4},FALSE)</f>
        <v>46297</v>
      </c>
      <c r="R2337" t="str">
        <v>C42</v>
      </c>
      <c r="S2337" t="str">
        <v>1000000257 RODAMAR SRL</v>
      </c>
    </row>
    <row r="2338" spans="1:19" x14ac:dyDescent="0.3">
      <c r="A2338" s="2" t="s">
        <v>14</v>
      </c>
      <c r="B2338" s="3" t="s">
        <v>14</v>
      </c>
      <c r="C2338" s="3" t="s">
        <v>2054</v>
      </c>
      <c r="D2338" s="3" t="s">
        <v>14</v>
      </c>
      <c r="E2338" s="3" t="s">
        <v>466</v>
      </c>
      <c r="F2338" s="4">
        <v>46294</v>
      </c>
      <c r="G2338" s="3" t="s">
        <v>17</v>
      </c>
      <c r="H2338" s="5">
        <v>-277216.90000000002</v>
      </c>
      <c r="I2338" s="3" t="s">
        <v>18</v>
      </c>
      <c r="J2338" s="3" t="s">
        <v>14</v>
      </c>
      <c r="K2338" s="3" t="s">
        <v>14</v>
      </c>
      <c r="L2338" s="3" t="s">
        <v>1748</v>
      </c>
      <c r="M2338" s="4">
        <v>46295</v>
      </c>
      <c r="N2338" s="3" t="s">
        <v>2055</v>
      </c>
      <c r="O2338" s="3" t="s">
        <v>35</v>
      </c>
      <c r="P2338" t="str">
        <f t="shared" si="36"/>
        <v>450013876530</v>
      </c>
      <c r="Q2338" s="7" cm="1">
        <f t="array" ref="Q2338:S2338">VLOOKUP(P2338,Hoja1!C:F,{2,3,4},FALSE)</f>
        <v>46297</v>
      </c>
      <c r="R2338" t="str">
        <v>C42</v>
      </c>
      <c r="S2338" t="str">
        <v>1000000257 RODAMAR SRL</v>
      </c>
    </row>
    <row r="2339" spans="1:19" x14ac:dyDescent="0.3">
      <c r="A2339" s="2" t="s">
        <v>14</v>
      </c>
      <c r="B2339" s="3" t="s">
        <v>14</v>
      </c>
      <c r="C2339" s="3" t="s">
        <v>2056</v>
      </c>
      <c r="D2339" s="3" t="s">
        <v>32</v>
      </c>
      <c r="E2339" s="3" t="s">
        <v>466</v>
      </c>
      <c r="F2339" s="4">
        <v>46295</v>
      </c>
      <c r="G2339" s="3" t="s">
        <v>17</v>
      </c>
      <c r="H2339" s="5">
        <v>-15900000</v>
      </c>
      <c r="I2339" s="3" t="s">
        <v>18</v>
      </c>
      <c r="J2339" s="3" t="s">
        <v>14</v>
      </c>
      <c r="K2339" s="3" t="s">
        <v>14</v>
      </c>
      <c r="L2339" s="3" t="s">
        <v>2057</v>
      </c>
      <c r="M2339" s="4">
        <v>46295</v>
      </c>
      <c r="N2339" s="3" t="s">
        <v>2058</v>
      </c>
      <c r="O2339" s="3" t="s">
        <v>30</v>
      </c>
      <c r="P2339" t="str">
        <f t="shared" si="36"/>
        <v>450013211410</v>
      </c>
      <c r="Q2339" s="7" cm="1">
        <f t="array" ref="Q2339:S2339">VLOOKUP(P2339,Hoja1!C:F,{2,3,4},FALSE)</f>
        <v>46397</v>
      </c>
      <c r="R2339" t="str">
        <v>C26</v>
      </c>
      <c r="S2339" t="str">
        <v>1000002120 INGEAP S.A.S.</v>
      </c>
    </row>
    <row r="2340" spans="1:19" x14ac:dyDescent="0.3">
      <c r="A2340" s="2" t="s">
        <v>14</v>
      </c>
      <c r="B2340" s="3" t="s">
        <v>14</v>
      </c>
      <c r="C2340" s="3" t="s">
        <v>2056</v>
      </c>
      <c r="D2340" s="3" t="s">
        <v>32</v>
      </c>
      <c r="E2340" s="3" t="s">
        <v>466</v>
      </c>
      <c r="F2340" s="4">
        <v>46295</v>
      </c>
      <c r="G2340" s="3" t="s">
        <v>17</v>
      </c>
      <c r="H2340" s="5">
        <v>-11140000</v>
      </c>
      <c r="I2340" s="3" t="s">
        <v>18</v>
      </c>
      <c r="J2340" s="3" t="s">
        <v>14</v>
      </c>
      <c r="K2340" s="3" t="s">
        <v>14</v>
      </c>
      <c r="L2340" s="3" t="s">
        <v>2057</v>
      </c>
      <c r="M2340" s="4">
        <v>46295</v>
      </c>
      <c r="N2340" s="3" t="s">
        <v>2058</v>
      </c>
      <c r="O2340" s="3" t="s">
        <v>22</v>
      </c>
      <c r="P2340" t="str">
        <f t="shared" si="36"/>
        <v>450013211420</v>
      </c>
      <c r="Q2340" s="7" cm="1">
        <f t="array" ref="Q2340:S2340">VLOOKUP(P2340,Hoja1!C:F,{2,3,4},FALSE)</f>
        <v>46397</v>
      </c>
      <c r="R2340" t="str">
        <v>C26</v>
      </c>
      <c r="S2340" t="str">
        <v>1000002120 INGEAP S.A.S.</v>
      </c>
    </row>
    <row r="2341" spans="1:19" x14ac:dyDescent="0.3">
      <c r="A2341" s="2" t="s">
        <v>14</v>
      </c>
      <c r="B2341" s="3" t="s">
        <v>14</v>
      </c>
      <c r="C2341" s="3" t="s">
        <v>2056</v>
      </c>
      <c r="D2341" s="3" t="s">
        <v>32</v>
      </c>
      <c r="E2341" s="3" t="s">
        <v>466</v>
      </c>
      <c r="F2341" s="4">
        <v>46295</v>
      </c>
      <c r="G2341" s="3" t="s">
        <v>17</v>
      </c>
      <c r="H2341" s="5">
        <v>-680000</v>
      </c>
      <c r="I2341" s="3" t="s">
        <v>18</v>
      </c>
      <c r="J2341" s="3" t="s">
        <v>14</v>
      </c>
      <c r="K2341" s="3" t="s">
        <v>14</v>
      </c>
      <c r="L2341" s="3" t="s">
        <v>2057</v>
      </c>
      <c r="M2341" s="4">
        <v>46295</v>
      </c>
      <c r="N2341" s="3" t="s">
        <v>2058</v>
      </c>
      <c r="O2341" s="3" t="s">
        <v>35</v>
      </c>
      <c r="P2341" t="str">
        <f t="shared" si="36"/>
        <v>450013211430</v>
      </c>
      <c r="Q2341" s="7" cm="1">
        <f t="array" ref="Q2341:S2341">VLOOKUP(P2341,Hoja1!C:F,{2,3,4},FALSE)</f>
        <v>46397</v>
      </c>
      <c r="R2341" t="str">
        <v>C26</v>
      </c>
      <c r="S2341" t="str">
        <v>1000002120 INGEAP S.A.S.</v>
      </c>
    </row>
    <row r="2342" spans="1:19" x14ac:dyDescent="0.3">
      <c r="A2342" s="2" t="s">
        <v>14</v>
      </c>
      <c r="B2342" s="3" t="s">
        <v>14</v>
      </c>
      <c r="C2342" s="3" t="s">
        <v>2059</v>
      </c>
      <c r="D2342" s="3" t="s">
        <v>32</v>
      </c>
      <c r="E2342" s="3" t="s">
        <v>466</v>
      </c>
      <c r="F2342" s="4">
        <v>46295</v>
      </c>
      <c r="G2342" s="3" t="s">
        <v>17</v>
      </c>
      <c r="H2342" s="5">
        <v>-7450000</v>
      </c>
      <c r="I2342" s="3" t="s">
        <v>18</v>
      </c>
      <c r="J2342" s="3" t="s">
        <v>14</v>
      </c>
      <c r="K2342" s="3" t="s">
        <v>14</v>
      </c>
      <c r="L2342" s="3" t="s">
        <v>2057</v>
      </c>
      <c r="M2342" s="4">
        <v>46295</v>
      </c>
      <c r="N2342" s="3" t="s">
        <v>2060</v>
      </c>
      <c r="O2342" s="3" t="s">
        <v>30</v>
      </c>
      <c r="P2342" t="str">
        <f t="shared" si="36"/>
        <v>450013485810</v>
      </c>
      <c r="Q2342" s="7" cm="1">
        <f t="array" ref="Q2342:S2342">VLOOKUP(P2342,Hoja1!C:F,{2,3,4},FALSE)</f>
        <v>46350</v>
      </c>
      <c r="R2342" t="str">
        <v>C26</v>
      </c>
      <c r="S2342" t="str">
        <v>1000002120 INGEAP S.A.S.</v>
      </c>
    </row>
    <row r="2343" spans="1:19" x14ac:dyDescent="0.3">
      <c r="A2343" s="2" t="s">
        <v>14</v>
      </c>
      <c r="B2343" s="3" t="s">
        <v>14</v>
      </c>
      <c r="C2343" s="3" t="s">
        <v>2061</v>
      </c>
      <c r="D2343" s="3" t="s">
        <v>32</v>
      </c>
      <c r="E2343" s="3" t="s">
        <v>466</v>
      </c>
      <c r="F2343" s="4">
        <v>46295</v>
      </c>
      <c r="G2343" s="3" t="s">
        <v>17</v>
      </c>
      <c r="H2343" s="5">
        <v>-986000</v>
      </c>
      <c r="I2343" s="3" t="s">
        <v>18</v>
      </c>
      <c r="J2343" s="3" t="s">
        <v>14</v>
      </c>
      <c r="K2343" s="3" t="s">
        <v>14</v>
      </c>
      <c r="L2343" s="3" t="s">
        <v>2062</v>
      </c>
      <c r="M2343" s="4">
        <v>46295</v>
      </c>
      <c r="N2343" s="3" t="s">
        <v>2063</v>
      </c>
      <c r="O2343" s="3" t="s">
        <v>30</v>
      </c>
      <c r="P2343" t="str">
        <f t="shared" si="36"/>
        <v>450011833410</v>
      </c>
      <c r="Q2343" s="7" cm="1">
        <f t="array" ref="Q2343:S2343">VLOOKUP(P2343,Hoja1!C:F,{2,3,4},FALSE)</f>
        <v>46326</v>
      </c>
      <c r="R2343" t="str">
        <v>C26</v>
      </c>
      <c r="S2343" t="str">
        <v>1000008171 CAEFE S.A.</v>
      </c>
    </row>
    <row r="2344" spans="1:19" x14ac:dyDescent="0.3">
      <c r="A2344" s="2" t="s">
        <v>14</v>
      </c>
      <c r="B2344" s="3" t="s">
        <v>14</v>
      </c>
      <c r="C2344" s="3" t="s">
        <v>2061</v>
      </c>
      <c r="D2344" s="3" t="s">
        <v>32</v>
      </c>
      <c r="E2344" s="3" t="s">
        <v>466</v>
      </c>
      <c r="F2344" s="4">
        <v>46295</v>
      </c>
      <c r="G2344" s="3" t="s">
        <v>17</v>
      </c>
      <c r="H2344" s="5">
        <v>-456000</v>
      </c>
      <c r="I2344" s="3" t="s">
        <v>18</v>
      </c>
      <c r="J2344" s="3" t="s">
        <v>14</v>
      </c>
      <c r="K2344" s="3" t="s">
        <v>14</v>
      </c>
      <c r="L2344" s="3" t="s">
        <v>2062</v>
      </c>
      <c r="M2344" s="4">
        <v>46295</v>
      </c>
      <c r="N2344" s="3" t="s">
        <v>2063</v>
      </c>
      <c r="O2344" s="3" t="s">
        <v>35</v>
      </c>
      <c r="P2344" t="str">
        <f t="shared" si="36"/>
        <v>450011833430</v>
      </c>
      <c r="Q2344" s="7" cm="1">
        <f t="array" ref="Q2344:S2344">VLOOKUP(P2344,Hoja1!C:F,{2,3,4},FALSE)</f>
        <v>46326</v>
      </c>
      <c r="R2344" t="str">
        <v>C26</v>
      </c>
      <c r="S2344" t="str">
        <v>1000008171 CAEFE S.A.</v>
      </c>
    </row>
    <row r="2345" spans="1:19" x14ac:dyDescent="0.3">
      <c r="A2345" s="2" t="s">
        <v>14</v>
      </c>
      <c r="B2345" s="3" t="s">
        <v>14</v>
      </c>
      <c r="C2345" s="3" t="s">
        <v>2061</v>
      </c>
      <c r="D2345" s="3" t="s">
        <v>32</v>
      </c>
      <c r="E2345" s="3" t="s">
        <v>466</v>
      </c>
      <c r="F2345" s="4">
        <v>46295</v>
      </c>
      <c r="G2345" s="3" t="s">
        <v>17</v>
      </c>
      <c r="H2345" s="5">
        <v>-190000</v>
      </c>
      <c r="I2345" s="3" t="s">
        <v>18</v>
      </c>
      <c r="J2345" s="3" t="s">
        <v>14</v>
      </c>
      <c r="K2345" s="3" t="s">
        <v>14</v>
      </c>
      <c r="L2345" s="3" t="s">
        <v>2062</v>
      </c>
      <c r="M2345" s="4">
        <v>46295</v>
      </c>
      <c r="N2345" s="3" t="s">
        <v>2063</v>
      </c>
      <c r="O2345" s="3" t="s">
        <v>23</v>
      </c>
      <c r="P2345" t="str">
        <f t="shared" si="36"/>
        <v>450011833440</v>
      </c>
      <c r="Q2345" s="7" cm="1">
        <f t="array" ref="Q2345:S2345">VLOOKUP(P2345,Hoja1!C:F,{2,3,4},FALSE)</f>
        <v>46326</v>
      </c>
      <c r="R2345" t="str">
        <v>C26</v>
      </c>
      <c r="S2345" t="str">
        <v>1000008171 CAEFE S.A.</v>
      </c>
    </row>
    <row r="2346" spans="1:19" x14ac:dyDescent="0.3">
      <c r="A2346" s="2" t="s">
        <v>14</v>
      </c>
      <c r="B2346" s="3" t="s">
        <v>14</v>
      </c>
      <c r="C2346" s="3" t="s">
        <v>2061</v>
      </c>
      <c r="D2346" s="3" t="s">
        <v>32</v>
      </c>
      <c r="E2346" s="3" t="s">
        <v>466</v>
      </c>
      <c r="F2346" s="4">
        <v>46295</v>
      </c>
      <c r="G2346" s="3" t="s">
        <v>17</v>
      </c>
      <c r="H2346" s="5">
        <v>-125000</v>
      </c>
      <c r="I2346" s="3" t="s">
        <v>18</v>
      </c>
      <c r="J2346" s="3" t="s">
        <v>14</v>
      </c>
      <c r="K2346" s="3" t="s">
        <v>14</v>
      </c>
      <c r="L2346" s="3" t="s">
        <v>2062</v>
      </c>
      <c r="M2346" s="4">
        <v>46295</v>
      </c>
      <c r="N2346" s="3" t="s">
        <v>2063</v>
      </c>
      <c r="O2346" s="3" t="s">
        <v>144</v>
      </c>
      <c r="P2346" t="str">
        <f t="shared" si="36"/>
        <v>450011833450</v>
      </c>
      <c r="Q2346" s="7" cm="1">
        <f t="array" ref="Q2346:S2346">VLOOKUP(P2346,Hoja1!C:F,{2,3,4},FALSE)</f>
        <v>46326</v>
      </c>
      <c r="R2346" t="str">
        <v>C26</v>
      </c>
      <c r="S2346" t="str">
        <v>1000008171 CAEFE S.A.</v>
      </c>
    </row>
    <row r="2347" spans="1:19" x14ac:dyDescent="0.3">
      <c r="A2347" s="2" t="s">
        <v>14</v>
      </c>
      <c r="B2347" s="3" t="s">
        <v>14</v>
      </c>
      <c r="C2347" s="3" t="s">
        <v>2061</v>
      </c>
      <c r="D2347" s="3" t="s">
        <v>32</v>
      </c>
      <c r="E2347" s="3" t="s">
        <v>466</v>
      </c>
      <c r="F2347" s="4">
        <v>46295</v>
      </c>
      <c r="G2347" s="3" t="s">
        <v>17</v>
      </c>
      <c r="H2347" s="5">
        <v>-1500000</v>
      </c>
      <c r="I2347" s="3" t="s">
        <v>18</v>
      </c>
      <c r="J2347" s="3" t="s">
        <v>14</v>
      </c>
      <c r="K2347" s="3" t="s">
        <v>14</v>
      </c>
      <c r="L2347" s="3" t="s">
        <v>2062</v>
      </c>
      <c r="M2347" s="4">
        <v>46295</v>
      </c>
      <c r="N2347" s="3" t="s">
        <v>2063</v>
      </c>
      <c r="O2347" s="3" t="s">
        <v>156</v>
      </c>
      <c r="P2347" t="str">
        <f t="shared" si="36"/>
        <v>4500118334110</v>
      </c>
      <c r="Q2347" s="7" cm="1">
        <f t="array" ref="Q2347:S2347">VLOOKUP(P2347,Hoja1!C:F,{2,3,4},FALSE)</f>
        <v>46326</v>
      </c>
      <c r="R2347" t="str">
        <v>C26</v>
      </c>
      <c r="S2347" t="str">
        <v>1000008171 CAEFE S.A.</v>
      </c>
    </row>
    <row r="2348" spans="1:19" x14ac:dyDescent="0.3">
      <c r="A2348" s="2" t="s">
        <v>14</v>
      </c>
      <c r="B2348" s="3" t="s">
        <v>14</v>
      </c>
      <c r="C2348" s="3" t="s">
        <v>2061</v>
      </c>
      <c r="D2348" s="3" t="s">
        <v>32</v>
      </c>
      <c r="E2348" s="3" t="s">
        <v>466</v>
      </c>
      <c r="F2348" s="4">
        <v>46295</v>
      </c>
      <c r="G2348" s="3" t="s">
        <v>17</v>
      </c>
      <c r="H2348" s="5">
        <v>-21000000</v>
      </c>
      <c r="I2348" s="3" t="s">
        <v>18</v>
      </c>
      <c r="J2348" s="3" t="s">
        <v>14</v>
      </c>
      <c r="K2348" s="3" t="s">
        <v>14</v>
      </c>
      <c r="L2348" s="3" t="s">
        <v>2062</v>
      </c>
      <c r="M2348" s="4">
        <v>46295</v>
      </c>
      <c r="N2348" s="3" t="s">
        <v>2063</v>
      </c>
      <c r="O2348" s="3" t="s">
        <v>132</v>
      </c>
      <c r="P2348" t="str">
        <f t="shared" si="36"/>
        <v>4500118334120</v>
      </c>
      <c r="Q2348" s="7" cm="1">
        <f t="array" ref="Q2348:S2348">VLOOKUP(P2348,Hoja1!C:F,{2,3,4},FALSE)</f>
        <v>46326</v>
      </c>
      <c r="R2348" t="str">
        <v>C26</v>
      </c>
      <c r="S2348" t="str">
        <v>1000008171 CAEFE S.A.</v>
      </c>
    </row>
    <row r="2349" spans="1:19" x14ac:dyDescent="0.3">
      <c r="A2349" s="2" t="s">
        <v>14</v>
      </c>
      <c r="B2349" s="3" t="s">
        <v>14</v>
      </c>
      <c r="C2349" s="3" t="s">
        <v>2064</v>
      </c>
      <c r="D2349" s="3" t="s">
        <v>32</v>
      </c>
      <c r="E2349" s="3" t="s">
        <v>466</v>
      </c>
      <c r="F2349" s="4">
        <v>46295</v>
      </c>
      <c r="G2349" s="3" t="s">
        <v>17</v>
      </c>
      <c r="H2349" s="5">
        <v>-32300000</v>
      </c>
      <c r="I2349" s="3" t="s">
        <v>18</v>
      </c>
      <c r="J2349" s="3" t="s">
        <v>14</v>
      </c>
      <c r="K2349" s="3" t="s">
        <v>14</v>
      </c>
      <c r="L2349" s="3" t="s">
        <v>2062</v>
      </c>
      <c r="M2349" s="4">
        <v>46295</v>
      </c>
      <c r="N2349" s="3" t="s">
        <v>2065</v>
      </c>
      <c r="O2349" s="3" t="s">
        <v>30</v>
      </c>
      <c r="P2349" t="str">
        <f t="shared" si="36"/>
        <v>450013607310</v>
      </c>
      <c r="Q2349" s="7" cm="1">
        <f t="array" ref="Q2349:S2349">VLOOKUP(P2349,Hoja1!C:F,{2,3,4},FALSE)</f>
        <v>46325</v>
      </c>
      <c r="R2349" t="str">
        <v>C26</v>
      </c>
      <c r="S2349" t="str">
        <v>1000008171 CAEFE S.A.</v>
      </c>
    </row>
    <row r="2350" spans="1:19" x14ac:dyDescent="0.3">
      <c r="A2350" s="2" t="s">
        <v>14</v>
      </c>
      <c r="B2350" s="3" t="s">
        <v>14</v>
      </c>
      <c r="C2350" s="3" t="s">
        <v>2064</v>
      </c>
      <c r="D2350" s="3" t="s">
        <v>32</v>
      </c>
      <c r="E2350" s="3" t="s">
        <v>466</v>
      </c>
      <c r="F2350" s="4">
        <v>46295</v>
      </c>
      <c r="G2350" s="3" t="s">
        <v>17</v>
      </c>
      <c r="H2350" s="5">
        <v>-1800000</v>
      </c>
      <c r="I2350" s="3" t="s">
        <v>18</v>
      </c>
      <c r="J2350" s="3" t="s">
        <v>14</v>
      </c>
      <c r="K2350" s="3" t="s">
        <v>14</v>
      </c>
      <c r="L2350" s="3" t="s">
        <v>2062</v>
      </c>
      <c r="M2350" s="4">
        <v>46295</v>
      </c>
      <c r="N2350" s="3" t="s">
        <v>2065</v>
      </c>
      <c r="O2350" s="3" t="s">
        <v>35</v>
      </c>
      <c r="P2350" t="str">
        <f t="shared" si="36"/>
        <v>450013607330</v>
      </c>
      <c r="Q2350" s="7" cm="1">
        <f t="array" ref="Q2350:S2350">VLOOKUP(P2350,Hoja1!C:F,{2,3,4},FALSE)</f>
        <v>46325</v>
      </c>
      <c r="R2350" t="str">
        <v>C26</v>
      </c>
      <c r="S2350" t="str">
        <v>1000008171 CAEFE S.A.</v>
      </c>
    </row>
    <row r="2351" spans="1:19" x14ac:dyDescent="0.3">
      <c r="A2351" s="2" t="s">
        <v>14</v>
      </c>
      <c r="B2351" s="3" t="s">
        <v>14</v>
      </c>
      <c r="C2351" s="3" t="s">
        <v>2064</v>
      </c>
      <c r="D2351" s="3" t="s">
        <v>32</v>
      </c>
      <c r="E2351" s="3" t="s">
        <v>466</v>
      </c>
      <c r="F2351" s="4">
        <v>46295</v>
      </c>
      <c r="G2351" s="3" t="s">
        <v>17</v>
      </c>
      <c r="H2351" s="5">
        <v>-108000</v>
      </c>
      <c r="I2351" s="3" t="s">
        <v>18</v>
      </c>
      <c r="J2351" s="3" t="s">
        <v>14</v>
      </c>
      <c r="K2351" s="3" t="s">
        <v>14</v>
      </c>
      <c r="L2351" s="3" t="s">
        <v>2062</v>
      </c>
      <c r="M2351" s="4">
        <v>46295</v>
      </c>
      <c r="N2351" s="3" t="s">
        <v>2065</v>
      </c>
      <c r="O2351" s="3" t="s">
        <v>23</v>
      </c>
      <c r="P2351" t="str">
        <f t="shared" si="36"/>
        <v>450013607340</v>
      </c>
      <c r="Q2351" s="7" cm="1">
        <f t="array" ref="Q2351:S2351">VLOOKUP(P2351,Hoja1!C:F,{2,3,4},FALSE)</f>
        <v>46325</v>
      </c>
      <c r="R2351" t="str">
        <v>C26</v>
      </c>
      <c r="S2351" t="str">
        <v>1000008171 CAEFE S.A.</v>
      </c>
    </row>
    <row r="2352" spans="1:19" x14ac:dyDescent="0.3">
      <c r="A2352" s="2" t="s">
        <v>14</v>
      </c>
      <c r="B2352" s="3" t="s">
        <v>14</v>
      </c>
      <c r="C2352" s="3" t="s">
        <v>2066</v>
      </c>
      <c r="D2352" s="3" t="s">
        <v>32</v>
      </c>
      <c r="E2352" s="3" t="s">
        <v>466</v>
      </c>
      <c r="F2352" s="4">
        <v>46294</v>
      </c>
      <c r="G2352" s="3" t="s">
        <v>17</v>
      </c>
      <c r="H2352" s="5">
        <v>-326050.05</v>
      </c>
      <c r="I2352" s="3" t="s">
        <v>18</v>
      </c>
      <c r="J2352" s="3" t="s">
        <v>14</v>
      </c>
      <c r="K2352" s="3" t="s">
        <v>14</v>
      </c>
      <c r="L2352" s="3" t="s">
        <v>2067</v>
      </c>
      <c r="M2352" s="4">
        <v>46295</v>
      </c>
      <c r="N2352" s="3" t="s">
        <v>2068</v>
      </c>
      <c r="O2352" s="3" t="s">
        <v>30</v>
      </c>
      <c r="P2352" t="str">
        <f t="shared" si="36"/>
        <v>450013969910</v>
      </c>
      <c r="Q2352" s="7" cm="1">
        <f t="array" ref="Q2352:S2352">VLOOKUP(P2352,Hoja1!C:F,{2,3,4},FALSE)</f>
        <v>46298</v>
      </c>
      <c r="R2352" t="str">
        <v>374</v>
      </c>
      <c r="S2352" t="str">
        <v>1000000418 HILTI ARGENTINA SRL</v>
      </c>
    </row>
    <row r="2353" spans="1:19" x14ac:dyDescent="0.3">
      <c r="A2353" s="2" t="s">
        <v>14</v>
      </c>
      <c r="B2353" s="3" t="s">
        <v>14</v>
      </c>
      <c r="C2353" s="3" t="s">
        <v>2069</v>
      </c>
      <c r="D2353" s="3" t="s">
        <v>14</v>
      </c>
      <c r="E2353" s="3" t="s">
        <v>466</v>
      </c>
      <c r="F2353" s="4">
        <v>46294</v>
      </c>
      <c r="G2353" s="3" t="s">
        <v>17</v>
      </c>
      <c r="H2353" s="5">
        <v>-470425</v>
      </c>
      <c r="I2353" s="3" t="s">
        <v>18</v>
      </c>
      <c r="J2353" s="3" t="s">
        <v>14</v>
      </c>
      <c r="K2353" s="3" t="s">
        <v>14</v>
      </c>
      <c r="L2353" s="3" t="s">
        <v>269</v>
      </c>
      <c r="M2353" s="4">
        <v>46295</v>
      </c>
      <c r="N2353" s="3" t="s">
        <v>2070</v>
      </c>
      <c r="O2353" s="3" t="s">
        <v>30</v>
      </c>
      <c r="P2353" t="str">
        <f t="shared" si="36"/>
        <v>450013961710</v>
      </c>
      <c r="Q2353" s="7" cm="1">
        <f t="array" ref="Q2353:S2353">VLOOKUP(P2353,Hoja1!C:F,{2,3,4},FALSE)</f>
        <v>46297</v>
      </c>
      <c r="R2353" t="str">
        <v>C03</v>
      </c>
      <c r="S2353" t="str">
        <v>1000000190 FERNANDEZ INSUA S.A.</v>
      </c>
    </row>
    <row r="2354" spans="1:19" x14ac:dyDescent="0.3">
      <c r="A2354" s="2" t="s">
        <v>14</v>
      </c>
      <c r="B2354" s="3" t="s">
        <v>14</v>
      </c>
      <c r="C2354" s="3" t="s">
        <v>2071</v>
      </c>
      <c r="D2354" s="3" t="s">
        <v>14</v>
      </c>
      <c r="E2354" s="3" t="s">
        <v>466</v>
      </c>
      <c r="F2354" s="4">
        <v>46295</v>
      </c>
      <c r="G2354" s="3" t="s">
        <v>17</v>
      </c>
      <c r="H2354" s="5">
        <v>-320400</v>
      </c>
      <c r="I2354" s="3" t="s">
        <v>18</v>
      </c>
      <c r="J2354" s="3" t="s">
        <v>14</v>
      </c>
      <c r="K2354" s="3" t="s">
        <v>14</v>
      </c>
      <c r="L2354" s="3" t="s">
        <v>522</v>
      </c>
      <c r="M2354" s="4">
        <v>46295</v>
      </c>
      <c r="N2354" s="3" t="s">
        <v>2072</v>
      </c>
      <c r="O2354" s="3" t="s">
        <v>30</v>
      </c>
      <c r="P2354" t="str">
        <f t="shared" si="36"/>
        <v>450013972510</v>
      </c>
      <c r="Q2354" s="7" cm="1">
        <f t="array" ref="Q2354:S2354">VLOOKUP(P2354,Hoja1!C:F,{2,3,4},FALSE)</f>
        <v>46300</v>
      </c>
      <c r="R2354" t="str">
        <v>F13</v>
      </c>
      <c r="S2354" t="str">
        <v>1000000052 DEVOL S.A.</v>
      </c>
    </row>
    <row r="2355" spans="1:19" x14ac:dyDescent="0.3">
      <c r="A2355" s="2" t="s">
        <v>14</v>
      </c>
      <c r="B2355" s="3" t="s">
        <v>14</v>
      </c>
      <c r="C2355" s="3" t="s">
        <v>2073</v>
      </c>
      <c r="D2355" s="3" t="s">
        <v>14</v>
      </c>
      <c r="E2355" s="3" t="s">
        <v>466</v>
      </c>
      <c r="F2355" s="4">
        <v>46295</v>
      </c>
      <c r="G2355" s="3" t="s">
        <v>17</v>
      </c>
      <c r="H2355" s="5">
        <v>-222600</v>
      </c>
      <c r="I2355" s="3" t="s">
        <v>18</v>
      </c>
      <c r="J2355" s="3" t="s">
        <v>14</v>
      </c>
      <c r="K2355" s="3" t="s">
        <v>14</v>
      </c>
      <c r="L2355" s="3" t="s">
        <v>1461</v>
      </c>
      <c r="M2355" s="4">
        <v>46295</v>
      </c>
      <c r="N2355" s="3" t="s">
        <v>2074</v>
      </c>
      <c r="O2355" s="3" t="s">
        <v>30</v>
      </c>
      <c r="P2355" t="str">
        <f t="shared" si="36"/>
        <v>450013975210</v>
      </c>
      <c r="Q2355" s="7" cm="1">
        <f t="array" ref="Q2355:S2355">VLOOKUP(P2355,Hoja1!C:F,{2,3,4},FALSE)</f>
        <v>46296</v>
      </c>
      <c r="R2355" t="str">
        <v>C03</v>
      </c>
      <c r="S2355" t="str">
        <v>1000003297 PELIQUIN S.R.L.</v>
      </c>
    </row>
    <row r="2356" spans="1:19" x14ac:dyDescent="0.3">
      <c r="A2356" s="2" t="s">
        <v>14</v>
      </c>
      <c r="B2356" s="3" t="s">
        <v>14</v>
      </c>
      <c r="C2356" s="3" t="s">
        <v>2075</v>
      </c>
      <c r="D2356" s="3" t="s">
        <v>32</v>
      </c>
      <c r="E2356" s="3" t="s">
        <v>466</v>
      </c>
      <c r="F2356" s="4">
        <v>46295</v>
      </c>
      <c r="G2356" s="3" t="s">
        <v>17</v>
      </c>
      <c r="H2356" s="5">
        <v>-367235</v>
      </c>
      <c r="I2356" s="3" t="s">
        <v>18</v>
      </c>
      <c r="J2356" s="3" t="s">
        <v>14</v>
      </c>
      <c r="K2356" s="3" t="s">
        <v>14</v>
      </c>
      <c r="L2356" s="3" t="s">
        <v>597</v>
      </c>
      <c r="M2356" s="4">
        <v>46295</v>
      </c>
      <c r="N2356" s="3" t="s">
        <v>2076</v>
      </c>
      <c r="O2356" s="3" t="s">
        <v>161</v>
      </c>
      <c r="P2356" t="str">
        <f t="shared" si="36"/>
        <v>4500130425200</v>
      </c>
      <c r="Q2356" s="7" cm="1">
        <f t="array" ref="Q2356:S2356">VLOOKUP(P2356,Hoja1!C:F,{2,3,4},FALSE)</f>
        <v>46289</v>
      </c>
      <c r="R2356" t="str">
        <v>377</v>
      </c>
      <c r="S2356" t="str">
        <v>1000009527 ELECTRICIDAD PANAMERICANA S.A.</v>
      </c>
    </row>
    <row r="2357" spans="1:19" x14ac:dyDescent="0.3">
      <c r="A2357" s="2" t="s">
        <v>14</v>
      </c>
      <c r="B2357" s="3" t="s">
        <v>14</v>
      </c>
      <c r="C2357" s="3" t="s">
        <v>2077</v>
      </c>
      <c r="D2357" s="3" t="s">
        <v>32</v>
      </c>
      <c r="E2357" s="3" t="s">
        <v>466</v>
      </c>
      <c r="F2357" s="4">
        <v>46295</v>
      </c>
      <c r="G2357" s="3" t="s">
        <v>17</v>
      </c>
      <c r="H2357" s="5">
        <v>-18213.38</v>
      </c>
      <c r="I2357" s="3" t="s">
        <v>18</v>
      </c>
      <c r="J2357" s="3" t="s">
        <v>14</v>
      </c>
      <c r="K2357" s="3" t="s">
        <v>14</v>
      </c>
      <c r="L2357" s="3" t="s">
        <v>335</v>
      </c>
      <c r="M2357" s="4">
        <v>46295</v>
      </c>
      <c r="N2357" s="3" t="s">
        <v>336</v>
      </c>
      <c r="O2357" s="3" t="s">
        <v>30</v>
      </c>
      <c r="P2357" t="str">
        <f t="shared" si="36"/>
        <v>450013124310</v>
      </c>
      <c r="Q2357" s="7" cm="1">
        <f t="array" ref="Q2357:S2357">VLOOKUP(P2357,Hoja1!C:F,{2,3,4},FALSE)</f>
        <v>46433</v>
      </c>
      <c r="R2357" t="str">
        <v>C21</v>
      </c>
      <c r="S2357" t="str">
        <v>1000013302 PETROTRES SA</v>
      </c>
    </row>
    <row r="2358" spans="1:19" x14ac:dyDescent="0.3">
      <c r="A2358" s="2" t="s">
        <v>14</v>
      </c>
      <c r="B2358" s="3" t="s">
        <v>14</v>
      </c>
      <c r="C2358" s="3" t="s">
        <v>2077</v>
      </c>
      <c r="D2358" s="3" t="s">
        <v>32</v>
      </c>
      <c r="E2358" s="3" t="s">
        <v>466</v>
      </c>
      <c r="F2358" s="4">
        <v>46295</v>
      </c>
      <c r="G2358" s="3" t="s">
        <v>17</v>
      </c>
      <c r="H2358" s="5">
        <v>-1115.8399999999999</v>
      </c>
      <c r="I2358" s="3" t="s">
        <v>18</v>
      </c>
      <c r="J2358" s="3" t="s">
        <v>14</v>
      </c>
      <c r="K2358" s="3" t="s">
        <v>14</v>
      </c>
      <c r="L2358" s="3" t="s">
        <v>335</v>
      </c>
      <c r="M2358" s="4">
        <v>46295</v>
      </c>
      <c r="N2358" s="3" t="s">
        <v>336</v>
      </c>
      <c r="O2358" s="3" t="s">
        <v>30</v>
      </c>
      <c r="P2358" t="str">
        <f t="shared" si="36"/>
        <v>450013124310</v>
      </c>
      <c r="Q2358" s="7" cm="1">
        <f t="array" ref="Q2358:S2358">VLOOKUP(P2358,Hoja1!C:F,{2,3,4},FALSE)</f>
        <v>46433</v>
      </c>
      <c r="R2358" t="str">
        <v>C21</v>
      </c>
      <c r="S2358" t="str">
        <v>1000013302 PETROTRES SA</v>
      </c>
    </row>
    <row r="2359" spans="1:19" x14ac:dyDescent="0.3">
      <c r="A2359" s="2" t="s">
        <v>14</v>
      </c>
      <c r="B2359" s="3" t="s">
        <v>14</v>
      </c>
      <c r="C2359" s="3" t="s">
        <v>2078</v>
      </c>
      <c r="D2359" s="3" t="s">
        <v>32</v>
      </c>
      <c r="E2359" s="3" t="s">
        <v>466</v>
      </c>
      <c r="F2359" s="4">
        <v>46295</v>
      </c>
      <c r="G2359" s="3" t="s">
        <v>17</v>
      </c>
      <c r="H2359" s="5">
        <v>-3825571.98</v>
      </c>
      <c r="I2359" s="3" t="s">
        <v>18</v>
      </c>
      <c r="J2359" s="3" t="s">
        <v>14</v>
      </c>
      <c r="K2359" s="3" t="s">
        <v>14</v>
      </c>
      <c r="L2359" s="3" t="s">
        <v>2079</v>
      </c>
      <c r="M2359" s="4">
        <v>46295</v>
      </c>
      <c r="N2359" s="3" t="s">
        <v>2080</v>
      </c>
      <c r="O2359" s="3" t="s">
        <v>30</v>
      </c>
      <c r="P2359" t="str">
        <f t="shared" si="36"/>
        <v>450013960910</v>
      </c>
      <c r="Q2359" s="7" cm="1">
        <f t="array" ref="Q2359:S2359">VLOOKUP(P2359,Hoja1!C:F,{2,3,4},FALSE)</f>
        <v>46299</v>
      </c>
      <c r="R2359" t="str">
        <v>377</v>
      </c>
      <c r="S2359" t="str">
        <v>1000009483 TERAR S.A.</v>
      </c>
    </row>
    <row r="2360" spans="1:19" x14ac:dyDescent="0.3">
      <c r="A2360" s="2" t="s">
        <v>14</v>
      </c>
      <c r="B2360" s="3" t="s">
        <v>14</v>
      </c>
      <c r="C2360" s="3" t="s">
        <v>2081</v>
      </c>
      <c r="D2360" s="3" t="s">
        <v>32</v>
      </c>
      <c r="E2360" s="3" t="s">
        <v>466</v>
      </c>
      <c r="F2360" s="4">
        <v>46295</v>
      </c>
      <c r="G2360" s="3" t="s">
        <v>17</v>
      </c>
      <c r="H2360" s="5">
        <v>-62682.96</v>
      </c>
      <c r="I2360" s="3" t="s">
        <v>18</v>
      </c>
      <c r="J2360" s="3" t="s">
        <v>14</v>
      </c>
      <c r="K2360" s="3" t="s">
        <v>14</v>
      </c>
      <c r="L2360" s="3" t="s">
        <v>335</v>
      </c>
      <c r="M2360" s="4">
        <v>46295</v>
      </c>
      <c r="N2360" s="3" t="s">
        <v>336</v>
      </c>
      <c r="O2360" s="3" t="s">
        <v>30</v>
      </c>
      <c r="P2360" t="str">
        <f t="shared" si="36"/>
        <v>450013124310</v>
      </c>
      <c r="Q2360" s="7" cm="1">
        <f t="array" ref="Q2360:S2360">VLOOKUP(P2360,Hoja1!C:F,{2,3,4},FALSE)</f>
        <v>46433</v>
      </c>
      <c r="R2360" t="str">
        <v>C21</v>
      </c>
      <c r="S2360" t="str">
        <v>1000013302 PETROTRES SA</v>
      </c>
    </row>
    <row r="2361" spans="1:19" x14ac:dyDescent="0.3">
      <c r="A2361" s="2" t="s">
        <v>14</v>
      </c>
      <c r="B2361" s="3" t="s">
        <v>14</v>
      </c>
      <c r="C2361" s="3" t="s">
        <v>2081</v>
      </c>
      <c r="D2361" s="3" t="s">
        <v>32</v>
      </c>
      <c r="E2361" s="3" t="s">
        <v>466</v>
      </c>
      <c r="F2361" s="4">
        <v>46295</v>
      </c>
      <c r="G2361" s="3" t="s">
        <v>17</v>
      </c>
      <c r="H2361" s="5">
        <v>-3840.26</v>
      </c>
      <c r="I2361" s="3" t="s">
        <v>18</v>
      </c>
      <c r="J2361" s="3" t="s">
        <v>14</v>
      </c>
      <c r="K2361" s="3" t="s">
        <v>14</v>
      </c>
      <c r="L2361" s="3" t="s">
        <v>335</v>
      </c>
      <c r="M2361" s="4">
        <v>46295</v>
      </c>
      <c r="N2361" s="3" t="s">
        <v>336</v>
      </c>
      <c r="O2361" s="3" t="s">
        <v>30</v>
      </c>
      <c r="P2361" t="str">
        <f t="shared" si="36"/>
        <v>450013124310</v>
      </c>
      <c r="Q2361" s="7" cm="1">
        <f t="array" ref="Q2361:S2361">VLOOKUP(P2361,Hoja1!C:F,{2,3,4},FALSE)</f>
        <v>46433</v>
      </c>
      <c r="R2361" t="str">
        <v>C21</v>
      </c>
      <c r="S2361" t="str">
        <v>1000013302 PETROTRES SA</v>
      </c>
    </row>
    <row r="2362" spans="1:19" x14ac:dyDescent="0.3">
      <c r="A2362" s="2" t="s">
        <v>14</v>
      </c>
      <c r="B2362" s="3" t="s">
        <v>14</v>
      </c>
      <c r="C2362" s="3" t="s">
        <v>2082</v>
      </c>
      <c r="D2362" s="3" t="s">
        <v>14</v>
      </c>
      <c r="E2362" s="3" t="s">
        <v>466</v>
      </c>
      <c r="F2362" s="4">
        <v>46295</v>
      </c>
      <c r="G2362" s="3" t="s">
        <v>17</v>
      </c>
      <c r="H2362" s="5">
        <v>-780644.62</v>
      </c>
      <c r="I2362" s="3" t="s">
        <v>18</v>
      </c>
      <c r="J2362" s="3" t="s">
        <v>14</v>
      </c>
      <c r="K2362" s="3" t="s">
        <v>14</v>
      </c>
      <c r="L2362" s="3" t="s">
        <v>2083</v>
      </c>
      <c r="M2362" s="4">
        <v>46295</v>
      </c>
      <c r="N2362" s="3" t="s">
        <v>2084</v>
      </c>
      <c r="O2362" s="3" t="s">
        <v>30</v>
      </c>
      <c r="P2362" t="str">
        <f t="shared" si="36"/>
        <v>450013953210</v>
      </c>
      <c r="Q2362" s="7" cm="1">
        <f t="array" ref="Q2362:S2362">VLOOKUP(P2362,Hoja1!C:F,{2,3,4},FALSE)</f>
        <v>46303</v>
      </c>
      <c r="R2362" t="str">
        <v>L02</v>
      </c>
      <c r="S2362" t="str">
        <v>1000009488 MCF BRACHETTA S.A.S.</v>
      </c>
    </row>
    <row r="2363" spans="1:19" x14ac:dyDescent="0.3">
      <c r="A2363" s="2" t="s">
        <v>14</v>
      </c>
      <c r="B2363" s="3" t="s">
        <v>14</v>
      </c>
      <c r="C2363" s="3" t="s">
        <v>2085</v>
      </c>
      <c r="D2363" s="3" t="s">
        <v>32</v>
      </c>
      <c r="E2363" s="3" t="s">
        <v>466</v>
      </c>
      <c r="F2363" s="4">
        <v>46295</v>
      </c>
      <c r="G2363" s="3" t="s">
        <v>17</v>
      </c>
      <c r="H2363" s="5">
        <v>-2191209.2999999998</v>
      </c>
      <c r="I2363" s="3" t="s">
        <v>18</v>
      </c>
      <c r="J2363" s="3" t="s">
        <v>14</v>
      </c>
      <c r="K2363" s="3" t="s">
        <v>14</v>
      </c>
      <c r="L2363" s="3" t="s">
        <v>2086</v>
      </c>
      <c r="M2363" s="4">
        <v>46295</v>
      </c>
      <c r="N2363" s="3" t="s">
        <v>2087</v>
      </c>
      <c r="O2363" s="3" t="s">
        <v>30</v>
      </c>
      <c r="P2363" t="str">
        <f t="shared" si="36"/>
        <v>450013976010</v>
      </c>
      <c r="Q2363" s="7" cm="1">
        <f t="array" ref="Q2363:S2363">VLOOKUP(P2363,Hoja1!C:F,{2,3,4},FALSE)</f>
        <v>46298</v>
      </c>
      <c r="R2363" t="str">
        <v>377</v>
      </c>
      <c r="S2363" t="str">
        <v>1000009238 FORESTAL PICO S.A.</v>
      </c>
    </row>
    <row r="2364" spans="1:19" x14ac:dyDescent="0.3">
      <c r="A2364" s="2" t="s">
        <v>14</v>
      </c>
      <c r="B2364" s="3" t="s">
        <v>14</v>
      </c>
      <c r="C2364" s="3" t="s">
        <v>2088</v>
      </c>
      <c r="D2364" s="3" t="s">
        <v>32</v>
      </c>
      <c r="E2364" s="3" t="s">
        <v>466</v>
      </c>
      <c r="F2364" s="4">
        <v>46295</v>
      </c>
      <c r="G2364" s="3" t="s">
        <v>17</v>
      </c>
      <c r="H2364" s="5">
        <v>-10926</v>
      </c>
      <c r="I2364" s="3" t="s">
        <v>18</v>
      </c>
      <c r="J2364" s="3" t="s">
        <v>14</v>
      </c>
      <c r="K2364" s="3" t="s">
        <v>14</v>
      </c>
      <c r="L2364" s="3" t="s">
        <v>2089</v>
      </c>
      <c r="M2364" s="4">
        <v>46295</v>
      </c>
      <c r="N2364" s="3" t="s">
        <v>2090</v>
      </c>
      <c r="O2364" s="3" t="s">
        <v>30</v>
      </c>
      <c r="P2364" t="str">
        <f t="shared" si="36"/>
        <v>450013989110</v>
      </c>
      <c r="Q2364" s="7" cm="1">
        <f t="array" ref="Q2364:S2364">VLOOKUP(P2364,Hoja1!C:F,{2,3,4},FALSE)</f>
        <v>46300</v>
      </c>
      <c r="R2364" t="str">
        <v>377</v>
      </c>
      <c r="S2364" t="str">
        <v>1000003039 PAIRON SA</v>
      </c>
    </row>
    <row r="2365" spans="1:19" x14ac:dyDescent="0.3">
      <c r="A2365" s="2" t="s">
        <v>14</v>
      </c>
      <c r="B2365" s="3" t="s">
        <v>14</v>
      </c>
      <c r="C2365" s="3" t="s">
        <v>2091</v>
      </c>
      <c r="D2365" s="3" t="s">
        <v>14</v>
      </c>
      <c r="E2365" s="3" t="s">
        <v>466</v>
      </c>
      <c r="F2365" s="4">
        <v>46296</v>
      </c>
      <c r="G2365" s="3" t="s">
        <v>17</v>
      </c>
      <c r="H2365" s="5">
        <v>-10538.04</v>
      </c>
      <c r="I2365" s="3" t="s">
        <v>18</v>
      </c>
      <c r="J2365" s="3" t="s">
        <v>14</v>
      </c>
      <c r="K2365" s="3" t="s">
        <v>14</v>
      </c>
      <c r="L2365" s="3" t="s">
        <v>2092</v>
      </c>
      <c r="M2365" s="4">
        <v>46296</v>
      </c>
      <c r="N2365" s="3" t="s">
        <v>2093</v>
      </c>
      <c r="O2365" s="3" t="s">
        <v>30</v>
      </c>
      <c r="P2365" t="str">
        <f t="shared" si="36"/>
        <v>450013974110</v>
      </c>
      <c r="Q2365" s="7" cm="1">
        <f t="array" ref="Q2365:S2365">VLOOKUP(P2365,Hoja1!C:F,{2,3,4},FALSE)</f>
        <v>46302</v>
      </c>
      <c r="R2365" t="str">
        <v>C17</v>
      </c>
      <c r="S2365" t="str">
        <v>1000000369 LIMPITO SRL</v>
      </c>
    </row>
    <row r="2366" spans="1:19" x14ac:dyDescent="0.3">
      <c r="A2366" s="2" t="s">
        <v>14</v>
      </c>
      <c r="B2366" s="3" t="s">
        <v>14</v>
      </c>
      <c r="C2366" s="3" t="s">
        <v>2094</v>
      </c>
      <c r="D2366" s="3" t="s">
        <v>14</v>
      </c>
      <c r="E2366" s="3" t="s">
        <v>466</v>
      </c>
      <c r="F2366" s="4">
        <v>46295</v>
      </c>
      <c r="G2366" s="3" t="s">
        <v>17</v>
      </c>
      <c r="H2366" s="5">
        <v>-69595.600000000006</v>
      </c>
      <c r="I2366" s="3" t="s">
        <v>18</v>
      </c>
      <c r="J2366" s="3" t="s">
        <v>14</v>
      </c>
      <c r="K2366" s="3" t="s">
        <v>14</v>
      </c>
      <c r="L2366" s="3" t="s">
        <v>1051</v>
      </c>
      <c r="M2366" s="4">
        <v>46296</v>
      </c>
      <c r="N2366" s="3" t="s">
        <v>2095</v>
      </c>
      <c r="O2366" s="3" t="s">
        <v>30</v>
      </c>
      <c r="P2366" t="str">
        <f t="shared" si="36"/>
        <v>450013891810</v>
      </c>
      <c r="Q2366" s="7" cm="1">
        <f t="array" ref="Q2366:S2366">VLOOKUP(P2366,Hoja1!C:F,{2,3,4},FALSE)</f>
        <v>46290</v>
      </c>
      <c r="R2366" t="str">
        <v>C11</v>
      </c>
      <c r="S2366" t="str">
        <v>1000001432 ELECTRINET SRL</v>
      </c>
    </row>
    <row r="2367" spans="1:19" x14ac:dyDescent="0.3">
      <c r="A2367" s="2" t="s">
        <v>14</v>
      </c>
      <c r="B2367" s="3" t="s">
        <v>14</v>
      </c>
      <c r="C2367" s="3" t="s">
        <v>2094</v>
      </c>
      <c r="D2367" s="3" t="s">
        <v>14</v>
      </c>
      <c r="E2367" s="3" t="s">
        <v>466</v>
      </c>
      <c r="F2367" s="4">
        <v>46295</v>
      </c>
      <c r="G2367" s="3" t="s">
        <v>17</v>
      </c>
      <c r="H2367" s="5">
        <v>-393551</v>
      </c>
      <c r="I2367" s="3" t="s">
        <v>18</v>
      </c>
      <c r="J2367" s="3" t="s">
        <v>14</v>
      </c>
      <c r="K2367" s="3" t="s">
        <v>14</v>
      </c>
      <c r="L2367" s="3" t="s">
        <v>1051</v>
      </c>
      <c r="M2367" s="4">
        <v>46296</v>
      </c>
      <c r="N2367" s="3" t="s">
        <v>2095</v>
      </c>
      <c r="O2367" s="3" t="s">
        <v>22</v>
      </c>
      <c r="P2367" t="str">
        <f t="shared" si="36"/>
        <v>450013891820</v>
      </c>
      <c r="Q2367" s="7" cm="1">
        <f t="array" ref="Q2367:S2367">VLOOKUP(P2367,Hoja1!C:F,{2,3,4},FALSE)</f>
        <v>46290</v>
      </c>
      <c r="R2367" t="str">
        <v>C11</v>
      </c>
      <c r="S2367" t="str">
        <v>1000001432 ELECTRINET SRL</v>
      </c>
    </row>
    <row r="2368" spans="1:19" x14ac:dyDescent="0.3">
      <c r="A2368" s="2" t="s">
        <v>14</v>
      </c>
      <c r="B2368" s="3" t="s">
        <v>14</v>
      </c>
      <c r="C2368" s="3" t="s">
        <v>2094</v>
      </c>
      <c r="D2368" s="3" t="s">
        <v>14</v>
      </c>
      <c r="E2368" s="3" t="s">
        <v>466</v>
      </c>
      <c r="F2368" s="4">
        <v>46295</v>
      </c>
      <c r="G2368" s="3" t="s">
        <v>17</v>
      </c>
      <c r="H2368" s="5">
        <v>-82698.149999999994</v>
      </c>
      <c r="I2368" s="3" t="s">
        <v>18</v>
      </c>
      <c r="J2368" s="3" t="s">
        <v>14</v>
      </c>
      <c r="K2368" s="3" t="s">
        <v>14</v>
      </c>
      <c r="L2368" s="3" t="s">
        <v>1051</v>
      </c>
      <c r="M2368" s="4">
        <v>46296</v>
      </c>
      <c r="N2368" s="3" t="s">
        <v>2095</v>
      </c>
      <c r="O2368" s="3" t="s">
        <v>35</v>
      </c>
      <c r="P2368" t="str">
        <f t="shared" si="36"/>
        <v>450013891830</v>
      </c>
      <c r="Q2368" s="7" cm="1">
        <f t="array" ref="Q2368:S2368">VLOOKUP(P2368,Hoja1!C:F,{2,3,4},FALSE)</f>
        <v>46290</v>
      </c>
      <c r="R2368" t="str">
        <v>C11</v>
      </c>
      <c r="S2368" t="str">
        <v>1000001432 ELECTRINET SRL</v>
      </c>
    </row>
    <row r="2369" spans="1:19" x14ac:dyDescent="0.3">
      <c r="A2369" s="2" t="s">
        <v>14</v>
      </c>
      <c r="B2369" s="3" t="s">
        <v>14</v>
      </c>
      <c r="C2369" s="3" t="s">
        <v>2094</v>
      </c>
      <c r="D2369" s="3" t="s">
        <v>14</v>
      </c>
      <c r="E2369" s="3" t="s">
        <v>466</v>
      </c>
      <c r="F2369" s="4">
        <v>46295</v>
      </c>
      <c r="G2369" s="3" t="s">
        <v>17</v>
      </c>
      <c r="H2369" s="5">
        <v>-67355.8</v>
      </c>
      <c r="I2369" s="3" t="s">
        <v>18</v>
      </c>
      <c r="J2369" s="3" t="s">
        <v>14</v>
      </c>
      <c r="K2369" s="3" t="s">
        <v>14</v>
      </c>
      <c r="L2369" s="3" t="s">
        <v>1051</v>
      </c>
      <c r="M2369" s="4">
        <v>46296</v>
      </c>
      <c r="N2369" s="3" t="s">
        <v>2095</v>
      </c>
      <c r="O2369" s="3" t="s">
        <v>23</v>
      </c>
      <c r="P2369" t="str">
        <f t="shared" si="36"/>
        <v>450013891840</v>
      </c>
      <c r="Q2369" s="7" cm="1">
        <f t="array" ref="Q2369:S2369">VLOOKUP(P2369,Hoja1!C:F,{2,3,4},FALSE)</f>
        <v>46290</v>
      </c>
      <c r="R2369" t="str">
        <v>C11</v>
      </c>
      <c r="S2369" t="str">
        <v>1000001432 ELECTRINET SRL</v>
      </c>
    </row>
    <row r="2370" spans="1:19" x14ac:dyDescent="0.3">
      <c r="A2370" s="2" t="s">
        <v>14</v>
      </c>
      <c r="B2370" s="3" t="s">
        <v>14</v>
      </c>
      <c r="C2370" s="3" t="s">
        <v>2094</v>
      </c>
      <c r="D2370" s="3" t="s">
        <v>14</v>
      </c>
      <c r="E2370" s="3" t="s">
        <v>466</v>
      </c>
      <c r="F2370" s="4">
        <v>46295</v>
      </c>
      <c r="G2370" s="3" t="s">
        <v>17</v>
      </c>
      <c r="H2370" s="5">
        <v>-586976.35</v>
      </c>
      <c r="I2370" s="3" t="s">
        <v>18</v>
      </c>
      <c r="J2370" s="3" t="s">
        <v>14</v>
      </c>
      <c r="K2370" s="3" t="s">
        <v>14</v>
      </c>
      <c r="L2370" s="3" t="s">
        <v>1051</v>
      </c>
      <c r="M2370" s="4">
        <v>46296</v>
      </c>
      <c r="N2370" s="3" t="s">
        <v>2095</v>
      </c>
      <c r="O2370" s="3" t="s">
        <v>144</v>
      </c>
      <c r="P2370" t="str">
        <f t="shared" si="36"/>
        <v>450013891850</v>
      </c>
      <c r="Q2370" s="7" cm="1">
        <f t="array" ref="Q2370:S2370">VLOOKUP(P2370,Hoja1!C:F,{2,3,4},FALSE)</f>
        <v>46290</v>
      </c>
      <c r="R2370" t="str">
        <v>C11</v>
      </c>
      <c r="S2370" t="str">
        <v>1000001432 ELECTRINET SRL</v>
      </c>
    </row>
    <row r="2371" spans="1:19" x14ac:dyDescent="0.3">
      <c r="A2371" s="2" t="s">
        <v>14</v>
      </c>
      <c r="B2371" s="3" t="s">
        <v>14</v>
      </c>
      <c r="C2371" s="3" t="s">
        <v>2094</v>
      </c>
      <c r="D2371" s="3" t="s">
        <v>14</v>
      </c>
      <c r="E2371" s="3" t="s">
        <v>466</v>
      </c>
      <c r="F2371" s="4">
        <v>46295</v>
      </c>
      <c r="G2371" s="3" t="s">
        <v>17</v>
      </c>
      <c r="H2371" s="5">
        <v>-258785.7</v>
      </c>
      <c r="I2371" s="3" t="s">
        <v>18</v>
      </c>
      <c r="J2371" s="3" t="s">
        <v>14</v>
      </c>
      <c r="K2371" s="3" t="s">
        <v>14</v>
      </c>
      <c r="L2371" s="3" t="s">
        <v>1051</v>
      </c>
      <c r="M2371" s="4">
        <v>46296</v>
      </c>
      <c r="N2371" s="3" t="s">
        <v>2095</v>
      </c>
      <c r="O2371" s="3" t="s">
        <v>141</v>
      </c>
      <c r="P2371" t="str">
        <f t="shared" ref="P2371:P2434" si="37">_xlfn.CONCAT(N2371:O2371)</f>
        <v>450013891860</v>
      </c>
      <c r="Q2371" s="7" cm="1">
        <f t="array" ref="Q2371:S2371">VLOOKUP(P2371,Hoja1!C:F,{2,3,4},FALSE)</f>
        <v>46290</v>
      </c>
      <c r="R2371" t="str">
        <v>C11</v>
      </c>
      <c r="S2371" t="str">
        <v>1000001432 ELECTRINET SRL</v>
      </c>
    </row>
    <row r="2372" spans="1:19" x14ac:dyDescent="0.3">
      <c r="A2372" s="2" t="s">
        <v>14</v>
      </c>
      <c r="B2372" s="3" t="s">
        <v>14</v>
      </c>
      <c r="C2372" s="3" t="s">
        <v>2094</v>
      </c>
      <c r="D2372" s="3" t="s">
        <v>14</v>
      </c>
      <c r="E2372" s="3" t="s">
        <v>466</v>
      </c>
      <c r="F2372" s="4">
        <v>46295</v>
      </c>
      <c r="G2372" s="3" t="s">
        <v>17</v>
      </c>
      <c r="H2372" s="5">
        <v>-349924</v>
      </c>
      <c r="I2372" s="3" t="s">
        <v>18</v>
      </c>
      <c r="J2372" s="3" t="s">
        <v>14</v>
      </c>
      <c r="K2372" s="3" t="s">
        <v>14</v>
      </c>
      <c r="L2372" s="3" t="s">
        <v>1051</v>
      </c>
      <c r="M2372" s="4">
        <v>46296</v>
      </c>
      <c r="N2372" s="3" t="s">
        <v>2095</v>
      </c>
      <c r="O2372" s="3" t="s">
        <v>134</v>
      </c>
      <c r="P2372" t="str">
        <f t="shared" si="37"/>
        <v>450013891870</v>
      </c>
      <c r="Q2372" s="7" cm="1">
        <f t="array" ref="Q2372:S2372">VLOOKUP(P2372,Hoja1!C:F,{2,3,4},FALSE)</f>
        <v>46290</v>
      </c>
      <c r="R2372" t="str">
        <v>C11</v>
      </c>
      <c r="S2372" t="str">
        <v>1000001432 ELECTRINET SRL</v>
      </c>
    </row>
    <row r="2373" spans="1:19" x14ac:dyDescent="0.3">
      <c r="A2373" s="2" t="s">
        <v>14</v>
      </c>
      <c r="B2373" s="3" t="s">
        <v>14</v>
      </c>
      <c r="C2373" s="3" t="s">
        <v>2096</v>
      </c>
      <c r="D2373" s="3" t="s">
        <v>32</v>
      </c>
      <c r="E2373" s="3" t="s">
        <v>466</v>
      </c>
      <c r="F2373" s="4">
        <v>46296</v>
      </c>
      <c r="G2373" s="3" t="s">
        <v>17</v>
      </c>
      <c r="H2373" s="5">
        <v>-4395000</v>
      </c>
      <c r="I2373" s="3" t="s">
        <v>18</v>
      </c>
      <c r="J2373" s="3" t="s">
        <v>14</v>
      </c>
      <c r="K2373" s="3" t="s">
        <v>14</v>
      </c>
      <c r="L2373" s="3" t="s">
        <v>2097</v>
      </c>
      <c r="M2373" s="4">
        <v>46296</v>
      </c>
      <c r="N2373" s="3" t="s">
        <v>2098</v>
      </c>
      <c r="O2373" s="3" t="s">
        <v>30</v>
      </c>
      <c r="P2373" t="str">
        <f t="shared" si="37"/>
        <v>450013731410</v>
      </c>
      <c r="Q2373" s="7" cm="1">
        <f t="array" ref="Q2373:S2373">VLOOKUP(P2373,Hoja1!C:F,{2,3,4},FALSE)</f>
        <v>46293</v>
      </c>
      <c r="R2373" t="str">
        <v>377</v>
      </c>
      <c r="S2373" t="str">
        <v>1000010685 TECNOSTORE S. A.</v>
      </c>
    </row>
    <row r="2374" spans="1:19" x14ac:dyDescent="0.3">
      <c r="A2374" s="2" t="s">
        <v>14</v>
      </c>
      <c r="B2374" s="3" t="s">
        <v>14</v>
      </c>
      <c r="C2374" s="3" t="s">
        <v>2099</v>
      </c>
      <c r="D2374" s="3" t="s">
        <v>14</v>
      </c>
      <c r="E2374" s="3" t="s">
        <v>466</v>
      </c>
      <c r="F2374" s="4">
        <v>46296</v>
      </c>
      <c r="G2374" s="3" t="s">
        <v>17</v>
      </c>
      <c r="H2374" s="5">
        <v>-247610.8</v>
      </c>
      <c r="I2374" s="3" t="s">
        <v>18</v>
      </c>
      <c r="J2374" s="3" t="s">
        <v>14</v>
      </c>
      <c r="K2374" s="3" t="s">
        <v>14</v>
      </c>
      <c r="L2374" s="3" t="s">
        <v>1075</v>
      </c>
      <c r="M2374" s="4">
        <v>46296</v>
      </c>
      <c r="N2374" s="3" t="s">
        <v>2100</v>
      </c>
      <c r="O2374" s="3" t="s">
        <v>30</v>
      </c>
      <c r="P2374" t="str">
        <f t="shared" si="37"/>
        <v>450013984410</v>
      </c>
      <c r="Q2374" s="7" cm="1">
        <f t="array" ref="Q2374:S2374">VLOOKUP(P2374,Hoja1!C:F,{2,3,4},FALSE)</f>
        <v>46304</v>
      </c>
      <c r="R2374" t="str">
        <v>C17</v>
      </c>
      <c r="S2374" t="str">
        <v>1000000023 IND. QUIMICAS KAISER S.R.L.</v>
      </c>
    </row>
    <row r="2375" spans="1:19" x14ac:dyDescent="0.3">
      <c r="A2375" s="2" t="s">
        <v>14</v>
      </c>
      <c r="B2375" s="3" t="s">
        <v>14</v>
      </c>
      <c r="C2375" s="3" t="s">
        <v>2099</v>
      </c>
      <c r="D2375" s="3" t="s">
        <v>14</v>
      </c>
      <c r="E2375" s="3" t="s">
        <v>466</v>
      </c>
      <c r="F2375" s="4">
        <v>46296</v>
      </c>
      <c r="G2375" s="3" t="s">
        <v>17</v>
      </c>
      <c r="H2375" s="5">
        <v>-254324</v>
      </c>
      <c r="I2375" s="3" t="s">
        <v>18</v>
      </c>
      <c r="J2375" s="3" t="s">
        <v>14</v>
      </c>
      <c r="K2375" s="3" t="s">
        <v>14</v>
      </c>
      <c r="L2375" s="3" t="s">
        <v>1075</v>
      </c>
      <c r="M2375" s="4">
        <v>46296</v>
      </c>
      <c r="N2375" s="3" t="s">
        <v>2100</v>
      </c>
      <c r="O2375" s="3" t="s">
        <v>22</v>
      </c>
      <c r="P2375" t="str">
        <f t="shared" si="37"/>
        <v>450013984420</v>
      </c>
      <c r="Q2375" s="7" cm="1">
        <f t="array" ref="Q2375:S2375">VLOOKUP(P2375,Hoja1!C:F,{2,3,4},FALSE)</f>
        <v>46304</v>
      </c>
      <c r="R2375" t="str">
        <v>C17</v>
      </c>
      <c r="S2375" t="str">
        <v>1000000023 IND. QUIMICAS KAISER S.R.L.</v>
      </c>
    </row>
    <row r="2376" spans="1:19" x14ac:dyDescent="0.3">
      <c r="A2376" s="2" t="s">
        <v>14</v>
      </c>
      <c r="B2376" s="3" t="s">
        <v>14</v>
      </c>
      <c r="C2376" s="3" t="s">
        <v>2099</v>
      </c>
      <c r="D2376" s="3" t="s">
        <v>14</v>
      </c>
      <c r="E2376" s="3" t="s">
        <v>466</v>
      </c>
      <c r="F2376" s="4">
        <v>46296</v>
      </c>
      <c r="G2376" s="3" t="s">
        <v>17</v>
      </c>
      <c r="H2376" s="5">
        <v>-3371.92</v>
      </c>
      <c r="I2376" s="3" t="s">
        <v>18</v>
      </c>
      <c r="J2376" s="3" t="s">
        <v>14</v>
      </c>
      <c r="K2376" s="3" t="s">
        <v>14</v>
      </c>
      <c r="L2376" s="3" t="s">
        <v>1075</v>
      </c>
      <c r="M2376" s="4">
        <v>46296</v>
      </c>
      <c r="N2376" s="3" t="s">
        <v>2100</v>
      </c>
      <c r="O2376" s="3" t="s">
        <v>35</v>
      </c>
      <c r="P2376" t="str">
        <f t="shared" si="37"/>
        <v>450013984430</v>
      </c>
      <c r="Q2376" s="7" cm="1">
        <f t="array" ref="Q2376:S2376">VLOOKUP(P2376,Hoja1!C:F,{2,3,4},FALSE)</f>
        <v>46304</v>
      </c>
      <c r="R2376" t="str">
        <v>C17</v>
      </c>
      <c r="S2376" t="str">
        <v>1000000023 IND. QUIMICAS KAISER S.R.L.</v>
      </c>
    </row>
    <row r="2377" spans="1:19" x14ac:dyDescent="0.3">
      <c r="A2377" s="2" t="s">
        <v>14</v>
      </c>
      <c r="B2377" s="3" t="s">
        <v>14</v>
      </c>
      <c r="C2377" s="3" t="s">
        <v>2099</v>
      </c>
      <c r="D2377" s="3" t="s">
        <v>14</v>
      </c>
      <c r="E2377" s="3" t="s">
        <v>466</v>
      </c>
      <c r="F2377" s="4">
        <v>46296</v>
      </c>
      <c r="G2377" s="3" t="s">
        <v>17</v>
      </c>
      <c r="H2377" s="5">
        <v>-18897.150000000001</v>
      </c>
      <c r="I2377" s="3" t="s">
        <v>18</v>
      </c>
      <c r="J2377" s="3" t="s">
        <v>14</v>
      </c>
      <c r="K2377" s="3" t="s">
        <v>14</v>
      </c>
      <c r="L2377" s="3" t="s">
        <v>1075</v>
      </c>
      <c r="M2377" s="4">
        <v>46296</v>
      </c>
      <c r="N2377" s="3" t="s">
        <v>2100</v>
      </c>
      <c r="O2377" s="3" t="s">
        <v>23</v>
      </c>
      <c r="P2377" t="str">
        <f t="shared" si="37"/>
        <v>450013984440</v>
      </c>
      <c r="Q2377" s="7" cm="1">
        <f t="array" ref="Q2377:S2377">VLOOKUP(P2377,Hoja1!C:F,{2,3,4},FALSE)</f>
        <v>46304</v>
      </c>
      <c r="R2377" t="str">
        <v>C17</v>
      </c>
      <c r="S2377" t="str">
        <v>1000000023 IND. QUIMICAS KAISER S.R.L.</v>
      </c>
    </row>
    <row r="2378" spans="1:19" x14ac:dyDescent="0.3">
      <c r="A2378" s="2" t="s">
        <v>14</v>
      </c>
      <c r="B2378" s="3" t="s">
        <v>14</v>
      </c>
      <c r="C2378" s="3" t="s">
        <v>2101</v>
      </c>
      <c r="D2378" s="3" t="s">
        <v>14</v>
      </c>
      <c r="E2378" s="3" t="s">
        <v>466</v>
      </c>
      <c r="F2378" s="4">
        <v>46294</v>
      </c>
      <c r="G2378" s="3" t="s">
        <v>17</v>
      </c>
      <c r="H2378" s="5">
        <v>-1495052.1</v>
      </c>
      <c r="I2378" s="3" t="s">
        <v>18</v>
      </c>
      <c r="J2378" s="3" t="s">
        <v>14</v>
      </c>
      <c r="K2378" s="3" t="s">
        <v>14</v>
      </c>
      <c r="L2378" s="3" t="s">
        <v>2102</v>
      </c>
      <c r="M2378" s="4">
        <v>46296</v>
      </c>
      <c r="N2378" s="3" t="s">
        <v>2103</v>
      </c>
      <c r="O2378" s="3" t="s">
        <v>30</v>
      </c>
      <c r="P2378" t="str">
        <f t="shared" si="37"/>
        <v>450013865310</v>
      </c>
      <c r="Q2378" s="7" cm="1">
        <f t="array" ref="Q2378:S2378">VLOOKUP(P2378,Hoja1!C:F,{2,3,4},FALSE)</f>
        <v>46290</v>
      </c>
      <c r="R2378" t="str">
        <v>F07</v>
      </c>
      <c r="S2378" t="str">
        <v>1000000273 SALVADOR Y BARBIERI S.R.L.</v>
      </c>
    </row>
    <row r="2379" spans="1:19" x14ac:dyDescent="0.3">
      <c r="A2379" s="2" t="s">
        <v>14</v>
      </c>
      <c r="B2379" s="3" t="s">
        <v>14</v>
      </c>
      <c r="C2379" s="3" t="s">
        <v>2101</v>
      </c>
      <c r="D2379" s="3" t="s">
        <v>14</v>
      </c>
      <c r="E2379" s="3" t="s">
        <v>466</v>
      </c>
      <c r="F2379" s="4">
        <v>46294</v>
      </c>
      <c r="G2379" s="3" t="s">
        <v>17</v>
      </c>
      <c r="H2379" s="5">
        <v>-996701.4</v>
      </c>
      <c r="I2379" s="3" t="s">
        <v>18</v>
      </c>
      <c r="J2379" s="3" t="s">
        <v>14</v>
      </c>
      <c r="K2379" s="3" t="s">
        <v>14</v>
      </c>
      <c r="L2379" s="3" t="s">
        <v>2102</v>
      </c>
      <c r="M2379" s="4">
        <v>46296</v>
      </c>
      <c r="N2379" s="3" t="s">
        <v>2104</v>
      </c>
      <c r="O2379" s="3" t="s">
        <v>30</v>
      </c>
      <c r="P2379" t="str">
        <f t="shared" si="37"/>
        <v>450013917210</v>
      </c>
      <c r="Q2379" s="7" cm="1">
        <f t="array" ref="Q2379:S2379">VLOOKUP(P2379,Hoja1!C:F,{2,3,4},FALSE)</f>
        <v>46295</v>
      </c>
      <c r="R2379" t="str">
        <v>F07</v>
      </c>
      <c r="S2379" t="str">
        <v>1000000273 SALVADOR Y BARBIERI S.R.L.</v>
      </c>
    </row>
    <row r="2380" spans="1:19" x14ac:dyDescent="0.3">
      <c r="A2380" s="2" t="s">
        <v>14</v>
      </c>
      <c r="B2380" s="3" t="s">
        <v>14</v>
      </c>
      <c r="C2380" s="3" t="s">
        <v>2105</v>
      </c>
      <c r="D2380" s="3" t="s">
        <v>14</v>
      </c>
      <c r="E2380" s="3" t="s">
        <v>466</v>
      </c>
      <c r="F2380" s="4">
        <v>46296</v>
      </c>
      <c r="G2380" s="3" t="s">
        <v>17</v>
      </c>
      <c r="H2380" s="5">
        <v>-922625</v>
      </c>
      <c r="I2380" s="3" t="s">
        <v>18</v>
      </c>
      <c r="J2380" s="3" t="s">
        <v>14</v>
      </c>
      <c r="K2380" s="3" t="s">
        <v>14</v>
      </c>
      <c r="L2380" s="3" t="s">
        <v>2106</v>
      </c>
      <c r="M2380" s="4">
        <v>46296</v>
      </c>
      <c r="N2380" s="3" t="s">
        <v>2107</v>
      </c>
      <c r="O2380" s="3" t="s">
        <v>30</v>
      </c>
      <c r="P2380" t="str">
        <f t="shared" si="37"/>
        <v>450013891010</v>
      </c>
      <c r="Q2380" s="7" cm="1">
        <f t="array" ref="Q2380:S2380">VLOOKUP(P2380,Hoja1!C:F,{2,3,4},FALSE)</f>
        <v>46301</v>
      </c>
      <c r="R2380" t="str">
        <v>C38</v>
      </c>
      <c r="S2380" t="str">
        <v>1000013187 INDUSTRIAS SAVINI S. R. L.</v>
      </c>
    </row>
    <row r="2381" spans="1:19" x14ac:dyDescent="0.3">
      <c r="A2381" s="2" t="s">
        <v>14</v>
      </c>
      <c r="B2381" s="3" t="s">
        <v>14</v>
      </c>
      <c r="C2381" s="3" t="s">
        <v>2105</v>
      </c>
      <c r="D2381" s="3" t="s">
        <v>14</v>
      </c>
      <c r="E2381" s="3" t="s">
        <v>466</v>
      </c>
      <c r="F2381" s="4">
        <v>46296</v>
      </c>
      <c r="G2381" s="3" t="s">
        <v>17</v>
      </c>
      <c r="H2381" s="5">
        <v>-922625</v>
      </c>
      <c r="I2381" s="3" t="s">
        <v>18</v>
      </c>
      <c r="J2381" s="3" t="s">
        <v>14</v>
      </c>
      <c r="K2381" s="3" t="s">
        <v>14</v>
      </c>
      <c r="L2381" s="3" t="s">
        <v>2106</v>
      </c>
      <c r="M2381" s="4">
        <v>46296</v>
      </c>
      <c r="N2381" s="3" t="s">
        <v>2107</v>
      </c>
      <c r="O2381" s="3" t="s">
        <v>22</v>
      </c>
      <c r="P2381" t="str">
        <f t="shared" si="37"/>
        <v>450013891020</v>
      </c>
      <c r="Q2381" s="7" cm="1">
        <f t="array" ref="Q2381:S2381">VLOOKUP(P2381,Hoja1!C:F,{2,3,4},FALSE)</f>
        <v>46301</v>
      </c>
      <c r="R2381" t="str">
        <v>C38</v>
      </c>
      <c r="S2381" t="str">
        <v>1000013187 INDUSTRIAS SAVINI S. R. L.</v>
      </c>
    </row>
    <row r="2382" spans="1:19" x14ac:dyDescent="0.3">
      <c r="A2382" s="2" t="s">
        <v>14</v>
      </c>
      <c r="B2382" s="3" t="s">
        <v>14</v>
      </c>
      <c r="C2382" s="3" t="s">
        <v>2105</v>
      </c>
      <c r="D2382" s="3" t="s">
        <v>14</v>
      </c>
      <c r="E2382" s="3" t="s">
        <v>466</v>
      </c>
      <c r="F2382" s="4">
        <v>46296</v>
      </c>
      <c r="G2382" s="3" t="s">
        <v>17</v>
      </c>
      <c r="H2382" s="5">
        <v>-117975</v>
      </c>
      <c r="I2382" s="3" t="s">
        <v>18</v>
      </c>
      <c r="J2382" s="3" t="s">
        <v>14</v>
      </c>
      <c r="K2382" s="3" t="s">
        <v>14</v>
      </c>
      <c r="L2382" s="3" t="s">
        <v>2106</v>
      </c>
      <c r="M2382" s="4">
        <v>46296</v>
      </c>
      <c r="N2382" s="3" t="s">
        <v>2107</v>
      </c>
      <c r="O2382" s="3" t="s">
        <v>35</v>
      </c>
      <c r="P2382" t="str">
        <f t="shared" si="37"/>
        <v>450013891030</v>
      </c>
      <c r="Q2382" s="7" cm="1">
        <f t="array" ref="Q2382:S2382">VLOOKUP(P2382,Hoja1!C:F,{2,3,4},FALSE)</f>
        <v>46301</v>
      </c>
      <c r="R2382" t="str">
        <v>C38</v>
      </c>
      <c r="S2382" t="str">
        <v>1000013187 INDUSTRIAS SAVINI S. R. L.</v>
      </c>
    </row>
    <row r="2383" spans="1:19" x14ac:dyDescent="0.3">
      <c r="A2383" s="2" t="s">
        <v>14</v>
      </c>
      <c r="B2383" s="3" t="s">
        <v>14</v>
      </c>
      <c r="C2383" s="3" t="s">
        <v>2105</v>
      </c>
      <c r="D2383" s="3" t="s">
        <v>14</v>
      </c>
      <c r="E2383" s="3" t="s">
        <v>466</v>
      </c>
      <c r="F2383" s="4">
        <v>46296</v>
      </c>
      <c r="G2383" s="3" t="s">
        <v>17</v>
      </c>
      <c r="H2383" s="5">
        <v>-117975</v>
      </c>
      <c r="I2383" s="3" t="s">
        <v>18</v>
      </c>
      <c r="J2383" s="3" t="s">
        <v>14</v>
      </c>
      <c r="K2383" s="3" t="s">
        <v>14</v>
      </c>
      <c r="L2383" s="3" t="s">
        <v>2106</v>
      </c>
      <c r="M2383" s="4">
        <v>46296</v>
      </c>
      <c r="N2383" s="3" t="s">
        <v>2107</v>
      </c>
      <c r="O2383" s="3" t="s">
        <v>23</v>
      </c>
      <c r="P2383" t="str">
        <f t="shared" si="37"/>
        <v>450013891040</v>
      </c>
      <c r="Q2383" s="7" cm="1">
        <f t="array" ref="Q2383:S2383">VLOOKUP(P2383,Hoja1!C:F,{2,3,4},FALSE)</f>
        <v>46301</v>
      </c>
      <c r="R2383" t="str">
        <v>C38</v>
      </c>
      <c r="S2383" t="str">
        <v>1000013187 INDUSTRIAS SAVINI S. R. L.</v>
      </c>
    </row>
    <row r="2384" spans="1:19" x14ac:dyDescent="0.3">
      <c r="A2384" s="2" t="s">
        <v>14</v>
      </c>
      <c r="B2384" s="3" t="s">
        <v>14</v>
      </c>
      <c r="C2384" s="3" t="s">
        <v>2105</v>
      </c>
      <c r="D2384" s="3" t="s">
        <v>14</v>
      </c>
      <c r="E2384" s="3" t="s">
        <v>466</v>
      </c>
      <c r="F2384" s="4">
        <v>46296</v>
      </c>
      <c r="G2384" s="3" t="s">
        <v>17</v>
      </c>
      <c r="H2384" s="5">
        <v>-63525</v>
      </c>
      <c r="I2384" s="3" t="s">
        <v>18</v>
      </c>
      <c r="J2384" s="3" t="s">
        <v>14</v>
      </c>
      <c r="K2384" s="3" t="s">
        <v>14</v>
      </c>
      <c r="L2384" s="3" t="s">
        <v>2106</v>
      </c>
      <c r="M2384" s="4">
        <v>46296</v>
      </c>
      <c r="N2384" s="3" t="s">
        <v>2107</v>
      </c>
      <c r="O2384" s="3" t="s">
        <v>144</v>
      </c>
      <c r="P2384" t="str">
        <f t="shared" si="37"/>
        <v>450013891050</v>
      </c>
      <c r="Q2384" s="7" cm="1">
        <f t="array" ref="Q2384:S2384">VLOOKUP(P2384,Hoja1!C:F,{2,3,4},FALSE)</f>
        <v>46301</v>
      </c>
      <c r="R2384" t="str">
        <v>C38</v>
      </c>
      <c r="S2384" t="str">
        <v>1000013187 INDUSTRIAS SAVINI S. R. L.</v>
      </c>
    </row>
    <row r="2385" spans="1:19" x14ac:dyDescent="0.3">
      <c r="A2385" s="2" t="s">
        <v>14</v>
      </c>
      <c r="B2385" s="3" t="s">
        <v>14</v>
      </c>
      <c r="C2385" s="3" t="s">
        <v>2105</v>
      </c>
      <c r="D2385" s="3" t="s">
        <v>14</v>
      </c>
      <c r="E2385" s="3" t="s">
        <v>466</v>
      </c>
      <c r="F2385" s="4">
        <v>46296</v>
      </c>
      <c r="G2385" s="3" t="s">
        <v>17</v>
      </c>
      <c r="H2385" s="5">
        <v>-87725</v>
      </c>
      <c r="I2385" s="3" t="s">
        <v>18</v>
      </c>
      <c r="J2385" s="3" t="s">
        <v>14</v>
      </c>
      <c r="K2385" s="3" t="s">
        <v>14</v>
      </c>
      <c r="L2385" s="3" t="s">
        <v>2106</v>
      </c>
      <c r="M2385" s="4">
        <v>46296</v>
      </c>
      <c r="N2385" s="3" t="s">
        <v>2107</v>
      </c>
      <c r="O2385" s="3" t="s">
        <v>141</v>
      </c>
      <c r="P2385" t="str">
        <f t="shared" si="37"/>
        <v>450013891060</v>
      </c>
      <c r="Q2385" s="7" cm="1">
        <f t="array" ref="Q2385:S2385">VLOOKUP(P2385,Hoja1!C:F,{2,3,4},FALSE)</f>
        <v>46301</v>
      </c>
      <c r="R2385" t="str">
        <v>C38</v>
      </c>
      <c r="S2385" t="str">
        <v>1000013187 INDUSTRIAS SAVINI S. R. L.</v>
      </c>
    </row>
    <row r="2386" spans="1:19" x14ac:dyDescent="0.3">
      <c r="A2386" s="2" t="s">
        <v>14</v>
      </c>
      <c r="B2386" s="3" t="s">
        <v>14</v>
      </c>
      <c r="C2386" s="3" t="s">
        <v>2108</v>
      </c>
      <c r="D2386" s="3" t="s">
        <v>14</v>
      </c>
      <c r="E2386" s="3" t="s">
        <v>466</v>
      </c>
      <c r="F2386" s="4">
        <v>46295</v>
      </c>
      <c r="G2386" s="3" t="s">
        <v>17</v>
      </c>
      <c r="H2386" s="5">
        <v>-514250</v>
      </c>
      <c r="I2386" s="3" t="s">
        <v>18</v>
      </c>
      <c r="J2386" s="3" t="s">
        <v>14</v>
      </c>
      <c r="K2386" s="3" t="s">
        <v>14</v>
      </c>
      <c r="L2386" s="3" t="s">
        <v>1289</v>
      </c>
      <c r="M2386" s="4">
        <v>46296</v>
      </c>
      <c r="N2386" s="3" t="s">
        <v>2109</v>
      </c>
      <c r="O2386" s="3" t="s">
        <v>30</v>
      </c>
      <c r="P2386" t="str">
        <f t="shared" si="37"/>
        <v>450013971510</v>
      </c>
      <c r="Q2386" s="7" cm="1">
        <f t="array" ref="Q2386:S2386">VLOOKUP(P2386,Hoja1!C:F,{2,3,4},FALSE)</f>
        <v>46303</v>
      </c>
      <c r="R2386" t="str">
        <v>C03</v>
      </c>
      <c r="S2386" t="str">
        <v>1000000907 SERVICIOS VIALES DE STA. FE SA</v>
      </c>
    </row>
    <row r="2387" spans="1:19" x14ac:dyDescent="0.3">
      <c r="A2387" s="2" t="s">
        <v>14</v>
      </c>
      <c r="B2387" s="3" t="s">
        <v>14</v>
      </c>
      <c r="C2387" s="3" t="s">
        <v>2110</v>
      </c>
      <c r="D2387" s="3" t="s">
        <v>14</v>
      </c>
      <c r="E2387" s="3" t="s">
        <v>466</v>
      </c>
      <c r="F2387" s="4">
        <v>46294</v>
      </c>
      <c r="G2387" s="3" t="s">
        <v>17</v>
      </c>
      <c r="H2387" s="5">
        <v>-123143.45</v>
      </c>
      <c r="I2387" s="3" t="s">
        <v>18</v>
      </c>
      <c r="J2387" s="3" t="s">
        <v>14</v>
      </c>
      <c r="K2387" s="3" t="s">
        <v>14</v>
      </c>
      <c r="L2387" s="3" t="s">
        <v>434</v>
      </c>
      <c r="M2387" s="4">
        <v>46296</v>
      </c>
      <c r="N2387" s="3" t="s">
        <v>1892</v>
      </c>
      <c r="O2387" s="3" t="s">
        <v>52</v>
      </c>
      <c r="P2387" t="str">
        <f t="shared" si="37"/>
        <v>450013883180</v>
      </c>
      <c r="Q2387" s="7" cm="1">
        <f t="array" ref="Q2387:S2387">VLOOKUP(P2387,Hoja1!C:F,{2,3,4},FALSE)</f>
        <v>46295</v>
      </c>
      <c r="R2387" t="str">
        <v>C03</v>
      </c>
      <c r="S2387" t="str">
        <v>1000000488 BETA S.A.</v>
      </c>
    </row>
    <row r="2388" spans="1:19" x14ac:dyDescent="0.3">
      <c r="A2388" s="2" t="s">
        <v>14</v>
      </c>
      <c r="B2388" s="3" t="s">
        <v>14</v>
      </c>
      <c r="C2388" s="3" t="s">
        <v>2111</v>
      </c>
      <c r="D2388" s="3" t="s">
        <v>14</v>
      </c>
      <c r="E2388" s="3" t="s">
        <v>466</v>
      </c>
      <c r="F2388" s="4">
        <v>46296</v>
      </c>
      <c r="G2388" s="3" t="s">
        <v>17</v>
      </c>
      <c r="H2388" s="5">
        <v>-1005434.38</v>
      </c>
      <c r="I2388" s="3" t="s">
        <v>18</v>
      </c>
      <c r="J2388" s="3" t="s">
        <v>14</v>
      </c>
      <c r="K2388" s="3" t="s">
        <v>14</v>
      </c>
      <c r="L2388" s="3" t="s">
        <v>399</v>
      </c>
      <c r="M2388" s="4">
        <v>46296</v>
      </c>
      <c r="N2388" s="3" t="s">
        <v>2112</v>
      </c>
      <c r="O2388" s="3" t="s">
        <v>30</v>
      </c>
      <c r="P2388" t="str">
        <f t="shared" si="37"/>
        <v>450013971710</v>
      </c>
      <c r="Q2388" s="7" cm="1">
        <f t="array" ref="Q2388:S2388">VLOOKUP(P2388,Hoja1!C:F,{2,3,4},FALSE)</f>
        <v>46303</v>
      </c>
      <c r="R2388" t="str">
        <v>C03</v>
      </c>
      <c r="S2388" t="str">
        <v>1000000561 ESCANDINAVIA DEL PLATA SA</v>
      </c>
    </row>
    <row r="2389" spans="1:19" x14ac:dyDescent="0.3">
      <c r="A2389" s="2" t="s">
        <v>14</v>
      </c>
      <c r="B2389" s="3" t="s">
        <v>14</v>
      </c>
      <c r="C2389" s="3" t="s">
        <v>2113</v>
      </c>
      <c r="D2389" s="3" t="s">
        <v>32</v>
      </c>
      <c r="E2389" s="3" t="s">
        <v>466</v>
      </c>
      <c r="F2389" s="4">
        <v>46296</v>
      </c>
      <c r="G2389" s="3" t="s">
        <v>17</v>
      </c>
      <c r="H2389" s="5">
        <v>-581817.59999999998</v>
      </c>
      <c r="I2389" s="3" t="s">
        <v>18</v>
      </c>
      <c r="J2389" s="3" t="s">
        <v>14</v>
      </c>
      <c r="K2389" s="3" t="s">
        <v>14</v>
      </c>
      <c r="L2389" s="3" t="s">
        <v>2114</v>
      </c>
      <c r="M2389" s="4">
        <v>46296</v>
      </c>
      <c r="N2389" s="3" t="s">
        <v>2115</v>
      </c>
      <c r="O2389" s="3" t="s">
        <v>30</v>
      </c>
      <c r="P2389" t="str">
        <f t="shared" si="37"/>
        <v>450013991510</v>
      </c>
      <c r="Q2389" s="7" cm="1">
        <f t="array" ref="Q2389:S2389">VLOOKUP(P2389,Hoja1!C:F,{2,3,4},FALSE)</f>
        <v>46301</v>
      </c>
      <c r="R2389" t="str">
        <v>374</v>
      </c>
      <c r="S2389" t="str">
        <v>1000011824 COLQUE ELISA</v>
      </c>
    </row>
    <row r="2390" spans="1:19" x14ac:dyDescent="0.3">
      <c r="A2390" s="2" t="s">
        <v>14</v>
      </c>
      <c r="B2390" s="3" t="s">
        <v>14</v>
      </c>
      <c r="C2390" s="3" t="s">
        <v>2116</v>
      </c>
      <c r="D2390" s="3" t="s">
        <v>32</v>
      </c>
      <c r="E2390" s="3" t="s">
        <v>466</v>
      </c>
      <c r="F2390" s="4">
        <v>46296</v>
      </c>
      <c r="G2390" s="3" t="s">
        <v>17</v>
      </c>
      <c r="H2390" s="5">
        <v>-210975</v>
      </c>
      <c r="I2390" s="3" t="s">
        <v>18</v>
      </c>
      <c r="J2390" s="3" t="s">
        <v>14</v>
      </c>
      <c r="K2390" s="3" t="s">
        <v>14</v>
      </c>
      <c r="L2390" s="3" t="s">
        <v>915</v>
      </c>
      <c r="M2390" s="4">
        <v>46296</v>
      </c>
      <c r="N2390" s="3" t="s">
        <v>2117</v>
      </c>
      <c r="O2390" s="3" t="s">
        <v>22</v>
      </c>
      <c r="P2390" t="str">
        <f t="shared" si="37"/>
        <v>450013966920</v>
      </c>
      <c r="Q2390" s="7" cm="1">
        <f t="array" ref="Q2390:S2390">VLOOKUP(P2390,Hoja1!C:F,{2,3,4},FALSE)</f>
        <v>46301</v>
      </c>
      <c r="R2390" t="str">
        <v>374</v>
      </c>
      <c r="S2390" t="str">
        <v>1000013162 MADRYN REPUESTOS Y SERVICIOS SAS</v>
      </c>
    </row>
    <row r="2391" spans="1:19" x14ac:dyDescent="0.3">
      <c r="A2391" s="2" t="s">
        <v>14</v>
      </c>
      <c r="B2391" s="3" t="s">
        <v>14</v>
      </c>
      <c r="C2391" s="3" t="s">
        <v>2116</v>
      </c>
      <c r="D2391" s="3" t="s">
        <v>32</v>
      </c>
      <c r="E2391" s="3" t="s">
        <v>466</v>
      </c>
      <c r="F2391" s="4">
        <v>46296</v>
      </c>
      <c r="G2391" s="3" t="s">
        <v>17</v>
      </c>
      <c r="H2391" s="5">
        <v>-633471</v>
      </c>
      <c r="I2391" s="3" t="s">
        <v>18</v>
      </c>
      <c r="J2391" s="3" t="s">
        <v>14</v>
      </c>
      <c r="K2391" s="3" t="s">
        <v>14</v>
      </c>
      <c r="L2391" s="3" t="s">
        <v>915</v>
      </c>
      <c r="M2391" s="4">
        <v>46296</v>
      </c>
      <c r="N2391" s="3" t="s">
        <v>2117</v>
      </c>
      <c r="O2391" s="3" t="s">
        <v>23</v>
      </c>
      <c r="P2391" t="str">
        <f t="shared" si="37"/>
        <v>450013966940</v>
      </c>
      <c r="Q2391" s="7" cm="1">
        <f t="array" ref="Q2391:S2391">VLOOKUP(P2391,Hoja1!C:F,{2,3,4},FALSE)</f>
        <v>46301</v>
      </c>
      <c r="R2391" t="str">
        <v>374</v>
      </c>
      <c r="S2391" t="str">
        <v>1000013162 MADRYN REPUESTOS Y SERVICIOS SAS</v>
      </c>
    </row>
    <row r="2392" spans="1:19" x14ac:dyDescent="0.3">
      <c r="A2392" s="2" t="s">
        <v>14</v>
      </c>
      <c r="B2392" s="3" t="s">
        <v>14</v>
      </c>
      <c r="C2392" s="3" t="s">
        <v>2118</v>
      </c>
      <c r="D2392" s="3" t="s">
        <v>14</v>
      </c>
      <c r="E2392" s="3" t="s">
        <v>466</v>
      </c>
      <c r="F2392" s="4">
        <v>46295</v>
      </c>
      <c r="G2392" s="3" t="s">
        <v>17</v>
      </c>
      <c r="H2392" s="5">
        <v>-23927.75</v>
      </c>
      <c r="I2392" s="3" t="s">
        <v>18</v>
      </c>
      <c r="J2392" s="3" t="s">
        <v>14</v>
      </c>
      <c r="K2392" s="3" t="s">
        <v>14</v>
      </c>
      <c r="L2392" s="3" t="s">
        <v>125</v>
      </c>
      <c r="M2392" s="4">
        <v>46296</v>
      </c>
      <c r="N2392" s="3" t="s">
        <v>2119</v>
      </c>
      <c r="O2392" s="3" t="s">
        <v>30</v>
      </c>
      <c r="P2392" t="str">
        <f t="shared" si="37"/>
        <v>450013976710</v>
      </c>
      <c r="Q2392" s="7" cm="1">
        <f t="array" ref="Q2392:S2392">VLOOKUP(P2392,Hoja1!C:F,{2,3,4},FALSE)</f>
        <v>46314</v>
      </c>
      <c r="R2392" t="str">
        <v>C03</v>
      </c>
      <c r="S2392" t="str">
        <v>1000001470 SUDAMERICANA CAMIONES SA</v>
      </c>
    </row>
    <row r="2393" spans="1:19" x14ac:dyDescent="0.3">
      <c r="A2393" s="2" t="s">
        <v>14</v>
      </c>
      <c r="B2393" s="3" t="s">
        <v>14</v>
      </c>
      <c r="C2393" s="3" t="s">
        <v>2118</v>
      </c>
      <c r="D2393" s="3" t="s">
        <v>14</v>
      </c>
      <c r="E2393" s="3" t="s">
        <v>466</v>
      </c>
      <c r="F2393" s="4">
        <v>46295</v>
      </c>
      <c r="G2393" s="3" t="s">
        <v>17</v>
      </c>
      <c r="H2393" s="5">
        <v>-29387.88</v>
      </c>
      <c r="I2393" s="3" t="s">
        <v>18</v>
      </c>
      <c r="J2393" s="3" t="s">
        <v>14</v>
      </c>
      <c r="K2393" s="3" t="s">
        <v>14</v>
      </c>
      <c r="L2393" s="3" t="s">
        <v>125</v>
      </c>
      <c r="M2393" s="4">
        <v>46296</v>
      </c>
      <c r="N2393" s="3" t="s">
        <v>2119</v>
      </c>
      <c r="O2393" s="3" t="s">
        <v>22</v>
      </c>
      <c r="P2393" t="str">
        <f t="shared" si="37"/>
        <v>450013976720</v>
      </c>
      <c r="Q2393" s="7" cm="1">
        <f t="array" ref="Q2393:S2393">VLOOKUP(P2393,Hoja1!C:F,{2,3,4},FALSE)</f>
        <v>46314</v>
      </c>
      <c r="R2393" t="str">
        <v>C03</v>
      </c>
      <c r="S2393" t="str">
        <v>1000001470 SUDAMERICANA CAMIONES SA</v>
      </c>
    </row>
    <row r="2394" spans="1:19" x14ac:dyDescent="0.3">
      <c r="A2394" s="2" t="s">
        <v>14</v>
      </c>
      <c r="B2394" s="3" t="s">
        <v>14</v>
      </c>
      <c r="C2394" s="3" t="s">
        <v>2118</v>
      </c>
      <c r="D2394" s="3" t="s">
        <v>14</v>
      </c>
      <c r="E2394" s="3" t="s">
        <v>466</v>
      </c>
      <c r="F2394" s="4">
        <v>46295</v>
      </c>
      <c r="G2394" s="3" t="s">
        <v>17</v>
      </c>
      <c r="H2394" s="5">
        <v>-35029.5</v>
      </c>
      <c r="I2394" s="3" t="s">
        <v>18</v>
      </c>
      <c r="J2394" s="3" t="s">
        <v>14</v>
      </c>
      <c r="K2394" s="3" t="s">
        <v>14</v>
      </c>
      <c r="L2394" s="3" t="s">
        <v>125</v>
      </c>
      <c r="M2394" s="4">
        <v>46296</v>
      </c>
      <c r="N2394" s="3" t="s">
        <v>2119</v>
      </c>
      <c r="O2394" s="3" t="s">
        <v>35</v>
      </c>
      <c r="P2394" t="str">
        <f t="shared" si="37"/>
        <v>450013976730</v>
      </c>
      <c r="Q2394" s="7" cm="1">
        <f t="array" ref="Q2394:S2394">VLOOKUP(P2394,Hoja1!C:F,{2,3,4},FALSE)</f>
        <v>46314</v>
      </c>
      <c r="R2394" t="str">
        <v>C03</v>
      </c>
      <c r="S2394" t="str">
        <v>1000001470 SUDAMERICANA CAMIONES SA</v>
      </c>
    </row>
    <row r="2395" spans="1:19" x14ac:dyDescent="0.3">
      <c r="A2395" s="2" t="s">
        <v>14</v>
      </c>
      <c r="B2395" s="3" t="s">
        <v>14</v>
      </c>
      <c r="C2395" s="3" t="s">
        <v>2118</v>
      </c>
      <c r="D2395" s="3" t="s">
        <v>14</v>
      </c>
      <c r="E2395" s="3" t="s">
        <v>466</v>
      </c>
      <c r="F2395" s="4">
        <v>46295</v>
      </c>
      <c r="G2395" s="3" t="s">
        <v>17</v>
      </c>
      <c r="H2395" s="5">
        <v>-43756.63</v>
      </c>
      <c r="I2395" s="3" t="s">
        <v>18</v>
      </c>
      <c r="J2395" s="3" t="s">
        <v>14</v>
      </c>
      <c r="K2395" s="3" t="s">
        <v>14</v>
      </c>
      <c r="L2395" s="3" t="s">
        <v>125</v>
      </c>
      <c r="M2395" s="4">
        <v>46296</v>
      </c>
      <c r="N2395" s="3" t="s">
        <v>2119</v>
      </c>
      <c r="O2395" s="3" t="s">
        <v>23</v>
      </c>
      <c r="P2395" t="str">
        <f t="shared" si="37"/>
        <v>450013976740</v>
      </c>
      <c r="Q2395" s="7" cm="1">
        <f t="array" ref="Q2395:S2395">VLOOKUP(P2395,Hoja1!C:F,{2,3,4},FALSE)</f>
        <v>46314</v>
      </c>
      <c r="R2395" t="str">
        <v>C03</v>
      </c>
      <c r="S2395" t="str">
        <v>1000001470 SUDAMERICANA CAMIONES SA</v>
      </c>
    </row>
    <row r="2396" spans="1:19" x14ac:dyDescent="0.3">
      <c r="A2396" s="2" t="s">
        <v>14</v>
      </c>
      <c r="B2396" s="3" t="s">
        <v>14</v>
      </c>
      <c r="C2396" s="3" t="s">
        <v>2118</v>
      </c>
      <c r="D2396" s="3" t="s">
        <v>14</v>
      </c>
      <c r="E2396" s="3" t="s">
        <v>466</v>
      </c>
      <c r="F2396" s="4">
        <v>46295</v>
      </c>
      <c r="G2396" s="3" t="s">
        <v>17</v>
      </c>
      <c r="H2396" s="5">
        <v>-234709.75</v>
      </c>
      <c r="I2396" s="3" t="s">
        <v>18</v>
      </c>
      <c r="J2396" s="3" t="s">
        <v>14</v>
      </c>
      <c r="K2396" s="3" t="s">
        <v>14</v>
      </c>
      <c r="L2396" s="3" t="s">
        <v>125</v>
      </c>
      <c r="M2396" s="4">
        <v>46296</v>
      </c>
      <c r="N2396" s="3" t="s">
        <v>2119</v>
      </c>
      <c r="O2396" s="3" t="s">
        <v>144</v>
      </c>
      <c r="P2396" t="str">
        <f t="shared" si="37"/>
        <v>450013976750</v>
      </c>
      <c r="Q2396" s="7" cm="1">
        <f t="array" ref="Q2396:S2396">VLOOKUP(P2396,Hoja1!C:F,{2,3,4},FALSE)</f>
        <v>46314</v>
      </c>
      <c r="R2396" t="str">
        <v>C03</v>
      </c>
      <c r="S2396" t="str">
        <v>1000001470 SUDAMERICANA CAMIONES SA</v>
      </c>
    </row>
    <row r="2397" spans="1:19" x14ac:dyDescent="0.3">
      <c r="A2397" s="2" t="s">
        <v>14</v>
      </c>
      <c r="B2397" s="3" t="s">
        <v>14</v>
      </c>
      <c r="C2397" s="3" t="s">
        <v>2120</v>
      </c>
      <c r="D2397" s="3" t="s">
        <v>14</v>
      </c>
      <c r="E2397" s="3" t="s">
        <v>466</v>
      </c>
      <c r="F2397" s="4">
        <v>46295</v>
      </c>
      <c r="G2397" s="3" t="s">
        <v>17</v>
      </c>
      <c r="H2397" s="5">
        <v>-305751.88</v>
      </c>
      <c r="I2397" s="3" t="s">
        <v>18</v>
      </c>
      <c r="J2397" s="3" t="s">
        <v>14</v>
      </c>
      <c r="K2397" s="3" t="s">
        <v>14</v>
      </c>
      <c r="L2397" s="3" t="s">
        <v>1289</v>
      </c>
      <c r="M2397" s="4">
        <v>46296</v>
      </c>
      <c r="N2397" s="3" t="s">
        <v>2121</v>
      </c>
      <c r="O2397" s="3" t="s">
        <v>30</v>
      </c>
      <c r="P2397" t="str">
        <f t="shared" si="37"/>
        <v>450013783610</v>
      </c>
      <c r="Q2397" s="7" cm="1">
        <f t="array" ref="Q2397:S2397">VLOOKUP(P2397,Hoja1!C:F,{2,3,4},FALSE)</f>
        <v>46290</v>
      </c>
      <c r="R2397" t="str">
        <v>F04</v>
      </c>
      <c r="S2397" t="str">
        <v>1000000907 SERVICIOS VIALES DE STA. FE SA</v>
      </c>
    </row>
    <row r="2398" spans="1:19" x14ac:dyDescent="0.3">
      <c r="A2398" s="2" t="s">
        <v>14</v>
      </c>
      <c r="B2398" s="3" t="s">
        <v>14</v>
      </c>
      <c r="C2398" s="3" t="s">
        <v>2120</v>
      </c>
      <c r="D2398" s="3" t="s">
        <v>14</v>
      </c>
      <c r="E2398" s="3" t="s">
        <v>466</v>
      </c>
      <c r="F2398" s="4">
        <v>46295</v>
      </c>
      <c r="G2398" s="3" t="s">
        <v>17</v>
      </c>
      <c r="H2398" s="5">
        <v>-178550.63</v>
      </c>
      <c r="I2398" s="3" t="s">
        <v>18</v>
      </c>
      <c r="J2398" s="3" t="s">
        <v>14</v>
      </c>
      <c r="K2398" s="3" t="s">
        <v>14</v>
      </c>
      <c r="L2398" s="3" t="s">
        <v>1289</v>
      </c>
      <c r="M2398" s="4">
        <v>46296</v>
      </c>
      <c r="N2398" s="3" t="s">
        <v>2121</v>
      </c>
      <c r="O2398" s="3" t="s">
        <v>22</v>
      </c>
      <c r="P2398" t="str">
        <f t="shared" si="37"/>
        <v>450013783620</v>
      </c>
      <c r="Q2398" s="7" cm="1">
        <f t="array" ref="Q2398:S2398">VLOOKUP(P2398,Hoja1!C:F,{2,3,4},FALSE)</f>
        <v>46290</v>
      </c>
      <c r="R2398" t="str">
        <v>F04</v>
      </c>
      <c r="S2398" t="str">
        <v>1000000907 SERVICIOS VIALES DE STA. FE SA</v>
      </c>
    </row>
    <row r="2399" spans="1:19" x14ac:dyDescent="0.3">
      <c r="A2399" s="2" t="s">
        <v>14</v>
      </c>
      <c r="B2399" s="3" t="s">
        <v>14</v>
      </c>
      <c r="C2399" s="3" t="s">
        <v>2122</v>
      </c>
      <c r="D2399" s="3" t="s">
        <v>14</v>
      </c>
      <c r="E2399" s="3" t="s">
        <v>466</v>
      </c>
      <c r="F2399" s="4">
        <v>46296</v>
      </c>
      <c r="G2399" s="3" t="s">
        <v>17</v>
      </c>
      <c r="H2399" s="5">
        <v>-850000</v>
      </c>
      <c r="I2399" s="3" t="s">
        <v>18</v>
      </c>
      <c r="J2399" s="3" t="s">
        <v>14</v>
      </c>
      <c r="K2399" s="3" t="s">
        <v>14</v>
      </c>
      <c r="L2399" s="3" t="s">
        <v>2123</v>
      </c>
      <c r="M2399" s="4">
        <v>46296</v>
      </c>
      <c r="N2399" s="3" t="s">
        <v>2124</v>
      </c>
      <c r="O2399" s="3" t="s">
        <v>30</v>
      </c>
      <c r="P2399" t="str">
        <f t="shared" si="37"/>
        <v>450013924710</v>
      </c>
      <c r="Q2399" s="7" cm="1">
        <f t="array" ref="Q2399:S2399">VLOOKUP(P2399,Hoja1!C:F,{2,3,4},FALSE)</f>
        <v>46294</v>
      </c>
      <c r="R2399" t="str">
        <v>C17</v>
      </c>
      <c r="S2399" t="str">
        <v>1000012324 CLEAN PEL SRL</v>
      </c>
    </row>
    <row r="2400" spans="1:19" x14ac:dyDescent="0.3">
      <c r="A2400" s="2" t="s">
        <v>14</v>
      </c>
      <c r="B2400" s="3" t="s">
        <v>14</v>
      </c>
      <c r="C2400" s="3" t="s">
        <v>2125</v>
      </c>
      <c r="D2400" s="3" t="s">
        <v>14</v>
      </c>
      <c r="E2400" s="3" t="s">
        <v>466</v>
      </c>
      <c r="F2400" s="4">
        <v>46295</v>
      </c>
      <c r="G2400" s="3" t="s">
        <v>17</v>
      </c>
      <c r="H2400" s="5">
        <v>-345228.13</v>
      </c>
      <c r="I2400" s="3" t="s">
        <v>18</v>
      </c>
      <c r="J2400" s="3" t="s">
        <v>14</v>
      </c>
      <c r="K2400" s="3" t="s">
        <v>14</v>
      </c>
      <c r="L2400" s="3" t="s">
        <v>1289</v>
      </c>
      <c r="M2400" s="4">
        <v>46296</v>
      </c>
      <c r="N2400" s="3" t="s">
        <v>2126</v>
      </c>
      <c r="O2400" s="3" t="s">
        <v>22</v>
      </c>
      <c r="P2400" t="str">
        <f t="shared" si="37"/>
        <v>450013862220</v>
      </c>
      <c r="Q2400" s="7" cm="1">
        <f t="array" ref="Q2400:S2400">VLOOKUP(P2400,Hoja1!C:F,{2,3,4},FALSE)</f>
        <v>46294</v>
      </c>
      <c r="R2400" t="str">
        <v>G04</v>
      </c>
      <c r="S2400" t="str">
        <v>1000000907 SERVICIOS VIALES DE STA. FE SA</v>
      </c>
    </row>
    <row r="2401" spans="1:19" x14ac:dyDescent="0.3">
      <c r="A2401" s="2" t="s">
        <v>14</v>
      </c>
      <c r="B2401" s="3" t="s">
        <v>14</v>
      </c>
      <c r="C2401" s="3" t="s">
        <v>2127</v>
      </c>
      <c r="D2401" s="3" t="s">
        <v>14</v>
      </c>
      <c r="E2401" s="3" t="s">
        <v>466</v>
      </c>
      <c r="F2401" s="4">
        <v>46295</v>
      </c>
      <c r="G2401" s="3" t="s">
        <v>17</v>
      </c>
      <c r="H2401" s="5">
        <v>-149919</v>
      </c>
      <c r="I2401" s="3" t="s">
        <v>18</v>
      </c>
      <c r="J2401" s="3" t="s">
        <v>14</v>
      </c>
      <c r="K2401" s="3" t="s">
        <v>14</v>
      </c>
      <c r="L2401" s="3" t="s">
        <v>125</v>
      </c>
      <c r="M2401" s="4">
        <v>46296</v>
      </c>
      <c r="N2401" s="3" t="s">
        <v>2128</v>
      </c>
      <c r="O2401" s="3" t="s">
        <v>30</v>
      </c>
      <c r="P2401" t="str">
        <f t="shared" si="37"/>
        <v>450013919610</v>
      </c>
      <c r="Q2401" s="7" cm="1">
        <f t="array" ref="Q2401:S2401">VLOOKUP(P2401,Hoja1!C:F,{2,3,4},FALSE)</f>
        <v>46325</v>
      </c>
      <c r="R2401" t="str">
        <v>C03</v>
      </c>
      <c r="S2401" t="str">
        <v>1000001470 SUDAMERICANA CAMIONES SA</v>
      </c>
    </row>
    <row r="2402" spans="1:19" x14ac:dyDescent="0.3">
      <c r="A2402" s="2" t="s">
        <v>14</v>
      </c>
      <c r="B2402" s="3" t="s">
        <v>14</v>
      </c>
      <c r="C2402" s="3" t="s">
        <v>2127</v>
      </c>
      <c r="D2402" s="3" t="s">
        <v>14</v>
      </c>
      <c r="E2402" s="3" t="s">
        <v>466</v>
      </c>
      <c r="F2402" s="4">
        <v>46295</v>
      </c>
      <c r="G2402" s="3" t="s">
        <v>17</v>
      </c>
      <c r="H2402" s="5">
        <v>-649225.5</v>
      </c>
      <c r="I2402" s="3" t="s">
        <v>18</v>
      </c>
      <c r="J2402" s="3" t="s">
        <v>14</v>
      </c>
      <c r="K2402" s="3" t="s">
        <v>14</v>
      </c>
      <c r="L2402" s="3" t="s">
        <v>125</v>
      </c>
      <c r="M2402" s="4">
        <v>46296</v>
      </c>
      <c r="N2402" s="3" t="s">
        <v>2128</v>
      </c>
      <c r="O2402" s="3" t="s">
        <v>22</v>
      </c>
      <c r="P2402" t="str">
        <f t="shared" si="37"/>
        <v>450013919620</v>
      </c>
      <c r="Q2402" s="7" cm="1">
        <f t="array" ref="Q2402:S2402">VLOOKUP(P2402,Hoja1!C:F,{2,3,4},FALSE)</f>
        <v>46295</v>
      </c>
      <c r="R2402" t="str">
        <v>C03</v>
      </c>
      <c r="S2402" t="str">
        <v>1000001470 SUDAMERICANA CAMIONES SA</v>
      </c>
    </row>
    <row r="2403" spans="1:19" x14ac:dyDescent="0.3">
      <c r="A2403" s="2" t="s">
        <v>14</v>
      </c>
      <c r="B2403" s="3" t="s">
        <v>14</v>
      </c>
      <c r="C2403" s="3" t="s">
        <v>2127</v>
      </c>
      <c r="D2403" s="3" t="s">
        <v>14</v>
      </c>
      <c r="E2403" s="3" t="s">
        <v>466</v>
      </c>
      <c r="F2403" s="4">
        <v>46295</v>
      </c>
      <c r="G2403" s="3" t="s">
        <v>17</v>
      </c>
      <c r="H2403" s="5">
        <v>-887398.88</v>
      </c>
      <c r="I2403" s="3" t="s">
        <v>18</v>
      </c>
      <c r="J2403" s="3" t="s">
        <v>14</v>
      </c>
      <c r="K2403" s="3" t="s">
        <v>14</v>
      </c>
      <c r="L2403" s="3" t="s">
        <v>125</v>
      </c>
      <c r="M2403" s="4">
        <v>46296</v>
      </c>
      <c r="N2403" s="3" t="s">
        <v>2128</v>
      </c>
      <c r="O2403" s="3" t="s">
        <v>35</v>
      </c>
      <c r="P2403" t="str">
        <f t="shared" si="37"/>
        <v>450013919630</v>
      </c>
      <c r="Q2403" s="7" cm="1">
        <f t="array" ref="Q2403:S2403">VLOOKUP(P2403,Hoja1!C:F,{2,3,4},FALSE)</f>
        <v>46295</v>
      </c>
      <c r="R2403" t="str">
        <v>C03</v>
      </c>
      <c r="S2403" t="str">
        <v>1000001470 SUDAMERICANA CAMIONES SA</v>
      </c>
    </row>
    <row r="2404" spans="1:19" x14ac:dyDescent="0.3">
      <c r="A2404" s="2" t="s">
        <v>14</v>
      </c>
      <c r="B2404" s="3" t="s">
        <v>14</v>
      </c>
      <c r="C2404" s="3" t="s">
        <v>2127</v>
      </c>
      <c r="D2404" s="3" t="s">
        <v>14</v>
      </c>
      <c r="E2404" s="3" t="s">
        <v>466</v>
      </c>
      <c r="F2404" s="4">
        <v>46295</v>
      </c>
      <c r="G2404" s="3" t="s">
        <v>17</v>
      </c>
      <c r="H2404" s="5">
        <v>-3742136.75</v>
      </c>
      <c r="I2404" s="3" t="s">
        <v>18</v>
      </c>
      <c r="J2404" s="3" t="s">
        <v>14</v>
      </c>
      <c r="K2404" s="3" t="s">
        <v>14</v>
      </c>
      <c r="L2404" s="3" t="s">
        <v>125</v>
      </c>
      <c r="M2404" s="4">
        <v>46296</v>
      </c>
      <c r="N2404" s="3" t="s">
        <v>2128</v>
      </c>
      <c r="O2404" s="3" t="s">
        <v>23</v>
      </c>
      <c r="P2404" t="str">
        <f t="shared" si="37"/>
        <v>450013919640</v>
      </c>
      <c r="Q2404" s="7" cm="1">
        <f t="array" ref="Q2404:S2404">VLOOKUP(P2404,Hoja1!C:F,{2,3,4},FALSE)</f>
        <v>46297</v>
      </c>
      <c r="R2404" t="str">
        <v>C03</v>
      </c>
      <c r="S2404" t="str">
        <v>1000001470 SUDAMERICANA CAMIONES SA</v>
      </c>
    </row>
    <row r="2405" spans="1:19" x14ac:dyDescent="0.3">
      <c r="A2405" s="2" t="s">
        <v>14</v>
      </c>
      <c r="B2405" s="3" t="s">
        <v>14</v>
      </c>
      <c r="C2405" s="3" t="s">
        <v>2127</v>
      </c>
      <c r="D2405" s="3" t="s">
        <v>14</v>
      </c>
      <c r="E2405" s="3" t="s">
        <v>466</v>
      </c>
      <c r="F2405" s="4">
        <v>46295</v>
      </c>
      <c r="G2405" s="3" t="s">
        <v>17</v>
      </c>
      <c r="H2405" s="5">
        <v>-17499.63</v>
      </c>
      <c r="I2405" s="3" t="s">
        <v>18</v>
      </c>
      <c r="J2405" s="3" t="s">
        <v>14</v>
      </c>
      <c r="K2405" s="3" t="s">
        <v>14</v>
      </c>
      <c r="L2405" s="3" t="s">
        <v>125</v>
      </c>
      <c r="M2405" s="4">
        <v>46296</v>
      </c>
      <c r="N2405" s="3" t="s">
        <v>2128</v>
      </c>
      <c r="O2405" s="3" t="s">
        <v>141</v>
      </c>
      <c r="P2405" t="str">
        <f t="shared" si="37"/>
        <v>450013919660</v>
      </c>
      <c r="Q2405" s="7" cm="1">
        <f t="array" ref="Q2405:S2405">VLOOKUP(P2405,Hoja1!C:F,{2,3,4},FALSE)</f>
        <v>46297</v>
      </c>
      <c r="R2405" t="str">
        <v>C03</v>
      </c>
      <c r="S2405" t="str">
        <v>1000001470 SUDAMERICANA CAMIONES SA</v>
      </c>
    </row>
    <row r="2406" spans="1:19" x14ac:dyDescent="0.3">
      <c r="A2406" s="2" t="s">
        <v>14</v>
      </c>
      <c r="B2406" s="3" t="s">
        <v>14</v>
      </c>
      <c r="C2406" s="3" t="s">
        <v>2127</v>
      </c>
      <c r="D2406" s="3" t="s">
        <v>14</v>
      </c>
      <c r="E2406" s="3" t="s">
        <v>466</v>
      </c>
      <c r="F2406" s="4">
        <v>46295</v>
      </c>
      <c r="G2406" s="3" t="s">
        <v>17</v>
      </c>
      <c r="H2406" s="5">
        <v>-26846.880000000001</v>
      </c>
      <c r="I2406" s="3" t="s">
        <v>18</v>
      </c>
      <c r="J2406" s="3" t="s">
        <v>14</v>
      </c>
      <c r="K2406" s="3" t="s">
        <v>14</v>
      </c>
      <c r="L2406" s="3" t="s">
        <v>125</v>
      </c>
      <c r="M2406" s="4">
        <v>46296</v>
      </c>
      <c r="N2406" s="3" t="s">
        <v>2128</v>
      </c>
      <c r="O2406" s="3" t="s">
        <v>134</v>
      </c>
      <c r="P2406" t="str">
        <f t="shared" si="37"/>
        <v>450013919670</v>
      </c>
      <c r="Q2406" s="7" cm="1">
        <f t="array" ref="Q2406:S2406">VLOOKUP(P2406,Hoja1!C:F,{2,3,4},FALSE)</f>
        <v>46297</v>
      </c>
      <c r="R2406" t="str">
        <v>C03</v>
      </c>
      <c r="S2406" t="str">
        <v>1000001470 SUDAMERICANA CAMIONES SA</v>
      </c>
    </row>
    <row r="2407" spans="1:19" x14ac:dyDescent="0.3">
      <c r="A2407" s="2" t="s">
        <v>14</v>
      </c>
      <c r="B2407" s="3" t="s">
        <v>14</v>
      </c>
      <c r="C2407" s="3" t="s">
        <v>2127</v>
      </c>
      <c r="D2407" s="3" t="s">
        <v>14</v>
      </c>
      <c r="E2407" s="3" t="s">
        <v>466</v>
      </c>
      <c r="F2407" s="4">
        <v>46295</v>
      </c>
      <c r="G2407" s="3" t="s">
        <v>17</v>
      </c>
      <c r="H2407" s="5">
        <v>-31702</v>
      </c>
      <c r="I2407" s="3" t="s">
        <v>18</v>
      </c>
      <c r="J2407" s="3" t="s">
        <v>14</v>
      </c>
      <c r="K2407" s="3" t="s">
        <v>14</v>
      </c>
      <c r="L2407" s="3" t="s">
        <v>125</v>
      </c>
      <c r="M2407" s="4">
        <v>46296</v>
      </c>
      <c r="N2407" s="3" t="s">
        <v>2128</v>
      </c>
      <c r="O2407" s="3" t="s">
        <v>52</v>
      </c>
      <c r="P2407" t="str">
        <f t="shared" si="37"/>
        <v>450013919680</v>
      </c>
      <c r="Q2407" s="7" cm="1">
        <f t="array" ref="Q2407:S2407">VLOOKUP(P2407,Hoja1!C:F,{2,3,4},FALSE)</f>
        <v>46297</v>
      </c>
      <c r="R2407" t="str">
        <v>C03</v>
      </c>
      <c r="S2407" t="str">
        <v>1000001470 SUDAMERICANA CAMIONES SA</v>
      </c>
    </row>
    <row r="2408" spans="1:19" x14ac:dyDescent="0.3">
      <c r="A2408" s="2" t="s">
        <v>14</v>
      </c>
      <c r="B2408" s="3" t="s">
        <v>14</v>
      </c>
      <c r="C2408" s="3" t="s">
        <v>2127</v>
      </c>
      <c r="D2408" s="3" t="s">
        <v>14</v>
      </c>
      <c r="E2408" s="3" t="s">
        <v>466</v>
      </c>
      <c r="F2408" s="4">
        <v>46295</v>
      </c>
      <c r="G2408" s="3" t="s">
        <v>17</v>
      </c>
      <c r="H2408" s="5">
        <v>-6503.75</v>
      </c>
      <c r="I2408" s="3" t="s">
        <v>18</v>
      </c>
      <c r="J2408" s="3" t="s">
        <v>14</v>
      </c>
      <c r="K2408" s="3" t="s">
        <v>14</v>
      </c>
      <c r="L2408" s="3" t="s">
        <v>125</v>
      </c>
      <c r="M2408" s="4">
        <v>46296</v>
      </c>
      <c r="N2408" s="3" t="s">
        <v>2128</v>
      </c>
      <c r="O2408" s="3" t="s">
        <v>138</v>
      </c>
      <c r="P2408" t="str">
        <f t="shared" si="37"/>
        <v>450013919690</v>
      </c>
      <c r="Q2408" s="7" cm="1">
        <f t="array" ref="Q2408:S2408">VLOOKUP(P2408,Hoja1!C:F,{2,3,4},FALSE)</f>
        <v>46297</v>
      </c>
      <c r="R2408" t="str">
        <v>C03</v>
      </c>
      <c r="S2408" t="str">
        <v>1000001470 SUDAMERICANA CAMIONES SA</v>
      </c>
    </row>
    <row r="2409" spans="1:19" x14ac:dyDescent="0.3">
      <c r="A2409" s="2" t="s">
        <v>14</v>
      </c>
      <c r="B2409" s="3" t="s">
        <v>14</v>
      </c>
      <c r="C2409" s="3" t="s">
        <v>2127</v>
      </c>
      <c r="D2409" s="3" t="s">
        <v>14</v>
      </c>
      <c r="E2409" s="3" t="s">
        <v>466</v>
      </c>
      <c r="F2409" s="4">
        <v>46295</v>
      </c>
      <c r="G2409" s="3" t="s">
        <v>17</v>
      </c>
      <c r="H2409" s="5">
        <v>-12357.13</v>
      </c>
      <c r="I2409" s="3" t="s">
        <v>18</v>
      </c>
      <c r="J2409" s="3" t="s">
        <v>14</v>
      </c>
      <c r="K2409" s="3" t="s">
        <v>14</v>
      </c>
      <c r="L2409" s="3" t="s">
        <v>125</v>
      </c>
      <c r="M2409" s="4">
        <v>46296</v>
      </c>
      <c r="N2409" s="3" t="s">
        <v>2128</v>
      </c>
      <c r="O2409" s="3" t="s">
        <v>45</v>
      </c>
      <c r="P2409" t="str">
        <f t="shared" si="37"/>
        <v>4500139196100</v>
      </c>
      <c r="Q2409" s="7" cm="1">
        <f t="array" ref="Q2409:S2409">VLOOKUP(P2409,Hoja1!C:F,{2,3,4},FALSE)</f>
        <v>46297</v>
      </c>
      <c r="R2409" t="str">
        <v>C03</v>
      </c>
      <c r="S2409" t="str">
        <v>1000001470 SUDAMERICANA CAMIONES SA</v>
      </c>
    </row>
    <row r="2410" spans="1:19" x14ac:dyDescent="0.3">
      <c r="A2410" s="2" t="s">
        <v>14</v>
      </c>
      <c r="B2410" s="3" t="s">
        <v>14</v>
      </c>
      <c r="C2410" s="3" t="s">
        <v>2127</v>
      </c>
      <c r="D2410" s="3" t="s">
        <v>14</v>
      </c>
      <c r="E2410" s="3" t="s">
        <v>466</v>
      </c>
      <c r="F2410" s="4">
        <v>46295</v>
      </c>
      <c r="G2410" s="3" t="s">
        <v>17</v>
      </c>
      <c r="H2410" s="5">
        <v>-7441.5</v>
      </c>
      <c r="I2410" s="3" t="s">
        <v>18</v>
      </c>
      <c r="J2410" s="3" t="s">
        <v>14</v>
      </c>
      <c r="K2410" s="3" t="s">
        <v>14</v>
      </c>
      <c r="L2410" s="3" t="s">
        <v>125</v>
      </c>
      <c r="M2410" s="4">
        <v>46296</v>
      </c>
      <c r="N2410" s="3" t="s">
        <v>2128</v>
      </c>
      <c r="O2410" s="3" t="s">
        <v>156</v>
      </c>
      <c r="P2410" t="str">
        <f t="shared" si="37"/>
        <v>4500139196110</v>
      </c>
      <c r="Q2410" s="7" cm="1">
        <f t="array" ref="Q2410:S2410">VLOOKUP(P2410,Hoja1!C:F,{2,3,4},FALSE)</f>
        <v>46297</v>
      </c>
      <c r="R2410" t="str">
        <v>C03</v>
      </c>
      <c r="S2410" t="str">
        <v>1000001470 SUDAMERICANA CAMIONES SA</v>
      </c>
    </row>
    <row r="2411" spans="1:19" x14ac:dyDescent="0.3">
      <c r="A2411" s="2" t="s">
        <v>14</v>
      </c>
      <c r="B2411" s="3" t="s">
        <v>14</v>
      </c>
      <c r="C2411" s="3" t="s">
        <v>2127</v>
      </c>
      <c r="D2411" s="3" t="s">
        <v>14</v>
      </c>
      <c r="E2411" s="3" t="s">
        <v>466</v>
      </c>
      <c r="F2411" s="4">
        <v>46295</v>
      </c>
      <c r="G2411" s="3" t="s">
        <v>17</v>
      </c>
      <c r="H2411" s="5">
        <v>-9891.75</v>
      </c>
      <c r="I2411" s="3" t="s">
        <v>18</v>
      </c>
      <c r="J2411" s="3" t="s">
        <v>14</v>
      </c>
      <c r="K2411" s="3" t="s">
        <v>14</v>
      </c>
      <c r="L2411" s="3" t="s">
        <v>125</v>
      </c>
      <c r="M2411" s="4">
        <v>46296</v>
      </c>
      <c r="N2411" s="3" t="s">
        <v>2128</v>
      </c>
      <c r="O2411" s="3" t="s">
        <v>132</v>
      </c>
      <c r="P2411" t="str">
        <f t="shared" si="37"/>
        <v>4500139196120</v>
      </c>
      <c r="Q2411" s="7" cm="1">
        <f t="array" ref="Q2411:S2411">VLOOKUP(P2411,Hoja1!C:F,{2,3,4},FALSE)</f>
        <v>46297</v>
      </c>
      <c r="R2411" t="str">
        <v>C03</v>
      </c>
      <c r="S2411" t="str">
        <v>1000001470 SUDAMERICANA CAMIONES SA</v>
      </c>
    </row>
    <row r="2412" spans="1:19" x14ac:dyDescent="0.3">
      <c r="A2412" s="2" t="s">
        <v>14</v>
      </c>
      <c r="B2412" s="3" t="s">
        <v>14</v>
      </c>
      <c r="C2412" s="3" t="s">
        <v>2127</v>
      </c>
      <c r="D2412" s="3" t="s">
        <v>14</v>
      </c>
      <c r="E2412" s="3" t="s">
        <v>466</v>
      </c>
      <c r="F2412" s="4">
        <v>46295</v>
      </c>
      <c r="G2412" s="3" t="s">
        <v>17</v>
      </c>
      <c r="H2412" s="5">
        <v>-6171</v>
      </c>
      <c r="I2412" s="3" t="s">
        <v>18</v>
      </c>
      <c r="J2412" s="3" t="s">
        <v>14</v>
      </c>
      <c r="K2412" s="3" t="s">
        <v>14</v>
      </c>
      <c r="L2412" s="3" t="s">
        <v>125</v>
      </c>
      <c r="M2412" s="4">
        <v>46296</v>
      </c>
      <c r="N2412" s="3" t="s">
        <v>2128</v>
      </c>
      <c r="O2412" s="3" t="s">
        <v>142</v>
      </c>
      <c r="P2412" t="str">
        <f t="shared" si="37"/>
        <v>4500139196130</v>
      </c>
      <c r="Q2412" s="7" cm="1">
        <f t="array" ref="Q2412:S2412">VLOOKUP(P2412,Hoja1!C:F,{2,3,4},FALSE)</f>
        <v>46297</v>
      </c>
      <c r="R2412" t="str">
        <v>C03</v>
      </c>
      <c r="S2412" t="str">
        <v>1000001470 SUDAMERICANA CAMIONES SA</v>
      </c>
    </row>
    <row r="2413" spans="1:19" x14ac:dyDescent="0.3">
      <c r="A2413" s="2" t="s">
        <v>14</v>
      </c>
      <c r="B2413" s="3" t="s">
        <v>14</v>
      </c>
      <c r="C2413" s="3" t="s">
        <v>2127</v>
      </c>
      <c r="D2413" s="3" t="s">
        <v>14</v>
      </c>
      <c r="E2413" s="3" t="s">
        <v>466</v>
      </c>
      <c r="F2413" s="4">
        <v>46295</v>
      </c>
      <c r="G2413" s="3" t="s">
        <v>17</v>
      </c>
      <c r="H2413" s="5">
        <v>-935314.88</v>
      </c>
      <c r="I2413" s="3" t="s">
        <v>18</v>
      </c>
      <c r="J2413" s="3" t="s">
        <v>14</v>
      </c>
      <c r="K2413" s="3" t="s">
        <v>14</v>
      </c>
      <c r="L2413" s="3" t="s">
        <v>125</v>
      </c>
      <c r="M2413" s="4">
        <v>46296</v>
      </c>
      <c r="N2413" s="3" t="s">
        <v>2128</v>
      </c>
      <c r="O2413" s="3" t="s">
        <v>131</v>
      </c>
      <c r="P2413" t="str">
        <f t="shared" si="37"/>
        <v>4500139196140</v>
      </c>
      <c r="Q2413" s="7" cm="1">
        <f t="array" ref="Q2413:S2413">VLOOKUP(P2413,Hoja1!C:F,{2,3,4},FALSE)</f>
        <v>46297</v>
      </c>
      <c r="R2413" t="str">
        <v>C03</v>
      </c>
      <c r="S2413" t="str">
        <v>1000001470 SUDAMERICANA CAMIONES SA</v>
      </c>
    </row>
    <row r="2414" spans="1:19" x14ac:dyDescent="0.3">
      <c r="A2414" s="2" t="s">
        <v>14</v>
      </c>
      <c r="B2414" s="3" t="s">
        <v>14</v>
      </c>
      <c r="C2414" s="3" t="s">
        <v>2127</v>
      </c>
      <c r="D2414" s="3" t="s">
        <v>14</v>
      </c>
      <c r="E2414" s="3" t="s">
        <v>466</v>
      </c>
      <c r="F2414" s="4">
        <v>46295</v>
      </c>
      <c r="G2414" s="3" t="s">
        <v>17</v>
      </c>
      <c r="H2414" s="5">
        <v>-175918.88</v>
      </c>
      <c r="I2414" s="3" t="s">
        <v>18</v>
      </c>
      <c r="J2414" s="3" t="s">
        <v>14</v>
      </c>
      <c r="K2414" s="3" t="s">
        <v>14</v>
      </c>
      <c r="L2414" s="3" t="s">
        <v>125</v>
      </c>
      <c r="M2414" s="4">
        <v>46296</v>
      </c>
      <c r="N2414" s="3" t="s">
        <v>2128</v>
      </c>
      <c r="O2414" s="3" t="s">
        <v>68</v>
      </c>
      <c r="P2414" t="str">
        <f t="shared" si="37"/>
        <v>4500139196150</v>
      </c>
      <c r="Q2414" s="7" cm="1">
        <f t="array" ref="Q2414:S2414">VLOOKUP(P2414,Hoja1!C:F,{2,3,4},FALSE)</f>
        <v>46297</v>
      </c>
      <c r="R2414" t="str">
        <v>C03</v>
      </c>
      <c r="S2414" t="str">
        <v>1000001470 SUDAMERICANA CAMIONES SA</v>
      </c>
    </row>
    <row r="2415" spans="1:19" x14ac:dyDescent="0.3">
      <c r="A2415" s="2" t="s">
        <v>14</v>
      </c>
      <c r="B2415" s="3" t="s">
        <v>14</v>
      </c>
      <c r="C2415" s="3" t="s">
        <v>2129</v>
      </c>
      <c r="D2415" s="3" t="s">
        <v>14</v>
      </c>
      <c r="E2415" s="3" t="s">
        <v>466</v>
      </c>
      <c r="F2415" s="4">
        <v>46296</v>
      </c>
      <c r="G2415" s="3" t="s">
        <v>17</v>
      </c>
      <c r="H2415" s="5">
        <v>-1272240</v>
      </c>
      <c r="I2415" s="3" t="s">
        <v>18</v>
      </c>
      <c r="J2415" s="3" t="s">
        <v>14</v>
      </c>
      <c r="K2415" s="3" t="s">
        <v>14</v>
      </c>
      <c r="L2415" s="3" t="s">
        <v>2130</v>
      </c>
      <c r="M2415" s="4">
        <v>46296</v>
      </c>
      <c r="N2415" s="3" t="s">
        <v>2131</v>
      </c>
      <c r="O2415" s="3" t="s">
        <v>30</v>
      </c>
      <c r="P2415" t="str">
        <f t="shared" si="37"/>
        <v>450011998910</v>
      </c>
      <c r="Q2415" s="7" cm="1">
        <f t="array" ref="Q2415:S2415">VLOOKUP(P2415,Hoja1!C:F,{2,3,4},FALSE)</f>
        <v>46432</v>
      </c>
      <c r="R2415" t="str">
        <v>C24</v>
      </c>
      <c r="S2415" t="str">
        <v>1000008037 OMEDES MARTIN MARCELO</v>
      </c>
    </row>
    <row r="2416" spans="1:19" x14ac:dyDescent="0.3">
      <c r="A2416" s="2" t="s">
        <v>14</v>
      </c>
      <c r="B2416" s="3" t="s">
        <v>14</v>
      </c>
      <c r="C2416" s="3" t="s">
        <v>2132</v>
      </c>
      <c r="D2416" s="3" t="s">
        <v>14</v>
      </c>
      <c r="E2416" s="3" t="s">
        <v>466</v>
      </c>
      <c r="F2416" s="4">
        <v>46296</v>
      </c>
      <c r="G2416" s="3" t="s">
        <v>17</v>
      </c>
      <c r="H2416" s="5">
        <v>-430500</v>
      </c>
      <c r="I2416" s="3" t="s">
        <v>18</v>
      </c>
      <c r="J2416" s="3" t="s">
        <v>14</v>
      </c>
      <c r="K2416" s="3" t="s">
        <v>14</v>
      </c>
      <c r="L2416" s="3" t="s">
        <v>2133</v>
      </c>
      <c r="M2416" s="4">
        <v>46296</v>
      </c>
      <c r="N2416" s="3" t="s">
        <v>2134</v>
      </c>
      <c r="O2416" s="3" t="s">
        <v>30</v>
      </c>
      <c r="P2416" t="str">
        <f t="shared" si="37"/>
        <v>450013211610</v>
      </c>
      <c r="Q2416" s="7" cm="1">
        <f t="array" ref="Q2416:S2416">VLOOKUP(P2416,Hoja1!C:F,{2,3,4},FALSE)</f>
        <v>46387</v>
      </c>
      <c r="R2416" t="str">
        <v>C24</v>
      </c>
      <c r="S2416" t="str">
        <v>1000006685 ECONO JOURNAL SRL</v>
      </c>
    </row>
    <row r="2417" spans="1:19" x14ac:dyDescent="0.3">
      <c r="A2417" s="2" t="s">
        <v>14</v>
      </c>
      <c r="B2417" s="3" t="s">
        <v>14</v>
      </c>
      <c r="C2417" s="3" t="s">
        <v>2135</v>
      </c>
      <c r="D2417" s="3" t="s">
        <v>14</v>
      </c>
      <c r="E2417" s="3" t="s">
        <v>466</v>
      </c>
      <c r="F2417" s="4">
        <v>46295</v>
      </c>
      <c r="G2417" s="3" t="s">
        <v>17</v>
      </c>
      <c r="H2417" s="5">
        <v>-283116</v>
      </c>
      <c r="I2417" s="3" t="s">
        <v>18</v>
      </c>
      <c r="J2417" s="3" t="s">
        <v>14</v>
      </c>
      <c r="K2417" s="3" t="s">
        <v>14</v>
      </c>
      <c r="L2417" s="3" t="s">
        <v>997</v>
      </c>
      <c r="M2417" s="4">
        <v>46296</v>
      </c>
      <c r="N2417" s="3" t="s">
        <v>2136</v>
      </c>
      <c r="O2417" s="3" t="s">
        <v>30</v>
      </c>
      <c r="P2417" t="str">
        <f t="shared" si="37"/>
        <v>450013958010</v>
      </c>
      <c r="Q2417" s="7" cm="1">
        <f t="array" ref="Q2417:S2417">VLOOKUP(P2417,Hoja1!C:F,{2,3,4},FALSE)</f>
        <v>46301</v>
      </c>
      <c r="R2417" t="str">
        <v>C27</v>
      </c>
      <c r="S2417" t="str">
        <v>1000000003 ARROYITO MAQUINARIAS S.R.L.</v>
      </c>
    </row>
    <row r="2418" spans="1:19" x14ac:dyDescent="0.3">
      <c r="A2418" s="2" t="s">
        <v>14</v>
      </c>
      <c r="B2418" s="3" t="s">
        <v>14</v>
      </c>
      <c r="C2418" s="3" t="s">
        <v>2135</v>
      </c>
      <c r="D2418" s="3" t="s">
        <v>14</v>
      </c>
      <c r="E2418" s="3" t="s">
        <v>466</v>
      </c>
      <c r="F2418" s="4">
        <v>46295</v>
      </c>
      <c r="G2418" s="3" t="s">
        <v>17</v>
      </c>
      <c r="H2418" s="5">
        <v>-1055026.48</v>
      </c>
      <c r="I2418" s="3" t="s">
        <v>18</v>
      </c>
      <c r="J2418" s="3" t="s">
        <v>14</v>
      </c>
      <c r="K2418" s="3" t="s">
        <v>14</v>
      </c>
      <c r="L2418" s="3" t="s">
        <v>997</v>
      </c>
      <c r="M2418" s="4">
        <v>46296</v>
      </c>
      <c r="N2418" s="3" t="s">
        <v>2136</v>
      </c>
      <c r="O2418" s="3" t="s">
        <v>22</v>
      </c>
      <c r="P2418" t="str">
        <f t="shared" si="37"/>
        <v>450013958020</v>
      </c>
      <c r="Q2418" s="7" cm="1">
        <f t="array" ref="Q2418:S2418">VLOOKUP(P2418,Hoja1!C:F,{2,3,4},FALSE)</f>
        <v>46301</v>
      </c>
      <c r="R2418" t="str">
        <v>C27</v>
      </c>
      <c r="S2418" t="str">
        <v>1000000003 ARROYITO MAQUINARIAS S.R.L.</v>
      </c>
    </row>
    <row r="2419" spans="1:19" x14ac:dyDescent="0.3">
      <c r="A2419" s="2" t="s">
        <v>14</v>
      </c>
      <c r="B2419" s="3" t="s">
        <v>14</v>
      </c>
      <c r="C2419" s="3" t="s">
        <v>2135</v>
      </c>
      <c r="D2419" s="3" t="s">
        <v>14</v>
      </c>
      <c r="E2419" s="3" t="s">
        <v>466</v>
      </c>
      <c r="F2419" s="4">
        <v>46295</v>
      </c>
      <c r="G2419" s="3" t="s">
        <v>17</v>
      </c>
      <c r="H2419" s="5">
        <v>-187330</v>
      </c>
      <c r="I2419" s="3" t="s">
        <v>18</v>
      </c>
      <c r="J2419" s="3" t="s">
        <v>14</v>
      </c>
      <c r="K2419" s="3" t="s">
        <v>14</v>
      </c>
      <c r="L2419" s="3" t="s">
        <v>997</v>
      </c>
      <c r="M2419" s="4">
        <v>46296</v>
      </c>
      <c r="N2419" s="3" t="s">
        <v>2136</v>
      </c>
      <c r="O2419" s="3" t="s">
        <v>35</v>
      </c>
      <c r="P2419" t="str">
        <f t="shared" si="37"/>
        <v>450013958030</v>
      </c>
      <c r="Q2419" s="7" cm="1">
        <f t="array" ref="Q2419:S2419">VLOOKUP(P2419,Hoja1!C:F,{2,3,4},FALSE)</f>
        <v>46301</v>
      </c>
      <c r="R2419" t="str">
        <v>C27</v>
      </c>
      <c r="S2419" t="str">
        <v>1000000003 ARROYITO MAQUINARIAS S.R.L.</v>
      </c>
    </row>
    <row r="2420" spans="1:19" x14ac:dyDescent="0.3">
      <c r="A2420" s="2" t="s">
        <v>14</v>
      </c>
      <c r="B2420" s="3" t="s">
        <v>14</v>
      </c>
      <c r="C2420" s="3" t="s">
        <v>2137</v>
      </c>
      <c r="D2420" s="3" t="s">
        <v>14</v>
      </c>
      <c r="E2420" s="3" t="s">
        <v>466</v>
      </c>
      <c r="F2420" s="4">
        <v>46296</v>
      </c>
      <c r="G2420" s="3" t="s">
        <v>17</v>
      </c>
      <c r="H2420" s="5">
        <v>-53819.29</v>
      </c>
      <c r="I2420" s="3" t="s">
        <v>18</v>
      </c>
      <c r="J2420" s="3" t="s">
        <v>14</v>
      </c>
      <c r="K2420" s="3" t="s">
        <v>14</v>
      </c>
      <c r="L2420" s="3" t="s">
        <v>1832</v>
      </c>
      <c r="M2420" s="4">
        <v>46296</v>
      </c>
      <c r="N2420" s="3" t="s">
        <v>2138</v>
      </c>
      <c r="O2420" s="3" t="s">
        <v>22</v>
      </c>
      <c r="P2420" t="str">
        <f t="shared" si="37"/>
        <v>450013978720</v>
      </c>
      <c r="Q2420" s="7" cm="1">
        <f t="array" ref="Q2420:S2420">VLOOKUP(P2420,Hoja1!C:F,{2,3,4},FALSE)</f>
        <v>46300</v>
      </c>
      <c r="R2420" t="str">
        <v>377</v>
      </c>
      <c r="S2420" t="str">
        <v>1000000211 LA CASA DE LAS HERRAMIENTAS SA</v>
      </c>
    </row>
    <row r="2421" spans="1:19" x14ac:dyDescent="0.3">
      <c r="A2421" s="2" t="s">
        <v>14</v>
      </c>
      <c r="B2421" s="3" t="s">
        <v>14</v>
      </c>
      <c r="C2421" s="3" t="s">
        <v>2137</v>
      </c>
      <c r="D2421" s="3" t="s">
        <v>32</v>
      </c>
      <c r="E2421" s="3" t="s">
        <v>466</v>
      </c>
      <c r="F2421" s="4">
        <v>46296</v>
      </c>
      <c r="G2421" s="3" t="s">
        <v>17</v>
      </c>
      <c r="H2421" s="5">
        <v>-17486</v>
      </c>
      <c r="I2421" s="3" t="s">
        <v>18</v>
      </c>
      <c r="J2421" s="3" t="s">
        <v>14</v>
      </c>
      <c r="K2421" s="3" t="s">
        <v>14</v>
      </c>
      <c r="L2421" s="3" t="s">
        <v>1832</v>
      </c>
      <c r="M2421" s="4">
        <v>46296</v>
      </c>
      <c r="N2421" s="3" t="s">
        <v>2138</v>
      </c>
      <c r="O2421" s="3" t="s">
        <v>35</v>
      </c>
      <c r="P2421" t="str">
        <f t="shared" si="37"/>
        <v>450013978730</v>
      </c>
      <c r="Q2421" s="7" cm="1">
        <f t="array" ref="Q2421:S2421">VLOOKUP(P2421,Hoja1!C:F,{2,3,4},FALSE)</f>
        <v>46300</v>
      </c>
      <c r="R2421" t="str">
        <v>377</v>
      </c>
      <c r="S2421" t="str">
        <v>1000000211 LA CASA DE LAS HERRAMIENTAS SA</v>
      </c>
    </row>
    <row r="2422" spans="1:19" x14ac:dyDescent="0.3">
      <c r="A2422" s="2" t="s">
        <v>14</v>
      </c>
      <c r="B2422" s="3" t="s">
        <v>14</v>
      </c>
      <c r="C2422" s="3" t="s">
        <v>2139</v>
      </c>
      <c r="D2422" s="3" t="s">
        <v>14</v>
      </c>
      <c r="E2422" s="3" t="s">
        <v>466</v>
      </c>
      <c r="F2422" s="4">
        <v>46295</v>
      </c>
      <c r="G2422" s="3" t="s">
        <v>17</v>
      </c>
      <c r="H2422" s="5">
        <v>-5532314.9199999999</v>
      </c>
      <c r="I2422" s="3" t="s">
        <v>18</v>
      </c>
      <c r="J2422" s="3" t="s">
        <v>14</v>
      </c>
      <c r="K2422" s="3" t="s">
        <v>14</v>
      </c>
      <c r="L2422" s="3" t="s">
        <v>20</v>
      </c>
      <c r="M2422" s="4">
        <v>46296</v>
      </c>
      <c r="N2422" s="3" t="s">
        <v>2140</v>
      </c>
      <c r="O2422" s="3" t="s">
        <v>30</v>
      </c>
      <c r="P2422" t="str">
        <f t="shared" si="37"/>
        <v>450012836810</v>
      </c>
      <c r="Q2422" s="7" cm="1">
        <f t="array" ref="Q2422:S2422">VLOOKUP(P2422,Hoja1!C:F,{2,3,4},FALSE)</f>
        <v>46280</v>
      </c>
      <c r="R2422" t="str">
        <v>C03</v>
      </c>
      <c r="S2422" t="str">
        <v>1000000754 AURELIA SACIYF</v>
      </c>
    </row>
    <row r="2423" spans="1:19" x14ac:dyDescent="0.3">
      <c r="A2423" s="2" t="s">
        <v>14</v>
      </c>
      <c r="B2423" s="3" t="s">
        <v>14</v>
      </c>
      <c r="C2423" s="3" t="s">
        <v>2141</v>
      </c>
      <c r="D2423" s="3" t="s">
        <v>84</v>
      </c>
      <c r="E2423" s="3" t="s">
        <v>466</v>
      </c>
      <c r="F2423" s="4">
        <v>46296</v>
      </c>
      <c r="G2423" s="3" t="s">
        <v>17</v>
      </c>
      <c r="H2423" s="5">
        <v>-417450</v>
      </c>
      <c r="I2423" s="3" t="s">
        <v>18</v>
      </c>
      <c r="J2423" s="3" t="s">
        <v>14</v>
      </c>
      <c r="K2423" s="3" t="s">
        <v>14</v>
      </c>
      <c r="L2423" s="3" t="s">
        <v>2142</v>
      </c>
      <c r="M2423" s="4">
        <v>46296</v>
      </c>
      <c r="N2423" s="3" t="s">
        <v>2143</v>
      </c>
      <c r="O2423" s="3" t="s">
        <v>30</v>
      </c>
      <c r="P2423" t="str">
        <f t="shared" si="37"/>
        <v>450013977110</v>
      </c>
      <c r="Q2423" s="7" cm="1">
        <f t="array" ref="Q2423:S2423">VLOOKUP(P2423,Hoja1!C:F,{2,3,4},FALSE)</f>
        <v>46297</v>
      </c>
      <c r="R2423" t="str">
        <v>C06</v>
      </c>
      <c r="S2423" t="str">
        <v>1000013060 COMPAÑIA ARGENTINA PRODUCTOS</v>
      </c>
    </row>
    <row r="2424" spans="1:19" x14ac:dyDescent="0.3">
      <c r="A2424" s="2" t="s">
        <v>14</v>
      </c>
      <c r="B2424" s="3" t="s">
        <v>14</v>
      </c>
      <c r="C2424" s="3" t="s">
        <v>2141</v>
      </c>
      <c r="D2424" s="3" t="s">
        <v>84</v>
      </c>
      <c r="E2424" s="3" t="s">
        <v>466</v>
      </c>
      <c r="F2424" s="4">
        <v>46296</v>
      </c>
      <c r="G2424" s="3" t="s">
        <v>17</v>
      </c>
      <c r="H2424" s="5">
        <v>-200000</v>
      </c>
      <c r="I2424" s="3" t="s">
        <v>18</v>
      </c>
      <c r="J2424" s="3" t="s">
        <v>14</v>
      </c>
      <c r="K2424" s="3" t="s">
        <v>14</v>
      </c>
      <c r="L2424" s="3" t="s">
        <v>2142</v>
      </c>
      <c r="M2424" s="4">
        <v>46296</v>
      </c>
      <c r="N2424" s="3" t="s">
        <v>2143</v>
      </c>
      <c r="O2424" s="3" t="s">
        <v>22</v>
      </c>
      <c r="P2424" t="str">
        <f t="shared" si="37"/>
        <v>450013977120</v>
      </c>
      <c r="Q2424" s="7" cm="1">
        <f t="array" ref="Q2424:S2424">VLOOKUP(P2424,Hoja1!C:F,{2,3,4},FALSE)</f>
        <v>46297</v>
      </c>
      <c r="R2424" t="str">
        <v>C06</v>
      </c>
      <c r="S2424" t="str">
        <v>1000013060 COMPAÑIA ARGENTINA PRODUCTOS</v>
      </c>
    </row>
    <row r="2425" spans="1:19" x14ac:dyDescent="0.3">
      <c r="A2425" s="2" t="s">
        <v>14</v>
      </c>
      <c r="B2425" s="3" t="s">
        <v>14</v>
      </c>
      <c r="C2425" s="3" t="s">
        <v>2141</v>
      </c>
      <c r="D2425" s="3" t="s">
        <v>84</v>
      </c>
      <c r="E2425" s="3" t="s">
        <v>466</v>
      </c>
      <c r="F2425" s="4">
        <v>46296</v>
      </c>
      <c r="G2425" s="3" t="s">
        <v>17</v>
      </c>
      <c r="H2425" s="5">
        <v>-242000</v>
      </c>
      <c r="I2425" s="3" t="s">
        <v>18</v>
      </c>
      <c r="J2425" s="3" t="s">
        <v>14</v>
      </c>
      <c r="K2425" s="3" t="s">
        <v>14</v>
      </c>
      <c r="L2425" s="3" t="s">
        <v>2142</v>
      </c>
      <c r="M2425" s="4">
        <v>46296</v>
      </c>
      <c r="N2425" s="3" t="s">
        <v>2143</v>
      </c>
      <c r="O2425" s="3" t="s">
        <v>35</v>
      </c>
      <c r="P2425" t="str">
        <f t="shared" si="37"/>
        <v>450013977130</v>
      </c>
      <c r="Q2425" s="7" cm="1">
        <f t="array" ref="Q2425:S2425">VLOOKUP(P2425,Hoja1!C:F,{2,3,4},FALSE)</f>
        <v>46297</v>
      </c>
      <c r="R2425" t="str">
        <v>C06</v>
      </c>
      <c r="S2425" t="str">
        <v>1000013060 COMPAÑIA ARGENTINA PRODUCTOS</v>
      </c>
    </row>
    <row r="2426" spans="1:19" x14ac:dyDescent="0.3">
      <c r="A2426" s="2" t="s">
        <v>14</v>
      </c>
      <c r="B2426" s="3" t="s">
        <v>14</v>
      </c>
      <c r="C2426" s="3" t="s">
        <v>2141</v>
      </c>
      <c r="D2426" s="3" t="s">
        <v>84</v>
      </c>
      <c r="E2426" s="3" t="s">
        <v>466</v>
      </c>
      <c r="F2426" s="4">
        <v>46296</v>
      </c>
      <c r="G2426" s="3" t="s">
        <v>17</v>
      </c>
      <c r="H2426" s="5">
        <v>-417450</v>
      </c>
      <c r="I2426" s="3" t="s">
        <v>18</v>
      </c>
      <c r="J2426" s="3" t="s">
        <v>14</v>
      </c>
      <c r="K2426" s="3" t="s">
        <v>14</v>
      </c>
      <c r="L2426" s="3" t="s">
        <v>2142</v>
      </c>
      <c r="M2426" s="4">
        <v>46296</v>
      </c>
      <c r="N2426" s="3" t="s">
        <v>2143</v>
      </c>
      <c r="O2426" s="3" t="s">
        <v>23</v>
      </c>
      <c r="P2426" t="str">
        <f t="shared" si="37"/>
        <v>450013977140</v>
      </c>
      <c r="Q2426" s="7" cm="1">
        <f t="array" ref="Q2426:S2426">VLOOKUP(P2426,Hoja1!C:F,{2,3,4},FALSE)</f>
        <v>46297</v>
      </c>
      <c r="R2426" t="str">
        <v>C06</v>
      </c>
      <c r="S2426" t="str">
        <v>1000013060 COMPAÑIA ARGENTINA PRODUCTOS</v>
      </c>
    </row>
    <row r="2427" spans="1:19" x14ac:dyDescent="0.3">
      <c r="A2427" s="2" t="s">
        <v>14</v>
      </c>
      <c r="B2427" s="3" t="s">
        <v>14</v>
      </c>
      <c r="C2427" s="3" t="s">
        <v>2141</v>
      </c>
      <c r="D2427" s="3" t="s">
        <v>84</v>
      </c>
      <c r="E2427" s="3" t="s">
        <v>466</v>
      </c>
      <c r="F2427" s="4">
        <v>46296</v>
      </c>
      <c r="G2427" s="3" t="s">
        <v>17</v>
      </c>
      <c r="H2427" s="5">
        <v>-242000</v>
      </c>
      <c r="I2427" s="3" t="s">
        <v>18</v>
      </c>
      <c r="J2427" s="3" t="s">
        <v>14</v>
      </c>
      <c r="K2427" s="3" t="s">
        <v>14</v>
      </c>
      <c r="L2427" s="3" t="s">
        <v>2142</v>
      </c>
      <c r="M2427" s="4">
        <v>46296</v>
      </c>
      <c r="N2427" s="3" t="s">
        <v>2143</v>
      </c>
      <c r="O2427" s="3" t="s">
        <v>144</v>
      </c>
      <c r="P2427" t="str">
        <f t="shared" si="37"/>
        <v>450013977150</v>
      </c>
      <c r="Q2427" s="7" cm="1">
        <f t="array" ref="Q2427:S2427">VLOOKUP(P2427,Hoja1!C:F,{2,3,4},FALSE)</f>
        <v>46297</v>
      </c>
      <c r="R2427" t="str">
        <v>C06</v>
      </c>
      <c r="S2427" t="str">
        <v>1000013060 COMPAÑIA ARGENTINA PRODUCTOS</v>
      </c>
    </row>
    <row r="2428" spans="1:19" x14ac:dyDescent="0.3">
      <c r="A2428" s="2" t="s">
        <v>14</v>
      </c>
      <c r="B2428" s="3" t="s">
        <v>14</v>
      </c>
      <c r="C2428" s="3" t="s">
        <v>2141</v>
      </c>
      <c r="D2428" s="3" t="s">
        <v>84</v>
      </c>
      <c r="E2428" s="3" t="s">
        <v>466</v>
      </c>
      <c r="F2428" s="4">
        <v>46296</v>
      </c>
      <c r="G2428" s="3" t="s">
        <v>17</v>
      </c>
      <c r="H2428" s="5">
        <v>-100000</v>
      </c>
      <c r="I2428" s="3" t="s">
        <v>18</v>
      </c>
      <c r="J2428" s="3" t="s">
        <v>14</v>
      </c>
      <c r="K2428" s="3" t="s">
        <v>14</v>
      </c>
      <c r="L2428" s="3" t="s">
        <v>2142</v>
      </c>
      <c r="M2428" s="4">
        <v>46296</v>
      </c>
      <c r="N2428" s="3" t="s">
        <v>2143</v>
      </c>
      <c r="O2428" s="3" t="s">
        <v>141</v>
      </c>
      <c r="P2428" t="str">
        <f t="shared" si="37"/>
        <v>450013977160</v>
      </c>
      <c r="Q2428" s="7" cm="1">
        <f t="array" ref="Q2428:S2428">VLOOKUP(P2428,Hoja1!C:F,{2,3,4},FALSE)</f>
        <v>46297</v>
      </c>
      <c r="R2428" t="str">
        <v>C06</v>
      </c>
      <c r="S2428" t="str">
        <v>1000013060 COMPAÑIA ARGENTINA PRODUCTOS</v>
      </c>
    </row>
    <row r="2429" spans="1:19" x14ac:dyDescent="0.3">
      <c r="A2429" s="2" t="s">
        <v>14</v>
      </c>
      <c r="B2429" s="3" t="s">
        <v>14</v>
      </c>
      <c r="C2429" s="3" t="s">
        <v>2144</v>
      </c>
      <c r="D2429" s="3" t="s">
        <v>14</v>
      </c>
      <c r="E2429" s="3" t="s">
        <v>466</v>
      </c>
      <c r="F2429" s="4">
        <v>46296</v>
      </c>
      <c r="G2429" s="3" t="s">
        <v>17</v>
      </c>
      <c r="H2429" s="5">
        <v>-18150</v>
      </c>
      <c r="I2429" s="3" t="s">
        <v>18</v>
      </c>
      <c r="J2429" s="3" t="s">
        <v>14</v>
      </c>
      <c r="K2429" s="3" t="s">
        <v>14</v>
      </c>
      <c r="L2429" s="3" t="s">
        <v>269</v>
      </c>
      <c r="M2429" s="4">
        <v>46296</v>
      </c>
      <c r="N2429" s="3" t="s">
        <v>2017</v>
      </c>
      <c r="O2429" s="3" t="s">
        <v>22</v>
      </c>
      <c r="P2429" t="str">
        <f t="shared" si="37"/>
        <v>450013970420</v>
      </c>
      <c r="Q2429" s="7" cm="1">
        <f t="array" ref="Q2429:S2429">VLOOKUP(P2429,Hoja1!C:F,{2,3,4},FALSE)</f>
        <v>46301</v>
      </c>
      <c r="R2429" t="str">
        <v>C29</v>
      </c>
      <c r="S2429" t="str">
        <v>1000000190 FERNANDEZ INSUA S.A.</v>
      </c>
    </row>
    <row r="2430" spans="1:19" x14ac:dyDescent="0.3">
      <c r="A2430" s="2" t="s">
        <v>14</v>
      </c>
      <c r="B2430" s="3" t="s">
        <v>14</v>
      </c>
      <c r="C2430" s="3" t="s">
        <v>2144</v>
      </c>
      <c r="D2430" s="3" t="s">
        <v>14</v>
      </c>
      <c r="E2430" s="3" t="s">
        <v>466</v>
      </c>
      <c r="F2430" s="4">
        <v>46296</v>
      </c>
      <c r="G2430" s="3" t="s">
        <v>17</v>
      </c>
      <c r="H2430" s="5">
        <v>-39325</v>
      </c>
      <c r="I2430" s="3" t="s">
        <v>18</v>
      </c>
      <c r="J2430" s="3" t="s">
        <v>14</v>
      </c>
      <c r="K2430" s="3" t="s">
        <v>14</v>
      </c>
      <c r="L2430" s="3" t="s">
        <v>269</v>
      </c>
      <c r="M2430" s="4">
        <v>46296</v>
      </c>
      <c r="N2430" s="3" t="s">
        <v>2017</v>
      </c>
      <c r="O2430" s="3" t="s">
        <v>23</v>
      </c>
      <c r="P2430" t="str">
        <f t="shared" si="37"/>
        <v>450013970440</v>
      </c>
      <c r="Q2430" s="7" cm="1">
        <f t="array" ref="Q2430:S2430">VLOOKUP(P2430,Hoja1!C:F,{2,3,4},FALSE)</f>
        <v>46308</v>
      </c>
      <c r="R2430" t="str">
        <v>C29</v>
      </c>
      <c r="S2430" t="str">
        <v>1000000190 FERNANDEZ INSUA S.A.</v>
      </c>
    </row>
    <row r="2431" spans="1:19" x14ac:dyDescent="0.3">
      <c r="A2431" s="2" t="s">
        <v>14</v>
      </c>
      <c r="B2431" s="3" t="s">
        <v>14</v>
      </c>
      <c r="C2431" s="3" t="s">
        <v>2145</v>
      </c>
      <c r="D2431" s="3" t="s">
        <v>14</v>
      </c>
      <c r="E2431" s="3" t="s">
        <v>466</v>
      </c>
      <c r="F2431" s="4">
        <v>46296</v>
      </c>
      <c r="G2431" s="3" t="s">
        <v>17</v>
      </c>
      <c r="H2431" s="5">
        <v>-29669.42</v>
      </c>
      <c r="I2431" s="3" t="s">
        <v>18</v>
      </c>
      <c r="J2431" s="3" t="s">
        <v>14</v>
      </c>
      <c r="K2431" s="3" t="s">
        <v>14</v>
      </c>
      <c r="L2431" s="3" t="s">
        <v>1647</v>
      </c>
      <c r="M2431" s="4">
        <v>46296</v>
      </c>
      <c r="N2431" s="3" t="s">
        <v>2146</v>
      </c>
      <c r="O2431" s="3" t="s">
        <v>30</v>
      </c>
      <c r="P2431" t="str">
        <f t="shared" si="37"/>
        <v>450013943910</v>
      </c>
      <c r="Q2431" s="7" cm="1">
        <f t="array" ref="Q2431:S2431">VLOOKUP(P2431,Hoja1!C:F,{2,3,4},FALSE)</f>
        <v>46301</v>
      </c>
      <c r="R2431" t="str">
        <v>374</v>
      </c>
      <c r="S2431" t="str">
        <v>1000012179 TINTA NEGRA S. A. S.</v>
      </c>
    </row>
    <row r="2432" spans="1:19" x14ac:dyDescent="0.3">
      <c r="A2432" s="2" t="s">
        <v>14</v>
      </c>
      <c r="B2432" s="3" t="s">
        <v>14</v>
      </c>
      <c r="C2432" s="3" t="s">
        <v>2145</v>
      </c>
      <c r="D2432" s="3" t="s">
        <v>14</v>
      </c>
      <c r="E2432" s="3" t="s">
        <v>466</v>
      </c>
      <c r="F2432" s="4">
        <v>46296</v>
      </c>
      <c r="G2432" s="3" t="s">
        <v>17</v>
      </c>
      <c r="H2432" s="5">
        <v>-1115.7</v>
      </c>
      <c r="I2432" s="3" t="s">
        <v>18</v>
      </c>
      <c r="J2432" s="3" t="s">
        <v>14</v>
      </c>
      <c r="K2432" s="3" t="s">
        <v>14</v>
      </c>
      <c r="L2432" s="3" t="s">
        <v>1647</v>
      </c>
      <c r="M2432" s="4">
        <v>46296</v>
      </c>
      <c r="N2432" s="3" t="s">
        <v>2146</v>
      </c>
      <c r="O2432" s="3" t="s">
        <v>22</v>
      </c>
      <c r="P2432" t="str">
        <f t="shared" si="37"/>
        <v>450013943920</v>
      </c>
      <c r="Q2432" s="7" cm="1">
        <f t="array" ref="Q2432:S2432">VLOOKUP(P2432,Hoja1!C:F,{2,3,4},FALSE)</f>
        <v>46301</v>
      </c>
      <c r="R2432" t="str">
        <v>374</v>
      </c>
      <c r="S2432" t="str">
        <v>1000012179 TINTA NEGRA S. A. S.</v>
      </c>
    </row>
    <row r="2433" spans="1:19" x14ac:dyDescent="0.3">
      <c r="A2433" s="2" t="s">
        <v>14</v>
      </c>
      <c r="B2433" s="3" t="s">
        <v>14</v>
      </c>
      <c r="C2433" s="3" t="s">
        <v>2147</v>
      </c>
      <c r="D2433" s="3" t="s">
        <v>14</v>
      </c>
      <c r="E2433" s="3" t="s">
        <v>466</v>
      </c>
      <c r="F2433" s="4">
        <v>46296</v>
      </c>
      <c r="G2433" s="3" t="s">
        <v>17</v>
      </c>
      <c r="H2433" s="5">
        <v>-383367</v>
      </c>
      <c r="I2433" s="3" t="s">
        <v>18</v>
      </c>
      <c r="J2433" s="3" t="s">
        <v>14</v>
      </c>
      <c r="K2433" s="3" t="s">
        <v>14</v>
      </c>
      <c r="L2433" s="3" t="s">
        <v>285</v>
      </c>
      <c r="M2433" s="4">
        <v>46296</v>
      </c>
      <c r="N2433" s="3" t="s">
        <v>440</v>
      </c>
      <c r="O2433" s="3" t="s">
        <v>127</v>
      </c>
      <c r="P2433" t="str">
        <f t="shared" si="37"/>
        <v>4500135658190</v>
      </c>
      <c r="Q2433" s="7" cm="1">
        <f t="array" ref="Q2433:S2433">VLOOKUP(P2433,Hoja1!C:F,{2,3,4},FALSE)</f>
        <v>46302</v>
      </c>
      <c r="R2433" t="str">
        <v>C03</v>
      </c>
      <c r="S2433" t="str">
        <v>1000008600 AUTOMOTORES MEGA S.A.</v>
      </c>
    </row>
    <row r="2434" spans="1:19" x14ac:dyDescent="0.3">
      <c r="A2434" s="2" t="s">
        <v>14</v>
      </c>
      <c r="B2434" s="3" t="s">
        <v>14</v>
      </c>
      <c r="C2434" s="3" t="s">
        <v>2148</v>
      </c>
      <c r="D2434" s="3" t="s">
        <v>14</v>
      </c>
      <c r="E2434" s="3" t="s">
        <v>466</v>
      </c>
      <c r="F2434" s="4">
        <v>46295</v>
      </c>
      <c r="G2434" s="3" t="s">
        <v>17</v>
      </c>
      <c r="H2434" s="5">
        <v>-491883</v>
      </c>
      <c r="I2434" s="3" t="s">
        <v>18</v>
      </c>
      <c r="J2434" s="3" t="s">
        <v>14</v>
      </c>
      <c r="K2434" s="3" t="s">
        <v>14</v>
      </c>
      <c r="L2434" s="3" t="s">
        <v>20</v>
      </c>
      <c r="M2434" s="4">
        <v>46296</v>
      </c>
      <c r="N2434" s="3" t="s">
        <v>2149</v>
      </c>
      <c r="O2434" s="3" t="s">
        <v>30</v>
      </c>
      <c r="P2434" t="str">
        <f t="shared" si="37"/>
        <v>450013973910</v>
      </c>
      <c r="Q2434" s="7" cm="1">
        <f t="array" ref="Q2434:S2434">VLOOKUP(P2434,Hoja1!C:F,{2,3,4},FALSE)</f>
        <v>46314</v>
      </c>
      <c r="R2434" t="str">
        <v>C29</v>
      </c>
      <c r="S2434" t="str">
        <v>1000000754 AURELIA SACIYF</v>
      </c>
    </row>
    <row r="2435" spans="1:19" x14ac:dyDescent="0.3">
      <c r="A2435" s="2" t="s">
        <v>14</v>
      </c>
      <c r="B2435" s="3" t="s">
        <v>14</v>
      </c>
      <c r="C2435" s="3" t="s">
        <v>2148</v>
      </c>
      <c r="D2435" s="3" t="s">
        <v>14</v>
      </c>
      <c r="E2435" s="3" t="s">
        <v>466</v>
      </c>
      <c r="F2435" s="4">
        <v>46295</v>
      </c>
      <c r="G2435" s="3" t="s">
        <v>17</v>
      </c>
      <c r="H2435" s="5">
        <v>-149377.60000000001</v>
      </c>
      <c r="I2435" s="3" t="s">
        <v>18</v>
      </c>
      <c r="J2435" s="3" t="s">
        <v>14</v>
      </c>
      <c r="K2435" s="3" t="s">
        <v>14</v>
      </c>
      <c r="L2435" s="3" t="s">
        <v>20</v>
      </c>
      <c r="M2435" s="4">
        <v>46296</v>
      </c>
      <c r="N2435" s="3" t="s">
        <v>2149</v>
      </c>
      <c r="O2435" s="3" t="s">
        <v>22</v>
      </c>
      <c r="P2435" t="str">
        <f t="shared" ref="P2435:P2498" si="38">_xlfn.CONCAT(N2435:O2435)</f>
        <v>450013973920</v>
      </c>
      <c r="Q2435" s="7" cm="1">
        <f t="array" ref="Q2435:S2435">VLOOKUP(P2435,Hoja1!C:F,{2,3,4},FALSE)</f>
        <v>46297</v>
      </c>
      <c r="R2435" t="str">
        <v>C29</v>
      </c>
      <c r="S2435" t="str">
        <v>1000000754 AURELIA SACIYF</v>
      </c>
    </row>
    <row r="2436" spans="1:19" x14ac:dyDescent="0.3">
      <c r="A2436" s="2" t="s">
        <v>14</v>
      </c>
      <c r="B2436" s="3" t="s">
        <v>14</v>
      </c>
      <c r="C2436" s="3" t="s">
        <v>2148</v>
      </c>
      <c r="D2436" s="3" t="s">
        <v>14</v>
      </c>
      <c r="E2436" s="3" t="s">
        <v>466</v>
      </c>
      <c r="F2436" s="4">
        <v>46295</v>
      </c>
      <c r="G2436" s="3" t="s">
        <v>17</v>
      </c>
      <c r="H2436" s="5">
        <v>-3350</v>
      </c>
      <c r="I2436" s="3" t="s">
        <v>18</v>
      </c>
      <c r="J2436" s="3" t="s">
        <v>14</v>
      </c>
      <c r="K2436" s="3" t="s">
        <v>14</v>
      </c>
      <c r="L2436" s="3" t="s">
        <v>20</v>
      </c>
      <c r="M2436" s="4">
        <v>46296</v>
      </c>
      <c r="N2436" s="3" t="s">
        <v>2149</v>
      </c>
      <c r="O2436" s="3" t="s">
        <v>35</v>
      </c>
      <c r="P2436" t="str">
        <f t="shared" si="38"/>
        <v>450013973930</v>
      </c>
      <c r="Q2436" s="7" cm="1">
        <f t="array" ref="Q2436:S2436">VLOOKUP(P2436,Hoja1!C:F,{2,3,4},FALSE)</f>
        <v>46297</v>
      </c>
      <c r="R2436" t="str">
        <v>C29</v>
      </c>
      <c r="S2436" t="str">
        <v>1000000754 AURELIA SACIYF</v>
      </c>
    </row>
    <row r="2437" spans="1:19" x14ac:dyDescent="0.3">
      <c r="A2437" s="2" t="s">
        <v>14</v>
      </c>
      <c r="B2437" s="3" t="s">
        <v>14</v>
      </c>
      <c r="C2437" s="3" t="s">
        <v>2148</v>
      </c>
      <c r="D2437" s="3" t="s">
        <v>14</v>
      </c>
      <c r="E2437" s="3" t="s">
        <v>466</v>
      </c>
      <c r="F2437" s="4">
        <v>46295</v>
      </c>
      <c r="G2437" s="3" t="s">
        <v>17</v>
      </c>
      <c r="H2437" s="5">
        <v>-3283.08</v>
      </c>
      <c r="I2437" s="3" t="s">
        <v>18</v>
      </c>
      <c r="J2437" s="3" t="s">
        <v>14</v>
      </c>
      <c r="K2437" s="3" t="s">
        <v>14</v>
      </c>
      <c r="L2437" s="3" t="s">
        <v>20</v>
      </c>
      <c r="M2437" s="4">
        <v>46296</v>
      </c>
      <c r="N2437" s="3" t="s">
        <v>2149</v>
      </c>
      <c r="O2437" s="3" t="s">
        <v>23</v>
      </c>
      <c r="P2437" t="str">
        <f t="shared" si="38"/>
        <v>450013973940</v>
      </c>
      <c r="Q2437" s="7" cm="1">
        <f t="array" ref="Q2437:S2437">VLOOKUP(P2437,Hoja1!C:F,{2,3,4},FALSE)</f>
        <v>46297</v>
      </c>
      <c r="R2437" t="str">
        <v>C29</v>
      </c>
      <c r="S2437" t="str">
        <v>1000000754 AURELIA SACIYF</v>
      </c>
    </row>
    <row r="2438" spans="1:19" x14ac:dyDescent="0.3">
      <c r="A2438" s="2" t="s">
        <v>14</v>
      </c>
      <c r="B2438" s="3" t="s">
        <v>14</v>
      </c>
      <c r="C2438" s="3" t="s">
        <v>2148</v>
      </c>
      <c r="D2438" s="3" t="s">
        <v>14</v>
      </c>
      <c r="E2438" s="3" t="s">
        <v>466</v>
      </c>
      <c r="F2438" s="4">
        <v>46295</v>
      </c>
      <c r="G2438" s="3" t="s">
        <v>17</v>
      </c>
      <c r="H2438" s="5">
        <v>-5695</v>
      </c>
      <c r="I2438" s="3" t="s">
        <v>18</v>
      </c>
      <c r="J2438" s="3" t="s">
        <v>14</v>
      </c>
      <c r="K2438" s="3" t="s">
        <v>14</v>
      </c>
      <c r="L2438" s="3" t="s">
        <v>20</v>
      </c>
      <c r="M2438" s="4">
        <v>46296</v>
      </c>
      <c r="N2438" s="3" t="s">
        <v>2149</v>
      </c>
      <c r="O2438" s="3" t="s">
        <v>144</v>
      </c>
      <c r="P2438" t="str">
        <f t="shared" si="38"/>
        <v>450013973950</v>
      </c>
      <c r="Q2438" s="7" cm="1">
        <f t="array" ref="Q2438:S2438">VLOOKUP(P2438,Hoja1!C:F,{2,3,4},FALSE)</f>
        <v>46297</v>
      </c>
      <c r="R2438" t="str">
        <v>C29</v>
      </c>
      <c r="S2438" t="str">
        <v>1000000754 AURELIA SACIYF</v>
      </c>
    </row>
    <row r="2439" spans="1:19" x14ac:dyDescent="0.3">
      <c r="A2439" s="2" t="s">
        <v>14</v>
      </c>
      <c r="B2439" s="3" t="s">
        <v>14</v>
      </c>
      <c r="C2439" s="3" t="s">
        <v>2148</v>
      </c>
      <c r="D2439" s="3" t="s">
        <v>14</v>
      </c>
      <c r="E2439" s="3" t="s">
        <v>466</v>
      </c>
      <c r="F2439" s="4">
        <v>46295</v>
      </c>
      <c r="G2439" s="3" t="s">
        <v>17</v>
      </c>
      <c r="H2439" s="5">
        <v>-2485</v>
      </c>
      <c r="I2439" s="3" t="s">
        <v>18</v>
      </c>
      <c r="J2439" s="3" t="s">
        <v>14</v>
      </c>
      <c r="K2439" s="3" t="s">
        <v>14</v>
      </c>
      <c r="L2439" s="3" t="s">
        <v>20</v>
      </c>
      <c r="M2439" s="4">
        <v>46296</v>
      </c>
      <c r="N2439" s="3" t="s">
        <v>2149</v>
      </c>
      <c r="O2439" s="3" t="s">
        <v>134</v>
      </c>
      <c r="P2439" t="str">
        <f t="shared" si="38"/>
        <v>450013973970</v>
      </c>
      <c r="Q2439" s="7" cm="1">
        <f t="array" ref="Q2439:S2439">VLOOKUP(P2439,Hoja1!C:F,{2,3,4},FALSE)</f>
        <v>46297</v>
      </c>
      <c r="R2439" t="str">
        <v>C29</v>
      </c>
      <c r="S2439" t="str">
        <v>1000000754 AURELIA SACIYF</v>
      </c>
    </row>
    <row r="2440" spans="1:19" x14ac:dyDescent="0.3">
      <c r="A2440" s="2" t="s">
        <v>14</v>
      </c>
      <c r="B2440" s="3" t="s">
        <v>14</v>
      </c>
      <c r="C2440" s="3" t="s">
        <v>2148</v>
      </c>
      <c r="D2440" s="3" t="s">
        <v>14</v>
      </c>
      <c r="E2440" s="3" t="s">
        <v>466</v>
      </c>
      <c r="F2440" s="4">
        <v>46295</v>
      </c>
      <c r="G2440" s="3" t="s">
        <v>17</v>
      </c>
      <c r="H2440" s="5">
        <v>-32295</v>
      </c>
      <c r="I2440" s="3" t="s">
        <v>18</v>
      </c>
      <c r="J2440" s="3" t="s">
        <v>14</v>
      </c>
      <c r="K2440" s="3" t="s">
        <v>14</v>
      </c>
      <c r="L2440" s="3" t="s">
        <v>20</v>
      </c>
      <c r="M2440" s="4">
        <v>46296</v>
      </c>
      <c r="N2440" s="3" t="s">
        <v>2149</v>
      </c>
      <c r="O2440" s="3" t="s">
        <v>52</v>
      </c>
      <c r="P2440" t="str">
        <f t="shared" si="38"/>
        <v>450013973980</v>
      </c>
      <c r="Q2440" s="7" cm="1">
        <f t="array" ref="Q2440:S2440">VLOOKUP(P2440,Hoja1!C:F,{2,3,4},FALSE)</f>
        <v>46297</v>
      </c>
      <c r="R2440" t="str">
        <v>C29</v>
      </c>
      <c r="S2440" t="str">
        <v>1000000754 AURELIA SACIYF</v>
      </c>
    </row>
    <row r="2441" spans="1:19" x14ac:dyDescent="0.3">
      <c r="A2441" s="2" t="s">
        <v>14</v>
      </c>
      <c r="B2441" s="3" t="s">
        <v>14</v>
      </c>
      <c r="C2441" s="3" t="s">
        <v>2150</v>
      </c>
      <c r="D2441" s="3" t="s">
        <v>14</v>
      </c>
      <c r="E2441" s="3" t="s">
        <v>466</v>
      </c>
      <c r="F2441" s="4">
        <v>46295</v>
      </c>
      <c r="G2441" s="3" t="s">
        <v>17</v>
      </c>
      <c r="H2441" s="5">
        <v>-9528.75</v>
      </c>
      <c r="I2441" s="3" t="s">
        <v>18</v>
      </c>
      <c r="J2441" s="3" t="s">
        <v>14</v>
      </c>
      <c r="K2441" s="3" t="s">
        <v>14</v>
      </c>
      <c r="L2441" s="3" t="s">
        <v>2151</v>
      </c>
      <c r="M2441" s="4">
        <v>46296</v>
      </c>
      <c r="N2441" s="3" t="s">
        <v>2152</v>
      </c>
      <c r="O2441" s="3" t="s">
        <v>30</v>
      </c>
      <c r="P2441" t="str">
        <f t="shared" si="38"/>
        <v>450013841410</v>
      </c>
      <c r="Q2441" s="7" cm="1">
        <f t="array" ref="Q2441:S2441">VLOOKUP(P2441,Hoja1!C:F,{2,3,4},FALSE)</f>
        <v>46286</v>
      </c>
      <c r="R2441" t="str">
        <v>C11</v>
      </c>
      <c r="S2441" t="str">
        <v>1000013361 GB ENERGIA SAU</v>
      </c>
    </row>
    <row r="2442" spans="1:19" x14ac:dyDescent="0.3">
      <c r="A2442" s="2" t="s">
        <v>14</v>
      </c>
      <c r="B2442" s="3" t="s">
        <v>14</v>
      </c>
      <c r="C2442" s="3" t="s">
        <v>2153</v>
      </c>
      <c r="D2442" s="3" t="s">
        <v>14</v>
      </c>
      <c r="E2442" s="3" t="s">
        <v>466</v>
      </c>
      <c r="F2442" s="4">
        <v>46296</v>
      </c>
      <c r="G2442" s="3" t="s">
        <v>17</v>
      </c>
      <c r="H2442" s="5">
        <v>-48500</v>
      </c>
      <c r="I2442" s="3" t="s">
        <v>18</v>
      </c>
      <c r="J2442" s="3" t="s">
        <v>14</v>
      </c>
      <c r="K2442" s="3" t="s">
        <v>14</v>
      </c>
      <c r="L2442" s="3" t="s">
        <v>240</v>
      </c>
      <c r="M2442" s="4">
        <v>46296</v>
      </c>
      <c r="N2442" s="3" t="s">
        <v>2154</v>
      </c>
      <c r="O2442" s="3" t="s">
        <v>30</v>
      </c>
      <c r="P2442" t="str">
        <f t="shared" si="38"/>
        <v>450013985410</v>
      </c>
      <c r="Q2442" s="7" cm="1">
        <f t="array" ref="Q2442:S2442">VLOOKUP(P2442,Hoja1!C:F,{2,3,4},FALSE)</f>
        <v>46303</v>
      </c>
      <c r="R2442" t="str">
        <v>374</v>
      </c>
      <c r="S2442" t="str">
        <v>1000011415 SI (SERVICIOS INDUSTRIALES) SIERRA</v>
      </c>
    </row>
    <row r="2443" spans="1:19" x14ac:dyDescent="0.3">
      <c r="A2443" s="2" t="s">
        <v>14</v>
      </c>
      <c r="B2443" s="3" t="s">
        <v>14</v>
      </c>
      <c r="C2443" s="3" t="s">
        <v>2153</v>
      </c>
      <c r="D2443" s="3" t="s">
        <v>14</v>
      </c>
      <c r="E2443" s="3" t="s">
        <v>466</v>
      </c>
      <c r="F2443" s="4">
        <v>46296</v>
      </c>
      <c r="G2443" s="3" t="s">
        <v>17</v>
      </c>
      <c r="H2443" s="5">
        <v>-679000</v>
      </c>
      <c r="I2443" s="3" t="s">
        <v>18</v>
      </c>
      <c r="J2443" s="3" t="s">
        <v>14</v>
      </c>
      <c r="K2443" s="3" t="s">
        <v>14</v>
      </c>
      <c r="L2443" s="3" t="s">
        <v>240</v>
      </c>
      <c r="M2443" s="4">
        <v>46296</v>
      </c>
      <c r="N2443" s="3" t="s">
        <v>2154</v>
      </c>
      <c r="O2443" s="3" t="s">
        <v>22</v>
      </c>
      <c r="P2443" t="str">
        <f t="shared" si="38"/>
        <v>450013985420</v>
      </c>
      <c r="Q2443" s="7" cm="1">
        <f t="array" ref="Q2443:S2443">VLOOKUP(P2443,Hoja1!C:F,{2,3,4},FALSE)</f>
        <v>46303</v>
      </c>
      <c r="R2443" t="str">
        <v>374</v>
      </c>
      <c r="S2443" t="str">
        <v>1000011415 SI (SERVICIOS INDUSTRIALES) SIERRA</v>
      </c>
    </row>
    <row r="2444" spans="1:19" x14ac:dyDescent="0.3">
      <c r="A2444" s="2" t="s">
        <v>14</v>
      </c>
      <c r="B2444" s="3" t="s">
        <v>14</v>
      </c>
      <c r="C2444" s="3" t="s">
        <v>2153</v>
      </c>
      <c r="D2444" s="3" t="s">
        <v>14</v>
      </c>
      <c r="E2444" s="3" t="s">
        <v>466</v>
      </c>
      <c r="F2444" s="4">
        <v>46296</v>
      </c>
      <c r="G2444" s="3" t="s">
        <v>17</v>
      </c>
      <c r="H2444" s="5">
        <v>-242500</v>
      </c>
      <c r="I2444" s="3" t="s">
        <v>18</v>
      </c>
      <c r="J2444" s="3" t="s">
        <v>14</v>
      </c>
      <c r="K2444" s="3" t="s">
        <v>14</v>
      </c>
      <c r="L2444" s="3" t="s">
        <v>240</v>
      </c>
      <c r="M2444" s="4">
        <v>46296</v>
      </c>
      <c r="N2444" s="3" t="s">
        <v>2154</v>
      </c>
      <c r="O2444" s="3" t="s">
        <v>35</v>
      </c>
      <c r="P2444" t="str">
        <f t="shared" si="38"/>
        <v>450013985430</v>
      </c>
      <c r="Q2444" s="7" cm="1">
        <f t="array" ref="Q2444:S2444">VLOOKUP(P2444,Hoja1!C:F,{2,3,4},FALSE)</f>
        <v>46303</v>
      </c>
      <c r="R2444" t="str">
        <v>374</v>
      </c>
      <c r="S2444" t="str">
        <v>1000011415 SI (SERVICIOS INDUSTRIALES) SIERRA</v>
      </c>
    </row>
    <row r="2445" spans="1:19" x14ac:dyDescent="0.3">
      <c r="A2445" s="2" t="s">
        <v>14</v>
      </c>
      <c r="B2445" s="3" t="s">
        <v>14</v>
      </c>
      <c r="C2445" s="3" t="s">
        <v>2153</v>
      </c>
      <c r="D2445" s="3" t="s">
        <v>14</v>
      </c>
      <c r="E2445" s="3" t="s">
        <v>466</v>
      </c>
      <c r="F2445" s="4">
        <v>46296</v>
      </c>
      <c r="G2445" s="3" t="s">
        <v>17</v>
      </c>
      <c r="H2445" s="5">
        <v>-1212500</v>
      </c>
      <c r="I2445" s="3" t="s">
        <v>18</v>
      </c>
      <c r="J2445" s="3" t="s">
        <v>14</v>
      </c>
      <c r="K2445" s="3" t="s">
        <v>14</v>
      </c>
      <c r="L2445" s="3" t="s">
        <v>240</v>
      </c>
      <c r="M2445" s="4">
        <v>46296</v>
      </c>
      <c r="N2445" s="3" t="s">
        <v>2154</v>
      </c>
      <c r="O2445" s="3" t="s">
        <v>23</v>
      </c>
      <c r="P2445" t="str">
        <f t="shared" si="38"/>
        <v>450013985440</v>
      </c>
      <c r="Q2445" s="7" cm="1">
        <f t="array" ref="Q2445:S2445">VLOOKUP(P2445,Hoja1!C:F,{2,3,4},FALSE)</f>
        <v>46303</v>
      </c>
      <c r="R2445" t="str">
        <v>374</v>
      </c>
      <c r="S2445" t="str">
        <v>1000011415 SI (SERVICIOS INDUSTRIALES) SIERRA</v>
      </c>
    </row>
    <row r="2446" spans="1:19" x14ac:dyDescent="0.3">
      <c r="A2446" s="2" t="s">
        <v>14</v>
      </c>
      <c r="B2446" s="3" t="s">
        <v>14</v>
      </c>
      <c r="C2446" s="3" t="s">
        <v>2153</v>
      </c>
      <c r="D2446" s="3" t="s">
        <v>14</v>
      </c>
      <c r="E2446" s="3" t="s">
        <v>466</v>
      </c>
      <c r="F2446" s="4">
        <v>46296</v>
      </c>
      <c r="G2446" s="3" t="s">
        <v>17</v>
      </c>
      <c r="H2446" s="5">
        <v>-970000</v>
      </c>
      <c r="I2446" s="3" t="s">
        <v>18</v>
      </c>
      <c r="J2446" s="3" t="s">
        <v>14</v>
      </c>
      <c r="K2446" s="3" t="s">
        <v>14</v>
      </c>
      <c r="L2446" s="3" t="s">
        <v>240</v>
      </c>
      <c r="M2446" s="4">
        <v>46296</v>
      </c>
      <c r="N2446" s="3" t="s">
        <v>2154</v>
      </c>
      <c r="O2446" s="3" t="s">
        <v>144</v>
      </c>
      <c r="P2446" t="str">
        <f t="shared" si="38"/>
        <v>450013985450</v>
      </c>
      <c r="Q2446" s="7" cm="1">
        <f t="array" ref="Q2446:S2446">VLOOKUP(P2446,Hoja1!C:F,{2,3,4},FALSE)</f>
        <v>46303</v>
      </c>
      <c r="R2446" t="str">
        <v>374</v>
      </c>
      <c r="S2446" t="str">
        <v>1000011415 SI (SERVICIOS INDUSTRIALES) SIERRA</v>
      </c>
    </row>
    <row r="2447" spans="1:19" x14ac:dyDescent="0.3">
      <c r="A2447" s="2" t="s">
        <v>14</v>
      </c>
      <c r="B2447" s="3" t="s">
        <v>14</v>
      </c>
      <c r="C2447" s="3" t="s">
        <v>2153</v>
      </c>
      <c r="D2447" s="3" t="s">
        <v>14</v>
      </c>
      <c r="E2447" s="3" t="s">
        <v>466</v>
      </c>
      <c r="F2447" s="4">
        <v>46296</v>
      </c>
      <c r="G2447" s="3" t="s">
        <v>17</v>
      </c>
      <c r="H2447" s="5">
        <v>-970000</v>
      </c>
      <c r="I2447" s="3" t="s">
        <v>18</v>
      </c>
      <c r="J2447" s="3" t="s">
        <v>14</v>
      </c>
      <c r="K2447" s="3" t="s">
        <v>14</v>
      </c>
      <c r="L2447" s="3" t="s">
        <v>240</v>
      </c>
      <c r="M2447" s="4">
        <v>46296</v>
      </c>
      <c r="N2447" s="3" t="s">
        <v>2154</v>
      </c>
      <c r="O2447" s="3" t="s">
        <v>141</v>
      </c>
      <c r="P2447" t="str">
        <f t="shared" si="38"/>
        <v>450013985460</v>
      </c>
      <c r="Q2447" s="7" cm="1">
        <f t="array" ref="Q2447:S2447">VLOOKUP(P2447,Hoja1!C:F,{2,3,4},FALSE)</f>
        <v>46303</v>
      </c>
      <c r="R2447" t="str">
        <v>374</v>
      </c>
      <c r="S2447" t="str">
        <v>1000011415 SI (SERVICIOS INDUSTRIALES) SIERRA</v>
      </c>
    </row>
    <row r="2448" spans="1:19" x14ac:dyDescent="0.3">
      <c r="A2448" s="2" t="s">
        <v>14</v>
      </c>
      <c r="B2448" s="3" t="s">
        <v>14</v>
      </c>
      <c r="C2448" s="3" t="s">
        <v>2153</v>
      </c>
      <c r="D2448" s="3" t="s">
        <v>14</v>
      </c>
      <c r="E2448" s="3" t="s">
        <v>466</v>
      </c>
      <c r="F2448" s="4">
        <v>46296</v>
      </c>
      <c r="G2448" s="3" t="s">
        <v>17</v>
      </c>
      <c r="H2448" s="5">
        <v>-824500</v>
      </c>
      <c r="I2448" s="3" t="s">
        <v>18</v>
      </c>
      <c r="J2448" s="3" t="s">
        <v>14</v>
      </c>
      <c r="K2448" s="3" t="s">
        <v>14</v>
      </c>
      <c r="L2448" s="3" t="s">
        <v>240</v>
      </c>
      <c r="M2448" s="4">
        <v>46296</v>
      </c>
      <c r="N2448" s="3" t="s">
        <v>2154</v>
      </c>
      <c r="O2448" s="3" t="s">
        <v>134</v>
      </c>
      <c r="P2448" t="str">
        <f t="shared" si="38"/>
        <v>450013985470</v>
      </c>
      <c r="Q2448" s="7" cm="1">
        <f t="array" ref="Q2448:S2448">VLOOKUP(P2448,Hoja1!C:F,{2,3,4},FALSE)</f>
        <v>46303</v>
      </c>
      <c r="R2448" t="str">
        <v>374</v>
      </c>
      <c r="S2448" t="str">
        <v>1000011415 SI (SERVICIOS INDUSTRIALES) SIERRA</v>
      </c>
    </row>
    <row r="2449" spans="1:19" x14ac:dyDescent="0.3">
      <c r="A2449" s="2" t="s">
        <v>14</v>
      </c>
      <c r="B2449" s="3" t="s">
        <v>14</v>
      </c>
      <c r="C2449" s="3" t="s">
        <v>2153</v>
      </c>
      <c r="D2449" s="3" t="s">
        <v>14</v>
      </c>
      <c r="E2449" s="3" t="s">
        <v>466</v>
      </c>
      <c r="F2449" s="4">
        <v>46296</v>
      </c>
      <c r="G2449" s="3" t="s">
        <v>17</v>
      </c>
      <c r="H2449" s="5">
        <v>-145500</v>
      </c>
      <c r="I2449" s="3" t="s">
        <v>18</v>
      </c>
      <c r="J2449" s="3" t="s">
        <v>14</v>
      </c>
      <c r="K2449" s="3" t="s">
        <v>14</v>
      </c>
      <c r="L2449" s="3" t="s">
        <v>240</v>
      </c>
      <c r="M2449" s="4">
        <v>46296</v>
      </c>
      <c r="N2449" s="3" t="s">
        <v>2154</v>
      </c>
      <c r="O2449" s="3" t="s">
        <v>52</v>
      </c>
      <c r="P2449" t="str">
        <f t="shared" si="38"/>
        <v>450013985480</v>
      </c>
      <c r="Q2449" s="7" cm="1">
        <f t="array" ref="Q2449:S2449">VLOOKUP(P2449,Hoja1!C:F,{2,3,4},FALSE)</f>
        <v>46303</v>
      </c>
      <c r="R2449" t="str">
        <v>374</v>
      </c>
      <c r="S2449" t="str">
        <v>1000011415 SI (SERVICIOS INDUSTRIALES) SIERRA</v>
      </c>
    </row>
    <row r="2450" spans="1:19" x14ac:dyDescent="0.3">
      <c r="A2450" s="2" t="s">
        <v>14</v>
      </c>
      <c r="B2450" s="3" t="s">
        <v>14</v>
      </c>
      <c r="C2450" s="3" t="s">
        <v>2153</v>
      </c>
      <c r="D2450" s="3" t="s">
        <v>14</v>
      </c>
      <c r="E2450" s="3" t="s">
        <v>466</v>
      </c>
      <c r="F2450" s="4">
        <v>46296</v>
      </c>
      <c r="G2450" s="3" t="s">
        <v>17</v>
      </c>
      <c r="H2450" s="5">
        <v>-194000</v>
      </c>
      <c r="I2450" s="3" t="s">
        <v>18</v>
      </c>
      <c r="J2450" s="3" t="s">
        <v>14</v>
      </c>
      <c r="K2450" s="3" t="s">
        <v>14</v>
      </c>
      <c r="L2450" s="3" t="s">
        <v>240</v>
      </c>
      <c r="M2450" s="4">
        <v>46296</v>
      </c>
      <c r="N2450" s="3" t="s">
        <v>2154</v>
      </c>
      <c r="O2450" s="3" t="s">
        <v>138</v>
      </c>
      <c r="P2450" t="str">
        <f t="shared" si="38"/>
        <v>450013985490</v>
      </c>
      <c r="Q2450" s="7" cm="1">
        <f t="array" ref="Q2450:S2450">VLOOKUP(P2450,Hoja1!C:F,{2,3,4},FALSE)</f>
        <v>46303</v>
      </c>
      <c r="R2450" t="str">
        <v>374</v>
      </c>
      <c r="S2450" t="str">
        <v>1000011415 SI (SERVICIOS INDUSTRIALES) SIERRA</v>
      </c>
    </row>
    <row r="2451" spans="1:19" x14ac:dyDescent="0.3">
      <c r="A2451" s="2" t="s">
        <v>14</v>
      </c>
      <c r="B2451" s="3" t="s">
        <v>14</v>
      </c>
      <c r="C2451" s="3" t="s">
        <v>2153</v>
      </c>
      <c r="D2451" s="3" t="s">
        <v>14</v>
      </c>
      <c r="E2451" s="3" t="s">
        <v>466</v>
      </c>
      <c r="F2451" s="4">
        <v>46296</v>
      </c>
      <c r="G2451" s="3" t="s">
        <v>17</v>
      </c>
      <c r="H2451" s="5">
        <v>-97000</v>
      </c>
      <c r="I2451" s="3" t="s">
        <v>18</v>
      </c>
      <c r="J2451" s="3" t="s">
        <v>14</v>
      </c>
      <c r="K2451" s="3" t="s">
        <v>14</v>
      </c>
      <c r="L2451" s="3" t="s">
        <v>240</v>
      </c>
      <c r="M2451" s="4">
        <v>46296</v>
      </c>
      <c r="N2451" s="3" t="s">
        <v>2154</v>
      </c>
      <c r="O2451" s="3" t="s">
        <v>45</v>
      </c>
      <c r="P2451" t="str">
        <f t="shared" si="38"/>
        <v>4500139854100</v>
      </c>
      <c r="Q2451" s="7" cm="1">
        <f t="array" ref="Q2451:S2451">VLOOKUP(P2451,Hoja1!C:F,{2,3,4},FALSE)</f>
        <v>46303</v>
      </c>
      <c r="R2451" t="str">
        <v>374</v>
      </c>
      <c r="S2451" t="str">
        <v>1000011415 SI (SERVICIOS INDUSTRIALES) SIERRA</v>
      </c>
    </row>
    <row r="2452" spans="1:19" x14ac:dyDescent="0.3">
      <c r="A2452" s="2" t="s">
        <v>14</v>
      </c>
      <c r="B2452" s="3" t="s">
        <v>14</v>
      </c>
      <c r="C2452" s="3" t="s">
        <v>2155</v>
      </c>
      <c r="D2452" s="3" t="s">
        <v>14</v>
      </c>
      <c r="E2452" s="3" t="s">
        <v>466</v>
      </c>
      <c r="F2452" s="4">
        <v>46295</v>
      </c>
      <c r="G2452" s="3" t="s">
        <v>17</v>
      </c>
      <c r="H2452" s="5">
        <v>-4031</v>
      </c>
      <c r="I2452" s="3" t="s">
        <v>18</v>
      </c>
      <c r="J2452" s="3" t="s">
        <v>14</v>
      </c>
      <c r="K2452" s="3" t="s">
        <v>14</v>
      </c>
      <c r="L2452" s="3" t="s">
        <v>412</v>
      </c>
      <c r="M2452" s="4">
        <v>46296</v>
      </c>
      <c r="N2452" s="3" t="s">
        <v>2156</v>
      </c>
      <c r="O2452" s="3" t="s">
        <v>30</v>
      </c>
      <c r="P2452" t="str">
        <f t="shared" si="38"/>
        <v>450013875710</v>
      </c>
      <c r="Q2452" s="7" cm="1">
        <f t="array" ref="Q2452:S2452">VLOOKUP(P2452,Hoja1!C:F,{2,3,4},FALSE)</f>
        <v>46287</v>
      </c>
      <c r="R2452" t="str">
        <v>C11</v>
      </c>
      <c r="S2452" t="str">
        <v>1000000093 ELECTRICIDAD SERRA S.R.L.</v>
      </c>
    </row>
    <row r="2453" spans="1:19" x14ac:dyDescent="0.3">
      <c r="A2453" s="2" t="s">
        <v>14</v>
      </c>
      <c r="B2453" s="3" t="s">
        <v>14</v>
      </c>
      <c r="C2453" s="3" t="s">
        <v>2155</v>
      </c>
      <c r="D2453" s="3" t="s">
        <v>14</v>
      </c>
      <c r="E2453" s="3" t="s">
        <v>466</v>
      </c>
      <c r="F2453" s="4">
        <v>46295</v>
      </c>
      <c r="G2453" s="3" t="s">
        <v>17</v>
      </c>
      <c r="H2453" s="5">
        <v>-21370.32</v>
      </c>
      <c r="I2453" s="3" t="s">
        <v>18</v>
      </c>
      <c r="J2453" s="3" t="s">
        <v>14</v>
      </c>
      <c r="K2453" s="3" t="s">
        <v>14</v>
      </c>
      <c r="L2453" s="3" t="s">
        <v>412</v>
      </c>
      <c r="M2453" s="4">
        <v>46296</v>
      </c>
      <c r="N2453" s="3" t="s">
        <v>2156</v>
      </c>
      <c r="O2453" s="3" t="s">
        <v>22</v>
      </c>
      <c r="P2453" t="str">
        <f t="shared" si="38"/>
        <v>450013875720</v>
      </c>
      <c r="Q2453" s="7" cm="1">
        <f t="array" ref="Q2453:S2453">VLOOKUP(P2453,Hoja1!C:F,{2,3,4},FALSE)</f>
        <v>46287</v>
      </c>
      <c r="R2453" t="str">
        <v>C11</v>
      </c>
      <c r="S2453" t="str">
        <v>1000000093 ELECTRICIDAD SERRA S.R.L.</v>
      </c>
    </row>
    <row r="2454" spans="1:19" x14ac:dyDescent="0.3">
      <c r="A2454" s="2" t="s">
        <v>14</v>
      </c>
      <c r="B2454" s="3" t="s">
        <v>14</v>
      </c>
      <c r="C2454" s="3" t="s">
        <v>2155</v>
      </c>
      <c r="D2454" s="3" t="s">
        <v>14</v>
      </c>
      <c r="E2454" s="3" t="s">
        <v>466</v>
      </c>
      <c r="F2454" s="4">
        <v>46295</v>
      </c>
      <c r="G2454" s="3" t="s">
        <v>17</v>
      </c>
      <c r="H2454" s="5">
        <v>-5726.7</v>
      </c>
      <c r="I2454" s="3" t="s">
        <v>18</v>
      </c>
      <c r="J2454" s="3" t="s">
        <v>14</v>
      </c>
      <c r="K2454" s="3" t="s">
        <v>14</v>
      </c>
      <c r="L2454" s="3" t="s">
        <v>412</v>
      </c>
      <c r="M2454" s="4">
        <v>46296</v>
      </c>
      <c r="N2454" s="3" t="s">
        <v>2156</v>
      </c>
      <c r="O2454" s="3" t="s">
        <v>35</v>
      </c>
      <c r="P2454" t="str">
        <f t="shared" si="38"/>
        <v>450013875730</v>
      </c>
      <c r="Q2454" s="7" cm="1">
        <f t="array" ref="Q2454:S2454">VLOOKUP(P2454,Hoja1!C:F,{2,3,4},FALSE)</f>
        <v>46287</v>
      </c>
      <c r="R2454" t="str">
        <v>C11</v>
      </c>
      <c r="S2454" t="str">
        <v>1000000093 ELECTRICIDAD SERRA S.R.L.</v>
      </c>
    </row>
    <row r="2455" spans="1:19" x14ac:dyDescent="0.3">
      <c r="A2455" s="2" t="s">
        <v>14</v>
      </c>
      <c r="B2455" s="3" t="s">
        <v>14</v>
      </c>
      <c r="C2455" s="3" t="s">
        <v>2155</v>
      </c>
      <c r="D2455" s="3" t="s">
        <v>14</v>
      </c>
      <c r="E2455" s="3" t="s">
        <v>466</v>
      </c>
      <c r="F2455" s="4">
        <v>46295</v>
      </c>
      <c r="G2455" s="3" t="s">
        <v>17</v>
      </c>
      <c r="H2455" s="5">
        <v>-58108.29</v>
      </c>
      <c r="I2455" s="3" t="s">
        <v>18</v>
      </c>
      <c r="J2455" s="3" t="s">
        <v>14</v>
      </c>
      <c r="K2455" s="3" t="s">
        <v>14</v>
      </c>
      <c r="L2455" s="3" t="s">
        <v>412</v>
      </c>
      <c r="M2455" s="4">
        <v>46296</v>
      </c>
      <c r="N2455" s="3" t="s">
        <v>2156</v>
      </c>
      <c r="O2455" s="3" t="s">
        <v>23</v>
      </c>
      <c r="P2455" t="str">
        <f t="shared" si="38"/>
        <v>450013875740</v>
      </c>
      <c r="Q2455" s="7" cm="1">
        <f t="array" ref="Q2455:S2455">VLOOKUP(P2455,Hoja1!C:F,{2,3,4},FALSE)</f>
        <v>46287</v>
      </c>
      <c r="R2455" t="str">
        <v>C11</v>
      </c>
      <c r="S2455" t="str">
        <v>1000000093 ELECTRICIDAD SERRA S.R.L.</v>
      </c>
    </row>
    <row r="2456" spans="1:19" x14ac:dyDescent="0.3">
      <c r="A2456" s="2" t="s">
        <v>14</v>
      </c>
      <c r="B2456" s="3" t="s">
        <v>14</v>
      </c>
      <c r="C2456" s="3" t="s">
        <v>2155</v>
      </c>
      <c r="D2456" s="3" t="s">
        <v>14</v>
      </c>
      <c r="E2456" s="3" t="s">
        <v>466</v>
      </c>
      <c r="F2456" s="4">
        <v>46295</v>
      </c>
      <c r="G2456" s="3" t="s">
        <v>17</v>
      </c>
      <c r="H2456" s="5">
        <v>-63425.36</v>
      </c>
      <c r="I2456" s="3" t="s">
        <v>18</v>
      </c>
      <c r="J2456" s="3" t="s">
        <v>14</v>
      </c>
      <c r="K2456" s="3" t="s">
        <v>14</v>
      </c>
      <c r="L2456" s="3" t="s">
        <v>412</v>
      </c>
      <c r="M2456" s="4">
        <v>46296</v>
      </c>
      <c r="N2456" s="3" t="s">
        <v>2156</v>
      </c>
      <c r="O2456" s="3" t="s">
        <v>144</v>
      </c>
      <c r="P2456" t="str">
        <f t="shared" si="38"/>
        <v>450013875750</v>
      </c>
      <c r="Q2456" s="7" cm="1">
        <f t="array" ref="Q2456:S2456">VLOOKUP(P2456,Hoja1!C:F,{2,3,4},FALSE)</f>
        <v>46287</v>
      </c>
      <c r="R2456" t="str">
        <v>C11</v>
      </c>
      <c r="S2456" t="str">
        <v>1000000093 ELECTRICIDAD SERRA S.R.L.</v>
      </c>
    </row>
    <row r="2457" spans="1:19" x14ac:dyDescent="0.3">
      <c r="A2457" s="2" t="s">
        <v>14</v>
      </c>
      <c r="B2457" s="3" t="s">
        <v>14</v>
      </c>
      <c r="C2457" s="3" t="s">
        <v>2155</v>
      </c>
      <c r="D2457" s="3" t="s">
        <v>14</v>
      </c>
      <c r="E2457" s="3" t="s">
        <v>466</v>
      </c>
      <c r="F2457" s="4">
        <v>46295</v>
      </c>
      <c r="G2457" s="3" t="s">
        <v>17</v>
      </c>
      <c r="H2457" s="5">
        <v>-1789.56</v>
      </c>
      <c r="I2457" s="3" t="s">
        <v>18</v>
      </c>
      <c r="J2457" s="3" t="s">
        <v>14</v>
      </c>
      <c r="K2457" s="3" t="s">
        <v>14</v>
      </c>
      <c r="L2457" s="3" t="s">
        <v>412</v>
      </c>
      <c r="M2457" s="4">
        <v>46296</v>
      </c>
      <c r="N2457" s="3" t="s">
        <v>2156</v>
      </c>
      <c r="O2457" s="3" t="s">
        <v>141</v>
      </c>
      <c r="P2457" t="str">
        <f t="shared" si="38"/>
        <v>450013875760</v>
      </c>
      <c r="Q2457" s="7" cm="1">
        <f t="array" ref="Q2457:S2457">VLOOKUP(P2457,Hoja1!C:F,{2,3,4},FALSE)</f>
        <v>46287</v>
      </c>
      <c r="R2457" t="str">
        <v>C11</v>
      </c>
      <c r="S2457" t="str">
        <v>1000000093 ELECTRICIDAD SERRA S.R.L.</v>
      </c>
    </row>
    <row r="2458" spans="1:19" x14ac:dyDescent="0.3">
      <c r="A2458" s="2" t="s">
        <v>14</v>
      </c>
      <c r="B2458" s="3" t="s">
        <v>14</v>
      </c>
      <c r="C2458" s="3" t="s">
        <v>2155</v>
      </c>
      <c r="D2458" s="3" t="s">
        <v>14</v>
      </c>
      <c r="E2458" s="3" t="s">
        <v>466</v>
      </c>
      <c r="F2458" s="4">
        <v>46295</v>
      </c>
      <c r="G2458" s="3" t="s">
        <v>17</v>
      </c>
      <c r="H2458" s="5">
        <v>-59365</v>
      </c>
      <c r="I2458" s="3" t="s">
        <v>18</v>
      </c>
      <c r="J2458" s="3" t="s">
        <v>14</v>
      </c>
      <c r="K2458" s="3" t="s">
        <v>14</v>
      </c>
      <c r="L2458" s="3" t="s">
        <v>412</v>
      </c>
      <c r="M2458" s="4">
        <v>46296</v>
      </c>
      <c r="N2458" s="3" t="s">
        <v>2156</v>
      </c>
      <c r="O2458" s="3" t="s">
        <v>52</v>
      </c>
      <c r="P2458" t="str">
        <f t="shared" si="38"/>
        <v>450013875780</v>
      </c>
      <c r="Q2458" s="7" cm="1">
        <f t="array" ref="Q2458:S2458">VLOOKUP(P2458,Hoja1!C:F,{2,3,4},FALSE)</f>
        <v>46287</v>
      </c>
      <c r="R2458" t="str">
        <v>C11</v>
      </c>
      <c r="S2458" t="str">
        <v>1000000093 ELECTRICIDAD SERRA S.R.L.</v>
      </c>
    </row>
    <row r="2459" spans="1:19" x14ac:dyDescent="0.3">
      <c r="A2459" s="2" t="s">
        <v>14</v>
      </c>
      <c r="B2459" s="3" t="s">
        <v>14</v>
      </c>
      <c r="C2459" s="3" t="s">
        <v>2155</v>
      </c>
      <c r="D2459" s="3" t="s">
        <v>14</v>
      </c>
      <c r="E2459" s="3" t="s">
        <v>466</v>
      </c>
      <c r="F2459" s="4">
        <v>46295</v>
      </c>
      <c r="G2459" s="3" t="s">
        <v>17</v>
      </c>
      <c r="H2459" s="5">
        <v>-31815</v>
      </c>
      <c r="I2459" s="3" t="s">
        <v>18</v>
      </c>
      <c r="J2459" s="3" t="s">
        <v>14</v>
      </c>
      <c r="K2459" s="3" t="s">
        <v>14</v>
      </c>
      <c r="L2459" s="3" t="s">
        <v>412</v>
      </c>
      <c r="M2459" s="4">
        <v>46296</v>
      </c>
      <c r="N2459" s="3" t="s">
        <v>2156</v>
      </c>
      <c r="O2459" s="3" t="s">
        <v>138</v>
      </c>
      <c r="P2459" t="str">
        <f t="shared" si="38"/>
        <v>450013875790</v>
      </c>
      <c r="Q2459" s="7" cm="1">
        <f t="array" ref="Q2459:S2459">VLOOKUP(P2459,Hoja1!C:F,{2,3,4},FALSE)</f>
        <v>46287</v>
      </c>
      <c r="R2459" t="str">
        <v>C11</v>
      </c>
      <c r="S2459" t="str">
        <v>1000000093 ELECTRICIDAD SERRA S.R.L.</v>
      </c>
    </row>
    <row r="2460" spans="1:19" x14ac:dyDescent="0.3">
      <c r="A2460" s="2" t="s">
        <v>14</v>
      </c>
      <c r="B2460" s="3" t="s">
        <v>14</v>
      </c>
      <c r="C2460" s="3" t="s">
        <v>2157</v>
      </c>
      <c r="D2460" s="3" t="s">
        <v>84</v>
      </c>
      <c r="E2460" s="3" t="s">
        <v>466</v>
      </c>
      <c r="F2460" s="4">
        <v>46296</v>
      </c>
      <c r="G2460" s="3" t="s">
        <v>17</v>
      </c>
      <c r="H2460" s="5">
        <v>-4414574.88</v>
      </c>
      <c r="I2460" s="3" t="s">
        <v>18</v>
      </c>
      <c r="J2460" s="3" t="s">
        <v>14</v>
      </c>
      <c r="K2460" s="3" t="s">
        <v>14</v>
      </c>
      <c r="L2460" s="3" t="s">
        <v>85</v>
      </c>
      <c r="M2460" s="4">
        <v>46296</v>
      </c>
      <c r="N2460" s="3" t="s">
        <v>86</v>
      </c>
      <c r="O2460" s="3" t="s">
        <v>22</v>
      </c>
      <c r="P2460" t="str">
        <f t="shared" si="38"/>
        <v>450013079120</v>
      </c>
      <c r="Q2460" s="7" cm="1">
        <f t="array" ref="Q2460:S2460">VLOOKUP(P2460,Hoja1!C:F,{2,3,4},FALSE)</f>
        <v>46325</v>
      </c>
      <c r="R2460" t="str">
        <v>C26</v>
      </c>
      <c r="S2460" t="str">
        <v>1000000483 GRIMALDI G.H. S.R.L.</v>
      </c>
    </row>
    <row r="2461" spans="1:19" x14ac:dyDescent="0.3">
      <c r="A2461" s="2" t="s">
        <v>14</v>
      </c>
      <c r="B2461" s="3" t="s">
        <v>14</v>
      </c>
      <c r="C2461" s="3" t="s">
        <v>2158</v>
      </c>
      <c r="D2461" s="3" t="s">
        <v>14</v>
      </c>
      <c r="E2461" s="3" t="s">
        <v>466</v>
      </c>
      <c r="F2461" s="4">
        <v>46296</v>
      </c>
      <c r="G2461" s="3" t="s">
        <v>17</v>
      </c>
      <c r="H2461" s="5">
        <v>-1900000</v>
      </c>
      <c r="I2461" s="3" t="s">
        <v>18</v>
      </c>
      <c r="J2461" s="3" t="s">
        <v>14</v>
      </c>
      <c r="K2461" s="3" t="s">
        <v>14</v>
      </c>
      <c r="L2461" s="3" t="s">
        <v>1690</v>
      </c>
      <c r="M2461" s="4">
        <v>46296</v>
      </c>
      <c r="N2461" s="3" t="s">
        <v>2159</v>
      </c>
      <c r="O2461" s="3" t="s">
        <v>30</v>
      </c>
      <c r="P2461" t="str">
        <f t="shared" si="38"/>
        <v>450013994610</v>
      </c>
      <c r="Q2461" s="7" cm="1">
        <f t="array" ref="Q2461:S2461">VLOOKUP(P2461,Hoja1!C:F,{2,3,4},FALSE)</f>
        <v>46311</v>
      </c>
      <c r="R2461" t="str">
        <v>C26</v>
      </c>
      <c r="S2461" t="str">
        <v>1000013647 BRENT ENERGIA Y SERVICIOS S.A</v>
      </c>
    </row>
    <row r="2462" spans="1:19" x14ac:dyDescent="0.3">
      <c r="A2462" s="2" t="s">
        <v>14</v>
      </c>
      <c r="B2462" s="3" t="s">
        <v>14</v>
      </c>
      <c r="C2462" s="3" t="s">
        <v>2160</v>
      </c>
      <c r="D2462" s="3" t="s">
        <v>32</v>
      </c>
      <c r="E2462" s="3" t="s">
        <v>466</v>
      </c>
      <c r="F2462" s="4">
        <v>46296</v>
      </c>
      <c r="G2462" s="3" t="s">
        <v>17</v>
      </c>
      <c r="H2462" s="5">
        <v>-171487.6</v>
      </c>
      <c r="I2462" s="3" t="s">
        <v>18</v>
      </c>
      <c r="J2462" s="3" t="s">
        <v>14</v>
      </c>
      <c r="K2462" s="3" t="s">
        <v>14</v>
      </c>
      <c r="L2462" s="3" t="s">
        <v>2161</v>
      </c>
      <c r="M2462" s="4">
        <v>46296</v>
      </c>
      <c r="N2462" s="3" t="s">
        <v>2162</v>
      </c>
      <c r="O2462" s="3" t="s">
        <v>30</v>
      </c>
      <c r="P2462" t="str">
        <f t="shared" si="38"/>
        <v>450013959110</v>
      </c>
      <c r="Q2462" s="7" cm="1">
        <f t="array" ref="Q2462:S2462">VLOOKUP(P2462,Hoja1!C:F,{2,3,4},FALSE)</f>
        <v>46301</v>
      </c>
      <c r="R2462" t="str">
        <v>374</v>
      </c>
      <c r="S2462" t="str">
        <v>1000012652 BULMAD SAS</v>
      </c>
    </row>
    <row r="2463" spans="1:19" x14ac:dyDescent="0.3">
      <c r="A2463" s="2" t="s">
        <v>14</v>
      </c>
      <c r="B2463" s="3" t="s">
        <v>14</v>
      </c>
      <c r="C2463" s="3" t="s">
        <v>2163</v>
      </c>
      <c r="D2463" s="3" t="s">
        <v>32</v>
      </c>
      <c r="E2463" s="3" t="s">
        <v>466</v>
      </c>
      <c r="F2463" s="4">
        <v>46296</v>
      </c>
      <c r="G2463" s="3" t="s">
        <v>17</v>
      </c>
      <c r="H2463" s="5">
        <v>-2860712.4</v>
      </c>
      <c r="I2463" s="3" t="s">
        <v>18</v>
      </c>
      <c r="J2463" s="3" t="s">
        <v>14</v>
      </c>
      <c r="K2463" s="3" t="s">
        <v>14</v>
      </c>
      <c r="L2463" s="3" t="s">
        <v>2164</v>
      </c>
      <c r="M2463" s="4">
        <v>46296</v>
      </c>
      <c r="N2463" s="3" t="s">
        <v>2165</v>
      </c>
      <c r="O2463" s="3" t="s">
        <v>30</v>
      </c>
      <c r="P2463" t="str">
        <f t="shared" si="38"/>
        <v>450013612610</v>
      </c>
      <c r="Q2463" s="7" cm="1">
        <f t="array" ref="Q2463:S2463">VLOOKUP(P2463,Hoja1!C:F,{2,3,4},FALSE)</f>
        <v>46325</v>
      </c>
      <c r="R2463" t="str">
        <v>C25</v>
      </c>
      <c r="S2463" t="str">
        <v>1000012180 ANDRADE ERIC ALEXIS</v>
      </c>
    </row>
    <row r="2464" spans="1:19" x14ac:dyDescent="0.3">
      <c r="A2464" s="2" t="s">
        <v>14</v>
      </c>
      <c r="B2464" s="3" t="s">
        <v>14</v>
      </c>
      <c r="C2464" s="3" t="s">
        <v>2166</v>
      </c>
      <c r="D2464" s="3" t="s">
        <v>14</v>
      </c>
      <c r="E2464" s="3" t="s">
        <v>466</v>
      </c>
      <c r="F2464" s="4">
        <v>46296</v>
      </c>
      <c r="G2464" s="3" t="s">
        <v>17</v>
      </c>
      <c r="H2464" s="5">
        <v>-23042.1</v>
      </c>
      <c r="I2464" s="3" t="s">
        <v>18</v>
      </c>
      <c r="J2464" s="3" t="s">
        <v>14</v>
      </c>
      <c r="K2464" s="3" t="s">
        <v>14</v>
      </c>
      <c r="L2464" s="3" t="s">
        <v>1051</v>
      </c>
      <c r="M2464" s="4">
        <v>46296</v>
      </c>
      <c r="N2464" s="3" t="s">
        <v>2167</v>
      </c>
      <c r="O2464" s="3" t="s">
        <v>30</v>
      </c>
      <c r="P2464" t="str">
        <f t="shared" si="38"/>
        <v>450013946310</v>
      </c>
      <c r="Q2464" s="7" cm="1">
        <f t="array" ref="Q2464:S2464">VLOOKUP(P2464,Hoja1!C:F,{2,3,4},FALSE)</f>
        <v>46294</v>
      </c>
      <c r="R2464" t="str">
        <v>C11</v>
      </c>
      <c r="S2464" t="str">
        <v>1000001432 ELECTRINET SRL</v>
      </c>
    </row>
    <row r="2465" spans="1:19" x14ac:dyDescent="0.3">
      <c r="A2465" s="2" t="s">
        <v>14</v>
      </c>
      <c r="B2465" s="3" t="s">
        <v>14</v>
      </c>
      <c r="C2465" s="3" t="s">
        <v>2168</v>
      </c>
      <c r="D2465" s="3" t="s">
        <v>32</v>
      </c>
      <c r="E2465" s="3" t="s">
        <v>466</v>
      </c>
      <c r="F2465" s="4">
        <v>46296</v>
      </c>
      <c r="G2465" s="3" t="s">
        <v>17</v>
      </c>
      <c r="H2465" s="5">
        <v>-380826.88</v>
      </c>
      <c r="I2465" s="3" t="s">
        <v>18</v>
      </c>
      <c r="J2465" s="3" t="s">
        <v>14</v>
      </c>
      <c r="K2465" s="3" t="s">
        <v>14</v>
      </c>
      <c r="L2465" s="3" t="s">
        <v>915</v>
      </c>
      <c r="M2465" s="4">
        <v>46296</v>
      </c>
      <c r="N2465" s="3" t="s">
        <v>2117</v>
      </c>
      <c r="O2465" s="3" t="s">
        <v>30</v>
      </c>
      <c r="P2465" t="str">
        <f t="shared" si="38"/>
        <v>450013966910</v>
      </c>
      <c r="Q2465" s="7" cm="1">
        <f t="array" ref="Q2465:S2465">VLOOKUP(P2465,Hoja1!C:F,{2,3,4},FALSE)</f>
        <v>46301</v>
      </c>
      <c r="R2465" t="str">
        <v>374</v>
      </c>
      <c r="S2465" t="str">
        <v>1000013162 MADRYN REPUESTOS Y SERVICIOS SAS</v>
      </c>
    </row>
    <row r="2466" spans="1:19" x14ac:dyDescent="0.3">
      <c r="A2466" s="2" t="s">
        <v>14</v>
      </c>
      <c r="B2466" s="3" t="s">
        <v>14</v>
      </c>
      <c r="C2466" s="3" t="s">
        <v>2168</v>
      </c>
      <c r="D2466" s="3" t="s">
        <v>32</v>
      </c>
      <c r="E2466" s="3" t="s">
        <v>466</v>
      </c>
      <c r="F2466" s="4">
        <v>46296</v>
      </c>
      <c r="G2466" s="3" t="s">
        <v>17</v>
      </c>
      <c r="H2466" s="5">
        <v>-6525</v>
      </c>
      <c r="I2466" s="3" t="s">
        <v>18</v>
      </c>
      <c r="J2466" s="3" t="s">
        <v>14</v>
      </c>
      <c r="K2466" s="3" t="s">
        <v>14</v>
      </c>
      <c r="L2466" s="3" t="s">
        <v>915</v>
      </c>
      <c r="M2466" s="4">
        <v>46296</v>
      </c>
      <c r="N2466" s="3" t="s">
        <v>2117</v>
      </c>
      <c r="O2466" s="3" t="s">
        <v>22</v>
      </c>
      <c r="P2466" t="str">
        <f t="shared" si="38"/>
        <v>450013966920</v>
      </c>
      <c r="Q2466" s="7" cm="1">
        <f t="array" ref="Q2466:S2466">VLOOKUP(P2466,Hoja1!C:F,{2,3,4},FALSE)</f>
        <v>46301</v>
      </c>
      <c r="R2466" t="str">
        <v>374</v>
      </c>
      <c r="S2466" t="str">
        <v>1000013162 MADRYN REPUESTOS Y SERVICIOS SAS</v>
      </c>
    </row>
    <row r="2467" spans="1:19" x14ac:dyDescent="0.3">
      <c r="A2467" s="2" t="s">
        <v>14</v>
      </c>
      <c r="B2467" s="3" t="s">
        <v>14</v>
      </c>
      <c r="C2467" s="3" t="s">
        <v>2168</v>
      </c>
      <c r="D2467" s="3" t="s">
        <v>32</v>
      </c>
      <c r="E2467" s="3" t="s">
        <v>466</v>
      </c>
      <c r="F2467" s="4">
        <v>46296</v>
      </c>
      <c r="G2467" s="3" t="s">
        <v>17</v>
      </c>
      <c r="H2467" s="5">
        <v>-957851.18</v>
      </c>
      <c r="I2467" s="3" t="s">
        <v>18</v>
      </c>
      <c r="J2467" s="3" t="s">
        <v>14</v>
      </c>
      <c r="K2467" s="3" t="s">
        <v>14</v>
      </c>
      <c r="L2467" s="3" t="s">
        <v>915</v>
      </c>
      <c r="M2467" s="4">
        <v>46296</v>
      </c>
      <c r="N2467" s="3" t="s">
        <v>2117</v>
      </c>
      <c r="O2467" s="3" t="s">
        <v>35</v>
      </c>
      <c r="P2467" t="str">
        <f t="shared" si="38"/>
        <v>450013966930</v>
      </c>
      <c r="Q2467" s="7" cm="1">
        <f t="array" ref="Q2467:S2467">VLOOKUP(P2467,Hoja1!C:F,{2,3,4},FALSE)</f>
        <v>46301</v>
      </c>
      <c r="R2467" t="str">
        <v>374</v>
      </c>
      <c r="S2467" t="str">
        <v>1000013162 MADRYN REPUESTOS Y SERVICIOS SAS</v>
      </c>
    </row>
    <row r="2468" spans="1:19" x14ac:dyDescent="0.3">
      <c r="A2468" s="2" t="s">
        <v>14</v>
      </c>
      <c r="B2468" s="3" t="s">
        <v>14</v>
      </c>
      <c r="C2468" s="3" t="s">
        <v>2168</v>
      </c>
      <c r="D2468" s="3" t="s">
        <v>32</v>
      </c>
      <c r="E2468" s="3" t="s">
        <v>466</v>
      </c>
      <c r="F2468" s="4">
        <v>46296</v>
      </c>
      <c r="G2468" s="3" t="s">
        <v>17</v>
      </c>
      <c r="H2468" s="5">
        <v>-42231.4</v>
      </c>
      <c r="I2468" s="3" t="s">
        <v>18</v>
      </c>
      <c r="J2468" s="3" t="s">
        <v>14</v>
      </c>
      <c r="K2468" s="3" t="s">
        <v>14</v>
      </c>
      <c r="L2468" s="3" t="s">
        <v>915</v>
      </c>
      <c r="M2468" s="4">
        <v>46296</v>
      </c>
      <c r="N2468" s="3" t="s">
        <v>2117</v>
      </c>
      <c r="O2468" s="3" t="s">
        <v>23</v>
      </c>
      <c r="P2468" t="str">
        <f t="shared" si="38"/>
        <v>450013966940</v>
      </c>
      <c r="Q2468" s="7" cm="1">
        <f t="array" ref="Q2468:S2468">VLOOKUP(P2468,Hoja1!C:F,{2,3,4},FALSE)</f>
        <v>46301</v>
      </c>
      <c r="R2468" t="str">
        <v>374</v>
      </c>
      <c r="S2468" t="str">
        <v>1000013162 MADRYN REPUESTOS Y SERVICIOS SAS</v>
      </c>
    </row>
    <row r="2469" spans="1:19" x14ac:dyDescent="0.3">
      <c r="A2469" s="2" t="s">
        <v>14</v>
      </c>
      <c r="B2469" s="3" t="s">
        <v>14</v>
      </c>
      <c r="C2469" s="3" t="s">
        <v>2168</v>
      </c>
      <c r="D2469" s="3" t="s">
        <v>14</v>
      </c>
      <c r="E2469" s="3" t="s">
        <v>466</v>
      </c>
      <c r="F2469" s="4">
        <v>46296</v>
      </c>
      <c r="G2469" s="3" t="s">
        <v>17</v>
      </c>
      <c r="H2469" s="5">
        <v>-40495.86</v>
      </c>
      <c r="I2469" s="3" t="s">
        <v>18</v>
      </c>
      <c r="J2469" s="3" t="s">
        <v>14</v>
      </c>
      <c r="K2469" s="3" t="s">
        <v>14</v>
      </c>
      <c r="L2469" s="3" t="s">
        <v>915</v>
      </c>
      <c r="M2469" s="4">
        <v>46296</v>
      </c>
      <c r="N2469" s="3" t="s">
        <v>2117</v>
      </c>
      <c r="O2469" s="3" t="s">
        <v>144</v>
      </c>
      <c r="P2469" t="str">
        <f t="shared" si="38"/>
        <v>450013966950</v>
      </c>
      <c r="Q2469" s="7" cm="1">
        <f t="array" ref="Q2469:S2469">VLOOKUP(P2469,Hoja1!C:F,{2,3,4},FALSE)</f>
        <v>46301</v>
      </c>
      <c r="R2469" t="str">
        <v>374</v>
      </c>
      <c r="S2469" t="str">
        <v>1000013162 MADRYN REPUESTOS Y SERVICIOS SAS</v>
      </c>
    </row>
    <row r="2470" spans="1:19" x14ac:dyDescent="0.3">
      <c r="A2470" s="2" t="s">
        <v>14</v>
      </c>
      <c r="B2470" s="3" t="s">
        <v>14</v>
      </c>
      <c r="C2470" s="3" t="s">
        <v>2169</v>
      </c>
      <c r="D2470" s="3" t="s">
        <v>14</v>
      </c>
      <c r="E2470" s="3" t="s">
        <v>466</v>
      </c>
      <c r="F2470" s="4">
        <v>46296</v>
      </c>
      <c r="G2470" s="3" t="s">
        <v>17</v>
      </c>
      <c r="H2470" s="5">
        <v>-170047.68</v>
      </c>
      <c r="I2470" s="3" t="s">
        <v>18</v>
      </c>
      <c r="J2470" s="3" t="s">
        <v>14</v>
      </c>
      <c r="K2470" s="3" t="s">
        <v>14</v>
      </c>
      <c r="L2470" s="3" t="s">
        <v>1056</v>
      </c>
      <c r="M2470" s="4">
        <v>46296</v>
      </c>
      <c r="N2470" s="3" t="s">
        <v>1131</v>
      </c>
      <c r="O2470" s="3" t="s">
        <v>159</v>
      </c>
      <c r="P2470" t="str">
        <f t="shared" si="38"/>
        <v>4500135589510</v>
      </c>
      <c r="Q2470" s="7" cm="1">
        <f t="array" ref="Q2470:S2470">VLOOKUP(P2470,Hoja1!C:F,{2,3,4},FALSE)</f>
        <v>46255</v>
      </c>
      <c r="R2470" t="str">
        <v>C27</v>
      </c>
      <c r="S2470" t="str">
        <v>1000007373 ANGIULLI SERGIO RAUL</v>
      </c>
    </row>
    <row r="2471" spans="1:19" x14ac:dyDescent="0.3">
      <c r="A2471" s="2" t="s">
        <v>14</v>
      </c>
      <c r="B2471" s="3" t="s">
        <v>14</v>
      </c>
      <c r="C2471" s="3" t="s">
        <v>2170</v>
      </c>
      <c r="D2471" s="3" t="s">
        <v>84</v>
      </c>
      <c r="E2471" s="3" t="s">
        <v>466</v>
      </c>
      <c r="F2471" s="4">
        <v>46296</v>
      </c>
      <c r="G2471" s="3" t="s">
        <v>17</v>
      </c>
      <c r="H2471" s="5">
        <v>-53469</v>
      </c>
      <c r="I2471" s="3" t="s">
        <v>18</v>
      </c>
      <c r="J2471" s="3" t="s">
        <v>14</v>
      </c>
      <c r="K2471" s="3" t="s">
        <v>14</v>
      </c>
      <c r="L2471" s="3" t="s">
        <v>1056</v>
      </c>
      <c r="M2471" s="4">
        <v>46296</v>
      </c>
      <c r="N2471" s="3" t="s">
        <v>1870</v>
      </c>
      <c r="O2471" s="3" t="s">
        <v>30</v>
      </c>
      <c r="P2471" t="str">
        <f t="shared" si="38"/>
        <v>450013948010</v>
      </c>
      <c r="Q2471" s="7" cm="1">
        <f t="array" ref="Q2471:S2471">VLOOKUP(P2471,Hoja1!C:F,{2,3,4},FALSE)</f>
        <v>46303</v>
      </c>
      <c r="R2471" t="str">
        <v>C06</v>
      </c>
      <c r="S2471" t="str">
        <v>1000007373 ANGIULLI SERGIO RAUL</v>
      </c>
    </row>
    <row r="2472" spans="1:19" x14ac:dyDescent="0.3">
      <c r="A2472" s="2" t="s">
        <v>14</v>
      </c>
      <c r="B2472" s="3" t="s">
        <v>14</v>
      </c>
      <c r="C2472" s="3" t="s">
        <v>2171</v>
      </c>
      <c r="D2472" s="3" t="s">
        <v>14</v>
      </c>
      <c r="E2472" s="3" t="s">
        <v>466</v>
      </c>
      <c r="F2472" s="4">
        <v>46296</v>
      </c>
      <c r="G2472" s="3" t="s">
        <v>17</v>
      </c>
      <c r="H2472" s="5">
        <v>-35510</v>
      </c>
      <c r="I2472" s="3" t="s">
        <v>18</v>
      </c>
      <c r="J2472" s="3" t="s">
        <v>14</v>
      </c>
      <c r="K2472" s="3" t="s">
        <v>14</v>
      </c>
      <c r="L2472" s="3" t="s">
        <v>1056</v>
      </c>
      <c r="M2472" s="4">
        <v>46296</v>
      </c>
      <c r="N2472" s="3" t="s">
        <v>2172</v>
      </c>
      <c r="O2472" s="3" t="s">
        <v>23</v>
      </c>
      <c r="P2472" t="str">
        <f t="shared" si="38"/>
        <v>450013904140</v>
      </c>
      <c r="Q2472" s="7" cm="1">
        <f t="array" ref="Q2472:S2472">VLOOKUP(P2472,Hoja1!C:F,{2,3,4},FALSE)</f>
        <v>46290</v>
      </c>
      <c r="R2472" t="str">
        <v>C27</v>
      </c>
      <c r="S2472" t="str">
        <v>1000007373 ANGIULLI SERGIO RAUL</v>
      </c>
    </row>
    <row r="2473" spans="1:19" x14ac:dyDescent="0.3">
      <c r="A2473" s="2" t="s">
        <v>14</v>
      </c>
      <c r="B2473" s="3" t="s">
        <v>14</v>
      </c>
      <c r="C2473" s="3" t="s">
        <v>2173</v>
      </c>
      <c r="D2473" s="3" t="s">
        <v>14</v>
      </c>
      <c r="E2473" s="3" t="s">
        <v>466</v>
      </c>
      <c r="F2473" s="4">
        <v>46296</v>
      </c>
      <c r="G2473" s="3" t="s">
        <v>17</v>
      </c>
      <c r="H2473" s="5">
        <v>-86200</v>
      </c>
      <c r="I2473" s="3" t="s">
        <v>18</v>
      </c>
      <c r="J2473" s="3" t="s">
        <v>14</v>
      </c>
      <c r="K2473" s="3" t="s">
        <v>14</v>
      </c>
      <c r="L2473" s="3" t="s">
        <v>20</v>
      </c>
      <c r="M2473" s="4">
        <v>46296</v>
      </c>
      <c r="N2473" s="3" t="s">
        <v>2174</v>
      </c>
      <c r="O2473" s="3" t="s">
        <v>35</v>
      </c>
      <c r="P2473" t="str">
        <f t="shared" si="38"/>
        <v>450013912330</v>
      </c>
      <c r="Q2473" s="7" cm="1">
        <f t="array" ref="Q2473:S2473">VLOOKUP(P2473,Hoja1!C:F,{2,3,4},FALSE)</f>
        <v>46300</v>
      </c>
      <c r="R2473" t="str">
        <v>C03</v>
      </c>
      <c r="S2473" t="str">
        <v>1000000754 AURELIA SACIYF</v>
      </c>
    </row>
    <row r="2474" spans="1:19" x14ac:dyDescent="0.3">
      <c r="A2474" s="2" t="s">
        <v>14</v>
      </c>
      <c r="B2474" s="3" t="s">
        <v>14</v>
      </c>
      <c r="C2474" s="3" t="s">
        <v>2173</v>
      </c>
      <c r="D2474" s="3" t="s">
        <v>14</v>
      </c>
      <c r="E2474" s="3" t="s">
        <v>466</v>
      </c>
      <c r="F2474" s="4">
        <v>46296</v>
      </c>
      <c r="G2474" s="3" t="s">
        <v>17</v>
      </c>
      <c r="H2474" s="5">
        <v>-283976</v>
      </c>
      <c r="I2474" s="3" t="s">
        <v>18</v>
      </c>
      <c r="J2474" s="3" t="s">
        <v>14</v>
      </c>
      <c r="K2474" s="3" t="s">
        <v>14</v>
      </c>
      <c r="L2474" s="3" t="s">
        <v>20</v>
      </c>
      <c r="M2474" s="4">
        <v>46296</v>
      </c>
      <c r="N2474" s="3" t="s">
        <v>2174</v>
      </c>
      <c r="O2474" s="3" t="s">
        <v>23</v>
      </c>
      <c r="P2474" t="str">
        <f t="shared" si="38"/>
        <v>450013912340</v>
      </c>
      <c r="Q2474" s="7" cm="1">
        <f t="array" ref="Q2474:S2474">VLOOKUP(P2474,Hoja1!C:F,{2,3,4},FALSE)</f>
        <v>46300</v>
      </c>
      <c r="R2474" t="str">
        <v>C03</v>
      </c>
      <c r="S2474" t="str">
        <v>1000000754 AURELIA SACIYF</v>
      </c>
    </row>
    <row r="2475" spans="1:19" x14ac:dyDescent="0.3">
      <c r="A2475" s="2" t="s">
        <v>14</v>
      </c>
      <c r="B2475" s="3" t="s">
        <v>14</v>
      </c>
      <c r="C2475" s="3" t="s">
        <v>2173</v>
      </c>
      <c r="D2475" s="3" t="s">
        <v>14</v>
      </c>
      <c r="E2475" s="3" t="s">
        <v>466</v>
      </c>
      <c r="F2475" s="4">
        <v>46296</v>
      </c>
      <c r="G2475" s="3" t="s">
        <v>17</v>
      </c>
      <c r="H2475" s="5">
        <v>-85920</v>
      </c>
      <c r="I2475" s="3" t="s">
        <v>18</v>
      </c>
      <c r="J2475" s="3" t="s">
        <v>14</v>
      </c>
      <c r="K2475" s="3" t="s">
        <v>14</v>
      </c>
      <c r="L2475" s="3" t="s">
        <v>20</v>
      </c>
      <c r="M2475" s="4">
        <v>46296</v>
      </c>
      <c r="N2475" s="3" t="s">
        <v>2174</v>
      </c>
      <c r="O2475" s="3" t="s">
        <v>134</v>
      </c>
      <c r="P2475" t="str">
        <f t="shared" si="38"/>
        <v>450013912370</v>
      </c>
      <c r="Q2475" s="7" cm="1">
        <f t="array" ref="Q2475:S2475">VLOOKUP(P2475,Hoja1!C:F,{2,3,4},FALSE)</f>
        <v>46300</v>
      </c>
      <c r="R2475" t="str">
        <v>C03</v>
      </c>
      <c r="S2475" t="str">
        <v>1000000754 AURELIA SACIYF</v>
      </c>
    </row>
    <row r="2476" spans="1:19" x14ac:dyDescent="0.3">
      <c r="A2476" s="2" t="s">
        <v>14</v>
      </c>
      <c r="B2476" s="3" t="s">
        <v>14</v>
      </c>
      <c r="C2476" s="3" t="s">
        <v>2173</v>
      </c>
      <c r="D2476" s="3" t="s">
        <v>14</v>
      </c>
      <c r="E2476" s="3" t="s">
        <v>466</v>
      </c>
      <c r="F2476" s="4">
        <v>46296</v>
      </c>
      <c r="G2476" s="3" t="s">
        <v>17</v>
      </c>
      <c r="H2476" s="5">
        <v>-129300</v>
      </c>
      <c r="I2476" s="3" t="s">
        <v>18</v>
      </c>
      <c r="J2476" s="3" t="s">
        <v>14</v>
      </c>
      <c r="K2476" s="3" t="s">
        <v>14</v>
      </c>
      <c r="L2476" s="3" t="s">
        <v>20</v>
      </c>
      <c r="M2476" s="4">
        <v>46296</v>
      </c>
      <c r="N2476" s="3" t="s">
        <v>2174</v>
      </c>
      <c r="O2476" s="3" t="s">
        <v>52</v>
      </c>
      <c r="P2476" t="str">
        <f t="shared" si="38"/>
        <v>450013912380</v>
      </c>
      <c r="Q2476" s="7" cm="1">
        <f t="array" ref="Q2476:S2476">VLOOKUP(P2476,Hoja1!C:F,{2,3,4},FALSE)</f>
        <v>46300</v>
      </c>
      <c r="R2476" t="str">
        <v>C03</v>
      </c>
      <c r="S2476" t="str">
        <v>1000000754 AURELIA SACIYF</v>
      </c>
    </row>
    <row r="2477" spans="1:19" x14ac:dyDescent="0.3">
      <c r="A2477" s="2" t="s">
        <v>14</v>
      </c>
      <c r="B2477" s="3" t="s">
        <v>14</v>
      </c>
      <c r="C2477" s="3" t="s">
        <v>2173</v>
      </c>
      <c r="D2477" s="3" t="s">
        <v>14</v>
      </c>
      <c r="E2477" s="3" t="s">
        <v>466</v>
      </c>
      <c r="F2477" s="4">
        <v>46296</v>
      </c>
      <c r="G2477" s="3" t="s">
        <v>17</v>
      </c>
      <c r="H2477" s="5">
        <v>-283976</v>
      </c>
      <c r="I2477" s="3" t="s">
        <v>18</v>
      </c>
      <c r="J2477" s="3" t="s">
        <v>14</v>
      </c>
      <c r="K2477" s="3" t="s">
        <v>14</v>
      </c>
      <c r="L2477" s="3" t="s">
        <v>20</v>
      </c>
      <c r="M2477" s="4">
        <v>46296</v>
      </c>
      <c r="N2477" s="3" t="s">
        <v>2174</v>
      </c>
      <c r="O2477" s="3" t="s">
        <v>138</v>
      </c>
      <c r="P2477" t="str">
        <f t="shared" si="38"/>
        <v>450013912390</v>
      </c>
      <c r="Q2477" s="7" cm="1">
        <f t="array" ref="Q2477:S2477">VLOOKUP(P2477,Hoja1!C:F,{2,3,4},FALSE)</f>
        <v>46300</v>
      </c>
      <c r="R2477" t="str">
        <v>C03</v>
      </c>
      <c r="S2477" t="str">
        <v>1000000754 AURELIA SACIYF</v>
      </c>
    </row>
    <row r="2478" spans="1:19" x14ac:dyDescent="0.3">
      <c r="A2478" s="2" t="s">
        <v>14</v>
      </c>
      <c r="B2478" s="3" t="s">
        <v>14</v>
      </c>
      <c r="C2478" s="3" t="s">
        <v>2173</v>
      </c>
      <c r="D2478" s="3" t="s">
        <v>14</v>
      </c>
      <c r="E2478" s="3" t="s">
        <v>466</v>
      </c>
      <c r="F2478" s="4">
        <v>46296</v>
      </c>
      <c r="G2478" s="3" t="s">
        <v>17</v>
      </c>
      <c r="H2478" s="5">
        <v>-129300</v>
      </c>
      <c r="I2478" s="3" t="s">
        <v>18</v>
      </c>
      <c r="J2478" s="3" t="s">
        <v>14</v>
      </c>
      <c r="K2478" s="3" t="s">
        <v>14</v>
      </c>
      <c r="L2478" s="3" t="s">
        <v>20</v>
      </c>
      <c r="M2478" s="4">
        <v>46296</v>
      </c>
      <c r="N2478" s="3" t="s">
        <v>2174</v>
      </c>
      <c r="O2478" s="3" t="s">
        <v>143</v>
      </c>
      <c r="P2478" t="str">
        <f t="shared" si="38"/>
        <v>4500139123240</v>
      </c>
      <c r="Q2478" s="7" cm="1">
        <f t="array" ref="Q2478:S2478">VLOOKUP(P2478,Hoja1!C:F,{2,3,4},FALSE)</f>
        <v>46300</v>
      </c>
      <c r="R2478" t="str">
        <v>C03</v>
      </c>
      <c r="S2478" t="str">
        <v>1000000754 AURELIA SACIYF</v>
      </c>
    </row>
    <row r="2479" spans="1:19" x14ac:dyDescent="0.3">
      <c r="A2479" s="2" t="s">
        <v>14</v>
      </c>
      <c r="B2479" s="3" t="s">
        <v>14</v>
      </c>
      <c r="C2479" s="3" t="s">
        <v>2173</v>
      </c>
      <c r="D2479" s="3" t="s">
        <v>14</v>
      </c>
      <c r="E2479" s="3" t="s">
        <v>466</v>
      </c>
      <c r="F2479" s="4">
        <v>46296</v>
      </c>
      <c r="G2479" s="3" t="s">
        <v>17</v>
      </c>
      <c r="H2479" s="5">
        <v>-283976</v>
      </c>
      <c r="I2479" s="3" t="s">
        <v>18</v>
      </c>
      <c r="J2479" s="3" t="s">
        <v>14</v>
      </c>
      <c r="K2479" s="3" t="s">
        <v>14</v>
      </c>
      <c r="L2479" s="3" t="s">
        <v>20</v>
      </c>
      <c r="M2479" s="4">
        <v>46296</v>
      </c>
      <c r="N2479" s="3" t="s">
        <v>2174</v>
      </c>
      <c r="O2479" s="3" t="s">
        <v>128</v>
      </c>
      <c r="P2479" t="str">
        <f t="shared" si="38"/>
        <v>4500139123250</v>
      </c>
      <c r="Q2479" s="7" cm="1">
        <f t="array" ref="Q2479:S2479">VLOOKUP(P2479,Hoja1!C:F,{2,3,4},FALSE)</f>
        <v>46300</v>
      </c>
      <c r="R2479" t="str">
        <v>C03</v>
      </c>
      <c r="S2479" t="str">
        <v>1000000754 AURELIA SACIYF</v>
      </c>
    </row>
    <row r="2480" spans="1:19" x14ac:dyDescent="0.3">
      <c r="A2480" s="2" t="s">
        <v>14</v>
      </c>
      <c r="B2480" s="3" t="s">
        <v>14</v>
      </c>
      <c r="C2480" s="3" t="s">
        <v>2173</v>
      </c>
      <c r="D2480" s="3" t="s">
        <v>14</v>
      </c>
      <c r="E2480" s="3" t="s">
        <v>466</v>
      </c>
      <c r="F2480" s="4">
        <v>46296</v>
      </c>
      <c r="G2480" s="3" t="s">
        <v>17</v>
      </c>
      <c r="H2480" s="5">
        <v>-21480</v>
      </c>
      <c r="I2480" s="3" t="s">
        <v>18</v>
      </c>
      <c r="J2480" s="3" t="s">
        <v>14</v>
      </c>
      <c r="K2480" s="3" t="s">
        <v>14</v>
      </c>
      <c r="L2480" s="3" t="s">
        <v>20</v>
      </c>
      <c r="M2480" s="4">
        <v>46296</v>
      </c>
      <c r="N2480" s="3" t="s">
        <v>2174</v>
      </c>
      <c r="O2480" s="3" t="s">
        <v>146</v>
      </c>
      <c r="P2480" t="str">
        <f t="shared" si="38"/>
        <v>4500139123270</v>
      </c>
      <c r="Q2480" s="7" cm="1">
        <f t="array" ref="Q2480:S2480">VLOOKUP(P2480,Hoja1!C:F,{2,3,4},FALSE)</f>
        <v>46300</v>
      </c>
      <c r="R2480" t="str">
        <v>C03</v>
      </c>
      <c r="S2480" t="str">
        <v>1000000754 AURELIA SACIYF</v>
      </c>
    </row>
    <row r="2481" spans="1:19" x14ac:dyDescent="0.3">
      <c r="A2481" s="2" t="s">
        <v>14</v>
      </c>
      <c r="B2481" s="3" t="s">
        <v>14</v>
      </c>
      <c r="C2481" s="3" t="s">
        <v>2175</v>
      </c>
      <c r="D2481" s="3" t="s">
        <v>14</v>
      </c>
      <c r="E2481" s="3" t="s">
        <v>466</v>
      </c>
      <c r="F2481" s="4">
        <v>46296</v>
      </c>
      <c r="G2481" s="3" t="s">
        <v>17</v>
      </c>
      <c r="H2481" s="5">
        <v>-349924</v>
      </c>
      <c r="I2481" s="3" t="s">
        <v>18</v>
      </c>
      <c r="J2481" s="3" t="s">
        <v>14</v>
      </c>
      <c r="K2481" s="3" t="s">
        <v>14</v>
      </c>
      <c r="L2481" s="3" t="s">
        <v>1051</v>
      </c>
      <c r="M2481" s="4">
        <v>46296</v>
      </c>
      <c r="N2481" s="3" t="s">
        <v>2095</v>
      </c>
      <c r="O2481" s="3" t="s">
        <v>134</v>
      </c>
      <c r="P2481" t="str">
        <f t="shared" si="38"/>
        <v>450013891870</v>
      </c>
      <c r="Q2481" s="7" cm="1">
        <f t="array" ref="Q2481:S2481">VLOOKUP(P2481,Hoja1!C:F,{2,3,4},FALSE)</f>
        <v>46290</v>
      </c>
      <c r="R2481" t="str">
        <v>C11</v>
      </c>
      <c r="S2481" t="str">
        <v>1000001432 ELECTRINET SRL</v>
      </c>
    </row>
    <row r="2482" spans="1:19" x14ac:dyDescent="0.3">
      <c r="A2482" s="2" t="s">
        <v>14</v>
      </c>
      <c r="B2482" s="3" t="s">
        <v>14</v>
      </c>
      <c r="C2482" s="3" t="s">
        <v>2176</v>
      </c>
      <c r="D2482" s="3" t="s">
        <v>25</v>
      </c>
      <c r="E2482" s="3" t="s">
        <v>466</v>
      </c>
      <c r="F2482" s="4">
        <v>46296</v>
      </c>
      <c r="G2482" s="3" t="s">
        <v>17</v>
      </c>
      <c r="H2482" s="5">
        <v>-1428320</v>
      </c>
      <c r="I2482" s="3" t="s">
        <v>18</v>
      </c>
      <c r="J2482" s="3" t="s">
        <v>14</v>
      </c>
      <c r="K2482" s="3" t="s">
        <v>14</v>
      </c>
      <c r="L2482" s="3" t="s">
        <v>1464</v>
      </c>
      <c r="M2482" s="4">
        <v>46296</v>
      </c>
      <c r="N2482" s="3" t="s">
        <v>2177</v>
      </c>
      <c r="O2482" s="3" t="s">
        <v>30</v>
      </c>
      <c r="P2482" t="str">
        <f t="shared" si="38"/>
        <v>450013864110</v>
      </c>
      <c r="Q2482" s="7" cm="1">
        <f t="array" ref="Q2482:S2482">VLOOKUP(P2482,Hoja1!C:F,{2,3,4},FALSE)</f>
        <v>46306</v>
      </c>
      <c r="R2482" t="str">
        <v>C14</v>
      </c>
      <c r="S2482" t="str">
        <v>1000001418 SEBRE SRL TRANSPORTE</v>
      </c>
    </row>
    <row r="2483" spans="1:19" x14ac:dyDescent="0.3">
      <c r="A2483" s="2" t="s">
        <v>14</v>
      </c>
      <c r="B2483" s="3" t="s">
        <v>14</v>
      </c>
      <c r="C2483" s="3" t="s">
        <v>2178</v>
      </c>
      <c r="D2483" s="3" t="s">
        <v>14</v>
      </c>
      <c r="E2483" s="3" t="s">
        <v>466</v>
      </c>
      <c r="F2483" s="4">
        <v>46296</v>
      </c>
      <c r="G2483" s="3" t="s">
        <v>17</v>
      </c>
      <c r="H2483" s="5">
        <v>-1896.8</v>
      </c>
      <c r="I2483" s="3" t="s">
        <v>18</v>
      </c>
      <c r="J2483" s="3" t="s">
        <v>14</v>
      </c>
      <c r="K2483" s="3" t="s">
        <v>14</v>
      </c>
      <c r="L2483" s="3" t="s">
        <v>1051</v>
      </c>
      <c r="M2483" s="4">
        <v>46296</v>
      </c>
      <c r="N2483" s="3" t="s">
        <v>2179</v>
      </c>
      <c r="O2483" s="3" t="s">
        <v>30</v>
      </c>
      <c r="P2483" t="str">
        <f t="shared" si="38"/>
        <v>450013984110</v>
      </c>
      <c r="Q2483" s="7" cm="1">
        <f t="array" ref="Q2483:S2483">VLOOKUP(P2483,Hoja1!C:F,{2,3,4},FALSE)</f>
        <v>46311</v>
      </c>
      <c r="R2483" t="str">
        <v>C27</v>
      </c>
      <c r="S2483" t="str">
        <v>1000001432 ELECTRINET SRL</v>
      </c>
    </row>
    <row r="2484" spans="1:19" x14ac:dyDescent="0.3">
      <c r="A2484" s="2" t="s">
        <v>14</v>
      </c>
      <c r="B2484" s="3" t="s">
        <v>14</v>
      </c>
      <c r="C2484" s="3" t="s">
        <v>2180</v>
      </c>
      <c r="D2484" s="3" t="s">
        <v>14</v>
      </c>
      <c r="E2484" s="3" t="s">
        <v>466</v>
      </c>
      <c r="F2484" s="4">
        <v>46296</v>
      </c>
      <c r="G2484" s="3" t="s">
        <v>17</v>
      </c>
      <c r="H2484" s="5">
        <v>-830500</v>
      </c>
      <c r="I2484" s="3" t="s">
        <v>18</v>
      </c>
      <c r="J2484" s="3" t="s">
        <v>14</v>
      </c>
      <c r="K2484" s="3" t="s">
        <v>14</v>
      </c>
      <c r="L2484" s="3" t="s">
        <v>20</v>
      </c>
      <c r="M2484" s="4">
        <v>46296</v>
      </c>
      <c r="N2484" s="3" t="s">
        <v>2174</v>
      </c>
      <c r="O2484" s="3" t="s">
        <v>150</v>
      </c>
      <c r="P2484" t="str">
        <f t="shared" si="38"/>
        <v>4500139123320</v>
      </c>
      <c r="Q2484" s="7" cm="1">
        <f t="array" ref="Q2484:S2484">VLOOKUP(P2484,Hoja1!C:F,{2,3,4},FALSE)</f>
        <v>46300</v>
      </c>
      <c r="R2484" t="str">
        <v>C03</v>
      </c>
      <c r="S2484" t="str">
        <v>1000000754 AURELIA SACIYF</v>
      </c>
    </row>
    <row r="2485" spans="1:19" x14ac:dyDescent="0.3">
      <c r="A2485" s="2" t="s">
        <v>14</v>
      </c>
      <c r="B2485" s="3" t="s">
        <v>14</v>
      </c>
      <c r="C2485" s="3" t="s">
        <v>2180</v>
      </c>
      <c r="D2485" s="3" t="s">
        <v>14</v>
      </c>
      <c r="E2485" s="3" t="s">
        <v>466</v>
      </c>
      <c r="F2485" s="4">
        <v>46296</v>
      </c>
      <c r="G2485" s="3" t="s">
        <v>17</v>
      </c>
      <c r="H2485" s="5">
        <v>-283976</v>
      </c>
      <c r="I2485" s="3" t="s">
        <v>18</v>
      </c>
      <c r="J2485" s="3" t="s">
        <v>14</v>
      </c>
      <c r="K2485" s="3" t="s">
        <v>14</v>
      </c>
      <c r="L2485" s="3" t="s">
        <v>20</v>
      </c>
      <c r="M2485" s="4">
        <v>46296</v>
      </c>
      <c r="N2485" s="3" t="s">
        <v>2174</v>
      </c>
      <c r="O2485" s="3" t="s">
        <v>126</v>
      </c>
      <c r="P2485" t="str">
        <f t="shared" si="38"/>
        <v>4500139123260</v>
      </c>
      <c r="Q2485" s="7" cm="1">
        <f t="array" ref="Q2485:S2485">VLOOKUP(P2485,Hoja1!C:F,{2,3,4},FALSE)</f>
        <v>46300</v>
      </c>
      <c r="R2485" t="str">
        <v>C03</v>
      </c>
      <c r="S2485" t="str">
        <v>1000000754 AURELIA SACIYF</v>
      </c>
    </row>
    <row r="2486" spans="1:19" x14ac:dyDescent="0.3">
      <c r="A2486" s="2" t="s">
        <v>14</v>
      </c>
      <c r="B2486" s="3" t="s">
        <v>14</v>
      </c>
      <c r="C2486" s="3" t="s">
        <v>2180</v>
      </c>
      <c r="D2486" s="3" t="s">
        <v>14</v>
      </c>
      <c r="E2486" s="3" t="s">
        <v>466</v>
      </c>
      <c r="F2486" s="4">
        <v>46296</v>
      </c>
      <c r="G2486" s="3" t="s">
        <v>17</v>
      </c>
      <c r="H2486" s="5">
        <v>-283976</v>
      </c>
      <c r="I2486" s="3" t="s">
        <v>18</v>
      </c>
      <c r="J2486" s="3" t="s">
        <v>14</v>
      </c>
      <c r="K2486" s="3" t="s">
        <v>14</v>
      </c>
      <c r="L2486" s="3" t="s">
        <v>20</v>
      </c>
      <c r="M2486" s="4">
        <v>46296</v>
      </c>
      <c r="N2486" s="3" t="s">
        <v>2174</v>
      </c>
      <c r="O2486" s="3" t="s">
        <v>45</v>
      </c>
      <c r="P2486" t="str">
        <f t="shared" si="38"/>
        <v>4500139123100</v>
      </c>
      <c r="Q2486" s="7" cm="1">
        <f t="array" ref="Q2486:S2486">VLOOKUP(P2486,Hoja1!C:F,{2,3,4},FALSE)</f>
        <v>46300</v>
      </c>
      <c r="R2486" t="str">
        <v>C03</v>
      </c>
      <c r="S2486" t="str">
        <v>1000000754 AURELIA SACIYF</v>
      </c>
    </row>
    <row r="2487" spans="1:19" x14ac:dyDescent="0.3">
      <c r="A2487" s="2" t="s">
        <v>14</v>
      </c>
      <c r="B2487" s="3" t="s">
        <v>14</v>
      </c>
      <c r="C2487" s="3" t="s">
        <v>2180</v>
      </c>
      <c r="D2487" s="3" t="s">
        <v>14</v>
      </c>
      <c r="E2487" s="3" t="s">
        <v>466</v>
      </c>
      <c r="F2487" s="4">
        <v>46296</v>
      </c>
      <c r="G2487" s="3" t="s">
        <v>17</v>
      </c>
      <c r="H2487" s="5">
        <v>-283976</v>
      </c>
      <c r="I2487" s="3" t="s">
        <v>18</v>
      </c>
      <c r="J2487" s="3" t="s">
        <v>14</v>
      </c>
      <c r="K2487" s="3" t="s">
        <v>14</v>
      </c>
      <c r="L2487" s="3" t="s">
        <v>20</v>
      </c>
      <c r="M2487" s="4">
        <v>46296</v>
      </c>
      <c r="N2487" s="3" t="s">
        <v>2174</v>
      </c>
      <c r="O2487" s="3" t="s">
        <v>144</v>
      </c>
      <c r="P2487" t="str">
        <f t="shared" si="38"/>
        <v>450013912350</v>
      </c>
      <c r="Q2487" s="7" cm="1">
        <f t="array" ref="Q2487:S2487">VLOOKUP(P2487,Hoja1!C:F,{2,3,4},FALSE)</f>
        <v>46300</v>
      </c>
      <c r="R2487" t="str">
        <v>C03</v>
      </c>
      <c r="S2487" t="str">
        <v>1000000754 AURELIA SACIYF</v>
      </c>
    </row>
    <row r="2488" spans="1:19" x14ac:dyDescent="0.3">
      <c r="A2488" s="2" t="s">
        <v>14</v>
      </c>
      <c r="B2488" s="3" t="s">
        <v>14</v>
      </c>
      <c r="C2488" s="3" t="s">
        <v>2181</v>
      </c>
      <c r="D2488" s="3" t="s">
        <v>14</v>
      </c>
      <c r="E2488" s="3" t="s">
        <v>466</v>
      </c>
      <c r="F2488" s="4">
        <v>46296</v>
      </c>
      <c r="G2488" s="3" t="s">
        <v>17</v>
      </c>
      <c r="H2488" s="5">
        <v>-1832772.48</v>
      </c>
      <c r="I2488" s="3" t="s">
        <v>18</v>
      </c>
      <c r="J2488" s="3" t="s">
        <v>14</v>
      </c>
      <c r="K2488" s="3" t="s">
        <v>14</v>
      </c>
      <c r="L2488" s="3" t="s">
        <v>2182</v>
      </c>
      <c r="M2488" s="4">
        <v>46296</v>
      </c>
      <c r="N2488" s="3" t="s">
        <v>2183</v>
      </c>
      <c r="O2488" s="3" t="s">
        <v>30</v>
      </c>
      <c r="P2488" t="str">
        <f t="shared" si="38"/>
        <v>450013513510</v>
      </c>
      <c r="Q2488" s="7" cm="1">
        <f t="array" ref="Q2488:S2488">VLOOKUP(P2488,Hoja1!C:F,{2,3,4},FALSE)</f>
        <v>46326</v>
      </c>
      <c r="R2488" t="str">
        <v>C24</v>
      </c>
      <c r="S2488" t="str">
        <v>1000002731 ADROGUE MARQUES ZABALA &amp; ASOC.</v>
      </c>
    </row>
    <row r="2489" spans="1:19" x14ac:dyDescent="0.3">
      <c r="A2489" s="2" t="s">
        <v>14</v>
      </c>
      <c r="B2489" s="3" t="s">
        <v>14</v>
      </c>
      <c r="C2489" s="3" t="s">
        <v>2184</v>
      </c>
      <c r="D2489" s="3" t="s">
        <v>14</v>
      </c>
      <c r="E2489" s="3" t="s">
        <v>466</v>
      </c>
      <c r="F2489" s="4">
        <v>46296</v>
      </c>
      <c r="G2489" s="3" t="s">
        <v>17</v>
      </c>
      <c r="H2489" s="5">
        <v>-106933.75</v>
      </c>
      <c r="I2489" s="3" t="s">
        <v>18</v>
      </c>
      <c r="J2489" s="3" t="s">
        <v>14</v>
      </c>
      <c r="K2489" s="3" t="s">
        <v>14</v>
      </c>
      <c r="L2489" s="3" t="s">
        <v>274</v>
      </c>
      <c r="M2489" s="4">
        <v>46296</v>
      </c>
      <c r="N2489" s="3" t="s">
        <v>2185</v>
      </c>
      <c r="O2489" s="3" t="s">
        <v>30</v>
      </c>
      <c r="P2489" t="str">
        <f t="shared" si="38"/>
        <v>450013938810</v>
      </c>
      <c r="Q2489" s="7" cm="1">
        <f t="array" ref="Q2489:S2489">VLOOKUP(P2489,Hoja1!C:F,{2,3,4},FALSE)</f>
        <v>46297</v>
      </c>
      <c r="R2489" t="str">
        <v>C03</v>
      </c>
      <c r="S2489" t="str">
        <v>1000000072 BERTEC S.A</v>
      </c>
    </row>
    <row r="2490" spans="1:19" x14ac:dyDescent="0.3">
      <c r="A2490" s="2" t="s">
        <v>14</v>
      </c>
      <c r="B2490" s="3" t="s">
        <v>14</v>
      </c>
      <c r="C2490" s="3" t="s">
        <v>2184</v>
      </c>
      <c r="D2490" s="3" t="s">
        <v>14</v>
      </c>
      <c r="E2490" s="3" t="s">
        <v>466</v>
      </c>
      <c r="F2490" s="4">
        <v>46296</v>
      </c>
      <c r="G2490" s="3" t="s">
        <v>17</v>
      </c>
      <c r="H2490" s="5">
        <v>-123420</v>
      </c>
      <c r="I2490" s="3" t="s">
        <v>18</v>
      </c>
      <c r="J2490" s="3" t="s">
        <v>14</v>
      </c>
      <c r="K2490" s="3" t="s">
        <v>14</v>
      </c>
      <c r="L2490" s="3" t="s">
        <v>274</v>
      </c>
      <c r="M2490" s="4">
        <v>46296</v>
      </c>
      <c r="N2490" s="3" t="s">
        <v>2185</v>
      </c>
      <c r="O2490" s="3" t="s">
        <v>22</v>
      </c>
      <c r="P2490" t="str">
        <f t="shared" si="38"/>
        <v>450013938820</v>
      </c>
      <c r="Q2490" s="7" cm="1">
        <f t="array" ref="Q2490:S2490">VLOOKUP(P2490,Hoja1!C:F,{2,3,4},FALSE)</f>
        <v>46297</v>
      </c>
      <c r="R2490" t="str">
        <v>C03</v>
      </c>
      <c r="S2490" t="str">
        <v>1000000072 BERTEC S.A</v>
      </c>
    </row>
    <row r="2491" spans="1:19" x14ac:dyDescent="0.3">
      <c r="A2491" s="2" t="s">
        <v>14</v>
      </c>
      <c r="B2491" s="3" t="s">
        <v>14</v>
      </c>
      <c r="C2491" s="3" t="s">
        <v>2186</v>
      </c>
      <c r="D2491" s="3" t="s">
        <v>14</v>
      </c>
      <c r="E2491" s="3" t="s">
        <v>466</v>
      </c>
      <c r="F2491" s="4">
        <v>46273</v>
      </c>
      <c r="G2491" s="3" t="s">
        <v>17</v>
      </c>
      <c r="H2491" s="5">
        <v>-850000</v>
      </c>
      <c r="I2491" s="3" t="s">
        <v>18</v>
      </c>
      <c r="J2491" s="3" t="s">
        <v>14</v>
      </c>
      <c r="K2491" s="3" t="s">
        <v>14</v>
      </c>
      <c r="L2491" s="3" t="s">
        <v>2187</v>
      </c>
      <c r="M2491" s="4">
        <v>46296</v>
      </c>
      <c r="N2491" s="3" t="s">
        <v>2188</v>
      </c>
      <c r="O2491" s="3" t="s">
        <v>30</v>
      </c>
      <c r="P2491" t="str">
        <f t="shared" si="38"/>
        <v>450013803110</v>
      </c>
      <c r="Q2491" s="7" cm="1">
        <f t="array" ref="Q2491:S2491">VLOOKUP(P2491,Hoja1!C:F,{2,3,4},FALSE)</f>
        <v>46280</v>
      </c>
      <c r="R2491" t="str">
        <v>C38</v>
      </c>
      <c r="S2491" t="str">
        <v>1000013586 MINICUCCI NANCY MARIA</v>
      </c>
    </row>
    <row r="2492" spans="1:19" x14ac:dyDescent="0.3">
      <c r="A2492" s="2" t="s">
        <v>14</v>
      </c>
      <c r="B2492" s="3" t="s">
        <v>14</v>
      </c>
      <c r="C2492" s="3" t="s">
        <v>2189</v>
      </c>
      <c r="D2492" s="3" t="s">
        <v>14</v>
      </c>
      <c r="E2492" s="3" t="s">
        <v>466</v>
      </c>
      <c r="F2492" s="4">
        <v>46296</v>
      </c>
      <c r="G2492" s="3" t="s">
        <v>17</v>
      </c>
      <c r="H2492" s="5">
        <v>-455820</v>
      </c>
      <c r="I2492" s="3" t="s">
        <v>18</v>
      </c>
      <c r="J2492" s="3" t="s">
        <v>14</v>
      </c>
      <c r="K2492" s="3" t="s">
        <v>14</v>
      </c>
      <c r="L2492" s="3" t="s">
        <v>997</v>
      </c>
      <c r="M2492" s="4">
        <v>46296</v>
      </c>
      <c r="N2492" s="3" t="s">
        <v>2190</v>
      </c>
      <c r="O2492" s="3" t="s">
        <v>22</v>
      </c>
      <c r="P2492" t="str">
        <f t="shared" si="38"/>
        <v>450013941920</v>
      </c>
      <c r="Q2492" s="7" cm="1">
        <f t="array" ref="Q2492:S2492">VLOOKUP(P2492,Hoja1!C:F,{2,3,4},FALSE)</f>
        <v>46301</v>
      </c>
      <c r="R2492" t="str">
        <v>C22</v>
      </c>
      <c r="S2492" t="str">
        <v>1000000003 ARROYITO MAQUINARIAS S.R.L.</v>
      </c>
    </row>
    <row r="2493" spans="1:19" x14ac:dyDescent="0.3">
      <c r="A2493" s="2" t="s">
        <v>14</v>
      </c>
      <c r="B2493" s="3" t="s">
        <v>14</v>
      </c>
      <c r="C2493" s="3" t="s">
        <v>2191</v>
      </c>
      <c r="D2493" s="3" t="s">
        <v>14</v>
      </c>
      <c r="E2493" s="3" t="s">
        <v>466</v>
      </c>
      <c r="F2493" s="4">
        <v>46296</v>
      </c>
      <c r="G2493" s="3" t="s">
        <v>17</v>
      </c>
      <c r="H2493" s="5">
        <v>-500698</v>
      </c>
      <c r="I2493" s="3" t="s">
        <v>18</v>
      </c>
      <c r="J2493" s="3" t="s">
        <v>14</v>
      </c>
      <c r="K2493" s="3" t="s">
        <v>14</v>
      </c>
      <c r="L2493" s="3" t="s">
        <v>117</v>
      </c>
      <c r="M2493" s="4">
        <v>46296</v>
      </c>
      <c r="N2493" s="3" t="s">
        <v>2192</v>
      </c>
      <c r="O2493" s="3" t="s">
        <v>22</v>
      </c>
      <c r="P2493" t="str">
        <f t="shared" si="38"/>
        <v>450013897220</v>
      </c>
      <c r="Q2493" s="7" cm="1">
        <f t="array" ref="Q2493:S2493">VLOOKUP(P2493,Hoja1!C:F,{2,3,4},FALSE)</f>
        <v>46301</v>
      </c>
      <c r="R2493" t="str">
        <v>C29</v>
      </c>
      <c r="S2493" t="str">
        <v>1000001129 AGRONORTE S.R.L.</v>
      </c>
    </row>
    <row r="2494" spans="1:19" x14ac:dyDescent="0.3">
      <c r="A2494" s="2" t="s">
        <v>14</v>
      </c>
      <c r="B2494" s="3" t="s">
        <v>14</v>
      </c>
      <c r="C2494" s="3" t="s">
        <v>2193</v>
      </c>
      <c r="D2494" s="3" t="s">
        <v>14</v>
      </c>
      <c r="E2494" s="3" t="s">
        <v>466</v>
      </c>
      <c r="F2494" s="4">
        <v>46295</v>
      </c>
      <c r="G2494" s="3" t="s">
        <v>17</v>
      </c>
      <c r="H2494" s="5">
        <v>-115165</v>
      </c>
      <c r="I2494" s="3" t="s">
        <v>18</v>
      </c>
      <c r="J2494" s="3" t="s">
        <v>14</v>
      </c>
      <c r="K2494" s="3" t="s">
        <v>14</v>
      </c>
      <c r="L2494" s="3" t="s">
        <v>20</v>
      </c>
      <c r="M2494" s="4">
        <v>46296</v>
      </c>
      <c r="N2494" s="3" t="s">
        <v>2174</v>
      </c>
      <c r="O2494" s="3" t="s">
        <v>147</v>
      </c>
      <c r="P2494" t="str">
        <f t="shared" si="38"/>
        <v>4500139123310</v>
      </c>
      <c r="Q2494" s="7" cm="1">
        <f t="array" ref="Q2494:S2494">VLOOKUP(P2494,Hoja1!C:F,{2,3,4},FALSE)</f>
        <v>46300</v>
      </c>
      <c r="R2494" t="str">
        <v>C03</v>
      </c>
      <c r="S2494" t="str">
        <v>1000000754 AURELIA SACIYF</v>
      </c>
    </row>
    <row r="2495" spans="1:19" x14ac:dyDescent="0.3">
      <c r="A2495" s="2" t="s">
        <v>14</v>
      </c>
      <c r="B2495" s="3" t="s">
        <v>14</v>
      </c>
      <c r="C2495" s="3" t="s">
        <v>2193</v>
      </c>
      <c r="D2495" s="3" t="s">
        <v>14</v>
      </c>
      <c r="E2495" s="3" t="s">
        <v>466</v>
      </c>
      <c r="F2495" s="4">
        <v>46295</v>
      </c>
      <c r="G2495" s="3" t="s">
        <v>17</v>
      </c>
      <c r="H2495" s="5">
        <v>-1370646</v>
      </c>
      <c r="I2495" s="3" t="s">
        <v>18</v>
      </c>
      <c r="J2495" s="3" t="s">
        <v>14</v>
      </c>
      <c r="K2495" s="3" t="s">
        <v>14</v>
      </c>
      <c r="L2495" s="3" t="s">
        <v>20</v>
      </c>
      <c r="M2495" s="4">
        <v>46296</v>
      </c>
      <c r="N2495" s="3" t="s">
        <v>2174</v>
      </c>
      <c r="O2495" s="3" t="s">
        <v>154</v>
      </c>
      <c r="P2495" t="str">
        <f t="shared" si="38"/>
        <v>4500139123330</v>
      </c>
      <c r="Q2495" s="7" cm="1">
        <f t="array" ref="Q2495:S2495">VLOOKUP(P2495,Hoja1!C:F,{2,3,4},FALSE)</f>
        <v>46300</v>
      </c>
      <c r="R2495" t="str">
        <v>C03</v>
      </c>
      <c r="S2495" t="str">
        <v>1000000754 AURELIA SACIYF</v>
      </c>
    </row>
    <row r="2496" spans="1:19" x14ac:dyDescent="0.3">
      <c r="A2496" s="2" t="s">
        <v>14</v>
      </c>
      <c r="B2496" s="3" t="s">
        <v>14</v>
      </c>
      <c r="C2496" s="3" t="s">
        <v>2193</v>
      </c>
      <c r="D2496" s="3" t="s">
        <v>14</v>
      </c>
      <c r="E2496" s="3" t="s">
        <v>466</v>
      </c>
      <c r="F2496" s="4">
        <v>46295</v>
      </c>
      <c r="G2496" s="3" t="s">
        <v>17</v>
      </c>
      <c r="H2496" s="5">
        <v>-30150</v>
      </c>
      <c r="I2496" s="3" t="s">
        <v>18</v>
      </c>
      <c r="J2496" s="3" t="s">
        <v>14</v>
      </c>
      <c r="K2496" s="3" t="s">
        <v>14</v>
      </c>
      <c r="L2496" s="3" t="s">
        <v>20</v>
      </c>
      <c r="M2496" s="4">
        <v>46296</v>
      </c>
      <c r="N2496" s="3" t="s">
        <v>2174</v>
      </c>
      <c r="O2496" s="3" t="s">
        <v>145</v>
      </c>
      <c r="P2496" t="str">
        <f t="shared" si="38"/>
        <v>4500139123300</v>
      </c>
      <c r="Q2496" s="7" cm="1">
        <f t="array" ref="Q2496:S2496">VLOOKUP(P2496,Hoja1!C:F,{2,3,4},FALSE)</f>
        <v>46300</v>
      </c>
      <c r="R2496" t="str">
        <v>C03</v>
      </c>
      <c r="S2496" t="str">
        <v>1000000754 AURELIA SACIYF</v>
      </c>
    </row>
    <row r="2497" spans="1:19" x14ac:dyDescent="0.3">
      <c r="A2497" s="2" t="s">
        <v>14</v>
      </c>
      <c r="B2497" s="3" t="s">
        <v>14</v>
      </c>
      <c r="C2497" s="3" t="s">
        <v>2193</v>
      </c>
      <c r="D2497" s="3" t="s">
        <v>14</v>
      </c>
      <c r="E2497" s="3" t="s">
        <v>466</v>
      </c>
      <c r="F2497" s="4">
        <v>46295</v>
      </c>
      <c r="G2497" s="3" t="s">
        <v>17</v>
      </c>
      <c r="H2497" s="5">
        <v>-2190</v>
      </c>
      <c r="I2497" s="3" t="s">
        <v>18</v>
      </c>
      <c r="J2497" s="3" t="s">
        <v>14</v>
      </c>
      <c r="K2497" s="3" t="s">
        <v>14</v>
      </c>
      <c r="L2497" s="3" t="s">
        <v>20</v>
      </c>
      <c r="M2497" s="4">
        <v>46296</v>
      </c>
      <c r="N2497" s="3" t="s">
        <v>2174</v>
      </c>
      <c r="O2497" s="3" t="s">
        <v>131</v>
      </c>
      <c r="P2497" t="str">
        <f t="shared" si="38"/>
        <v>4500139123140</v>
      </c>
      <c r="Q2497" s="7" cm="1">
        <f t="array" ref="Q2497:S2497">VLOOKUP(P2497,Hoja1!C:F,{2,3,4},FALSE)</f>
        <v>46300</v>
      </c>
      <c r="R2497" t="str">
        <v>C03</v>
      </c>
      <c r="S2497" t="str">
        <v>1000000754 AURELIA SACIYF</v>
      </c>
    </row>
    <row r="2498" spans="1:19" x14ac:dyDescent="0.3">
      <c r="A2498" s="2" t="s">
        <v>14</v>
      </c>
      <c r="B2498" s="3" t="s">
        <v>14</v>
      </c>
      <c r="C2498" s="3" t="s">
        <v>2193</v>
      </c>
      <c r="D2498" s="3" t="s">
        <v>14</v>
      </c>
      <c r="E2498" s="3" t="s">
        <v>466</v>
      </c>
      <c r="F2498" s="4">
        <v>46295</v>
      </c>
      <c r="G2498" s="3" t="s">
        <v>17</v>
      </c>
      <c r="H2498" s="5">
        <v>-2450</v>
      </c>
      <c r="I2498" s="3" t="s">
        <v>18</v>
      </c>
      <c r="J2498" s="3" t="s">
        <v>14</v>
      </c>
      <c r="K2498" s="3" t="s">
        <v>14</v>
      </c>
      <c r="L2498" s="3" t="s">
        <v>20</v>
      </c>
      <c r="M2498" s="4">
        <v>46296</v>
      </c>
      <c r="N2498" s="3" t="s">
        <v>2174</v>
      </c>
      <c r="O2498" s="3" t="s">
        <v>142</v>
      </c>
      <c r="P2498" t="str">
        <f t="shared" si="38"/>
        <v>4500139123130</v>
      </c>
      <c r="Q2498" s="7" cm="1">
        <f t="array" ref="Q2498:S2498">VLOOKUP(P2498,Hoja1!C:F,{2,3,4},FALSE)</f>
        <v>46300</v>
      </c>
      <c r="R2498" t="str">
        <v>C03</v>
      </c>
      <c r="S2498" t="str">
        <v>1000000754 AURELIA SACIYF</v>
      </c>
    </row>
    <row r="2499" spans="1:19" x14ac:dyDescent="0.3">
      <c r="A2499" s="2" t="s">
        <v>14</v>
      </c>
      <c r="B2499" s="3" t="s">
        <v>14</v>
      </c>
      <c r="C2499" s="3" t="s">
        <v>2193</v>
      </c>
      <c r="D2499" s="3" t="s">
        <v>14</v>
      </c>
      <c r="E2499" s="3" t="s">
        <v>466</v>
      </c>
      <c r="F2499" s="4">
        <v>46295</v>
      </c>
      <c r="G2499" s="3" t="s">
        <v>17</v>
      </c>
      <c r="H2499" s="5">
        <v>-40564.800000000003</v>
      </c>
      <c r="I2499" s="3" t="s">
        <v>18</v>
      </c>
      <c r="J2499" s="3" t="s">
        <v>14</v>
      </c>
      <c r="K2499" s="3" t="s">
        <v>14</v>
      </c>
      <c r="L2499" s="3" t="s">
        <v>20</v>
      </c>
      <c r="M2499" s="4">
        <v>46296</v>
      </c>
      <c r="N2499" s="3" t="s">
        <v>2174</v>
      </c>
      <c r="O2499" s="3" t="s">
        <v>22</v>
      </c>
      <c r="P2499" t="str">
        <f t="shared" ref="P2499:P2562" si="39">_xlfn.CONCAT(N2499:O2499)</f>
        <v>450013912320</v>
      </c>
      <c r="Q2499" s="7" cm="1">
        <f t="array" ref="Q2499:S2499">VLOOKUP(P2499,Hoja1!C:F,{2,3,4},FALSE)</f>
        <v>46300</v>
      </c>
      <c r="R2499" t="str">
        <v>C03</v>
      </c>
      <c r="S2499" t="str">
        <v>1000000754 AURELIA SACIYF</v>
      </c>
    </row>
    <row r="2500" spans="1:19" x14ac:dyDescent="0.3">
      <c r="A2500" s="2" t="s">
        <v>14</v>
      </c>
      <c r="B2500" s="3" t="s">
        <v>14</v>
      </c>
      <c r="C2500" s="3" t="s">
        <v>2193</v>
      </c>
      <c r="D2500" s="3" t="s">
        <v>14</v>
      </c>
      <c r="E2500" s="3" t="s">
        <v>466</v>
      </c>
      <c r="F2500" s="4">
        <v>46295</v>
      </c>
      <c r="G2500" s="3" t="s">
        <v>17</v>
      </c>
      <c r="H2500" s="5">
        <v>-7875</v>
      </c>
      <c r="I2500" s="3" t="s">
        <v>18</v>
      </c>
      <c r="J2500" s="3" t="s">
        <v>14</v>
      </c>
      <c r="K2500" s="3" t="s">
        <v>14</v>
      </c>
      <c r="L2500" s="3" t="s">
        <v>20</v>
      </c>
      <c r="M2500" s="4">
        <v>46296</v>
      </c>
      <c r="N2500" s="3" t="s">
        <v>2174</v>
      </c>
      <c r="O2500" s="3" t="s">
        <v>173</v>
      </c>
      <c r="P2500" t="str">
        <f t="shared" si="39"/>
        <v>4500139123290</v>
      </c>
      <c r="Q2500" s="7" cm="1">
        <f t="array" ref="Q2500:S2500">VLOOKUP(P2500,Hoja1!C:F,{2,3,4},FALSE)</f>
        <v>46300</v>
      </c>
      <c r="R2500" t="str">
        <v>C03</v>
      </c>
      <c r="S2500" t="str">
        <v>1000000754 AURELIA SACIYF</v>
      </c>
    </row>
    <row r="2501" spans="1:19" x14ac:dyDescent="0.3">
      <c r="A2501" s="2" t="s">
        <v>14</v>
      </c>
      <c r="B2501" s="3" t="s">
        <v>14</v>
      </c>
      <c r="C2501" s="3" t="s">
        <v>2193</v>
      </c>
      <c r="D2501" s="3" t="s">
        <v>14</v>
      </c>
      <c r="E2501" s="3" t="s">
        <v>466</v>
      </c>
      <c r="F2501" s="4">
        <v>46295</v>
      </c>
      <c r="G2501" s="3" t="s">
        <v>17</v>
      </c>
      <c r="H2501" s="5">
        <v>-99075</v>
      </c>
      <c r="I2501" s="3" t="s">
        <v>18</v>
      </c>
      <c r="J2501" s="3" t="s">
        <v>14</v>
      </c>
      <c r="K2501" s="3" t="s">
        <v>14</v>
      </c>
      <c r="L2501" s="3" t="s">
        <v>20</v>
      </c>
      <c r="M2501" s="4">
        <v>46296</v>
      </c>
      <c r="N2501" s="3" t="s">
        <v>2174</v>
      </c>
      <c r="O2501" s="3" t="s">
        <v>133</v>
      </c>
      <c r="P2501" t="str">
        <f t="shared" si="39"/>
        <v>4500139123280</v>
      </c>
      <c r="Q2501" s="7" cm="1">
        <f t="array" ref="Q2501:S2501">VLOOKUP(P2501,Hoja1!C:F,{2,3,4},FALSE)</f>
        <v>46300</v>
      </c>
      <c r="R2501" t="str">
        <v>C03</v>
      </c>
      <c r="S2501" t="str">
        <v>1000000754 AURELIA SACIYF</v>
      </c>
    </row>
    <row r="2502" spans="1:19" x14ac:dyDescent="0.3">
      <c r="A2502" s="2" t="s">
        <v>14</v>
      </c>
      <c r="B2502" s="3" t="s">
        <v>14</v>
      </c>
      <c r="C2502" s="3" t="s">
        <v>2193</v>
      </c>
      <c r="D2502" s="3" t="s">
        <v>14</v>
      </c>
      <c r="E2502" s="3" t="s">
        <v>466</v>
      </c>
      <c r="F2502" s="4">
        <v>46295</v>
      </c>
      <c r="G2502" s="3" t="s">
        <v>17</v>
      </c>
      <c r="H2502" s="5">
        <v>-217000</v>
      </c>
      <c r="I2502" s="3" t="s">
        <v>18</v>
      </c>
      <c r="J2502" s="3" t="s">
        <v>14</v>
      </c>
      <c r="K2502" s="3" t="s">
        <v>14</v>
      </c>
      <c r="L2502" s="3" t="s">
        <v>20</v>
      </c>
      <c r="M2502" s="4">
        <v>46296</v>
      </c>
      <c r="N2502" s="3" t="s">
        <v>2174</v>
      </c>
      <c r="O2502" s="3" t="s">
        <v>140</v>
      </c>
      <c r="P2502" t="str">
        <f t="shared" si="39"/>
        <v>4500139123220</v>
      </c>
      <c r="Q2502" s="7" cm="1">
        <f t="array" ref="Q2502:S2502">VLOOKUP(P2502,Hoja1!C:F,{2,3,4},FALSE)</f>
        <v>46300</v>
      </c>
      <c r="R2502" t="str">
        <v>C03</v>
      </c>
      <c r="S2502" t="str">
        <v>1000000754 AURELIA SACIYF</v>
      </c>
    </row>
    <row r="2503" spans="1:19" x14ac:dyDescent="0.3">
      <c r="A2503" s="2" t="s">
        <v>14</v>
      </c>
      <c r="B2503" s="3" t="s">
        <v>14</v>
      </c>
      <c r="C2503" s="3" t="s">
        <v>2193</v>
      </c>
      <c r="D2503" s="3" t="s">
        <v>14</v>
      </c>
      <c r="E2503" s="3" t="s">
        <v>466</v>
      </c>
      <c r="F2503" s="4">
        <v>46295</v>
      </c>
      <c r="G2503" s="3" t="s">
        <v>17</v>
      </c>
      <c r="H2503" s="5">
        <v>-295025</v>
      </c>
      <c r="I2503" s="3" t="s">
        <v>18</v>
      </c>
      <c r="J2503" s="3" t="s">
        <v>14</v>
      </c>
      <c r="K2503" s="3" t="s">
        <v>14</v>
      </c>
      <c r="L2503" s="3" t="s">
        <v>20</v>
      </c>
      <c r="M2503" s="4">
        <v>46296</v>
      </c>
      <c r="N2503" s="3" t="s">
        <v>2174</v>
      </c>
      <c r="O2503" s="3" t="s">
        <v>136</v>
      </c>
      <c r="P2503" t="str">
        <f t="shared" si="39"/>
        <v>4500139123210</v>
      </c>
      <c r="Q2503" s="7" cm="1">
        <f t="array" ref="Q2503:S2503">VLOOKUP(P2503,Hoja1!C:F,{2,3,4},FALSE)</f>
        <v>46300</v>
      </c>
      <c r="R2503" t="str">
        <v>C03</v>
      </c>
      <c r="S2503" t="str">
        <v>1000000754 AURELIA SACIYF</v>
      </c>
    </row>
    <row r="2504" spans="1:19" x14ac:dyDescent="0.3">
      <c r="A2504" s="2" t="s">
        <v>14</v>
      </c>
      <c r="B2504" s="3" t="s">
        <v>14</v>
      </c>
      <c r="C2504" s="3" t="s">
        <v>2193</v>
      </c>
      <c r="D2504" s="3" t="s">
        <v>14</v>
      </c>
      <c r="E2504" s="3" t="s">
        <v>466</v>
      </c>
      <c r="F2504" s="4">
        <v>46295</v>
      </c>
      <c r="G2504" s="3" t="s">
        <v>17</v>
      </c>
      <c r="H2504" s="5">
        <v>-54720</v>
      </c>
      <c r="I2504" s="3" t="s">
        <v>18</v>
      </c>
      <c r="J2504" s="3" t="s">
        <v>14</v>
      </c>
      <c r="K2504" s="3" t="s">
        <v>14</v>
      </c>
      <c r="L2504" s="3" t="s">
        <v>20</v>
      </c>
      <c r="M2504" s="4">
        <v>46296</v>
      </c>
      <c r="N2504" s="3" t="s">
        <v>2174</v>
      </c>
      <c r="O2504" s="3" t="s">
        <v>132</v>
      </c>
      <c r="P2504" t="str">
        <f t="shared" si="39"/>
        <v>4500139123120</v>
      </c>
      <c r="Q2504" s="7" cm="1">
        <f t="array" ref="Q2504:S2504">VLOOKUP(P2504,Hoja1!C:F,{2,3,4},FALSE)</f>
        <v>46300</v>
      </c>
      <c r="R2504" t="str">
        <v>C03</v>
      </c>
      <c r="S2504" t="str">
        <v>1000000754 AURELIA SACIYF</v>
      </c>
    </row>
    <row r="2505" spans="1:19" x14ac:dyDescent="0.3">
      <c r="A2505" s="2" t="s">
        <v>14</v>
      </c>
      <c r="B2505" s="3" t="s">
        <v>14</v>
      </c>
      <c r="C2505" s="3" t="s">
        <v>2193</v>
      </c>
      <c r="D2505" s="3" t="s">
        <v>14</v>
      </c>
      <c r="E2505" s="3" t="s">
        <v>466</v>
      </c>
      <c r="F2505" s="4">
        <v>46295</v>
      </c>
      <c r="G2505" s="3" t="s">
        <v>17</v>
      </c>
      <c r="H2505" s="5">
        <v>-21480</v>
      </c>
      <c r="I2505" s="3" t="s">
        <v>18</v>
      </c>
      <c r="J2505" s="3" t="s">
        <v>14</v>
      </c>
      <c r="K2505" s="3" t="s">
        <v>14</v>
      </c>
      <c r="L2505" s="3" t="s">
        <v>20</v>
      </c>
      <c r="M2505" s="4">
        <v>46296</v>
      </c>
      <c r="N2505" s="3" t="s">
        <v>2174</v>
      </c>
      <c r="O2505" s="3" t="s">
        <v>156</v>
      </c>
      <c r="P2505" t="str">
        <f t="shared" si="39"/>
        <v>4500139123110</v>
      </c>
      <c r="Q2505" s="7" cm="1">
        <f t="array" ref="Q2505:S2505">VLOOKUP(P2505,Hoja1!C:F,{2,3,4},FALSE)</f>
        <v>46300</v>
      </c>
      <c r="R2505" t="str">
        <v>C03</v>
      </c>
      <c r="S2505" t="str">
        <v>1000000754 AURELIA SACIYF</v>
      </c>
    </row>
    <row r="2506" spans="1:19" x14ac:dyDescent="0.3">
      <c r="A2506" s="2" t="s">
        <v>14</v>
      </c>
      <c r="B2506" s="3" t="s">
        <v>14</v>
      </c>
      <c r="C2506" s="3" t="s">
        <v>2193</v>
      </c>
      <c r="D2506" s="3" t="s">
        <v>14</v>
      </c>
      <c r="E2506" s="3" t="s">
        <v>466</v>
      </c>
      <c r="F2506" s="4">
        <v>46295</v>
      </c>
      <c r="G2506" s="3" t="s">
        <v>17</v>
      </c>
      <c r="H2506" s="5">
        <v>-716928</v>
      </c>
      <c r="I2506" s="3" t="s">
        <v>18</v>
      </c>
      <c r="J2506" s="3" t="s">
        <v>14</v>
      </c>
      <c r="K2506" s="3" t="s">
        <v>14</v>
      </c>
      <c r="L2506" s="3" t="s">
        <v>20</v>
      </c>
      <c r="M2506" s="4">
        <v>46296</v>
      </c>
      <c r="N2506" s="3" t="s">
        <v>2174</v>
      </c>
      <c r="O2506" s="3" t="s">
        <v>141</v>
      </c>
      <c r="P2506" t="str">
        <f t="shared" si="39"/>
        <v>450013912360</v>
      </c>
      <c r="Q2506" s="7" cm="1">
        <f t="array" ref="Q2506:S2506">VLOOKUP(P2506,Hoja1!C:F,{2,3,4},FALSE)</f>
        <v>46300</v>
      </c>
      <c r="R2506" t="str">
        <v>C03</v>
      </c>
      <c r="S2506" t="str">
        <v>1000000754 AURELIA SACIYF</v>
      </c>
    </row>
    <row r="2507" spans="1:19" x14ac:dyDescent="0.3">
      <c r="A2507" s="2" t="s">
        <v>14</v>
      </c>
      <c r="B2507" s="3" t="s">
        <v>14</v>
      </c>
      <c r="C2507" s="3" t="s">
        <v>2193</v>
      </c>
      <c r="D2507" s="3" t="s">
        <v>14</v>
      </c>
      <c r="E2507" s="3" t="s">
        <v>466</v>
      </c>
      <c r="F2507" s="4">
        <v>46295</v>
      </c>
      <c r="G2507" s="3" t="s">
        <v>17</v>
      </c>
      <c r="H2507" s="5">
        <v>-94300.5</v>
      </c>
      <c r="I2507" s="3" t="s">
        <v>18</v>
      </c>
      <c r="J2507" s="3" t="s">
        <v>14</v>
      </c>
      <c r="K2507" s="3" t="s">
        <v>14</v>
      </c>
      <c r="L2507" s="3" t="s">
        <v>20</v>
      </c>
      <c r="M2507" s="4">
        <v>46296</v>
      </c>
      <c r="N2507" s="3" t="s">
        <v>2174</v>
      </c>
      <c r="O2507" s="3" t="s">
        <v>30</v>
      </c>
      <c r="P2507" t="str">
        <f t="shared" si="39"/>
        <v>450013912310</v>
      </c>
      <c r="Q2507" s="7" cm="1">
        <f t="array" ref="Q2507:S2507">VLOOKUP(P2507,Hoja1!C:F,{2,3,4},FALSE)</f>
        <v>46300</v>
      </c>
      <c r="R2507" t="str">
        <v>C03</v>
      </c>
      <c r="S2507" t="str">
        <v>1000000754 AURELIA SACIYF</v>
      </c>
    </row>
    <row r="2508" spans="1:19" x14ac:dyDescent="0.3">
      <c r="A2508" s="2" t="s">
        <v>14</v>
      </c>
      <c r="B2508" s="3" t="s">
        <v>14</v>
      </c>
      <c r="C2508" s="3" t="s">
        <v>2266</v>
      </c>
      <c r="D2508" s="3" t="s">
        <v>192</v>
      </c>
      <c r="E2508" s="3" t="s">
        <v>466</v>
      </c>
      <c r="F2508" s="4">
        <v>46296</v>
      </c>
      <c r="G2508" s="3" t="s">
        <v>17</v>
      </c>
      <c r="H2508" s="5">
        <v>-396849.75</v>
      </c>
      <c r="I2508" s="3" t="s">
        <v>18</v>
      </c>
      <c r="J2508" s="3" t="s">
        <v>14</v>
      </c>
      <c r="K2508" s="3" t="s">
        <v>14</v>
      </c>
      <c r="L2508" s="3" t="s">
        <v>976</v>
      </c>
      <c r="M2508" s="4">
        <v>46296</v>
      </c>
      <c r="N2508" s="3" t="s">
        <v>2267</v>
      </c>
      <c r="O2508" s="3" t="s">
        <v>30</v>
      </c>
      <c r="P2508" t="str">
        <f t="shared" si="39"/>
        <v>450011766410</v>
      </c>
      <c r="Q2508" s="7" cm="1">
        <f t="array" ref="Q2508:S2508">VLOOKUP(P2508,Hoja1!C:F,{2,3,4},FALSE)</f>
        <v>46356</v>
      </c>
      <c r="R2508" t="str">
        <v>C25</v>
      </c>
      <c r="S2508" t="str">
        <v>1000007795 JAWIT S.A.</v>
      </c>
    </row>
    <row r="2509" spans="1:19" x14ac:dyDescent="0.3">
      <c r="A2509" s="2" t="s">
        <v>14</v>
      </c>
      <c r="B2509" s="3" t="s">
        <v>14</v>
      </c>
      <c r="C2509" s="3" t="s">
        <v>2268</v>
      </c>
      <c r="D2509" s="3" t="s">
        <v>32</v>
      </c>
      <c r="E2509" s="3" t="s">
        <v>466</v>
      </c>
      <c r="F2509" s="4">
        <v>46296</v>
      </c>
      <c r="G2509" s="3" t="s">
        <v>17</v>
      </c>
      <c r="H2509" s="5">
        <v>-4608452.0999999996</v>
      </c>
      <c r="I2509" s="3" t="s">
        <v>18</v>
      </c>
      <c r="J2509" s="3" t="s">
        <v>14</v>
      </c>
      <c r="K2509" s="3" t="s">
        <v>14</v>
      </c>
      <c r="L2509" s="3" t="s">
        <v>2269</v>
      </c>
      <c r="M2509" s="4">
        <v>46296</v>
      </c>
      <c r="N2509" s="3" t="s">
        <v>2270</v>
      </c>
      <c r="O2509" s="3" t="s">
        <v>30</v>
      </c>
      <c r="P2509" t="str">
        <f t="shared" si="39"/>
        <v>450013485110</v>
      </c>
      <c r="Q2509" s="7" cm="1">
        <f t="array" ref="Q2509:S2509">VLOOKUP(P2509,Hoja1!C:F,{2,3,4},FALSE)</f>
        <v>46310</v>
      </c>
      <c r="R2509" t="str">
        <v>C25</v>
      </c>
      <c r="S2509" t="str">
        <v>1000012630 DATUM S.A.</v>
      </c>
    </row>
    <row r="2510" spans="1:19" x14ac:dyDescent="0.3">
      <c r="A2510" s="2" t="s">
        <v>14</v>
      </c>
      <c r="B2510" s="3" t="s">
        <v>14</v>
      </c>
      <c r="C2510" s="3" t="s">
        <v>2271</v>
      </c>
      <c r="D2510" s="3" t="s">
        <v>32</v>
      </c>
      <c r="E2510" s="3" t="s">
        <v>466</v>
      </c>
      <c r="F2510" s="4">
        <v>46296</v>
      </c>
      <c r="G2510" s="3" t="s">
        <v>17</v>
      </c>
      <c r="H2510" s="5">
        <v>-1560000</v>
      </c>
      <c r="I2510" s="3" t="s">
        <v>18</v>
      </c>
      <c r="J2510" s="3" t="s">
        <v>14</v>
      </c>
      <c r="K2510" s="3" t="s">
        <v>14</v>
      </c>
      <c r="L2510" s="3" t="s">
        <v>2269</v>
      </c>
      <c r="M2510" s="4">
        <v>46296</v>
      </c>
      <c r="N2510" s="3" t="s">
        <v>2272</v>
      </c>
      <c r="O2510" s="3" t="s">
        <v>144</v>
      </c>
      <c r="P2510" t="str">
        <f t="shared" si="39"/>
        <v>450011993050</v>
      </c>
      <c r="Q2510" s="7" cm="1">
        <f t="array" ref="Q2510:S2510">VLOOKUP(P2510,Hoja1!C:F,{2,3,4},FALSE)</f>
        <v>46326</v>
      </c>
      <c r="R2510" t="str">
        <v>C25</v>
      </c>
      <c r="S2510" t="str">
        <v>1000012630 DATUM S.A.</v>
      </c>
    </row>
    <row r="2511" spans="1:19" x14ac:dyDescent="0.3">
      <c r="A2511" s="2" t="s">
        <v>14</v>
      </c>
      <c r="B2511" s="3" t="s">
        <v>14</v>
      </c>
      <c r="C2511" s="3" t="s">
        <v>2271</v>
      </c>
      <c r="D2511" s="3" t="s">
        <v>32</v>
      </c>
      <c r="E2511" s="3" t="s">
        <v>466</v>
      </c>
      <c r="F2511" s="4">
        <v>46296</v>
      </c>
      <c r="G2511" s="3" t="s">
        <v>17</v>
      </c>
      <c r="H2511" s="5">
        <v>-1560000</v>
      </c>
      <c r="I2511" s="3" t="s">
        <v>18</v>
      </c>
      <c r="J2511" s="3" t="s">
        <v>14</v>
      </c>
      <c r="K2511" s="3" t="s">
        <v>14</v>
      </c>
      <c r="L2511" s="3" t="s">
        <v>2269</v>
      </c>
      <c r="M2511" s="4">
        <v>46296</v>
      </c>
      <c r="N2511" s="3" t="s">
        <v>2272</v>
      </c>
      <c r="O2511" s="3" t="s">
        <v>141</v>
      </c>
      <c r="P2511" t="str">
        <f t="shared" si="39"/>
        <v>450011993060</v>
      </c>
      <c r="Q2511" s="7" cm="1">
        <f t="array" ref="Q2511:S2511">VLOOKUP(P2511,Hoja1!C:F,{2,3,4},FALSE)</f>
        <v>46326</v>
      </c>
      <c r="R2511" t="str">
        <v>C25</v>
      </c>
      <c r="S2511" t="str">
        <v>1000012630 DATUM S.A.</v>
      </c>
    </row>
    <row r="2512" spans="1:19" x14ac:dyDescent="0.3">
      <c r="A2512" s="2" t="s">
        <v>14</v>
      </c>
      <c r="B2512" s="3" t="s">
        <v>14</v>
      </c>
      <c r="C2512" s="3" t="s">
        <v>2271</v>
      </c>
      <c r="D2512" s="3" t="s">
        <v>32</v>
      </c>
      <c r="E2512" s="3" t="s">
        <v>466</v>
      </c>
      <c r="F2512" s="4">
        <v>46296</v>
      </c>
      <c r="G2512" s="3" t="s">
        <v>17</v>
      </c>
      <c r="H2512" s="5">
        <v>-1560000</v>
      </c>
      <c r="I2512" s="3" t="s">
        <v>18</v>
      </c>
      <c r="J2512" s="3" t="s">
        <v>14</v>
      </c>
      <c r="K2512" s="3" t="s">
        <v>14</v>
      </c>
      <c r="L2512" s="3" t="s">
        <v>2269</v>
      </c>
      <c r="M2512" s="4">
        <v>46296</v>
      </c>
      <c r="N2512" s="3" t="s">
        <v>2272</v>
      </c>
      <c r="O2512" s="3" t="s">
        <v>134</v>
      </c>
      <c r="P2512" t="str">
        <f t="shared" si="39"/>
        <v>450011993070</v>
      </c>
      <c r="Q2512" s="7" cm="1">
        <f t="array" ref="Q2512:S2512">VLOOKUP(P2512,Hoja1!C:F,{2,3,4},FALSE)</f>
        <v>46326</v>
      </c>
      <c r="R2512" t="str">
        <v>C25</v>
      </c>
      <c r="S2512" t="str">
        <v>1000012630 DATUM S.A.</v>
      </c>
    </row>
    <row r="2513" spans="1:19" x14ac:dyDescent="0.3">
      <c r="A2513" s="2" t="s">
        <v>14</v>
      </c>
      <c r="B2513" s="3" t="s">
        <v>14</v>
      </c>
      <c r="C2513" s="3" t="s">
        <v>2273</v>
      </c>
      <c r="D2513" s="3" t="s">
        <v>192</v>
      </c>
      <c r="E2513" s="3" t="s">
        <v>466</v>
      </c>
      <c r="F2513" s="4">
        <v>46296</v>
      </c>
      <c r="G2513" s="3" t="s">
        <v>17</v>
      </c>
      <c r="H2513" s="5">
        <v>-10179349.57</v>
      </c>
      <c r="I2513" s="3" t="s">
        <v>18</v>
      </c>
      <c r="J2513" s="3" t="s">
        <v>14</v>
      </c>
      <c r="K2513" s="3" t="s">
        <v>14</v>
      </c>
      <c r="L2513" s="3" t="s">
        <v>2274</v>
      </c>
      <c r="M2513" s="4">
        <v>46296</v>
      </c>
      <c r="N2513" s="3" t="s">
        <v>2275</v>
      </c>
      <c r="O2513" s="3" t="s">
        <v>30</v>
      </c>
      <c r="P2513" t="str">
        <f t="shared" si="39"/>
        <v>450012866610</v>
      </c>
      <c r="Q2513" s="7" cm="1">
        <f t="array" ref="Q2513:S2513">VLOOKUP(P2513,Hoja1!C:F,{2,3,4},FALSE)</f>
        <v>46539</v>
      </c>
      <c r="R2513" t="str">
        <v>C25</v>
      </c>
      <c r="S2513" t="str">
        <v>1000002215 MIRASOLES SRL</v>
      </c>
    </row>
    <row r="2514" spans="1:19" x14ac:dyDescent="0.3">
      <c r="A2514" s="2" t="s">
        <v>14</v>
      </c>
      <c r="B2514" s="3" t="s">
        <v>14</v>
      </c>
      <c r="C2514" s="3" t="s">
        <v>2273</v>
      </c>
      <c r="D2514" s="3" t="s">
        <v>192</v>
      </c>
      <c r="E2514" s="3" t="s">
        <v>466</v>
      </c>
      <c r="F2514" s="4">
        <v>46296</v>
      </c>
      <c r="G2514" s="3" t="s">
        <v>17</v>
      </c>
      <c r="H2514" s="5">
        <v>-4134249.6</v>
      </c>
      <c r="I2514" s="3" t="s">
        <v>18</v>
      </c>
      <c r="J2514" s="3" t="s">
        <v>14</v>
      </c>
      <c r="K2514" s="3" t="s">
        <v>14</v>
      </c>
      <c r="L2514" s="3" t="s">
        <v>2274</v>
      </c>
      <c r="M2514" s="4">
        <v>46296</v>
      </c>
      <c r="N2514" s="3" t="s">
        <v>2275</v>
      </c>
      <c r="O2514" s="3" t="s">
        <v>22</v>
      </c>
      <c r="P2514" t="str">
        <f t="shared" si="39"/>
        <v>450012866620</v>
      </c>
      <c r="Q2514" s="7" cm="1">
        <f t="array" ref="Q2514:S2514">VLOOKUP(P2514,Hoja1!C:F,{2,3,4},FALSE)</f>
        <v>46539</v>
      </c>
      <c r="R2514" t="str">
        <v>C25</v>
      </c>
      <c r="S2514" t="str">
        <v>1000002215 MIRASOLES SRL</v>
      </c>
    </row>
    <row r="2515" spans="1:19" x14ac:dyDescent="0.3">
      <c r="A2515" s="2" t="s">
        <v>14</v>
      </c>
      <c r="B2515" s="3" t="s">
        <v>14</v>
      </c>
      <c r="C2515" s="3" t="s">
        <v>2276</v>
      </c>
      <c r="D2515" s="3" t="s">
        <v>32</v>
      </c>
      <c r="E2515" s="3" t="s">
        <v>466</v>
      </c>
      <c r="F2515" s="4">
        <v>46296</v>
      </c>
      <c r="G2515" s="3" t="s">
        <v>17</v>
      </c>
      <c r="H2515" s="5">
        <v>-53579777.009999998</v>
      </c>
      <c r="I2515" s="3" t="s">
        <v>18</v>
      </c>
      <c r="J2515" s="3" t="s">
        <v>14</v>
      </c>
      <c r="K2515" s="3" t="s">
        <v>14</v>
      </c>
      <c r="L2515" s="3" t="s">
        <v>2269</v>
      </c>
      <c r="M2515" s="4">
        <v>46296</v>
      </c>
      <c r="N2515" s="3" t="s">
        <v>2277</v>
      </c>
      <c r="O2515" s="3" t="s">
        <v>30</v>
      </c>
      <c r="P2515" t="str">
        <f t="shared" si="39"/>
        <v>450013945610</v>
      </c>
      <c r="Q2515" s="7" cm="1">
        <f t="array" ref="Q2515:S2515">VLOOKUP(P2515,Hoja1!C:F,{2,3,4},FALSE)</f>
        <v>46326</v>
      </c>
      <c r="R2515" t="str">
        <v>C25</v>
      </c>
      <c r="S2515" t="str">
        <v>1000012630 DATUM S.A.</v>
      </c>
    </row>
    <row r="2516" spans="1:19" x14ac:dyDescent="0.3">
      <c r="A2516" s="2" t="s">
        <v>14</v>
      </c>
      <c r="B2516" s="3" t="s">
        <v>14</v>
      </c>
      <c r="C2516" s="3" t="s">
        <v>2276</v>
      </c>
      <c r="D2516" s="3" t="s">
        <v>32</v>
      </c>
      <c r="E2516" s="3" t="s">
        <v>466</v>
      </c>
      <c r="F2516" s="4">
        <v>46296</v>
      </c>
      <c r="G2516" s="3" t="s">
        <v>17</v>
      </c>
      <c r="H2516" s="5">
        <v>-53579777.009999998</v>
      </c>
      <c r="I2516" s="3" t="s">
        <v>18</v>
      </c>
      <c r="J2516" s="3" t="s">
        <v>14</v>
      </c>
      <c r="K2516" s="3" t="s">
        <v>14</v>
      </c>
      <c r="L2516" s="3" t="s">
        <v>2269</v>
      </c>
      <c r="M2516" s="4">
        <v>46296</v>
      </c>
      <c r="N2516" s="3" t="s">
        <v>2277</v>
      </c>
      <c r="O2516" s="3" t="s">
        <v>22</v>
      </c>
      <c r="P2516" t="str">
        <f t="shared" si="39"/>
        <v>450013945620</v>
      </c>
      <c r="Q2516" s="7" cm="1">
        <f t="array" ref="Q2516:S2516">VLOOKUP(P2516,Hoja1!C:F,{2,3,4},FALSE)</f>
        <v>46326</v>
      </c>
      <c r="R2516" t="str">
        <v>C25</v>
      </c>
      <c r="S2516" t="str">
        <v>1000012630 DATUM S.A.</v>
      </c>
    </row>
    <row r="2517" spans="1:19" x14ac:dyDescent="0.3">
      <c r="A2517" s="2" t="s">
        <v>14</v>
      </c>
      <c r="B2517" s="3" t="s">
        <v>14</v>
      </c>
      <c r="C2517" s="3" t="s">
        <v>2276</v>
      </c>
      <c r="D2517" s="3" t="s">
        <v>32</v>
      </c>
      <c r="E2517" s="3" t="s">
        <v>466</v>
      </c>
      <c r="F2517" s="4">
        <v>46296</v>
      </c>
      <c r="G2517" s="3" t="s">
        <v>17</v>
      </c>
      <c r="H2517" s="5">
        <v>-5753586.0599999996</v>
      </c>
      <c r="I2517" s="3" t="s">
        <v>18</v>
      </c>
      <c r="J2517" s="3" t="s">
        <v>14</v>
      </c>
      <c r="K2517" s="3" t="s">
        <v>14</v>
      </c>
      <c r="L2517" s="3" t="s">
        <v>2269</v>
      </c>
      <c r="M2517" s="4">
        <v>46296</v>
      </c>
      <c r="N2517" s="3" t="s">
        <v>2277</v>
      </c>
      <c r="O2517" s="3" t="s">
        <v>35</v>
      </c>
      <c r="P2517" t="str">
        <f t="shared" si="39"/>
        <v>450013945630</v>
      </c>
      <c r="Q2517" s="7" cm="1">
        <f t="array" ref="Q2517:S2517">VLOOKUP(P2517,Hoja1!C:F,{2,3,4},FALSE)</f>
        <v>46326</v>
      </c>
      <c r="R2517" t="str">
        <v>C25</v>
      </c>
      <c r="S2517" t="str">
        <v>1000012630 DATUM S.A.</v>
      </c>
    </row>
    <row r="2518" spans="1:19" x14ac:dyDescent="0.3">
      <c r="A2518" s="2" t="s">
        <v>14</v>
      </c>
      <c r="B2518" s="3" t="s">
        <v>14</v>
      </c>
      <c r="C2518" s="3" t="s">
        <v>2276</v>
      </c>
      <c r="D2518" s="3" t="s">
        <v>32</v>
      </c>
      <c r="E2518" s="3" t="s">
        <v>466</v>
      </c>
      <c r="F2518" s="4">
        <v>46296</v>
      </c>
      <c r="G2518" s="3" t="s">
        <v>17</v>
      </c>
      <c r="H2518" s="5">
        <v>-203821.37</v>
      </c>
      <c r="I2518" s="3" t="s">
        <v>18</v>
      </c>
      <c r="J2518" s="3" t="s">
        <v>14</v>
      </c>
      <c r="K2518" s="3" t="s">
        <v>14</v>
      </c>
      <c r="L2518" s="3" t="s">
        <v>2269</v>
      </c>
      <c r="M2518" s="4">
        <v>46296</v>
      </c>
      <c r="N2518" s="3" t="s">
        <v>2277</v>
      </c>
      <c r="O2518" s="3" t="s">
        <v>23</v>
      </c>
      <c r="P2518" t="str">
        <f t="shared" si="39"/>
        <v>450013945640</v>
      </c>
      <c r="Q2518" s="7" cm="1">
        <f t="array" ref="Q2518:S2518">VLOOKUP(P2518,Hoja1!C:F,{2,3,4},FALSE)</f>
        <v>46326</v>
      </c>
      <c r="R2518" t="str">
        <v>C25</v>
      </c>
      <c r="S2518" t="str">
        <v>1000012630 DATUM S.A.</v>
      </c>
    </row>
    <row r="2519" spans="1:19" x14ac:dyDescent="0.3">
      <c r="A2519" s="2" t="s">
        <v>14</v>
      </c>
      <c r="B2519" s="3" t="s">
        <v>14</v>
      </c>
      <c r="C2519" s="3" t="s">
        <v>2276</v>
      </c>
      <c r="D2519" s="3" t="s">
        <v>32</v>
      </c>
      <c r="E2519" s="3" t="s">
        <v>466</v>
      </c>
      <c r="F2519" s="4">
        <v>46296</v>
      </c>
      <c r="G2519" s="3" t="s">
        <v>17</v>
      </c>
      <c r="H2519" s="5">
        <v>-19220722.649999999</v>
      </c>
      <c r="I2519" s="3" t="s">
        <v>18</v>
      </c>
      <c r="J2519" s="3" t="s">
        <v>14</v>
      </c>
      <c r="K2519" s="3" t="s">
        <v>14</v>
      </c>
      <c r="L2519" s="3" t="s">
        <v>2269</v>
      </c>
      <c r="M2519" s="4">
        <v>46296</v>
      </c>
      <c r="N2519" s="3" t="s">
        <v>2277</v>
      </c>
      <c r="O2519" s="3" t="s">
        <v>52</v>
      </c>
      <c r="P2519" t="str">
        <f t="shared" si="39"/>
        <v>450013945680</v>
      </c>
      <c r="Q2519" s="7" cm="1">
        <f t="array" ref="Q2519:S2519">VLOOKUP(P2519,Hoja1!C:F,{2,3,4},FALSE)</f>
        <v>46326</v>
      </c>
      <c r="R2519" t="str">
        <v>C25</v>
      </c>
      <c r="S2519" t="str">
        <v>1000012630 DATUM S.A.</v>
      </c>
    </row>
    <row r="2520" spans="1:19" x14ac:dyDescent="0.3">
      <c r="A2520" s="2" t="s">
        <v>14</v>
      </c>
      <c r="B2520" s="3" t="s">
        <v>14</v>
      </c>
      <c r="C2520" s="3" t="s">
        <v>2276</v>
      </c>
      <c r="D2520" s="3" t="s">
        <v>32</v>
      </c>
      <c r="E2520" s="3" t="s">
        <v>466</v>
      </c>
      <c r="F2520" s="4">
        <v>46296</v>
      </c>
      <c r="G2520" s="3" t="s">
        <v>17</v>
      </c>
      <c r="H2520" s="5">
        <v>-130445.68</v>
      </c>
      <c r="I2520" s="3" t="s">
        <v>18</v>
      </c>
      <c r="J2520" s="3" t="s">
        <v>14</v>
      </c>
      <c r="K2520" s="3" t="s">
        <v>14</v>
      </c>
      <c r="L2520" s="3" t="s">
        <v>2269</v>
      </c>
      <c r="M2520" s="4">
        <v>46296</v>
      </c>
      <c r="N2520" s="3" t="s">
        <v>2277</v>
      </c>
      <c r="O2520" s="3" t="s">
        <v>138</v>
      </c>
      <c r="P2520" t="str">
        <f t="shared" si="39"/>
        <v>450013945690</v>
      </c>
      <c r="Q2520" s="7" cm="1">
        <f t="array" ref="Q2520:S2520">VLOOKUP(P2520,Hoja1!C:F,{2,3,4},FALSE)</f>
        <v>46326</v>
      </c>
      <c r="R2520" t="str">
        <v>C25</v>
      </c>
      <c r="S2520" t="str">
        <v>1000012630 DATUM S.A.</v>
      </c>
    </row>
    <row r="2521" spans="1:19" x14ac:dyDescent="0.3">
      <c r="A2521" s="2" t="s">
        <v>14</v>
      </c>
      <c r="B2521" s="3" t="s">
        <v>14</v>
      </c>
      <c r="C2521" s="3" t="s">
        <v>2276</v>
      </c>
      <c r="D2521" s="3" t="s">
        <v>32</v>
      </c>
      <c r="E2521" s="3" t="s">
        <v>466</v>
      </c>
      <c r="F2521" s="4">
        <v>46296</v>
      </c>
      <c r="G2521" s="3" t="s">
        <v>17</v>
      </c>
      <c r="H2521" s="5">
        <v>-8400000</v>
      </c>
      <c r="I2521" s="3" t="s">
        <v>18</v>
      </c>
      <c r="J2521" s="3" t="s">
        <v>14</v>
      </c>
      <c r="K2521" s="3" t="s">
        <v>14</v>
      </c>
      <c r="L2521" s="3" t="s">
        <v>2269</v>
      </c>
      <c r="M2521" s="4">
        <v>46296</v>
      </c>
      <c r="N2521" s="3" t="s">
        <v>2277</v>
      </c>
      <c r="O2521" s="3" t="s">
        <v>45</v>
      </c>
      <c r="P2521" t="str">
        <f t="shared" si="39"/>
        <v>4500139456100</v>
      </c>
      <c r="Q2521" s="7" cm="1">
        <f t="array" ref="Q2521:S2521">VLOOKUP(P2521,Hoja1!C:F,{2,3,4},FALSE)</f>
        <v>46326</v>
      </c>
      <c r="R2521" t="str">
        <v>C25</v>
      </c>
      <c r="S2521" t="str">
        <v>1000012630 DATUM S.A.</v>
      </c>
    </row>
    <row r="2522" spans="1:19" x14ac:dyDescent="0.3">
      <c r="A2522" s="2" t="s">
        <v>14</v>
      </c>
      <c r="B2522" s="3" t="s">
        <v>14</v>
      </c>
      <c r="C2522" s="3" t="s">
        <v>2278</v>
      </c>
      <c r="D2522" s="3" t="s">
        <v>14</v>
      </c>
      <c r="E2522" s="3" t="s">
        <v>466</v>
      </c>
      <c r="F2522" s="4">
        <v>46268</v>
      </c>
      <c r="G2522" s="3" t="s">
        <v>17</v>
      </c>
      <c r="H2522" s="5">
        <v>-10411369.380000001</v>
      </c>
      <c r="I2522" s="3" t="s">
        <v>18</v>
      </c>
      <c r="J2522" s="3" t="s">
        <v>14</v>
      </c>
      <c r="K2522" s="3" t="s">
        <v>14</v>
      </c>
      <c r="L2522" s="3" t="s">
        <v>1211</v>
      </c>
      <c r="M2522" s="4">
        <v>46296</v>
      </c>
      <c r="N2522" s="3" t="s">
        <v>1212</v>
      </c>
      <c r="O2522" s="3" t="s">
        <v>30</v>
      </c>
      <c r="P2522" t="str">
        <f t="shared" si="39"/>
        <v>450013680610</v>
      </c>
      <c r="Q2522" s="7" cm="1">
        <f t="array" ref="Q2522:S2522">VLOOKUP(P2522,Hoja1!C:F,{2,3,4},FALSE)</f>
        <v>46402</v>
      </c>
      <c r="R2522" t="str">
        <v>C38</v>
      </c>
      <c r="S2522" t="str">
        <v>1000000012 IGARRETA MAQUINAS S.A.</v>
      </c>
    </row>
    <row r="2523" spans="1:19" x14ac:dyDescent="0.3">
      <c r="A2523" s="2" t="s">
        <v>14</v>
      </c>
      <c r="B2523" s="3" t="s">
        <v>14</v>
      </c>
      <c r="C2523" s="3" t="s">
        <v>2279</v>
      </c>
      <c r="D2523" s="3" t="s">
        <v>32</v>
      </c>
      <c r="E2523" s="3" t="s">
        <v>466</v>
      </c>
      <c r="F2523" s="4">
        <v>46296</v>
      </c>
      <c r="G2523" s="3" t="s">
        <v>17</v>
      </c>
      <c r="H2523" s="5">
        <v>-12829325.08</v>
      </c>
      <c r="I2523" s="3" t="s">
        <v>18</v>
      </c>
      <c r="J2523" s="3" t="s">
        <v>14</v>
      </c>
      <c r="K2523" s="3" t="s">
        <v>14</v>
      </c>
      <c r="L2523" s="3" t="s">
        <v>2280</v>
      </c>
      <c r="M2523" s="4">
        <v>46296</v>
      </c>
      <c r="N2523" s="3" t="s">
        <v>2281</v>
      </c>
      <c r="O2523" s="3" t="s">
        <v>30</v>
      </c>
      <c r="P2523" t="str">
        <f t="shared" si="39"/>
        <v>450013981510</v>
      </c>
      <c r="Q2523" s="7" cm="1">
        <f t="array" ref="Q2523:S2523">VLOOKUP(P2523,Hoja1!C:F,{2,3,4},FALSE)</f>
        <v>46326</v>
      </c>
      <c r="R2523" t="str">
        <v>C25</v>
      </c>
      <c r="S2523" t="str">
        <v>1000002236 MAXIMIA S.A.</v>
      </c>
    </row>
    <row r="2524" spans="1:19" x14ac:dyDescent="0.3">
      <c r="A2524" s="2" t="s">
        <v>14</v>
      </c>
      <c r="B2524" s="3" t="s">
        <v>14</v>
      </c>
      <c r="C2524" s="3" t="s">
        <v>2282</v>
      </c>
      <c r="D2524" s="3" t="s">
        <v>32</v>
      </c>
      <c r="E2524" s="3" t="s">
        <v>466</v>
      </c>
      <c r="F2524" s="4">
        <v>46296</v>
      </c>
      <c r="G2524" s="3" t="s">
        <v>17</v>
      </c>
      <c r="H2524" s="5">
        <v>-22120570.079999998</v>
      </c>
      <c r="I2524" s="3" t="s">
        <v>18</v>
      </c>
      <c r="J2524" s="3" t="s">
        <v>14</v>
      </c>
      <c r="K2524" s="3" t="s">
        <v>14</v>
      </c>
      <c r="L2524" s="3" t="s">
        <v>2280</v>
      </c>
      <c r="M2524" s="4">
        <v>46296</v>
      </c>
      <c r="N2524" s="3" t="s">
        <v>2283</v>
      </c>
      <c r="O2524" s="3" t="s">
        <v>30</v>
      </c>
      <c r="P2524" t="str">
        <f t="shared" si="39"/>
        <v>450013555310</v>
      </c>
      <c r="Q2524" s="7" cm="1">
        <f t="array" ref="Q2524:S2524">VLOOKUP(P2524,Hoja1!C:F,{2,3,4},FALSE)</f>
        <v>46310</v>
      </c>
      <c r="R2524" t="str">
        <v>C25</v>
      </c>
      <c r="S2524" t="str">
        <v>1000002236 MAXIMIA S.A.</v>
      </c>
    </row>
    <row r="2525" spans="1:19" x14ac:dyDescent="0.3">
      <c r="A2525" s="2" t="s">
        <v>14</v>
      </c>
      <c r="B2525" s="3" t="s">
        <v>14</v>
      </c>
      <c r="C2525" s="3" t="s">
        <v>2284</v>
      </c>
      <c r="D2525" s="3" t="s">
        <v>32</v>
      </c>
      <c r="E2525" s="3" t="s">
        <v>466</v>
      </c>
      <c r="F2525" s="4">
        <v>46296</v>
      </c>
      <c r="G2525" s="3" t="s">
        <v>17</v>
      </c>
      <c r="H2525" s="5">
        <v>-1881308</v>
      </c>
      <c r="I2525" s="3" t="s">
        <v>18</v>
      </c>
      <c r="J2525" s="3" t="s">
        <v>14</v>
      </c>
      <c r="K2525" s="3" t="s">
        <v>14</v>
      </c>
      <c r="L2525" s="3" t="s">
        <v>976</v>
      </c>
      <c r="M2525" s="4">
        <v>46296</v>
      </c>
      <c r="N2525" s="3" t="s">
        <v>2285</v>
      </c>
      <c r="O2525" s="3" t="s">
        <v>30</v>
      </c>
      <c r="P2525" t="str">
        <f t="shared" si="39"/>
        <v>450012523310</v>
      </c>
      <c r="Q2525" s="7" cm="1">
        <f t="array" ref="Q2525:S2525">VLOOKUP(P2525,Hoja1!C:F,{2,3,4},FALSE)</f>
        <v>46295</v>
      </c>
      <c r="R2525" t="str">
        <v>C25</v>
      </c>
      <c r="S2525" t="str">
        <v>1000007795 JAWIT S.A.</v>
      </c>
    </row>
    <row r="2526" spans="1:19" x14ac:dyDescent="0.3">
      <c r="A2526" s="2" t="s">
        <v>14</v>
      </c>
      <c r="B2526" s="3" t="s">
        <v>14</v>
      </c>
      <c r="C2526" s="3" t="s">
        <v>2286</v>
      </c>
      <c r="D2526" s="3" t="s">
        <v>32</v>
      </c>
      <c r="E2526" s="3" t="s">
        <v>466</v>
      </c>
      <c r="F2526" s="4">
        <v>46296</v>
      </c>
      <c r="G2526" s="3" t="s">
        <v>17</v>
      </c>
      <c r="H2526" s="5">
        <v>-233121.63</v>
      </c>
      <c r="I2526" s="3" t="s">
        <v>18</v>
      </c>
      <c r="J2526" s="3" t="s">
        <v>14</v>
      </c>
      <c r="K2526" s="3" t="s">
        <v>14</v>
      </c>
      <c r="L2526" s="3" t="s">
        <v>976</v>
      </c>
      <c r="M2526" s="4">
        <v>46296</v>
      </c>
      <c r="N2526" s="3" t="s">
        <v>2287</v>
      </c>
      <c r="O2526" s="3" t="s">
        <v>30</v>
      </c>
      <c r="P2526" t="str">
        <f t="shared" si="39"/>
        <v>450013667110</v>
      </c>
      <c r="Q2526" s="7" cm="1">
        <f t="array" ref="Q2526:S2526">VLOOKUP(P2526,Hoja1!C:F,{2,3,4},FALSE)</f>
        <v>46326</v>
      </c>
      <c r="R2526" t="str">
        <v>C25</v>
      </c>
      <c r="S2526" t="str">
        <v>1000007795 JAWIT S.A.</v>
      </c>
    </row>
    <row r="2527" spans="1:19" x14ac:dyDescent="0.3">
      <c r="A2527" s="2" t="s">
        <v>14</v>
      </c>
      <c r="B2527" s="3" t="s">
        <v>14</v>
      </c>
      <c r="C2527" s="3" t="s">
        <v>2286</v>
      </c>
      <c r="D2527" s="3" t="s">
        <v>32</v>
      </c>
      <c r="E2527" s="3" t="s">
        <v>466</v>
      </c>
      <c r="F2527" s="4">
        <v>46296</v>
      </c>
      <c r="G2527" s="3" t="s">
        <v>17</v>
      </c>
      <c r="H2527" s="5">
        <v>-233121.63</v>
      </c>
      <c r="I2527" s="3" t="s">
        <v>18</v>
      </c>
      <c r="J2527" s="3" t="s">
        <v>14</v>
      </c>
      <c r="K2527" s="3" t="s">
        <v>14</v>
      </c>
      <c r="L2527" s="3" t="s">
        <v>976</v>
      </c>
      <c r="M2527" s="4">
        <v>46296</v>
      </c>
      <c r="N2527" s="3" t="s">
        <v>2287</v>
      </c>
      <c r="O2527" s="3" t="s">
        <v>22</v>
      </c>
      <c r="P2527" t="str">
        <f t="shared" si="39"/>
        <v>450013667120</v>
      </c>
      <c r="Q2527" s="7" cm="1">
        <f t="array" ref="Q2527:S2527">VLOOKUP(P2527,Hoja1!C:F,{2,3,4},FALSE)</f>
        <v>46326</v>
      </c>
      <c r="R2527" t="str">
        <v>C25</v>
      </c>
      <c r="S2527" t="str">
        <v>1000007795 JAWIT S.A.</v>
      </c>
    </row>
    <row r="2528" spans="1:19" x14ac:dyDescent="0.3">
      <c r="A2528" s="2" t="s">
        <v>14</v>
      </c>
      <c r="B2528" s="3" t="s">
        <v>14</v>
      </c>
      <c r="C2528" s="3" t="s">
        <v>2286</v>
      </c>
      <c r="D2528" s="3" t="s">
        <v>32</v>
      </c>
      <c r="E2528" s="3" t="s">
        <v>466</v>
      </c>
      <c r="F2528" s="4">
        <v>46296</v>
      </c>
      <c r="G2528" s="3" t="s">
        <v>17</v>
      </c>
      <c r="H2528" s="5">
        <v>-233121.63</v>
      </c>
      <c r="I2528" s="3" t="s">
        <v>18</v>
      </c>
      <c r="J2528" s="3" t="s">
        <v>14</v>
      </c>
      <c r="K2528" s="3" t="s">
        <v>14</v>
      </c>
      <c r="L2528" s="3" t="s">
        <v>976</v>
      </c>
      <c r="M2528" s="4">
        <v>46296</v>
      </c>
      <c r="N2528" s="3" t="s">
        <v>2287</v>
      </c>
      <c r="O2528" s="3" t="s">
        <v>35</v>
      </c>
      <c r="P2528" t="str">
        <f t="shared" si="39"/>
        <v>450013667130</v>
      </c>
      <c r="Q2528" s="7" cm="1">
        <f t="array" ref="Q2528:S2528">VLOOKUP(P2528,Hoja1!C:F,{2,3,4},FALSE)</f>
        <v>46326</v>
      </c>
      <c r="R2528" t="str">
        <v>C25</v>
      </c>
      <c r="S2528" t="str">
        <v>1000007795 JAWIT S.A.</v>
      </c>
    </row>
    <row r="2529" spans="1:19" x14ac:dyDescent="0.3">
      <c r="A2529" s="2" t="s">
        <v>14</v>
      </c>
      <c r="B2529" s="3" t="s">
        <v>14</v>
      </c>
      <c r="C2529" s="3" t="s">
        <v>2286</v>
      </c>
      <c r="D2529" s="3" t="s">
        <v>32</v>
      </c>
      <c r="E2529" s="3" t="s">
        <v>466</v>
      </c>
      <c r="F2529" s="4">
        <v>46296</v>
      </c>
      <c r="G2529" s="3" t="s">
        <v>17</v>
      </c>
      <c r="H2529" s="5">
        <v>-233121.63</v>
      </c>
      <c r="I2529" s="3" t="s">
        <v>18</v>
      </c>
      <c r="J2529" s="3" t="s">
        <v>14</v>
      </c>
      <c r="K2529" s="3" t="s">
        <v>14</v>
      </c>
      <c r="L2529" s="3" t="s">
        <v>976</v>
      </c>
      <c r="M2529" s="4">
        <v>46296</v>
      </c>
      <c r="N2529" s="3" t="s">
        <v>2287</v>
      </c>
      <c r="O2529" s="3" t="s">
        <v>23</v>
      </c>
      <c r="P2529" t="str">
        <f t="shared" si="39"/>
        <v>450013667140</v>
      </c>
      <c r="Q2529" s="7" cm="1">
        <f t="array" ref="Q2529:S2529">VLOOKUP(P2529,Hoja1!C:F,{2,3,4},FALSE)</f>
        <v>46326</v>
      </c>
      <c r="R2529" t="str">
        <v>C25</v>
      </c>
      <c r="S2529" t="str">
        <v>1000007795 JAWIT S.A.</v>
      </c>
    </row>
    <row r="2530" spans="1:19" x14ac:dyDescent="0.3">
      <c r="A2530" s="2" t="s">
        <v>14</v>
      </c>
      <c r="B2530" s="3" t="s">
        <v>14</v>
      </c>
      <c r="C2530" s="3" t="s">
        <v>2286</v>
      </c>
      <c r="D2530" s="3" t="s">
        <v>32</v>
      </c>
      <c r="E2530" s="3" t="s">
        <v>466</v>
      </c>
      <c r="F2530" s="4">
        <v>46296</v>
      </c>
      <c r="G2530" s="3" t="s">
        <v>17</v>
      </c>
      <c r="H2530" s="5">
        <v>-429429</v>
      </c>
      <c r="I2530" s="3" t="s">
        <v>18</v>
      </c>
      <c r="J2530" s="3" t="s">
        <v>14</v>
      </c>
      <c r="K2530" s="3" t="s">
        <v>14</v>
      </c>
      <c r="L2530" s="3" t="s">
        <v>976</v>
      </c>
      <c r="M2530" s="4">
        <v>46296</v>
      </c>
      <c r="N2530" s="3" t="s">
        <v>2287</v>
      </c>
      <c r="O2530" s="3" t="s">
        <v>144</v>
      </c>
      <c r="P2530" t="str">
        <f t="shared" si="39"/>
        <v>450013667150</v>
      </c>
      <c r="Q2530" s="7" cm="1">
        <f t="array" ref="Q2530:S2530">VLOOKUP(P2530,Hoja1!C:F,{2,3,4},FALSE)</f>
        <v>46326</v>
      </c>
      <c r="R2530" t="str">
        <v>C25</v>
      </c>
      <c r="S2530" t="str">
        <v>1000007795 JAWIT S.A.</v>
      </c>
    </row>
    <row r="2531" spans="1:19" x14ac:dyDescent="0.3">
      <c r="A2531" s="2" t="s">
        <v>14</v>
      </c>
      <c r="B2531" s="3" t="s">
        <v>14</v>
      </c>
      <c r="C2531" s="3" t="s">
        <v>2286</v>
      </c>
      <c r="D2531" s="3" t="s">
        <v>32</v>
      </c>
      <c r="E2531" s="3" t="s">
        <v>466</v>
      </c>
      <c r="F2531" s="4">
        <v>46296</v>
      </c>
      <c r="G2531" s="3" t="s">
        <v>17</v>
      </c>
      <c r="H2531" s="5">
        <v>-838378.75</v>
      </c>
      <c r="I2531" s="3" t="s">
        <v>18</v>
      </c>
      <c r="J2531" s="3" t="s">
        <v>14</v>
      </c>
      <c r="K2531" s="3" t="s">
        <v>14</v>
      </c>
      <c r="L2531" s="3" t="s">
        <v>976</v>
      </c>
      <c r="M2531" s="4">
        <v>46296</v>
      </c>
      <c r="N2531" s="3" t="s">
        <v>2287</v>
      </c>
      <c r="O2531" s="3" t="s">
        <v>134</v>
      </c>
      <c r="P2531" t="str">
        <f t="shared" si="39"/>
        <v>450013667170</v>
      </c>
      <c r="Q2531" s="7" cm="1">
        <f t="array" ref="Q2531:S2531">VLOOKUP(P2531,Hoja1!C:F,{2,3,4},FALSE)</f>
        <v>46326</v>
      </c>
      <c r="R2531" t="str">
        <v>C25</v>
      </c>
      <c r="S2531" t="str">
        <v>1000007795 JAWIT S.A.</v>
      </c>
    </row>
    <row r="2532" spans="1:19" x14ac:dyDescent="0.3">
      <c r="A2532" s="2" t="s">
        <v>14</v>
      </c>
      <c r="B2532" s="3" t="s">
        <v>14</v>
      </c>
      <c r="C2532" s="3" t="s">
        <v>2288</v>
      </c>
      <c r="D2532" s="3" t="s">
        <v>14</v>
      </c>
      <c r="E2532" s="3" t="s">
        <v>466</v>
      </c>
      <c r="F2532" s="4">
        <v>46296</v>
      </c>
      <c r="G2532" s="3" t="s">
        <v>17</v>
      </c>
      <c r="H2532" s="5">
        <v>-3291200</v>
      </c>
      <c r="I2532" s="3" t="s">
        <v>18</v>
      </c>
      <c r="J2532" s="3" t="s">
        <v>14</v>
      </c>
      <c r="K2532" s="3" t="s">
        <v>14</v>
      </c>
      <c r="L2532" s="3" t="s">
        <v>2289</v>
      </c>
      <c r="M2532" s="4">
        <v>46296</v>
      </c>
      <c r="N2532" s="3" t="s">
        <v>2290</v>
      </c>
      <c r="O2532" s="3" t="s">
        <v>30</v>
      </c>
      <c r="P2532" t="str">
        <f t="shared" si="39"/>
        <v>450013908110</v>
      </c>
      <c r="Q2532" s="7" cm="1">
        <f t="array" ref="Q2532:S2532">VLOOKUP(P2532,Hoja1!C:F,{2,3,4},FALSE)</f>
        <v>46290</v>
      </c>
      <c r="R2532" t="str">
        <v>C05</v>
      </c>
      <c r="S2532" t="str">
        <v>1000002720 TECPOINT SA</v>
      </c>
    </row>
    <row r="2533" spans="1:19" x14ac:dyDescent="0.3">
      <c r="A2533" s="2" t="s">
        <v>14</v>
      </c>
      <c r="B2533" s="3" t="s">
        <v>14</v>
      </c>
      <c r="C2533" s="3" t="s">
        <v>2288</v>
      </c>
      <c r="D2533" s="3" t="s">
        <v>14</v>
      </c>
      <c r="E2533" s="3" t="s">
        <v>466</v>
      </c>
      <c r="F2533" s="4">
        <v>46296</v>
      </c>
      <c r="G2533" s="3" t="s">
        <v>17</v>
      </c>
      <c r="H2533" s="5">
        <v>-529375</v>
      </c>
      <c r="I2533" s="3" t="s">
        <v>18</v>
      </c>
      <c r="J2533" s="3" t="s">
        <v>14</v>
      </c>
      <c r="K2533" s="3" t="s">
        <v>14</v>
      </c>
      <c r="L2533" s="3" t="s">
        <v>2289</v>
      </c>
      <c r="M2533" s="4">
        <v>46296</v>
      </c>
      <c r="N2533" s="3" t="s">
        <v>2290</v>
      </c>
      <c r="O2533" s="3" t="s">
        <v>22</v>
      </c>
      <c r="P2533" t="str">
        <f t="shared" si="39"/>
        <v>450013908120</v>
      </c>
      <c r="Q2533" s="7" cm="1">
        <f t="array" ref="Q2533:S2533">VLOOKUP(P2533,Hoja1!C:F,{2,3,4},FALSE)</f>
        <v>46290</v>
      </c>
      <c r="R2533" t="str">
        <v>C05</v>
      </c>
      <c r="S2533" t="str">
        <v>1000002720 TECPOINT SA</v>
      </c>
    </row>
    <row r="2534" spans="1:19" x14ac:dyDescent="0.3">
      <c r="A2534" s="2" t="s">
        <v>14</v>
      </c>
      <c r="B2534" s="3" t="s">
        <v>14</v>
      </c>
      <c r="C2534" s="3" t="s">
        <v>2291</v>
      </c>
      <c r="D2534" s="3" t="s">
        <v>14</v>
      </c>
      <c r="E2534" s="3" t="s">
        <v>466</v>
      </c>
      <c r="F2534" s="4">
        <v>46296</v>
      </c>
      <c r="G2534" s="3" t="s">
        <v>17</v>
      </c>
      <c r="H2534" s="5">
        <v>-80298.63</v>
      </c>
      <c r="I2534" s="3" t="s">
        <v>18</v>
      </c>
      <c r="J2534" s="3" t="s">
        <v>14</v>
      </c>
      <c r="K2534" s="3" t="s">
        <v>14</v>
      </c>
      <c r="L2534" s="3" t="s">
        <v>125</v>
      </c>
      <c r="M2534" s="4">
        <v>46296</v>
      </c>
      <c r="N2534" s="3" t="s">
        <v>2292</v>
      </c>
      <c r="O2534" s="3" t="s">
        <v>22</v>
      </c>
      <c r="P2534" t="str">
        <f t="shared" si="39"/>
        <v>450013813620</v>
      </c>
      <c r="Q2534" s="7" cm="1">
        <f t="array" ref="Q2534:S2534">VLOOKUP(P2534,Hoja1!C:F,{2,3,4},FALSE)</f>
        <v>46310</v>
      </c>
      <c r="R2534" t="str">
        <v>C03</v>
      </c>
      <c r="S2534" t="str">
        <v>1000001470 SUDAMERICANA CAMIONES SA</v>
      </c>
    </row>
    <row r="2535" spans="1:19" x14ac:dyDescent="0.3">
      <c r="A2535" s="2" t="s">
        <v>14</v>
      </c>
      <c r="B2535" s="3" t="s">
        <v>14</v>
      </c>
      <c r="C2535" s="3" t="s">
        <v>2291</v>
      </c>
      <c r="D2535" s="3" t="s">
        <v>14</v>
      </c>
      <c r="E2535" s="3" t="s">
        <v>466</v>
      </c>
      <c r="F2535" s="4">
        <v>46296</v>
      </c>
      <c r="G2535" s="3" t="s">
        <v>17</v>
      </c>
      <c r="H2535" s="5">
        <v>-88254.38</v>
      </c>
      <c r="I2535" s="3" t="s">
        <v>18</v>
      </c>
      <c r="J2535" s="3" t="s">
        <v>14</v>
      </c>
      <c r="K2535" s="3" t="s">
        <v>14</v>
      </c>
      <c r="L2535" s="3" t="s">
        <v>125</v>
      </c>
      <c r="M2535" s="4">
        <v>46296</v>
      </c>
      <c r="N2535" s="3" t="s">
        <v>2292</v>
      </c>
      <c r="O2535" s="3" t="s">
        <v>23</v>
      </c>
      <c r="P2535" t="str">
        <f t="shared" si="39"/>
        <v>450013813640</v>
      </c>
      <c r="Q2535" s="7" cm="1">
        <f t="array" ref="Q2535:S2535">VLOOKUP(P2535,Hoja1!C:F,{2,3,4},FALSE)</f>
        <v>46291</v>
      </c>
      <c r="R2535" t="str">
        <v>C03</v>
      </c>
      <c r="S2535" t="str">
        <v>1000001470 SUDAMERICANA CAMIONES SA</v>
      </c>
    </row>
    <row r="2536" spans="1:19" x14ac:dyDescent="0.3">
      <c r="A2536" s="2" t="s">
        <v>14</v>
      </c>
      <c r="B2536" s="3" t="s">
        <v>14</v>
      </c>
      <c r="C2536" s="3" t="s">
        <v>2293</v>
      </c>
      <c r="D2536" s="3" t="s">
        <v>84</v>
      </c>
      <c r="E2536" s="3" t="s">
        <v>466</v>
      </c>
      <c r="F2536" s="4">
        <v>46296</v>
      </c>
      <c r="G2536" s="3" t="s">
        <v>17</v>
      </c>
      <c r="H2536" s="5">
        <v>-173758.38</v>
      </c>
      <c r="I2536" s="3" t="s">
        <v>18</v>
      </c>
      <c r="J2536" s="3" t="s">
        <v>14</v>
      </c>
      <c r="K2536" s="3" t="s">
        <v>14</v>
      </c>
      <c r="L2536" s="3" t="s">
        <v>412</v>
      </c>
      <c r="M2536" s="4">
        <v>46296</v>
      </c>
      <c r="N2536" s="3" t="s">
        <v>2294</v>
      </c>
      <c r="O2536" s="3" t="s">
        <v>30</v>
      </c>
      <c r="P2536" t="str">
        <f t="shared" si="39"/>
        <v>450013987710</v>
      </c>
      <c r="Q2536" s="7" cm="1">
        <f t="array" ref="Q2536:S2536">VLOOKUP(P2536,Hoja1!C:F,{2,3,4},FALSE)</f>
        <v>46310</v>
      </c>
      <c r="R2536" t="str">
        <v>C06</v>
      </c>
      <c r="S2536" t="str">
        <v>1000000093 ELECTRICIDAD SERRA S.R.L.</v>
      </c>
    </row>
    <row r="2537" spans="1:19" x14ac:dyDescent="0.3">
      <c r="A2537" s="2" t="s">
        <v>14</v>
      </c>
      <c r="B2537" s="3" t="s">
        <v>14</v>
      </c>
      <c r="C2537" s="3" t="s">
        <v>2293</v>
      </c>
      <c r="D2537" s="3" t="s">
        <v>84</v>
      </c>
      <c r="E2537" s="3" t="s">
        <v>466</v>
      </c>
      <c r="F2537" s="4">
        <v>46296</v>
      </c>
      <c r="G2537" s="3" t="s">
        <v>17</v>
      </c>
      <c r="H2537" s="5">
        <v>-19287.18</v>
      </c>
      <c r="I2537" s="3" t="s">
        <v>18</v>
      </c>
      <c r="J2537" s="3" t="s">
        <v>14</v>
      </c>
      <c r="K2537" s="3" t="s">
        <v>14</v>
      </c>
      <c r="L2537" s="3" t="s">
        <v>412</v>
      </c>
      <c r="M2537" s="4">
        <v>46296</v>
      </c>
      <c r="N2537" s="3" t="s">
        <v>2294</v>
      </c>
      <c r="O2537" s="3" t="s">
        <v>22</v>
      </c>
      <c r="P2537" t="str">
        <f t="shared" si="39"/>
        <v>450013987720</v>
      </c>
      <c r="Q2537" s="7" cm="1">
        <f t="array" ref="Q2537:S2537">VLOOKUP(P2537,Hoja1!C:F,{2,3,4},FALSE)</f>
        <v>46310</v>
      </c>
      <c r="R2537" t="str">
        <v>C06</v>
      </c>
      <c r="S2537" t="str">
        <v>1000000093 ELECTRICIDAD SERRA S.R.L.</v>
      </c>
    </row>
    <row r="2538" spans="1:19" x14ac:dyDescent="0.3">
      <c r="A2538" s="2" t="s">
        <v>14</v>
      </c>
      <c r="B2538" s="3" t="s">
        <v>14</v>
      </c>
      <c r="C2538" s="3" t="s">
        <v>2293</v>
      </c>
      <c r="D2538" s="3" t="s">
        <v>84</v>
      </c>
      <c r="E2538" s="3" t="s">
        <v>466</v>
      </c>
      <c r="F2538" s="4">
        <v>46296</v>
      </c>
      <c r="G2538" s="3" t="s">
        <v>17</v>
      </c>
      <c r="H2538" s="5">
        <v>-1298.82</v>
      </c>
      <c r="I2538" s="3" t="s">
        <v>18</v>
      </c>
      <c r="J2538" s="3" t="s">
        <v>14</v>
      </c>
      <c r="K2538" s="3" t="s">
        <v>14</v>
      </c>
      <c r="L2538" s="3" t="s">
        <v>412</v>
      </c>
      <c r="M2538" s="4">
        <v>46296</v>
      </c>
      <c r="N2538" s="3" t="s">
        <v>2294</v>
      </c>
      <c r="O2538" s="3" t="s">
        <v>23</v>
      </c>
      <c r="P2538" t="str">
        <f t="shared" si="39"/>
        <v>450013987740</v>
      </c>
      <c r="Q2538" s="7" cm="1">
        <f t="array" ref="Q2538:S2538">VLOOKUP(P2538,Hoja1!C:F,{2,3,4},FALSE)</f>
        <v>46310</v>
      </c>
      <c r="R2538" t="str">
        <v>C06</v>
      </c>
      <c r="S2538" t="str">
        <v>1000000093 ELECTRICIDAD SERRA S.R.L.</v>
      </c>
    </row>
    <row r="2539" spans="1:19" x14ac:dyDescent="0.3">
      <c r="A2539" s="2" t="s">
        <v>14</v>
      </c>
      <c r="B2539" s="3" t="s">
        <v>14</v>
      </c>
      <c r="C2539" s="3" t="s">
        <v>2295</v>
      </c>
      <c r="D2539" s="3" t="s">
        <v>32</v>
      </c>
      <c r="E2539" s="3" t="s">
        <v>466</v>
      </c>
      <c r="F2539" s="4">
        <v>46296</v>
      </c>
      <c r="G2539" s="3" t="s">
        <v>17</v>
      </c>
      <c r="H2539" s="5">
        <v>-23716</v>
      </c>
      <c r="I2539" s="3" t="s">
        <v>18</v>
      </c>
      <c r="J2539" s="3" t="s">
        <v>14</v>
      </c>
      <c r="K2539" s="3" t="s">
        <v>14</v>
      </c>
      <c r="L2539" s="3" t="s">
        <v>458</v>
      </c>
      <c r="M2539" s="4">
        <v>46296</v>
      </c>
      <c r="N2539" s="3" t="s">
        <v>2296</v>
      </c>
      <c r="O2539" s="3" t="s">
        <v>30</v>
      </c>
      <c r="P2539" t="str">
        <f t="shared" si="39"/>
        <v>450013986410</v>
      </c>
      <c r="Q2539" s="7" cm="1">
        <f t="array" ref="Q2539:S2539">VLOOKUP(P2539,Hoja1!C:F,{2,3,4},FALSE)</f>
        <v>46296</v>
      </c>
      <c r="R2539" t="str">
        <v>377</v>
      </c>
      <c r="S2539" t="str">
        <v>1000000895 COMPLEMET SRL</v>
      </c>
    </row>
    <row r="2540" spans="1:19" x14ac:dyDescent="0.3">
      <c r="A2540" s="2" t="s">
        <v>14</v>
      </c>
      <c r="B2540" s="3" t="s">
        <v>14</v>
      </c>
      <c r="C2540" s="3" t="s">
        <v>2297</v>
      </c>
      <c r="D2540" s="3" t="s">
        <v>14</v>
      </c>
      <c r="E2540" s="3" t="s">
        <v>466</v>
      </c>
      <c r="F2540" s="4">
        <v>46296</v>
      </c>
      <c r="G2540" s="3" t="s">
        <v>17</v>
      </c>
      <c r="H2540" s="5">
        <v>-99000</v>
      </c>
      <c r="I2540" s="3" t="s">
        <v>18</v>
      </c>
      <c r="J2540" s="3" t="s">
        <v>14</v>
      </c>
      <c r="K2540" s="3" t="s">
        <v>14</v>
      </c>
      <c r="L2540" s="3" t="s">
        <v>198</v>
      </c>
      <c r="M2540" s="4">
        <v>46296</v>
      </c>
      <c r="N2540" s="3" t="s">
        <v>2298</v>
      </c>
      <c r="O2540" s="3" t="s">
        <v>30</v>
      </c>
      <c r="P2540" t="str">
        <f t="shared" si="39"/>
        <v>450013997710</v>
      </c>
      <c r="Q2540" s="7" cm="1">
        <f t="array" ref="Q2540:S2540">VLOOKUP(P2540,Hoja1!C:F,{2,3,4},FALSE)</f>
        <v>46300</v>
      </c>
      <c r="R2540" t="str">
        <v>C38</v>
      </c>
      <c r="S2540" t="str">
        <v>1000000929 ANTINORO FRANCISCO ERNESTO</v>
      </c>
    </row>
    <row r="2541" spans="1:19" x14ac:dyDescent="0.3">
      <c r="A2541" s="2" t="s">
        <v>14</v>
      </c>
      <c r="B2541" s="3" t="s">
        <v>14</v>
      </c>
      <c r="C2541" s="3" t="s">
        <v>2299</v>
      </c>
      <c r="D2541" s="3" t="s">
        <v>32</v>
      </c>
      <c r="E2541" s="3" t="s">
        <v>466</v>
      </c>
      <c r="F2541" s="4">
        <v>46296</v>
      </c>
      <c r="G2541" s="3" t="s">
        <v>17</v>
      </c>
      <c r="H2541" s="5">
        <v>-1506450</v>
      </c>
      <c r="I2541" s="3" t="s">
        <v>18</v>
      </c>
      <c r="J2541" s="3" t="s">
        <v>14</v>
      </c>
      <c r="K2541" s="3" t="s">
        <v>14</v>
      </c>
      <c r="L2541" s="3" t="s">
        <v>597</v>
      </c>
      <c r="M2541" s="4">
        <v>46296</v>
      </c>
      <c r="N2541" s="3" t="s">
        <v>2300</v>
      </c>
      <c r="O2541" s="3" t="s">
        <v>30</v>
      </c>
      <c r="P2541" t="str">
        <f t="shared" si="39"/>
        <v>450013991310</v>
      </c>
      <c r="Q2541" s="7" cm="1">
        <f t="array" ref="Q2541:S2541">VLOOKUP(P2541,Hoja1!C:F,{2,3,4},FALSE)</f>
        <v>46297</v>
      </c>
      <c r="R2541" t="str">
        <v>377</v>
      </c>
      <c r="S2541" t="str">
        <v>1000009527 ELECTRICIDAD PANAMERICANA S.A.</v>
      </c>
    </row>
    <row r="2542" spans="1:19" x14ac:dyDescent="0.3">
      <c r="A2542" s="2" t="s">
        <v>14</v>
      </c>
      <c r="B2542" s="3" t="s">
        <v>14</v>
      </c>
      <c r="C2542" s="3" t="s">
        <v>2301</v>
      </c>
      <c r="D2542" s="3" t="s">
        <v>14</v>
      </c>
      <c r="E2542" s="3" t="s">
        <v>466</v>
      </c>
      <c r="F2542" s="4">
        <v>46296</v>
      </c>
      <c r="G2542" s="3" t="s">
        <v>17</v>
      </c>
      <c r="H2542" s="5">
        <v>-119217.60000000001</v>
      </c>
      <c r="I2542" s="3" t="s">
        <v>18</v>
      </c>
      <c r="J2542" s="3" t="s">
        <v>14</v>
      </c>
      <c r="K2542" s="3" t="s">
        <v>14</v>
      </c>
      <c r="L2542" s="3" t="s">
        <v>439</v>
      </c>
      <c r="M2542" s="4">
        <v>46296</v>
      </c>
      <c r="N2542" s="3" t="s">
        <v>2302</v>
      </c>
      <c r="O2542" s="3" t="s">
        <v>30</v>
      </c>
      <c r="P2542" t="str">
        <f t="shared" si="39"/>
        <v>450013994910</v>
      </c>
      <c r="Q2542" s="7" cm="1">
        <f t="array" ref="Q2542:S2542">VLOOKUP(P2542,Hoja1!C:F,{2,3,4},FALSE)</f>
        <v>46297</v>
      </c>
      <c r="R2542" t="str">
        <v>C03</v>
      </c>
      <c r="S2542" t="str">
        <v>1000000884 TRUCKSTORE S.A.</v>
      </c>
    </row>
    <row r="2543" spans="1:19" x14ac:dyDescent="0.3">
      <c r="A2543" s="2" t="s">
        <v>14</v>
      </c>
      <c r="B2543" s="3" t="s">
        <v>14</v>
      </c>
      <c r="C2543" s="3" t="s">
        <v>2303</v>
      </c>
      <c r="D2543" s="3" t="s">
        <v>14</v>
      </c>
      <c r="E2543" s="3" t="s">
        <v>466</v>
      </c>
      <c r="F2543" s="4">
        <v>46296</v>
      </c>
      <c r="G2543" s="3" t="s">
        <v>17</v>
      </c>
      <c r="H2543" s="5">
        <v>-469000</v>
      </c>
      <c r="I2543" s="3" t="s">
        <v>18</v>
      </c>
      <c r="J2543" s="3" t="s">
        <v>14</v>
      </c>
      <c r="K2543" s="3" t="s">
        <v>14</v>
      </c>
      <c r="L2543" s="3" t="s">
        <v>904</v>
      </c>
      <c r="M2543" s="4">
        <v>46296</v>
      </c>
      <c r="N2543" s="3" t="s">
        <v>2304</v>
      </c>
      <c r="O2543" s="3" t="s">
        <v>30</v>
      </c>
      <c r="P2543" t="str">
        <f t="shared" si="39"/>
        <v>450013992910</v>
      </c>
      <c r="Q2543" s="7" cm="1">
        <f t="array" ref="Q2543:S2543">VLOOKUP(P2543,Hoja1!C:F,{2,3,4},FALSE)</f>
        <v>46304</v>
      </c>
      <c r="R2543" t="str">
        <v>C03</v>
      </c>
      <c r="S2543" t="str">
        <v>1000009559 ELECTROMECANICA OMAR S.R.L.</v>
      </c>
    </row>
    <row r="2544" spans="1:19" x14ac:dyDescent="0.3">
      <c r="A2544" s="2" t="s">
        <v>14</v>
      </c>
      <c r="B2544" s="3" t="s">
        <v>14</v>
      </c>
      <c r="C2544" s="3" t="s">
        <v>2305</v>
      </c>
      <c r="D2544" s="3" t="s">
        <v>32</v>
      </c>
      <c r="E2544" s="3" t="s">
        <v>466</v>
      </c>
      <c r="F2544" s="4">
        <v>46296</v>
      </c>
      <c r="G2544" s="3" t="s">
        <v>17</v>
      </c>
      <c r="H2544" s="5">
        <v>-55055</v>
      </c>
      <c r="I2544" s="3" t="s">
        <v>18</v>
      </c>
      <c r="J2544" s="3" t="s">
        <v>14</v>
      </c>
      <c r="K2544" s="3" t="s">
        <v>14</v>
      </c>
      <c r="L2544" s="3" t="s">
        <v>597</v>
      </c>
      <c r="M2544" s="4">
        <v>46296</v>
      </c>
      <c r="N2544" s="3" t="s">
        <v>2306</v>
      </c>
      <c r="O2544" s="3" t="s">
        <v>35</v>
      </c>
      <c r="P2544" t="str">
        <f t="shared" si="39"/>
        <v>450013982830</v>
      </c>
      <c r="Q2544" s="7" cm="1">
        <f t="array" ref="Q2544:S2544">VLOOKUP(P2544,Hoja1!C:F,{2,3,4},FALSE)</f>
        <v>46295</v>
      </c>
      <c r="R2544" t="str">
        <v>377</v>
      </c>
      <c r="S2544" t="str">
        <v>1000009527 ELECTRICIDAD PANAMERICANA S.A.</v>
      </c>
    </row>
    <row r="2545" spans="1:19" x14ac:dyDescent="0.3">
      <c r="A2545" s="2" t="s">
        <v>14</v>
      </c>
      <c r="B2545" s="3" t="s">
        <v>14</v>
      </c>
      <c r="C2545" s="3" t="s">
        <v>2305</v>
      </c>
      <c r="D2545" s="3" t="s">
        <v>32</v>
      </c>
      <c r="E2545" s="3" t="s">
        <v>466</v>
      </c>
      <c r="F2545" s="4">
        <v>46296</v>
      </c>
      <c r="G2545" s="3" t="s">
        <v>17</v>
      </c>
      <c r="H2545" s="5">
        <v>-107387.5</v>
      </c>
      <c r="I2545" s="3" t="s">
        <v>18</v>
      </c>
      <c r="J2545" s="3" t="s">
        <v>14</v>
      </c>
      <c r="K2545" s="3" t="s">
        <v>14</v>
      </c>
      <c r="L2545" s="3" t="s">
        <v>597</v>
      </c>
      <c r="M2545" s="4">
        <v>46296</v>
      </c>
      <c r="N2545" s="3" t="s">
        <v>2306</v>
      </c>
      <c r="O2545" s="3" t="s">
        <v>144</v>
      </c>
      <c r="P2545" t="str">
        <f t="shared" si="39"/>
        <v>450013982850</v>
      </c>
      <c r="Q2545" s="7" cm="1">
        <f t="array" ref="Q2545:S2545">VLOOKUP(P2545,Hoja1!C:F,{2,3,4},FALSE)</f>
        <v>46295</v>
      </c>
      <c r="R2545" t="str">
        <v>377</v>
      </c>
      <c r="S2545" t="str">
        <v>1000009527 ELECTRICIDAD PANAMERICANA S.A.</v>
      </c>
    </row>
    <row r="2546" spans="1:19" x14ac:dyDescent="0.3">
      <c r="A2546" s="2" t="s">
        <v>14</v>
      </c>
      <c r="B2546" s="3" t="s">
        <v>14</v>
      </c>
      <c r="C2546" s="3" t="s">
        <v>2305</v>
      </c>
      <c r="D2546" s="3" t="s">
        <v>32</v>
      </c>
      <c r="E2546" s="3" t="s">
        <v>466</v>
      </c>
      <c r="F2546" s="4">
        <v>46296</v>
      </c>
      <c r="G2546" s="3" t="s">
        <v>17</v>
      </c>
      <c r="H2546" s="5">
        <v>-435600</v>
      </c>
      <c r="I2546" s="3" t="s">
        <v>18</v>
      </c>
      <c r="J2546" s="3" t="s">
        <v>14</v>
      </c>
      <c r="K2546" s="3" t="s">
        <v>14</v>
      </c>
      <c r="L2546" s="3" t="s">
        <v>597</v>
      </c>
      <c r="M2546" s="4">
        <v>46296</v>
      </c>
      <c r="N2546" s="3" t="s">
        <v>2306</v>
      </c>
      <c r="O2546" s="3" t="s">
        <v>141</v>
      </c>
      <c r="P2546" t="str">
        <f t="shared" si="39"/>
        <v>450013982860</v>
      </c>
      <c r="Q2546" s="7" cm="1">
        <f t="array" ref="Q2546:S2546">VLOOKUP(P2546,Hoja1!C:F,{2,3,4},FALSE)</f>
        <v>46295</v>
      </c>
      <c r="R2546" t="str">
        <v>377</v>
      </c>
      <c r="S2546" t="str">
        <v>1000009527 ELECTRICIDAD PANAMERICANA S.A.</v>
      </c>
    </row>
    <row r="2547" spans="1:19" x14ac:dyDescent="0.3">
      <c r="A2547" s="2" t="s">
        <v>14</v>
      </c>
      <c r="B2547" s="3" t="s">
        <v>14</v>
      </c>
      <c r="C2547" s="3" t="s">
        <v>2305</v>
      </c>
      <c r="D2547" s="3" t="s">
        <v>32</v>
      </c>
      <c r="E2547" s="3" t="s">
        <v>466</v>
      </c>
      <c r="F2547" s="4">
        <v>46296</v>
      </c>
      <c r="G2547" s="3" t="s">
        <v>17</v>
      </c>
      <c r="H2547" s="5">
        <v>-15125</v>
      </c>
      <c r="I2547" s="3" t="s">
        <v>18</v>
      </c>
      <c r="J2547" s="3" t="s">
        <v>14</v>
      </c>
      <c r="K2547" s="3" t="s">
        <v>14</v>
      </c>
      <c r="L2547" s="3" t="s">
        <v>597</v>
      </c>
      <c r="M2547" s="4">
        <v>46296</v>
      </c>
      <c r="N2547" s="3" t="s">
        <v>2306</v>
      </c>
      <c r="O2547" s="3" t="s">
        <v>134</v>
      </c>
      <c r="P2547" t="str">
        <f t="shared" si="39"/>
        <v>450013982870</v>
      </c>
      <c r="Q2547" s="7" cm="1">
        <f t="array" ref="Q2547:S2547">VLOOKUP(P2547,Hoja1!C:F,{2,3,4},FALSE)</f>
        <v>46295</v>
      </c>
      <c r="R2547" t="str">
        <v>377</v>
      </c>
      <c r="S2547" t="str">
        <v>1000009527 ELECTRICIDAD PANAMERICANA S.A.</v>
      </c>
    </row>
    <row r="2548" spans="1:19" x14ac:dyDescent="0.3">
      <c r="A2548" s="2" t="s">
        <v>14</v>
      </c>
      <c r="B2548" s="3" t="s">
        <v>14</v>
      </c>
      <c r="C2548" s="3" t="s">
        <v>2305</v>
      </c>
      <c r="D2548" s="3" t="s">
        <v>32</v>
      </c>
      <c r="E2548" s="3" t="s">
        <v>466</v>
      </c>
      <c r="F2548" s="4">
        <v>46296</v>
      </c>
      <c r="G2548" s="3" t="s">
        <v>17</v>
      </c>
      <c r="H2548" s="5">
        <v>-190575</v>
      </c>
      <c r="I2548" s="3" t="s">
        <v>18</v>
      </c>
      <c r="J2548" s="3" t="s">
        <v>14</v>
      </c>
      <c r="K2548" s="3" t="s">
        <v>14</v>
      </c>
      <c r="L2548" s="3" t="s">
        <v>597</v>
      </c>
      <c r="M2548" s="4">
        <v>46296</v>
      </c>
      <c r="N2548" s="3" t="s">
        <v>2306</v>
      </c>
      <c r="O2548" s="3" t="s">
        <v>52</v>
      </c>
      <c r="P2548" t="str">
        <f t="shared" si="39"/>
        <v>450013982880</v>
      </c>
      <c r="Q2548" s="7" cm="1">
        <f t="array" ref="Q2548:S2548">VLOOKUP(P2548,Hoja1!C:F,{2,3,4},FALSE)</f>
        <v>46295</v>
      </c>
      <c r="R2548" t="str">
        <v>377</v>
      </c>
      <c r="S2548" t="str">
        <v>1000009527 ELECTRICIDAD PANAMERICANA S.A.</v>
      </c>
    </row>
    <row r="2549" spans="1:19" x14ac:dyDescent="0.3">
      <c r="A2549" s="2" t="s">
        <v>14</v>
      </c>
      <c r="B2549" s="3" t="s">
        <v>14</v>
      </c>
      <c r="C2549" s="3" t="s">
        <v>2307</v>
      </c>
      <c r="D2549" s="3" t="s">
        <v>14</v>
      </c>
      <c r="E2549" s="3" t="s">
        <v>466</v>
      </c>
      <c r="F2549" s="4">
        <v>46296</v>
      </c>
      <c r="G2549" s="3" t="s">
        <v>17</v>
      </c>
      <c r="H2549" s="5">
        <v>-162459.99</v>
      </c>
      <c r="I2549" s="3" t="s">
        <v>18</v>
      </c>
      <c r="J2549" s="3" t="s">
        <v>14</v>
      </c>
      <c r="K2549" s="3" t="s">
        <v>14</v>
      </c>
      <c r="L2549" s="3" t="s">
        <v>439</v>
      </c>
      <c r="M2549" s="4">
        <v>46296</v>
      </c>
      <c r="N2549" s="3" t="s">
        <v>2308</v>
      </c>
      <c r="O2549" s="3" t="s">
        <v>30</v>
      </c>
      <c r="P2549" t="str">
        <f t="shared" si="39"/>
        <v>450013993010</v>
      </c>
      <c r="Q2549" s="7" cm="1">
        <f t="array" ref="Q2549:S2549">VLOOKUP(P2549,Hoja1!C:F,{2,3,4},FALSE)</f>
        <v>46310</v>
      </c>
      <c r="R2549" t="str">
        <v>F04</v>
      </c>
      <c r="S2549" t="str">
        <v>1000000884 TRUCKSTORE S.A.</v>
      </c>
    </row>
    <row r="2550" spans="1:19" x14ac:dyDescent="0.3">
      <c r="A2550" s="2" t="s">
        <v>14</v>
      </c>
      <c r="B2550" s="3" t="s">
        <v>14</v>
      </c>
      <c r="C2550" s="3" t="s">
        <v>2307</v>
      </c>
      <c r="D2550" s="3" t="s">
        <v>14</v>
      </c>
      <c r="E2550" s="3" t="s">
        <v>466</v>
      </c>
      <c r="F2550" s="4">
        <v>46296</v>
      </c>
      <c r="G2550" s="3" t="s">
        <v>17</v>
      </c>
      <c r="H2550" s="5">
        <v>-451277.75</v>
      </c>
      <c r="I2550" s="3" t="s">
        <v>18</v>
      </c>
      <c r="J2550" s="3" t="s">
        <v>14</v>
      </c>
      <c r="K2550" s="3" t="s">
        <v>14</v>
      </c>
      <c r="L2550" s="3" t="s">
        <v>439</v>
      </c>
      <c r="M2550" s="4">
        <v>46296</v>
      </c>
      <c r="N2550" s="3" t="s">
        <v>2308</v>
      </c>
      <c r="O2550" s="3" t="s">
        <v>22</v>
      </c>
      <c r="P2550" t="str">
        <f t="shared" si="39"/>
        <v>450013993020</v>
      </c>
      <c r="Q2550" s="7" cm="1">
        <f t="array" ref="Q2550:S2550">VLOOKUP(P2550,Hoja1!C:F,{2,3,4},FALSE)</f>
        <v>46310</v>
      </c>
      <c r="R2550" t="str">
        <v>F04</v>
      </c>
      <c r="S2550" t="str">
        <v>1000000884 TRUCKSTORE S.A.</v>
      </c>
    </row>
    <row r="2551" spans="1:19" x14ac:dyDescent="0.3">
      <c r="A2551" s="2" t="s">
        <v>14</v>
      </c>
      <c r="B2551" s="3" t="s">
        <v>14</v>
      </c>
      <c r="C2551" s="3" t="s">
        <v>2307</v>
      </c>
      <c r="D2551" s="3" t="s">
        <v>14</v>
      </c>
      <c r="E2551" s="3" t="s">
        <v>466</v>
      </c>
      <c r="F2551" s="4">
        <v>46296</v>
      </c>
      <c r="G2551" s="3" t="s">
        <v>17</v>
      </c>
      <c r="H2551" s="5">
        <v>-339921.12</v>
      </c>
      <c r="I2551" s="3" t="s">
        <v>18</v>
      </c>
      <c r="J2551" s="3" t="s">
        <v>14</v>
      </c>
      <c r="K2551" s="3" t="s">
        <v>14</v>
      </c>
      <c r="L2551" s="3" t="s">
        <v>439</v>
      </c>
      <c r="M2551" s="4">
        <v>46296</v>
      </c>
      <c r="N2551" s="3" t="s">
        <v>2308</v>
      </c>
      <c r="O2551" s="3" t="s">
        <v>35</v>
      </c>
      <c r="P2551" t="str">
        <f t="shared" si="39"/>
        <v>450013993030</v>
      </c>
      <c r="Q2551" s="7" cm="1">
        <f t="array" ref="Q2551:S2551">VLOOKUP(P2551,Hoja1!C:F,{2,3,4},FALSE)</f>
        <v>46310</v>
      </c>
      <c r="R2551" t="str">
        <v>F04</v>
      </c>
      <c r="S2551" t="str">
        <v>1000000884 TRUCKSTORE S.A.</v>
      </c>
    </row>
    <row r="2552" spans="1:19" x14ac:dyDescent="0.3">
      <c r="A2552" s="2" t="s">
        <v>14</v>
      </c>
      <c r="B2552" s="3" t="s">
        <v>14</v>
      </c>
      <c r="C2552" s="3" t="s">
        <v>2309</v>
      </c>
      <c r="D2552" s="3" t="s">
        <v>32</v>
      </c>
      <c r="E2552" s="3" t="s">
        <v>466</v>
      </c>
      <c r="F2552" s="4">
        <v>46296</v>
      </c>
      <c r="G2552" s="3" t="s">
        <v>17</v>
      </c>
      <c r="H2552" s="5">
        <v>-2939854.42</v>
      </c>
      <c r="I2552" s="3" t="s">
        <v>18</v>
      </c>
      <c r="J2552" s="3" t="s">
        <v>14</v>
      </c>
      <c r="K2552" s="3" t="s">
        <v>14</v>
      </c>
      <c r="L2552" s="3" t="s">
        <v>2002</v>
      </c>
      <c r="M2552" s="4">
        <v>46296</v>
      </c>
      <c r="N2552" s="3" t="s">
        <v>2310</v>
      </c>
      <c r="O2552" s="3" t="s">
        <v>30</v>
      </c>
      <c r="P2552" t="str">
        <f t="shared" si="39"/>
        <v>450013984010</v>
      </c>
      <c r="Q2552" s="7" cm="1">
        <f t="array" ref="Q2552:S2552">VLOOKUP(P2552,Hoja1!C:F,{2,3,4},FALSE)</f>
        <v>46297</v>
      </c>
      <c r="R2552" t="str">
        <v>377</v>
      </c>
      <c r="S2552" t="str">
        <v>1000000826 GEVA SRL</v>
      </c>
    </row>
    <row r="2553" spans="1:19" x14ac:dyDescent="0.3">
      <c r="A2553" s="2" t="s">
        <v>14</v>
      </c>
      <c r="B2553" s="3" t="s">
        <v>14</v>
      </c>
      <c r="C2553" s="3" t="s">
        <v>2311</v>
      </c>
      <c r="D2553" s="3" t="s">
        <v>32</v>
      </c>
      <c r="E2553" s="3" t="s">
        <v>466</v>
      </c>
      <c r="F2553" s="4">
        <v>46296</v>
      </c>
      <c r="G2553" s="3" t="s">
        <v>17</v>
      </c>
      <c r="H2553" s="5">
        <v>-40656</v>
      </c>
      <c r="I2553" s="3" t="s">
        <v>18</v>
      </c>
      <c r="J2553" s="3" t="s">
        <v>14</v>
      </c>
      <c r="K2553" s="3" t="s">
        <v>14</v>
      </c>
      <c r="L2553" s="3" t="s">
        <v>2312</v>
      </c>
      <c r="M2553" s="4">
        <v>46296</v>
      </c>
      <c r="N2553" s="3" t="s">
        <v>2313</v>
      </c>
      <c r="O2553" s="3" t="s">
        <v>30</v>
      </c>
      <c r="P2553" t="str">
        <f t="shared" si="39"/>
        <v>450013991710</v>
      </c>
      <c r="Q2553" s="7" cm="1">
        <f t="array" ref="Q2553:S2553">VLOOKUP(P2553,Hoja1!C:F,{2,3,4},FALSE)</f>
        <v>46296</v>
      </c>
      <c r="R2553" t="str">
        <v>377</v>
      </c>
      <c r="S2553" t="str">
        <v>1000008315 DOHKO S.R.L.</v>
      </c>
    </row>
    <row r="2554" spans="1:19" x14ac:dyDescent="0.3">
      <c r="A2554" s="2" t="s">
        <v>14</v>
      </c>
      <c r="B2554" s="3" t="s">
        <v>14</v>
      </c>
      <c r="C2554" s="3" t="s">
        <v>2314</v>
      </c>
      <c r="D2554" s="3" t="s">
        <v>32</v>
      </c>
      <c r="E2554" s="3" t="s">
        <v>466</v>
      </c>
      <c r="F2554" s="4">
        <v>46296</v>
      </c>
      <c r="G2554" s="3" t="s">
        <v>17</v>
      </c>
      <c r="H2554" s="5">
        <v>-1600000</v>
      </c>
      <c r="I2554" s="3" t="s">
        <v>18</v>
      </c>
      <c r="J2554" s="3" t="s">
        <v>14</v>
      </c>
      <c r="K2554" s="3" t="s">
        <v>14</v>
      </c>
      <c r="L2554" s="3" t="s">
        <v>1171</v>
      </c>
      <c r="M2554" s="4">
        <v>46296</v>
      </c>
      <c r="N2554" s="3" t="s">
        <v>2315</v>
      </c>
      <c r="O2554" s="3" t="s">
        <v>30</v>
      </c>
      <c r="P2554" t="str">
        <f t="shared" si="39"/>
        <v>450013662710</v>
      </c>
      <c r="Q2554" s="7" cm="1">
        <f t="array" ref="Q2554:S2554">VLOOKUP(P2554,Hoja1!C:F,{2,3,4},FALSE)</f>
        <v>46326</v>
      </c>
      <c r="R2554" t="str">
        <v>EFO</v>
      </c>
      <c r="S2554" t="str">
        <v>1000009474 JORGE ALBERTO SOTO S.A.S.</v>
      </c>
    </row>
    <row r="2555" spans="1:19" x14ac:dyDescent="0.3">
      <c r="A2555" s="2" t="s">
        <v>14</v>
      </c>
      <c r="B2555" s="3" t="s">
        <v>14</v>
      </c>
      <c r="C2555" s="3" t="s">
        <v>2314</v>
      </c>
      <c r="D2555" s="3" t="s">
        <v>32</v>
      </c>
      <c r="E2555" s="3" t="s">
        <v>466</v>
      </c>
      <c r="F2555" s="4">
        <v>46296</v>
      </c>
      <c r="G2555" s="3" t="s">
        <v>17</v>
      </c>
      <c r="H2555" s="5">
        <v>-1900000</v>
      </c>
      <c r="I2555" s="3" t="s">
        <v>18</v>
      </c>
      <c r="J2555" s="3" t="s">
        <v>14</v>
      </c>
      <c r="K2555" s="3" t="s">
        <v>14</v>
      </c>
      <c r="L2555" s="3" t="s">
        <v>1171</v>
      </c>
      <c r="M2555" s="4">
        <v>46296</v>
      </c>
      <c r="N2555" s="3" t="s">
        <v>2315</v>
      </c>
      <c r="O2555" s="3" t="s">
        <v>35</v>
      </c>
      <c r="P2555" t="str">
        <f t="shared" si="39"/>
        <v>450013662730</v>
      </c>
      <c r="Q2555" s="7" cm="1">
        <f t="array" ref="Q2555:S2555">VLOOKUP(P2555,Hoja1!C:F,{2,3,4},FALSE)</f>
        <v>46326</v>
      </c>
      <c r="R2555" t="str">
        <v>EFO</v>
      </c>
      <c r="S2555" t="str">
        <v>1000009474 JORGE ALBERTO SOTO S.A.S.</v>
      </c>
    </row>
    <row r="2556" spans="1:19" x14ac:dyDescent="0.3">
      <c r="A2556" s="2" t="s">
        <v>14</v>
      </c>
      <c r="B2556" s="3" t="s">
        <v>14</v>
      </c>
      <c r="C2556" s="3" t="s">
        <v>2314</v>
      </c>
      <c r="D2556" s="3" t="s">
        <v>32</v>
      </c>
      <c r="E2556" s="3" t="s">
        <v>466</v>
      </c>
      <c r="F2556" s="4">
        <v>46296</v>
      </c>
      <c r="G2556" s="3" t="s">
        <v>17</v>
      </c>
      <c r="H2556" s="5">
        <v>-1187500</v>
      </c>
      <c r="I2556" s="3" t="s">
        <v>18</v>
      </c>
      <c r="J2556" s="3" t="s">
        <v>14</v>
      </c>
      <c r="K2556" s="3" t="s">
        <v>14</v>
      </c>
      <c r="L2556" s="3" t="s">
        <v>1171</v>
      </c>
      <c r="M2556" s="4">
        <v>46296</v>
      </c>
      <c r="N2556" s="3" t="s">
        <v>2315</v>
      </c>
      <c r="O2556" s="3" t="s">
        <v>23</v>
      </c>
      <c r="P2556" t="str">
        <f t="shared" si="39"/>
        <v>450013662740</v>
      </c>
      <c r="Q2556" s="7" cm="1">
        <f t="array" ref="Q2556:S2556">VLOOKUP(P2556,Hoja1!C:F,{2,3,4},FALSE)</f>
        <v>46326</v>
      </c>
      <c r="R2556" t="str">
        <v>EFO</v>
      </c>
      <c r="S2556" t="str">
        <v>1000009474 JORGE ALBERTO SOTO S.A.S.</v>
      </c>
    </row>
    <row r="2557" spans="1:19" x14ac:dyDescent="0.3">
      <c r="A2557" s="2" t="s">
        <v>14</v>
      </c>
      <c r="B2557" s="3" t="s">
        <v>14</v>
      </c>
      <c r="C2557" s="3" t="s">
        <v>2314</v>
      </c>
      <c r="D2557" s="3" t="s">
        <v>32</v>
      </c>
      <c r="E2557" s="3" t="s">
        <v>466</v>
      </c>
      <c r="F2557" s="4">
        <v>46296</v>
      </c>
      <c r="G2557" s="3" t="s">
        <v>17</v>
      </c>
      <c r="H2557" s="5">
        <v>-603250</v>
      </c>
      <c r="I2557" s="3" t="s">
        <v>18</v>
      </c>
      <c r="J2557" s="3" t="s">
        <v>14</v>
      </c>
      <c r="K2557" s="3" t="s">
        <v>14</v>
      </c>
      <c r="L2557" s="3" t="s">
        <v>1171</v>
      </c>
      <c r="M2557" s="4">
        <v>46296</v>
      </c>
      <c r="N2557" s="3" t="s">
        <v>2315</v>
      </c>
      <c r="O2557" s="3" t="s">
        <v>144</v>
      </c>
      <c r="P2557" t="str">
        <f t="shared" si="39"/>
        <v>450013662750</v>
      </c>
      <c r="Q2557" s="7" cm="1">
        <f t="array" ref="Q2557:S2557">VLOOKUP(P2557,Hoja1!C:F,{2,3,4},FALSE)</f>
        <v>46326</v>
      </c>
      <c r="R2557" t="str">
        <v>EFO</v>
      </c>
      <c r="S2557" t="str">
        <v>1000009474 JORGE ALBERTO SOTO S.A.S.</v>
      </c>
    </row>
    <row r="2558" spans="1:19" x14ac:dyDescent="0.3">
      <c r="A2558" s="2" t="s">
        <v>14</v>
      </c>
      <c r="B2558" s="3" t="s">
        <v>14</v>
      </c>
      <c r="C2558" s="3" t="s">
        <v>2314</v>
      </c>
      <c r="D2558" s="3" t="s">
        <v>32</v>
      </c>
      <c r="E2558" s="3" t="s">
        <v>466</v>
      </c>
      <c r="F2558" s="4">
        <v>46296</v>
      </c>
      <c r="G2558" s="3" t="s">
        <v>17</v>
      </c>
      <c r="H2558" s="5">
        <v>-1576575</v>
      </c>
      <c r="I2558" s="3" t="s">
        <v>18</v>
      </c>
      <c r="J2558" s="3" t="s">
        <v>14</v>
      </c>
      <c r="K2558" s="3" t="s">
        <v>14</v>
      </c>
      <c r="L2558" s="3" t="s">
        <v>1171</v>
      </c>
      <c r="M2558" s="4">
        <v>46296</v>
      </c>
      <c r="N2558" s="3" t="s">
        <v>2315</v>
      </c>
      <c r="O2558" s="3" t="s">
        <v>141</v>
      </c>
      <c r="P2558" t="str">
        <f t="shared" si="39"/>
        <v>450013662760</v>
      </c>
      <c r="Q2558" s="7" cm="1">
        <f t="array" ref="Q2558:S2558">VLOOKUP(P2558,Hoja1!C:F,{2,3,4},FALSE)</f>
        <v>46326</v>
      </c>
      <c r="R2558" t="str">
        <v>EFO</v>
      </c>
      <c r="S2558" t="str">
        <v>1000009474 JORGE ALBERTO SOTO S.A.S.</v>
      </c>
    </row>
    <row r="2559" spans="1:19" x14ac:dyDescent="0.3">
      <c r="A2559" s="2" t="s">
        <v>14</v>
      </c>
      <c r="B2559" s="3" t="s">
        <v>14</v>
      </c>
      <c r="C2559" s="3" t="s">
        <v>2314</v>
      </c>
      <c r="D2559" s="3" t="s">
        <v>32</v>
      </c>
      <c r="E2559" s="3" t="s">
        <v>466</v>
      </c>
      <c r="F2559" s="4">
        <v>46296</v>
      </c>
      <c r="G2559" s="3" t="s">
        <v>17</v>
      </c>
      <c r="H2559" s="5">
        <v>-1600000</v>
      </c>
      <c r="I2559" s="3" t="s">
        <v>18</v>
      </c>
      <c r="J2559" s="3" t="s">
        <v>14</v>
      </c>
      <c r="K2559" s="3" t="s">
        <v>14</v>
      </c>
      <c r="L2559" s="3" t="s">
        <v>1171</v>
      </c>
      <c r="M2559" s="4">
        <v>46296</v>
      </c>
      <c r="N2559" s="3" t="s">
        <v>2315</v>
      </c>
      <c r="O2559" s="3" t="s">
        <v>134</v>
      </c>
      <c r="P2559" t="str">
        <f t="shared" si="39"/>
        <v>450013662770</v>
      </c>
      <c r="Q2559" s="7" cm="1">
        <f t="array" ref="Q2559:S2559">VLOOKUP(P2559,Hoja1!C:F,{2,3,4},FALSE)</f>
        <v>46326</v>
      </c>
      <c r="R2559" t="str">
        <v>EFO</v>
      </c>
      <c r="S2559" t="str">
        <v>1000009474 JORGE ALBERTO SOTO S.A.S.</v>
      </c>
    </row>
    <row r="2560" spans="1:19" x14ac:dyDescent="0.3">
      <c r="A2560" s="2" t="s">
        <v>14</v>
      </c>
      <c r="B2560" s="3" t="s">
        <v>14</v>
      </c>
      <c r="C2560" s="3" t="s">
        <v>2314</v>
      </c>
      <c r="D2560" s="3" t="s">
        <v>32</v>
      </c>
      <c r="E2560" s="3" t="s">
        <v>466</v>
      </c>
      <c r="F2560" s="4">
        <v>46296</v>
      </c>
      <c r="G2560" s="3" t="s">
        <v>17</v>
      </c>
      <c r="H2560" s="5">
        <v>-1500000</v>
      </c>
      <c r="I2560" s="3" t="s">
        <v>18</v>
      </c>
      <c r="J2560" s="3" t="s">
        <v>14</v>
      </c>
      <c r="K2560" s="3" t="s">
        <v>14</v>
      </c>
      <c r="L2560" s="3" t="s">
        <v>1171</v>
      </c>
      <c r="M2560" s="4">
        <v>46296</v>
      </c>
      <c r="N2560" s="3" t="s">
        <v>2315</v>
      </c>
      <c r="O2560" s="3" t="s">
        <v>52</v>
      </c>
      <c r="P2560" t="str">
        <f t="shared" si="39"/>
        <v>450013662780</v>
      </c>
      <c r="Q2560" s="7" cm="1">
        <f t="array" ref="Q2560:S2560">VLOOKUP(P2560,Hoja1!C:F,{2,3,4},FALSE)</f>
        <v>46326</v>
      </c>
      <c r="R2560" t="str">
        <v>EFO</v>
      </c>
      <c r="S2560" t="str">
        <v>1000009474 JORGE ALBERTO SOTO S.A.S.</v>
      </c>
    </row>
    <row r="2561" spans="1:19" x14ac:dyDescent="0.3">
      <c r="A2561" s="2" t="s">
        <v>14</v>
      </c>
      <c r="B2561" s="3" t="s">
        <v>14</v>
      </c>
      <c r="C2561" s="3" t="s">
        <v>2316</v>
      </c>
      <c r="D2561" s="3" t="s">
        <v>32</v>
      </c>
      <c r="E2561" s="3" t="s">
        <v>466</v>
      </c>
      <c r="F2561" s="4">
        <v>46296</v>
      </c>
      <c r="G2561" s="3" t="s">
        <v>17</v>
      </c>
      <c r="H2561" s="5">
        <v>-1900000</v>
      </c>
      <c r="I2561" s="3" t="s">
        <v>18</v>
      </c>
      <c r="J2561" s="3" t="s">
        <v>14</v>
      </c>
      <c r="K2561" s="3" t="s">
        <v>14</v>
      </c>
      <c r="L2561" s="3" t="s">
        <v>1171</v>
      </c>
      <c r="M2561" s="4">
        <v>46296</v>
      </c>
      <c r="N2561" s="3" t="s">
        <v>1176</v>
      </c>
      <c r="O2561" s="3" t="s">
        <v>30</v>
      </c>
      <c r="P2561" t="str">
        <f t="shared" si="39"/>
        <v>450011729010</v>
      </c>
      <c r="Q2561" s="7" cm="1">
        <f t="array" ref="Q2561:S2561">VLOOKUP(P2561,Hoja1!C:F,{2,3,4},FALSE)</f>
        <v>46317</v>
      </c>
      <c r="R2561" t="str">
        <v>C04</v>
      </c>
      <c r="S2561" t="str">
        <v>1000009474 JORGE ALBERTO SOTO S.A.S.</v>
      </c>
    </row>
    <row r="2562" spans="1:19" x14ac:dyDescent="0.3">
      <c r="A2562" s="2" t="s">
        <v>14</v>
      </c>
      <c r="B2562" s="3" t="s">
        <v>14</v>
      </c>
      <c r="C2562" s="3" t="s">
        <v>2317</v>
      </c>
      <c r="D2562" s="3" t="s">
        <v>32</v>
      </c>
      <c r="E2562" s="3" t="s">
        <v>466</v>
      </c>
      <c r="F2562" s="4">
        <v>46296</v>
      </c>
      <c r="G2562" s="3" t="s">
        <v>17</v>
      </c>
      <c r="H2562" s="5">
        <v>-10358000</v>
      </c>
      <c r="I2562" s="3" t="s">
        <v>18</v>
      </c>
      <c r="J2562" s="3" t="s">
        <v>14</v>
      </c>
      <c r="K2562" s="3" t="s">
        <v>14</v>
      </c>
      <c r="L2562" s="3" t="s">
        <v>2057</v>
      </c>
      <c r="M2562" s="4">
        <v>46296</v>
      </c>
      <c r="N2562" s="3" t="s">
        <v>2318</v>
      </c>
      <c r="O2562" s="3" t="s">
        <v>30</v>
      </c>
      <c r="P2562" t="str">
        <f t="shared" si="39"/>
        <v>450013681010</v>
      </c>
      <c r="Q2562" s="7" cm="1">
        <f t="array" ref="Q2562:S2562">VLOOKUP(P2562,Hoja1!C:F,{2,3,4},FALSE)</f>
        <v>46326</v>
      </c>
      <c r="R2562" t="str">
        <v>C26</v>
      </c>
      <c r="S2562" t="str">
        <v>1000002120 INGEAP S.A.S.</v>
      </c>
    </row>
    <row r="2563" spans="1:19" x14ac:dyDescent="0.3">
      <c r="A2563" s="2" t="s">
        <v>14</v>
      </c>
      <c r="B2563" s="3" t="s">
        <v>14</v>
      </c>
      <c r="C2563" s="3" t="s">
        <v>2319</v>
      </c>
      <c r="D2563" s="3" t="s">
        <v>32</v>
      </c>
      <c r="E2563" s="3" t="s">
        <v>466</v>
      </c>
      <c r="F2563" s="4">
        <v>46296</v>
      </c>
      <c r="G2563" s="3" t="s">
        <v>17</v>
      </c>
      <c r="H2563" s="5">
        <v>-630000</v>
      </c>
      <c r="I2563" s="3" t="s">
        <v>18</v>
      </c>
      <c r="J2563" s="3" t="s">
        <v>14</v>
      </c>
      <c r="K2563" s="3" t="s">
        <v>14</v>
      </c>
      <c r="L2563" s="3" t="s">
        <v>2320</v>
      </c>
      <c r="M2563" s="4">
        <v>46296</v>
      </c>
      <c r="N2563" s="3" t="s">
        <v>2321</v>
      </c>
      <c r="O2563" s="3" t="s">
        <v>30</v>
      </c>
      <c r="P2563" t="str">
        <f t="shared" ref="P2563:P2626" si="40">_xlfn.CONCAT(N2563:O2563)</f>
        <v>450012062910</v>
      </c>
      <c r="Q2563" s="7" cm="1">
        <f t="array" ref="Q2563:S2563">VLOOKUP(P2563,Hoja1!C:F,{2,3,4},FALSE)</f>
        <v>46326</v>
      </c>
      <c r="R2563" t="str">
        <v>C25</v>
      </c>
      <c r="S2563" t="str">
        <v>1000001286 EXTER NEQUEN SRL</v>
      </c>
    </row>
    <row r="2564" spans="1:19" x14ac:dyDescent="0.3">
      <c r="A2564" s="2" t="s">
        <v>14</v>
      </c>
      <c r="B2564" s="3" t="s">
        <v>14</v>
      </c>
      <c r="C2564" s="3" t="s">
        <v>2322</v>
      </c>
      <c r="D2564" s="3" t="s">
        <v>32</v>
      </c>
      <c r="E2564" s="3" t="s">
        <v>466</v>
      </c>
      <c r="F2564" s="4">
        <v>46296</v>
      </c>
      <c r="G2564" s="3" t="s">
        <v>17</v>
      </c>
      <c r="H2564" s="5">
        <v>-1996500</v>
      </c>
      <c r="I2564" s="3" t="s">
        <v>18</v>
      </c>
      <c r="J2564" s="3" t="s">
        <v>14</v>
      </c>
      <c r="K2564" s="3" t="s">
        <v>14</v>
      </c>
      <c r="L2564" s="3" t="s">
        <v>2323</v>
      </c>
      <c r="M2564" s="4">
        <v>46296</v>
      </c>
      <c r="N2564" s="3" t="s">
        <v>2324</v>
      </c>
      <c r="O2564" s="3" t="s">
        <v>30</v>
      </c>
      <c r="P2564" t="str">
        <f t="shared" si="40"/>
        <v>450013715410</v>
      </c>
      <c r="Q2564" s="7" cm="1">
        <f t="array" ref="Q2564:S2564">VLOOKUP(P2564,Hoja1!C:F,{2,3,4},FALSE)</f>
        <v>46326</v>
      </c>
      <c r="R2564" t="str">
        <v>C25</v>
      </c>
      <c r="S2564" t="str">
        <v>1000012650 INTEPLA SRL</v>
      </c>
    </row>
    <row r="2565" spans="1:19" x14ac:dyDescent="0.3">
      <c r="A2565" s="2" t="s">
        <v>14</v>
      </c>
      <c r="B2565" s="3" t="s">
        <v>14</v>
      </c>
      <c r="C2565" s="3" t="s">
        <v>2325</v>
      </c>
      <c r="D2565" s="3" t="s">
        <v>32</v>
      </c>
      <c r="E2565" s="3" t="s">
        <v>466</v>
      </c>
      <c r="F2565" s="4">
        <v>46296</v>
      </c>
      <c r="G2565" s="3" t="s">
        <v>17</v>
      </c>
      <c r="H2565" s="5">
        <v>-480000</v>
      </c>
      <c r="I2565" s="3" t="s">
        <v>18</v>
      </c>
      <c r="J2565" s="3" t="s">
        <v>14</v>
      </c>
      <c r="K2565" s="3" t="s">
        <v>14</v>
      </c>
      <c r="L2565" s="3" t="s">
        <v>1286</v>
      </c>
      <c r="M2565" s="4">
        <v>46296</v>
      </c>
      <c r="N2565" s="3" t="s">
        <v>2326</v>
      </c>
      <c r="O2565" s="3" t="s">
        <v>30</v>
      </c>
      <c r="P2565" t="str">
        <f t="shared" si="40"/>
        <v>450013612410</v>
      </c>
      <c r="Q2565" s="7" cm="1">
        <f t="array" ref="Q2565:S2565">VLOOKUP(P2565,Hoja1!C:F,{2,3,4},FALSE)</f>
        <v>46326</v>
      </c>
      <c r="R2565" t="str">
        <v>C25</v>
      </c>
      <c r="S2565" t="str">
        <v>1000002283 TECNICA Y SISTEMAS SRL</v>
      </c>
    </row>
    <row r="2566" spans="1:19" x14ac:dyDescent="0.3">
      <c r="A2566" s="2" t="s">
        <v>14</v>
      </c>
      <c r="B2566" s="3" t="s">
        <v>14</v>
      </c>
      <c r="C2566" s="3" t="s">
        <v>2327</v>
      </c>
      <c r="D2566" s="3" t="s">
        <v>14</v>
      </c>
      <c r="E2566" s="3" t="s">
        <v>466</v>
      </c>
      <c r="F2566" s="4">
        <v>46296</v>
      </c>
      <c r="G2566" s="3" t="s">
        <v>17</v>
      </c>
      <c r="H2566" s="5">
        <v>-463430</v>
      </c>
      <c r="I2566" s="3" t="s">
        <v>18</v>
      </c>
      <c r="J2566" s="3" t="s">
        <v>14</v>
      </c>
      <c r="K2566" s="3" t="s">
        <v>14</v>
      </c>
      <c r="L2566" s="3" t="s">
        <v>340</v>
      </c>
      <c r="M2566" s="4">
        <v>46296</v>
      </c>
      <c r="N2566" s="3" t="s">
        <v>2328</v>
      </c>
      <c r="O2566" s="3" t="s">
        <v>30</v>
      </c>
      <c r="P2566" t="str">
        <f t="shared" si="40"/>
        <v>450013949210</v>
      </c>
      <c r="Q2566" s="7" cm="1">
        <f t="array" ref="Q2566:S2566">VLOOKUP(P2566,Hoja1!C:F,{2,3,4},FALSE)</f>
        <v>46308</v>
      </c>
      <c r="R2566" t="str">
        <v>F07</v>
      </c>
      <c r="S2566" t="str">
        <v>1000000062 FINNING ARGENTINA S.A.</v>
      </c>
    </row>
    <row r="2567" spans="1:19" x14ac:dyDescent="0.3">
      <c r="A2567" s="2" t="s">
        <v>14</v>
      </c>
      <c r="B2567" s="3" t="s">
        <v>14</v>
      </c>
      <c r="C2567" s="3" t="s">
        <v>2327</v>
      </c>
      <c r="D2567" s="3" t="s">
        <v>14</v>
      </c>
      <c r="E2567" s="3" t="s">
        <v>466</v>
      </c>
      <c r="F2567" s="4">
        <v>46296</v>
      </c>
      <c r="G2567" s="3" t="s">
        <v>17</v>
      </c>
      <c r="H2567" s="5">
        <v>-871245.38</v>
      </c>
      <c r="I2567" s="3" t="s">
        <v>18</v>
      </c>
      <c r="J2567" s="3" t="s">
        <v>14</v>
      </c>
      <c r="K2567" s="3" t="s">
        <v>14</v>
      </c>
      <c r="L2567" s="3" t="s">
        <v>340</v>
      </c>
      <c r="M2567" s="4">
        <v>46296</v>
      </c>
      <c r="N2567" s="3" t="s">
        <v>2328</v>
      </c>
      <c r="O2567" s="3" t="s">
        <v>22</v>
      </c>
      <c r="P2567" t="str">
        <f t="shared" si="40"/>
        <v>450013949220</v>
      </c>
      <c r="Q2567" s="7" cm="1">
        <f t="array" ref="Q2567:S2567">VLOOKUP(P2567,Hoja1!C:F,{2,3,4},FALSE)</f>
        <v>46308</v>
      </c>
      <c r="R2567" t="str">
        <v>F07</v>
      </c>
      <c r="S2567" t="str">
        <v>1000000062 FINNING ARGENTINA S.A.</v>
      </c>
    </row>
    <row r="2568" spans="1:19" x14ac:dyDescent="0.3">
      <c r="A2568" s="2" t="s">
        <v>14</v>
      </c>
      <c r="B2568" s="3" t="s">
        <v>14</v>
      </c>
      <c r="C2568" s="3" t="s">
        <v>2329</v>
      </c>
      <c r="D2568" s="3" t="s">
        <v>14</v>
      </c>
      <c r="E2568" s="3" t="s">
        <v>466</v>
      </c>
      <c r="F2568" s="4">
        <v>46289</v>
      </c>
      <c r="G2568" s="3" t="s">
        <v>17</v>
      </c>
      <c r="H2568" s="5">
        <v>-1600000</v>
      </c>
      <c r="I2568" s="3" t="s">
        <v>18</v>
      </c>
      <c r="J2568" s="3" t="s">
        <v>14</v>
      </c>
      <c r="K2568" s="3" t="s">
        <v>14</v>
      </c>
      <c r="L2568" s="3" t="s">
        <v>2330</v>
      </c>
      <c r="M2568" s="4">
        <v>46289</v>
      </c>
      <c r="N2568" s="3" t="s">
        <v>2331</v>
      </c>
      <c r="O2568" s="3" t="s">
        <v>30</v>
      </c>
      <c r="P2568" t="str">
        <f t="shared" si="40"/>
        <v>450013965210</v>
      </c>
      <c r="Q2568" s="7" cm="1">
        <f t="array" ref="Q2568:S2568">VLOOKUP(P2568,Hoja1!C:F,{2,3,4},FALSE)</f>
        <v>46310</v>
      </c>
      <c r="R2568" t="str">
        <v>C15</v>
      </c>
      <c r="S2568" t="str">
        <v>1000001368 PROVASI NICOLAS MARTIN</v>
      </c>
    </row>
    <row r="2569" spans="1:19" x14ac:dyDescent="0.3">
      <c r="A2569" s="2" t="s">
        <v>14</v>
      </c>
      <c r="B2569" s="3" t="s">
        <v>14</v>
      </c>
      <c r="C2569" s="3" t="s">
        <v>2332</v>
      </c>
      <c r="D2569" s="3" t="s">
        <v>14</v>
      </c>
      <c r="E2569" s="3" t="s">
        <v>466</v>
      </c>
      <c r="F2569" s="4">
        <v>46295</v>
      </c>
      <c r="G2569" s="3" t="s">
        <v>17</v>
      </c>
      <c r="H2569" s="5">
        <v>-68405.75</v>
      </c>
      <c r="I2569" s="3" t="s">
        <v>18</v>
      </c>
      <c r="J2569" s="3" t="s">
        <v>14</v>
      </c>
      <c r="K2569" s="3" t="s">
        <v>14</v>
      </c>
      <c r="L2569" s="3" t="s">
        <v>1508</v>
      </c>
      <c r="M2569" s="4">
        <v>46297</v>
      </c>
      <c r="N2569" s="3" t="s">
        <v>2333</v>
      </c>
      <c r="O2569" s="3" t="s">
        <v>30</v>
      </c>
      <c r="P2569" t="str">
        <f t="shared" si="40"/>
        <v>450013961610</v>
      </c>
      <c r="Q2569" s="7" cm="1">
        <f t="array" ref="Q2569:S2569">VLOOKUP(P2569,Hoja1!C:F,{2,3,4},FALSE)</f>
        <v>46296</v>
      </c>
      <c r="R2569" t="str">
        <v>C08</v>
      </c>
      <c r="S2569" t="str">
        <v>1000003014 DICO ACEROS SRL</v>
      </c>
    </row>
    <row r="2570" spans="1:19" x14ac:dyDescent="0.3">
      <c r="A2570" s="2" t="s">
        <v>14</v>
      </c>
      <c r="B2570" s="3" t="s">
        <v>14</v>
      </c>
      <c r="C2570" s="3" t="s">
        <v>2332</v>
      </c>
      <c r="D2570" s="3" t="s">
        <v>14</v>
      </c>
      <c r="E2570" s="3" t="s">
        <v>466</v>
      </c>
      <c r="F2570" s="4">
        <v>46295</v>
      </c>
      <c r="G2570" s="3" t="s">
        <v>17</v>
      </c>
      <c r="H2570" s="5">
        <v>-419448.8</v>
      </c>
      <c r="I2570" s="3" t="s">
        <v>18</v>
      </c>
      <c r="J2570" s="3" t="s">
        <v>14</v>
      </c>
      <c r="K2570" s="3" t="s">
        <v>14</v>
      </c>
      <c r="L2570" s="3" t="s">
        <v>1508</v>
      </c>
      <c r="M2570" s="4">
        <v>46297</v>
      </c>
      <c r="N2570" s="3" t="s">
        <v>2333</v>
      </c>
      <c r="O2570" s="3" t="s">
        <v>22</v>
      </c>
      <c r="P2570" t="str">
        <f t="shared" si="40"/>
        <v>450013961620</v>
      </c>
      <c r="Q2570" s="7" cm="1">
        <f t="array" ref="Q2570:S2570">VLOOKUP(P2570,Hoja1!C:F,{2,3,4},FALSE)</f>
        <v>46296</v>
      </c>
      <c r="R2570" t="str">
        <v>C08</v>
      </c>
      <c r="S2570" t="str">
        <v>1000003014 DICO ACEROS SRL</v>
      </c>
    </row>
    <row r="2571" spans="1:19" x14ac:dyDescent="0.3">
      <c r="A2571" s="2" t="s">
        <v>14</v>
      </c>
      <c r="B2571" s="3" t="s">
        <v>14</v>
      </c>
      <c r="C2571" s="3" t="s">
        <v>2332</v>
      </c>
      <c r="D2571" s="3" t="s">
        <v>14</v>
      </c>
      <c r="E2571" s="3" t="s">
        <v>466</v>
      </c>
      <c r="F2571" s="4">
        <v>46295</v>
      </c>
      <c r="G2571" s="3" t="s">
        <v>17</v>
      </c>
      <c r="H2571" s="5">
        <v>-145869.20000000001</v>
      </c>
      <c r="I2571" s="3" t="s">
        <v>18</v>
      </c>
      <c r="J2571" s="3" t="s">
        <v>14</v>
      </c>
      <c r="K2571" s="3" t="s">
        <v>14</v>
      </c>
      <c r="L2571" s="3" t="s">
        <v>1508</v>
      </c>
      <c r="M2571" s="4">
        <v>46297</v>
      </c>
      <c r="N2571" s="3" t="s">
        <v>2333</v>
      </c>
      <c r="O2571" s="3" t="s">
        <v>35</v>
      </c>
      <c r="P2571" t="str">
        <f t="shared" si="40"/>
        <v>450013961630</v>
      </c>
      <c r="Q2571" s="7" cm="1">
        <f t="array" ref="Q2571:S2571">VLOOKUP(P2571,Hoja1!C:F,{2,3,4},FALSE)</f>
        <v>46296</v>
      </c>
      <c r="R2571" t="str">
        <v>C08</v>
      </c>
      <c r="S2571" t="str">
        <v>1000003014 DICO ACEROS SRL</v>
      </c>
    </row>
    <row r="2572" spans="1:19" x14ac:dyDescent="0.3">
      <c r="A2572" s="2" t="s">
        <v>14</v>
      </c>
      <c r="B2572" s="3" t="s">
        <v>14</v>
      </c>
      <c r="C2572" s="3" t="s">
        <v>2334</v>
      </c>
      <c r="D2572" s="3" t="s">
        <v>32</v>
      </c>
      <c r="E2572" s="3" t="s">
        <v>466</v>
      </c>
      <c r="F2572" s="4">
        <v>46295</v>
      </c>
      <c r="G2572" s="3" t="s">
        <v>17</v>
      </c>
      <c r="H2572" s="5">
        <v>-270000</v>
      </c>
      <c r="I2572" s="3" t="s">
        <v>18</v>
      </c>
      <c r="J2572" s="3" t="s">
        <v>14</v>
      </c>
      <c r="K2572" s="3" t="s">
        <v>14</v>
      </c>
      <c r="L2572" s="3" t="s">
        <v>2335</v>
      </c>
      <c r="M2572" s="4">
        <v>46297</v>
      </c>
      <c r="N2572" s="3" t="s">
        <v>2336</v>
      </c>
      <c r="O2572" s="3" t="s">
        <v>30</v>
      </c>
      <c r="P2572" t="str">
        <f t="shared" si="40"/>
        <v>450013959310</v>
      </c>
      <c r="Q2572" s="7" cm="1">
        <f t="array" ref="Q2572:S2572">VLOOKUP(P2572,Hoja1!C:F,{2,3,4},FALSE)</f>
        <v>46295</v>
      </c>
      <c r="R2572" t="str">
        <v>378</v>
      </c>
      <c r="S2572" t="str">
        <v>1000000048 VIALSA DE PIACENZA CARLOS EDUARDO</v>
      </c>
    </row>
    <row r="2573" spans="1:19" x14ac:dyDescent="0.3">
      <c r="A2573" s="2" t="s">
        <v>14</v>
      </c>
      <c r="B2573" s="3" t="s">
        <v>14</v>
      </c>
      <c r="C2573" s="3" t="s">
        <v>2334</v>
      </c>
      <c r="D2573" s="3" t="s">
        <v>32</v>
      </c>
      <c r="E2573" s="3" t="s">
        <v>466</v>
      </c>
      <c r="F2573" s="4">
        <v>46295</v>
      </c>
      <c r="G2573" s="3" t="s">
        <v>17</v>
      </c>
      <c r="H2573" s="5">
        <v>-150000</v>
      </c>
      <c r="I2573" s="3" t="s">
        <v>18</v>
      </c>
      <c r="J2573" s="3" t="s">
        <v>14</v>
      </c>
      <c r="K2573" s="3" t="s">
        <v>14</v>
      </c>
      <c r="L2573" s="3" t="s">
        <v>2335</v>
      </c>
      <c r="M2573" s="4">
        <v>46297</v>
      </c>
      <c r="N2573" s="3" t="s">
        <v>2336</v>
      </c>
      <c r="O2573" s="3" t="s">
        <v>22</v>
      </c>
      <c r="P2573" t="str">
        <f t="shared" si="40"/>
        <v>450013959320</v>
      </c>
      <c r="Q2573" s="7" cm="1">
        <f t="array" ref="Q2573:S2573">VLOOKUP(P2573,Hoja1!C:F,{2,3,4},FALSE)</f>
        <v>46295</v>
      </c>
      <c r="R2573" t="str">
        <v>378</v>
      </c>
      <c r="S2573" t="str">
        <v>1000000048 VIALSA DE PIACENZA CARLOS EDUARDO</v>
      </c>
    </row>
    <row r="2574" spans="1:19" x14ac:dyDescent="0.3">
      <c r="A2574" s="2" t="s">
        <v>14</v>
      </c>
      <c r="B2574" s="3" t="s">
        <v>14</v>
      </c>
      <c r="C2574" s="3" t="s">
        <v>2337</v>
      </c>
      <c r="D2574" s="3" t="s">
        <v>32</v>
      </c>
      <c r="E2574" s="3" t="s">
        <v>466</v>
      </c>
      <c r="F2574" s="4">
        <v>46297</v>
      </c>
      <c r="G2574" s="3" t="s">
        <v>17</v>
      </c>
      <c r="H2574" s="5">
        <v>-204750</v>
      </c>
      <c r="I2574" s="3" t="s">
        <v>18</v>
      </c>
      <c r="J2574" s="3" t="s">
        <v>14</v>
      </c>
      <c r="K2574" s="3" t="s">
        <v>14</v>
      </c>
      <c r="L2574" s="3" t="s">
        <v>181</v>
      </c>
      <c r="M2574" s="4">
        <v>46297</v>
      </c>
      <c r="N2574" s="3" t="s">
        <v>1169</v>
      </c>
      <c r="O2574" s="3" t="s">
        <v>30</v>
      </c>
      <c r="P2574" t="str">
        <f t="shared" si="40"/>
        <v>450012645210</v>
      </c>
      <c r="Q2574" s="7" cm="1">
        <f t="array" ref="Q2574:S2574">VLOOKUP(P2574,Hoja1!C:F,{2,3,4},FALSE)</f>
        <v>46387</v>
      </c>
      <c r="R2574" t="str">
        <v>C04</v>
      </c>
      <c r="S2574" t="str">
        <v>1000011461 CONTRERAS BRIAN ALEXANDER</v>
      </c>
    </row>
    <row r="2575" spans="1:19" x14ac:dyDescent="0.3">
      <c r="A2575" s="2" t="s">
        <v>14</v>
      </c>
      <c r="B2575" s="3" t="s">
        <v>14</v>
      </c>
      <c r="C2575" s="3" t="s">
        <v>2337</v>
      </c>
      <c r="D2575" s="3" t="s">
        <v>32</v>
      </c>
      <c r="E2575" s="3" t="s">
        <v>466</v>
      </c>
      <c r="F2575" s="4">
        <v>46297</v>
      </c>
      <c r="G2575" s="3" t="s">
        <v>17</v>
      </c>
      <c r="H2575" s="5">
        <v>-378000</v>
      </c>
      <c r="I2575" s="3" t="s">
        <v>18</v>
      </c>
      <c r="J2575" s="3" t="s">
        <v>14</v>
      </c>
      <c r="K2575" s="3" t="s">
        <v>14</v>
      </c>
      <c r="L2575" s="3" t="s">
        <v>181</v>
      </c>
      <c r="M2575" s="4">
        <v>46297</v>
      </c>
      <c r="N2575" s="3" t="s">
        <v>1169</v>
      </c>
      <c r="O2575" s="3" t="s">
        <v>22</v>
      </c>
      <c r="P2575" t="str">
        <f t="shared" si="40"/>
        <v>450012645220</v>
      </c>
      <c r="Q2575" s="7" cm="1">
        <f t="array" ref="Q2575:S2575">VLOOKUP(P2575,Hoja1!C:F,{2,3,4},FALSE)</f>
        <v>46387</v>
      </c>
      <c r="R2575" t="str">
        <v>C04</v>
      </c>
      <c r="S2575" t="str">
        <v>1000011461 CONTRERAS BRIAN ALEXANDER</v>
      </c>
    </row>
    <row r="2576" spans="1:19" x14ac:dyDescent="0.3">
      <c r="A2576" s="2" t="s">
        <v>14</v>
      </c>
      <c r="B2576" s="3" t="s">
        <v>14</v>
      </c>
      <c r="C2576" s="3" t="s">
        <v>2337</v>
      </c>
      <c r="D2576" s="3" t="s">
        <v>32</v>
      </c>
      <c r="E2576" s="3" t="s">
        <v>466</v>
      </c>
      <c r="F2576" s="4">
        <v>46297</v>
      </c>
      <c r="G2576" s="3" t="s">
        <v>17</v>
      </c>
      <c r="H2576" s="5">
        <v>-1023750</v>
      </c>
      <c r="I2576" s="3" t="s">
        <v>18</v>
      </c>
      <c r="J2576" s="3" t="s">
        <v>14</v>
      </c>
      <c r="K2576" s="3" t="s">
        <v>14</v>
      </c>
      <c r="L2576" s="3" t="s">
        <v>181</v>
      </c>
      <c r="M2576" s="4">
        <v>46297</v>
      </c>
      <c r="N2576" s="3" t="s">
        <v>1169</v>
      </c>
      <c r="O2576" s="3" t="s">
        <v>35</v>
      </c>
      <c r="P2576" t="str">
        <f t="shared" si="40"/>
        <v>450012645230</v>
      </c>
      <c r="Q2576" s="7" cm="1">
        <f t="array" ref="Q2576:S2576">VLOOKUP(P2576,Hoja1!C:F,{2,3,4},FALSE)</f>
        <v>46387</v>
      </c>
      <c r="R2576" t="str">
        <v>C04</v>
      </c>
      <c r="S2576" t="str">
        <v>1000011461 CONTRERAS BRIAN ALEXANDER</v>
      </c>
    </row>
    <row r="2577" spans="1:19" x14ac:dyDescent="0.3">
      <c r="A2577" s="2" t="s">
        <v>14</v>
      </c>
      <c r="B2577" s="3" t="s">
        <v>14</v>
      </c>
      <c r="C2577" s="3" t="s">
        <v>2337</v>
      </c>
      <c r="D2577" s="3" t="s">
        <v>32</v>
      </c>
      <c r="E2577" s="3" t="s">
        <v>466</v>
      </c>
      <c r="F2577" s="4">
        <v>46297</v>
      </c>
      <c r="G2577" s="3" t="s">
        <v>17</v>
      </c>
      <c r="H2577" s="5">
        <v>-252000</v>
      </c>
      <c r="I2577" s="3" t="s">
        <v>18</v>
      </c>
      <c r="J2577" s="3" t="s">
        <v>14</v>
      </c>
      <c r="K2577" s="3" t="s">
        <v>14</v>
      </c>
      <c r="L2577" s="3" t="s">
        <v>181</v>
      </c>
      <c r="M2577" s="4">
        <v>46297</v>
      </c>
      <c r="N2577" s="3" t="s">
        <v>1169</v>
      </c>
      <c r="O2577" s="3" t="s">
        <v>23</v>
      </c>
      <c r="P2577" t="str">
        <f t="shared" si="40"/>
        <v>450012645240</v>
      </c>
      <c r="Q2577" s="7" cm="1">
        <f t="array" ref="Q2577:S2577">VLOOKUP(P2577,Hoja1!C:F,{2,3,4},FALSE)</f>
        <v>46387</v>
      </c>
      <c r="R2577" t="str">
        <v>C04</v>
      </c>
      <c r="S2577" t="str">
        <v>1000011461 CONTRERAS BRIAN ALEXANDER</v>
      </c>
    </row>
    <row r="2578" spans="1:19" x14ac:dyDescent="0.3">
      <c r="A2578" s="2" t="s">
        <v>14</v>
      </c>
      <c r="B2578" s="3" t="s">
        <v>14</v>
      </c>
      <c r="C2578" s="3" t="s">
        <v>2337</v>
      </c>
      <c r="D2578" s="3" t="s">
        <v>32</v>
      </c>
      <c r="E2578" s="3" t="s">
        <v>466</v>
      </c>
      <c r="F2578" s="4">
        <v>46297</v>
      </c>
      <c r="G2578" s="3" t="s">
        <v>17</v>
      </c>
      <c r="H2578" s="5">
        <v>-141750</v>
      </c>
      <c r="I2578" s="3" t="s">
        <v>18</v>
      </c>
      <c r="J2578" s="3" t="s">
        <v>14</v>
      </c>
      <c r="K2578" s="3" t="s">
        <v>14</v>
      </c>
      <c r="L2578" s="3" t="s">
        <v>181</v>
      </c>
      <c r="M2578" s="4">
        <v>46297</v>
      </c>
      <c r="N2578" s="3" t="s">
        <v>1169</v>
      </c>
      <c r="O2578" s="3" t="s">
        <v>144</v>
      </c>
      <c r="P2578" t="str">
        <f t="shared" si="40"/>
        <v>450012645250</v>
      </c>
      <c r="Q2578" s="7" cm="1">
        <f t="array" ref="Q2578:S2578">VLOOKUP(P2578,Hoja1!C:F,{2,3,4},FALSE)</f>
        <v>46387</v>
      </c>
      <c r="R2578" t="str">
        <v>C04</v>
      </c>
      <c r="S2578" t="str">
        <v>1000011461 CONTRERAS BRIAN ALEXANDER</v>
      </c>
    </row>
    <row r="2579" spans="1:19" x14ac:dyDescent="0.3">
      <c r="A2579" s="2" t="s">
        <v>14</v>
      </c>
      <c r="B2579" s="3" t="s">
        <v>14</v>
      </c>
      <c r="C2579" s="3" t="s">
        <v>2337</v>
      </c>
      <c r="D2579" s="3" t="s">
        <v>32</v>
      </c>
      <c r="E2579" s="3" t="s">
        <v>466</v>
      </c>
      <c r="F2579" s="4">
        <v>46297</v>
      </c>
      <c r="G2579" s="3" t="s">
        <v>17</v>
      </c>
      <c r="H2579" s="5">
        <v>-113400</v>
      </c>
      <c r="I2579" s="3" t="s">
        <v>18</v>
      </c>
      <c r="J2579" s="3" t="s">
        <v>14</v>
      </c>
      <c r="K2579" s="3" t="s">
        <v>14</v>
      </c>
      <c r="L2579" s="3" t="s">
        <v>181</v>
      </c>
      <c r="M2579" s="4">
        <v>46297</v>
      </c>
      <c r="N2579" s="3" t="s">
        <v>1169</v>
      </c>
      <c r="O2579" s="3" t="s">
        <v>141</v>
      </c>
      <c r="P2579" t="str">
        <f t="shared" si="40"/>
        <v>450012645260</v>
      </c>
      <c r="Q2579" s="7" cm="1">
        <f t="array" ref="Q2579:S2579">VLOOKUP(P2579,Hoja1!C:F,{2,3,4},FALSE)</f>
        <v>46387</v>
      </c>
      <c r="R2579" t="str">
        <v>C04</v>
      </c>
      <c r="S2579" t="str">
        <v>1000011461 CONTRERAS BRIAN ALEXANDER</v>
      </c>
    </row>
    <row r="2580" spans="1:19" x14ac:dyDescent="0.3">
      <c r="A2580" s="2" t="s">
        <v>14</v>
      </c>
      <c r="B2580" s="3" t="s">
        <v>14</v>
      </c>
      <c r="C2580" s="3" t="s">
        <v>2337</v>
      </c>
      <c r="D2580" s="3" t="s">
        <v>32</v>
      </c>
      <c r="E2580" s="3" t="s">
        <v>466</v>
      </c>
      <c r="F2580" s="4">
        <v>46297</v>
      </c>
      <c r="G2580" s="3" t="s">
        <v>17</v>
      </c>
      <c r="H2580" s="5">
        <v>-693000</v>
      </c>
      <c r="I2580" s="3" t="s">
        <v>18</v>
      </c>
      <c r="J2580" s="3" t="s">
        <v>14</v>
      </c>
      <c r="K2580" s="3" t="s">
        <v>14</v>
      </c>
      <c r="L2580" s="3" t="s">
        <v>181</v>
      </c>
      <c r="M2580" s="4">
        <v>46297</v>
      </c>
      <c r="N2580" s="3" t="s">
        <v>1169</v>
      </c>
      <c r="O2580" s="3" t="s">
        <v>134</v>
      </c>
      <c r="P2580" t="str">
        <f t="shared" si="40"/>
        <v>450012645270</v>
      </c>
      <c r="Q2580" s="7" cm="1">
        <f t="array" ref="Q2580:S2580">VLOOKUP(P2580,Hoja1!C:F,{2,3,4},FALSE)</f>
        <v>46387</v>
      </c>
      <c r="R2580" t="str">
        <v>C04</v>
      </c>
      <c r="S2580" t="str">
        <v>1000011461 CONTRERAS BRIAN ALEXANDER</v>
      </c>
    </row>
    <row r="2581" spans="1:19" x14ac:dyDescent="0.3">
      <c r="A2581" s="2" t="s">
        <v>14</v>
      </c>
      <c r="B2581" s="3" t="s">
        <v>14</v>
      </c>
      <c r="C2581" s="3" t="s">
        <v>2337</v>
      </c>
      <c r="D2581" s="3" t="s">
        <v>32</v>
      </c>
      <c r="E2581" s="3" t="s">
        <v>466</v>
      </c>
      <c r="F2581" s="4">
        <v>46297</v>
      </c>
      <c r="G2581" s="3" t="s">
        <v>17</v>
      </c>
      <c r="H2581" s="5">
        <v>-315000</v>
      </c>
      <c r="I2581" s="3" t="s">
        <v>18</v>
      </c>
      <c r="J2581" s="3" t="s">
        <v>14</v>
      </c>
      <c r="K2581" s="3" t="s">
        <v>14</v>
      </c>
      <c r="L2581" s="3" t="s">
        <v>181</v>
      </c>
      <c r="M2581" s="4">
        <v>46297</v>
      </c>
      <c r="N2581" s="3" t="s">
        <v>1169</v>
      </c>
      <c r="O2581" s="3" t="s">
        <v>52</v>
      </c>
      <c r="P2581" t="str">
        <f t="shared" si="40"/>
        <v>450012645280</v>
      </c>
      <c r="Q2581" s="7" cm="1">
        <f t="array" ref="Q2581:S2581">VLOOKUP(P2581,Hoja1!C:F,{2,3,4},FALSE)</f>
        <v>46387</v>
      </c>
      <c r="R2581" t="str">
        <v>C04</v>
      </c>
      <c r="S2581" t="str">
        <v>1000011461 CONTRERAS BRIAN ALEXANDER</v>
      </c>
    </row>
    <row r="2582" spans="1:19" x14ac:dyDescent="0.3">
      <c r="A2582" s="2" t="s">
        <v>14</v>
      </c>
      <c r="B2582" s="3" t="s">
        <v>14</v>
      </c>
      <c r="C2582" s="3" t="s">
        <v>2337</v>
      </c>
      <c r="D2582" s="3" t="s">
        <v>32</v>
      </c>
      <c r="E2582" s="3" t="s">
        <v>466</v>
      </c>
      <c r="F2582" s="4">
        <v>46297</v>
      </c>
      <c r="G2582" s="3" t="s">
        <v>17</v>
      </c>
      <c r="H2582" s="5">
        <v>-462000</v>
      </c>
      <c r="I2582" s="3" t="s">
        <v>18</v>
      </c>
      <c r="J2582" s="3" t="s">
        <v>14</v>
      </c>
      <c r="K2582" s="3" t="s">
        <v>14</v>
      </c>
      <c r="L2582" s="3" t="s">
        <v>181</v>
      </c>
      <c r="M2582" s="4">
        <v>46297</v>
      </c>
      <c r="N2582" s="3" t="s">
        <v>1169</v>
      </c>
      <c r="O2582" s="3" t="s">
        <v>138</v>
      </c>
      <c r="P2582" t="str">
        <f t="shared" si="40"/>
        <v>450012645290</v>
      </c>
      <c r="Q2582" s="7" cm="1">
        <f t="array" ref="Q2582:S2582">VLOOKUP(P2582,Hoja1!C:F,{2,3,4},FALSE)</f>
        <v>46387</v>
      </c>
      <c r="R2582" t="str">
        <v>C04</v>
      </c>
      <c r="S2582" t="str">
        <v>1000011461 CONTRERAS BRIAN ALEXANDER</v>
      </c>
    </row>
    <row r="2583" spans="1:19" x14ac:dyDescent="0.3">
      <c r="A2583" s="2" t="s">
        <v>14</v>
      </c>
      <c r="B2583" s="3" t="s">
        <v>14</v>
      </c>
      <c r="C2583" s="3" t="s">
        <v>2337</v>
      </c>
      <c r="D2583" s="3" t="s">
        <v>32</v>
      </c>
      <c r="E2583" s="3" t="s">
        <v>466</v>
      </c>
      <c r="F2583" s="4">
        <v>46297</v>
      </c>
      <c r="G2583" s="3" t="s">
        <v>17</v>
      </c>
      <c r="H2583" s="5">
        <v>-189000</v>
      </c>
      <c r="I2583" s="3" t="s">
        <v>18</v>
      </c>
      <c r="J2583" s="3" t="s">
        <v>14</v>
      </c>
      <c r="K2583" s="3" t="s">
        <v>14</v>
      </c>
      <c r="L2583" s="3" t="s">
        <v>181</v>
      </c>
      <c r="M2583" s="4">
        <v>46297</v>
      </c>
      <c r="N2583" s="3" t="s">
        <v>1169</v>
      </c>
      <c r="O2583" s="3" t="s">
        <v>156</v>
      </c>
      <c r="P2583" t="str">
        <f t="shared" si="40"/>
        <v>4500126452110</v>
      </c>
      <c r="Q2583" s="7" cm="1">
        <f t="array" ref="Q2583:S2583">VLOOKUP(P2583,Hoja1!C:F,{2,3,4},FALSE)</f>
        <v>46387</v>
      </c>
      <c r="R2583" t="str">
        <v>C04</v>
      </c>
      <c r="S2583" t="str">
        <v>1000011461 CONTRERAS BRIAN ALEXANDER</v>
      </c>
    </row>
    <row r="2584" spans="1:19" x14ac:dyDescent="0.3">
      <c r="A2584" s="2" t="s">
        <v>14</v>
      </c>
      <c r="B2584" s="3" t="s">
        <v>14</v>
      </c>
      <c r="C2584" s="3" t="s">
        <v>2338</v>
      </c>
      <c r="D2584" s="3" t="s">
        <v>14</v>
      </c>
      <c r="E2584" s="3" t="s">
        <v>466</v>
      </c>
      <c r="F2584" s="4">
        <v>46325</v>
      </c>
      <c r="G2584" s="3" t="s">
        <v>17</v>
      </c>
      <c r="H2584" s="5">
        <v>-10880</v>
      </c>
      <c r="I2584" s="3" t="s">
        <v>18</v>
      </c>
      <c r="J2584" s="3" t="s">
        <v>14</v>
      </c>
      <c r="K2584" s="3" t="s">
        <v>14</v>
      </c>
      <c r="L2584" s="3" t="s">
        <v>1164</v>
      </c>
      <c r="M2584" s="4">
        <v>46297</v>
      </c>
      <c r="N2584" s="3" t="s">
        <v>2339</v>
      </c>
      <c r="O2584" s="3" t="s">
        <v>30</v>
      </c>
      <c r="P2584" t="str">
        <f t="shared" si="40"/>
        <v>450013945210</v>
      </c>
      <c r="Q2584" s="7" cm="1">
        <f t="array" ref="Q2584:S2584">VLOOKUP(P2584,Hoja1!C:F,{2,3,4},FALSE)</f>
        <v>46294</v>
      </c>
      <c r="R2584" t="str">
        <v>C27</v>
      </c>
      <c r="S2584" t="str">
        <v>1000013253 PIAZZA MARCOS LUCIANO</v>
      </c>
    </row>
    <row r="2585" spans="1:19" x14ac:dyDescent="0.3">
      <c r="A2585" s="2" t="s">
        <v>14</v>
      </c>
      <c r="B2585" s="3" t="s">
        <v>14</v>
      </c>
      <c r="C2585" s="3" t="s">
        <v>2338</v>
      </c>
      <c r="D2585" s="3" t="s">
        <v>14</v>
      </c>
      <c r="E2585" s="3" t="s">
        <v>466</v>
      </c>
      <c r="F2585" s="4">
        <v>46325</v>
      </c>
      <c r="G2585" s="3" t="s">
        <v>17</v>
      </c>
      <c r="H2585" s="5">
        <v>-25900</v>
      </c>
      <c r="I2585" s="3" t="s">
        <v>18</v>
      </c>
      <c r="J2585" s="3" t="s">
        <v>14</v>
      </c>
      <c r="K2585" s="3" t="s">
        <v>14</v>
      </c>
      <c r="L2585" s="3" t="s">
        <v>1164</v>
      </c>
      <c r="M2585" s="4">
        <v>46297</v>
      </c>
      <c r="N2585" s="3" t="s">
        <v>2339</v>
      </c>
      <c r="O2585" s="3" t="s">
        <v>35</v>
      </c>
      <c r="P2585" t="str">
        <f t="shared" si="40"/>
        <v>450013945230</v>
      </c>
      <c r="Q2585" s="7" cm="1">
        <f t="array" ref="Q2585:S2585">VLOOKUP(P2585,Hoja1!C:F,{2,3,4},FALSE)</f>
        <v>46294</v>
      </c>
      <c r="R2585" t="str">
        <v>C27</v>
      </c>
      <c r="S2585" t="str">
        <v>1000013253 PIAZZA MARCOS LUCIANO</v>
      </c>
    </row>
    <row r="2586" spans="1:19" x14ac:dyDescent="0.3">
      <c r="A2586" s="2" t="s">
        <v>14</v>
      </c>
      <c r="B2586" s="3" t="s">
        <v>14</v>
      </c>
      <c r="C2586" s="3" t="s">
        <v>2338</v>
      </c>
      <c r="D2586" s="3" t="s">
        <v>14</v>
      </c>
      <c r="E2586" s="3" t="s">
        <v>466</v>
      </c>
      <c r="F2586" s="4">
        <v>46325</v>
      </c>
      <c r="G2586" s="3" t="s">
        <v>17</v>
      </c>
      <c r="H2586" s="5">
        <v>-18800</v>
      </c>
      <c r="I2586" s="3" t="s">
        <v>18</v>
      </c>
      <c r="J2586" s="3" t="s">
        <v>14</v>
      </c>
      <c r="K2586" s="3" t="s">
        <v>14</v>
      </c>
      <c r="L2586" s="3" t="s">
        <v>1164</v>
      </c>
      <c r="M2586" s="4">
        <v>46297</v>
      </c>
      <c r="N2586" s="3" t="s">
        <v>2339</v>
      </c>
      <c r="O2586" s="3" t="s">
        <v>23</v>
      </c>
      <c r="P2586" t="str">
        <f t="shared" si="40"/>
        <v>450013945240</v>
      </c>
      <c r="Q2586" s="7" cm="1">
        <f t="array" ref="Q2586:S2586">VLOOKUP(P2586,Hoja1!C:F,{2,3,4},FALSE)</f>
        <v>46294</v>
      </c>
      <c r="R2586" t="str">
        <v>C27</v>
      </c>
      <c r="S2586" t="str">
        <v>1000013253 PIAZZA MARCOS LUCIANO</v>
      </c>
    </row>
    <row r="2587" spans="1:19" x14ac:dyDescent="0.3">
      <c r="A2587" s="2" t="s">
        <v>14</v>
      </c>
      <c r="B2587" s="3" t="s">
        <v>14</v>
      </c>
      <c r="C2587" s="3" t="s">
        <v>2338</v>
      </c>
      <c r="D2587" s="3" t="s">
        <v>14</v>
      </c>
      <c r="E2587" s="3" t="s">
        <v>466</v>
      </c>
      <c r="F2587" s="4">
        <v>46325</v>
      </c>
      <c r="G2587" s="3" t="s">
        <v>17</v>
      </c>
      <c r="H2587" s="5">
        <v>-17360</v>
      </c>
      <c r="I2587" s="3" t="s">
        <v>18</v>
      </c>
      <c r="J2587" s="3" t="s">
        <v>14</v>
      </c>
      <c r="K2587" s="3" t="s">
        <v>14</v>
      </c>
      <c r="L2587" s="3" t="s">
        <v>1164</v>
      </c>
      <c r="M2587" s="4">
        <v>46297</v>
      </c>
      <c r="N2587" s="3" t="s">
        <v>2339</v>
      </c>
      <c r="O2587" s="3" t="s">
        <v>144</v>
      </c>
      <c r="P2587" t="str">
        <f t="shared" si="40"/>
        <v>450013945250</v>
      </c>
      <c r="Q2587" s="7" cm="1">
        <f t="array" ref="Q2587:S2587">VLOOKUP(P2587,Hoja1!C:F,{2,3,4},FALSE)</f>
        <v>46294</v>
      </c>
      <c r="R2587" t="str">
        <v>C27</v>
      </c>
      <c r="S2587" t="str">
        <v>1000013253 PIAZZA MARCOS LUCIANO</v>
      </c>
    </row>
    <row r="2588" spans="1:19" x14ac:dyDescent="0.3">
      <c r="A2588" s="2" t="s">
        <v>14</v>
      </c>
      <c r="B2588" s="3" t="s">
        <v>14</v>
      </c>
      <c r="C2588" s="3" t="s">
        <v>2340</v>
      </c>
      <c r="D2588" s="3" t="s">
        <v>14</v>
      </c>
      <c r="E2588" s="3" t="s">
        <v>466</v>
      </c>
      <c r="F2588" s="4">
        <v>46296</v>
      </c>
      <c r="G2588" s="3" t="s">
        <v>17</v>
      </c>
      <c r="H2588" s="5">
        <v>-259616</v>
      </c>
      <c r="I2588" s="3" t="s">
        <v>18</v>
      </c>
      <c r="J2588" s="3" t="s">
        <v>14</v>
      </c>
      <c r="K2588" s="3" t="s">
        <v>14</v>
      </c>
      <c r="L2588" s="3" t="s">
        <v>2341</v>
      </c>
      <c r="M2588" s="4">
        <v>46297</v>
      </c>
      <c r="N2588" s="3" t="s">
        <v>2342</v>
      </c>
      <c r="O2588" s="3" t="s">
        <v>30</v>
      </c>
      <c r="P2588" t="str">
        <f t="shared" si="40"/>
        <v>450013961310</v>
      </c>
      <c r="Q2588" s="7" cm="1">
        <f t="array" ref="Q2588:S2588">VLOOKUP(P2588,Hoja1!C:F,{2,3,4},FALSE)</f>
        <v>46296</v>
      </c>
      <c r="R2588" t="str">
        <v>C08</v>
      </c>
      <c r="S2588" t="str">
        <v>1000000095 ORLANDI INDUST. Y COMERC. S.A</v>
      </c>
    </row>
    <row r="2589" spans="1:19" x14ac:dyDescent="0.3">
      <c r="A2589" s="2" t="s">
        <v>14</v>
      </c>
      <c r="B2589" s="3" t="s">
        <v>14</v>
      </c>
      <c r="C2589" s="3" t="s">
        <v>2340</v>
      </c>
      <c r="D2589" s="3" t="s">
        <v>14</v>
      </c>
      <c r="E2589" s="3" t="s">
        <v>466</v>
      </c>
      <c r="F2589" s="4">
        <v>46296</v>
      </c>
      <c r="G2589" s="3" t="s">
        <v>17</v>
      </c>
      <c r="H2589" s="5">
        <v>-711360</v>
      </c>
      <c r="I2589" s="3" t="s">
        <v>18</v>
      </c>
      <c r="J2589" s="3" t="s">
        <v>14</v>
      </c>
      <c r="K2589" s="3" t="s">
        <v>14</v>
      </c>
      <c r="L2589" s="3" t="s">
        <v>2341</v>
      </c>
      <c r="M2589" s="4">
        <v>46297</v>
      </c>
      <c r="N2589" s="3" t="s">
        <v>2342</v>
      </c>
      <c r="O2589" s="3" t="s">
        <v>22</v>
      </c>
      <c r="P2589" t="str">
        <f t="shared" si="40"/>
        <v>450013961320</v>
      </c>
      <c r="Q2589" s="7" cm="1">
        <f t="array" ref="Q2589:S2589">VLOOKUP(P2589,Hoja1!C:F,{2,3,4},FALSE)</f>
        <v>46296</v>
      </c>
      <c r="R2589" t="str">
        <v>C08</v>
      </c>
      <c r="S2589" t="str">
        <v>1000000095 ORLANDI INDUST. Y COMERC. S.A</v>
      </c>
    </row>
    <row r="2590" spans="1:19" x14ac:dyDescent="0.3">
      <c r="A2590" s="2" t="s">
        <v>14</v>
      </c>
      <c r="B2590" s="3" t="s">
        <v>14</v>
      </c>
      <c r="C2590" s="3" t="s">
        <v>2343</v>
      </c>
      <c r="D2590" s="3" t="s">
        <v>14</v>
      </c>
      <c r="E2590" s="3" t="s">
        <v>466</v>
      </c>
      <c r="F2590" s="4">
        <v>46297</v>
      </c>
      <c r="G2590" s="3" t="s">
        <v>17</v>
      </c>
      <c r="H2590" s="5">
        <v>-27360</v>
      </c>
      <c r="I2590" s="3" t="s">
        <v>18</v>
      </c>
      <c r="J2590" s="3" t="s">
        <v>14</v>
      </c>
      <c r="K2590" s="3" t="s">
        <v>14</v>
      </c>
      <c r="L2590" s="3" t="s">
        <v>1441</v>
      </c>
      <c r="M2590" s="4">
        <v>46297</v>
      </c>
      <c r="N2590" s="3" t="s">
        <v>1442</v>
      </c>
      <c r="O2590" s="3" t="s">
        <v>30</v>
      </c>
      <c r="P2590" t="str">
        <f t="shared" si="40"/>
        <v>450013850510</v>
      </c>
      <c r="Q2590" s="7" cm="1">
        <f t="array" ref="Q2590:S2590">VLOOKUP(P2590,Hoja1!C:F,{2,3,4},FALSE)</f>
        <v>46290</v>
      </c>
      <c r="R2590" t="str">
        <v>C17</v>
      </c>
      <c r="S2590" t="str">
        <v>1000012812 FLORES JUAN MANUEL</v>
      </c>
    </row>
    <row r="2591" spans="1:19" x14ac:dyDescent="0.3">
      <c r="A2591" s="2" t="s">
        <v>14</v>
      </c>
      <c r="B2591" s="3" t="s">
        <v>14</v>
      </c>
      <c r="C2591" s="3" t="s">
        <v>2344</v>
      </c>
      <c r="D2591" s="3" t="s">
        <v>32</v>
      </c>
      <c r="E2591" s="3" t="s">
        <v>466</v>
      </c>
      <c r="F2591" s="4">
        <v>46297</v>
      </c>
      <c r="G2591" s="3" t="s">
        <v>17</v>
      </c>
      <c r="H2591" s="5">
        <v>-900000</v>
      </c>
      <c r="I2591" s="3" t="s">
        <v>18</v>
      </c>
      <c r="J2591" s="3" t="s">
        <v>14</v>
      </c>
      <c r="K2591" s="3" t="s">
        <v>14</v>
      </c>
      <c r="L2591" s="3" t="s">
        <v>2345</v>
      </c>
      <c r="M2591" s="4">
        <v>46297</v>
      </c>
      <c r="N2591" s="3" t="s">
        <v>2346</v>
      </c>
      <c r="O2591" s="3" t="s">
        <v>30</v>
      </c>
      <c r="P2591" t="str">
        <f t="shared" si="40"/>
        <v>450013567710</v>
      </c>
      <c r="Q2591" s="7" cm="1">
        <f t="array" ref="Q2591:S2591">VLOOKUP(P2591,Hoja1!C:F,{2,3,4},FALSE)</f>
        <v>46326</v>
      </c>
      <c r="R2591" t="str">
        <v>C25</v>
      </c>
      <c r="S2591" t="str">
        <v>1000009722 PRINTER SRL</v>
      </c>
    </row>
    <row r="2592" spans="1:19" x14ac:dyDescent="0.3">
      <c r="A2592" s="2" t="s">
        <v>14</v>
      </c>
      <c r="B2592" s="3" t="s">
        <v>14</v>
      </c>
      <c r="C2592" s="3" t="s">
        <v>2347</v>
      </c>
      <c r="D2592" s="3" t="s">
        <v>14</v>
      </c>
      <c r="E2592" s="3" t="s">
        <v>466</v>
      </c>
      <c r="F2592" s="4">
        <v>46296</v>
      </c>
      <c r="G2592" s="3" t="s">
        <v>17</v>
      </c>
      <c r="H2592" s="5">
        <v>-74688.800000000003</v>
      </c>
      <c r="I2592" s="3" t="s">
        <v>18</v>
      </c>
      <c r="J2592" s="3" t="s">
        <v>14</v>
      </c>
      <c r="K2592" s="3" t="s">
        <v>14</v>
      </c>
      <c r="L2592" s="3" t="s">
        <v>20</v>
      </c>
      <c r="M2592" s="4">
        <v>46297</v>
      </c>
      <c r="N2592" s="3" t="s">
        <v>2149</v>
      </c>
      <c r="O2592" s="3" t="s">
        <v>22</v>
      </c>
      <c r="P2592" t="str">
        <f t="shared" si="40"/>
        <v>450013973920</v>
      </c>
      <c r="Q2592" s="7" cm="1">
        <f t="array" ref="Q2592:S2592">VLOOKUP(P2592,Hoja1!C:F,{2,3,4},FALSE)</f>
        <v>46297</v>
      </c>
      <c r="R2592" t="str">
        <v>C29</v>
      </c>
      <c r="S2592" t="str">
        <v>1000000754 AURELIA SACIYF</v>
      </c>
    </row>
    <row r="2593" spans="1:19" x14ac:dyDescent="0.3">
      <c r="A2593" s="2" t="s">
        <v>14</v>
      </c>
      <c r="B2593" s="3" t="s">
        <v>14</v>
      </c>
      <c r="C2593" s="3" t="s">
        <v>2348</v>
      </c>
      <c r="D2593" s="3" t="s">
        <v>32</v>
      </c>
      <c r="E2593" s="3" t="s">
        <v>466</v>
      </c>
      <c r="F2593" s="4">
        <v>46297</v>
      </c>
      <c r="G2593" s="3" t="s">
        <v>17</v>
      </c>
      <c r="H2593" s="5">
        <v>-600000</v>
      </c>
      <c r="I2593" s="3" t="s">
        <v>18</v>
      </c>
      <c r="J2593" s="3" t="s">
        <v>14</v>
      </c>
      <c r="K2593" s="3" t="s">
        <v>14</v>
      </c>
      <c r="L2593" s="3" t="s">
        <v>2345</v>
      </c>
      <c r="M2593" s="4">
        <v>46297</v>
      </c>
      <c r="N2593" s="3" t="s">
        <v>2349</v>
      </c>
      <c r="O2593" s="3" t="s">
        <v>30</v>
      </c>
      <c r="P2593" t="str">
        <f t="shared" si="40"/>
        <v>450013707710</v>
      </c>
      <c r="Q2593" s="7" cm="1">
        <f t="array" ref="Q2593:S2593">VLOOKUP(P2593,Hoja1!C:F,{2,3,4},FALSE)</f>
        <v>46326</v>
      </c>
      <c r="R2593" t="str">
        <v>C25</v>
      </c>
      <c r="S2593" t="str">
        <v>1000009722 PRINTER SRL</v>
      </c>
    </row>
    <row r="2594" spans="1:19" x14ac:dyDescent="0.3">
      <c r="A2594" s="2" t="s">
        <v>14</v>
      </c>
      <c r="B2594" s="3" t="s">
        <v>14</v>
      </c>
      <c r="C2594" s="3" t="s">
        <v>2348</v>
      </c>
      <c r="D2594" s="3" t="s">
        <v>32</v>
      </c>
      <c r="E2594" s="3" t="s">
        <v>466</v>
      </c>
      <c r="F2594" s="4">
        <v>46297</v>
      </c>
      <c r="G2594" s="3" t="s">
        <v>17</v>
      </c>
      <c r="H2594" s="5">
        <v>-160000</v>
      </c>
      <c r="I2594" s="3" t="s">
        <v>18</v>
      </c>
      <c r="J2594" s="3" t="s">
        <v>14</v>
      </c>
      <c r="K2594" s="3" t="s">
        <v>14</v>
      </c>
      <c r="L2594" s="3" t="s">
        <v>2345</v>
      </c>
      <c r="M2594" s="4">
        <v>46297</v>
      </c>
      <c r="N2594" s="3" t="s">
        <v>2349</v>
      </c>
      <c r="O2594" s="3" t="s">
        <v>22</v>
      </c>
      <c r="P2594" t="str">
        <f t="shared" si="40"/>
        <v>450013707720</v>
      </c>
      <c r="Q2594" s="7" cm="1">
        <f t="array" ref="Q2594:S2594">VLOOKUP(P2594,Hoja1!C:F,{2,3,4},FALSE)</f>
        <v>46326</v>
      </c>
      <c r="R2594" t="str">
        <v>C25</v>
      </c>
      <c r="S2594" t="str">
        <v>1000009722 PRINTER SRL</v>
      </c>
    </row>
    <row r="2595" spans="1:19" x14ac:dyDescent="0.3">
      <c r="A2595" s="2" t="s">
        <v>14</v>
      </c>
      <c r="B2595" s="3" t="s">
        <v>14</v>
      </c>
      <c r="C2595" s="3" t="s">
        <v>2348</v>
      </c>
      <c r="D2595" s="3" t="s">
        <v>32</v>
      </c>
      <c r="E2595" s="3" t="s">
        <v>466</v>
      </c>
      <c r="F2595" s="4">
        <v>46297</v>
      </c>
      <c r="G2595" s="3" t="s">
        <v>17</v>
      </c>
      <c r="H2595" s="5">
        <v>-900000</v>
      </c>
      <c r="I2595" s="3" t="s">
        <v>18</v>
      </c>
      <c r="J2595" s="3" t="s">
        <v>14</v>
      </c>
      <c r="K2595" s="3" t="s">
        <v>14</v>
      </c>
      <c r="L2595" s="3" t="s">
        <v>2345</v>
      </c>
      <c r="M2595" s="4">
        <v>46297</v>
      </c>
      <c r="N2595" s="3" t="s">
        <v>2349</v>
      </c>
      <c r="O2595" s="3" t="s">
        <v>35</v>
      </c>
      <c r="P2595" t="str">
        <f t="shared" si="40"/>
        <v>450013707730</v>
      </c>
      <c r="Q2595" s="7" cm="1">
        <f t="array" ref="Q2595:S2595">VLOOKUP(P2595,Hoja1!C:F,{2,3,4},FALSE)</f>
        <v>46326</v>
      </c>
      <c r="R2595" t="str">
        <v>C25</v>
      </c>
      <c r="S2595" t="str">
        <v>1000009722 PRINTER SRL</v>
      </c>
    </row>
    <row r="2596" spans="1:19" x14ac:dyDescent="0.3">
      <c r="A2596" s="2" t="s">
        <v>14</v>
      </c>
      <c r="B2596" s="3" t="s">
        <v>14</v>
      </c>
      <c r="C2596" s="3" t="s">
        <v>2348</v>
      </c>
      <c r="D2596" s="3" t="s">
        <v>32</v>
      </c>
      <c r="E2596" s="3" t="s">
        <v>466</v>
      </c>
      <c r="F2596" s="4">
        <v>46297</v>
      </c>
      <c r="G2596" s="3" t="s">
        <v>17</v>
      </c>
      <c r="H2596" s="5">
        <v>-900000</v>
      </c>
      <c r="I2596" s="3" t="s">
        <v>18</v>
      </c>
      <c r="J2596" s="3" t="s">
        <v>14</v>
      </c>
      <c r="K2596" s="3" t="s">
        <v>14</v>
      </c>
      <c r="L2596" s="3" t="s">
        <v>2345</v>
      </c>
      <c r="M2596" s="4">
        <v>46297</v>
      </c>
      <c r="N2596" s="3" t="s">
        <v>2349</v>
      </c>
      <c r="O2596" s="3" t="s">
        <v>23</v>
      </c>
      <c r="P2596" t="str">
        <f t="shared" si="40"/>
        <v>450013707740</v>
      </c>
      <c r="Q2596" s="7" cm="1">
        <f t="array" ref="Q2596:S2596">VLOOKUP(P2596,Hoja1!C:F,{2,3,4},FALSE)</f>
        <v>46326</v>
      </c>
      <c r="R2596" t="str">
        <v>C25</v>
      </c>
      <c r="S2596" t="str">
        <v>1000009722 PRINTER SRL</v>
      </c>
    </row>
    <row r="2597" spans="1:19" x14ac:dyDescent="0.3">
      <c r="A2597" s="2" t="s">
        <v>14</v>
      </c>
      <c r="B2597" s="3" t="s">
        <v>14</v>
      </c>
      <c r="C2597" s="3" t="s">
        <v>2348</v>
      </c>
      <c r="D2597" s="3" t="s">
        <v>32</v>
      </c>
      <c r="E2597" s="3" t="s">
        <v>466</v>
      </c>
      <c r="F2597" s="4">
        <v>46297</v>
      </c>
      <c r="G2597" s="3" t="s">
        <v>17</v>
      </c>
      <c r="H2597" s="5">
        <v>-160000</v>
      </c>
      <c r="I2597" s="3" t="s">
        <v>18</v>
      </c>
      <c r="J2597" s="3" t="s">
        <v>14</v>
      </c>
      <c r="K2597" s="3" t="s">
        <v>14</v>
      </c>
      <c r="L2597" s="3" t="s">
        <v>2345</v>
      </c>
      <c r="M2597" s="4">
        <v>46297</v>
      </c>
      <c r="N2597" s="3" t="s">
        <v>2349</v>
      </c>
      <c r="O2597" s="3" t="s">
        <v>144</v>
      </c>
      <c r="P2597" t="str">
        <f t="shared" si="40"/>
        <v>450013707750</v>
      </c>
      <c r="Q2597" s="7" cm="1">
        <f t="array" ref="Q2597:S2597">VLOOKUP(P2597,Hoja1!C:F,{2,3,4},FALSE)</f>
        <v>46326</v>
      </c>
      <c r="R2597" t="str">
        <v>C25</v>
      </c>
      <c r="S2597" t="str">
        <v>1000009722 PRINTER SRL</v>
      </c>
    </row>
    <row r="2598" spans="1:19" x14ac:dyDescent="0.3">
      <c r="A2598" s="2" t="s">
        <v>14</v>
      </c>
      <c r="B2598" s="3" t="s">
        <v>14</v>
      </c>
      <c r="C2598" s="3" t="s">
        <v>2348</v>
      </c>
      <c r="D2598" s="3" t="s">
        <v>32</v>
      </c>
      <c r="E2598" s="3" t="s">
        <v>466</v>
      </c>
      <c r="F2598" s="4">
        <v>46297</v>
      </c>
      <c r="G2598" s="3" t="s">
        <v>17</v>
      </c>
      <c r="H2598" s="5">
        <v>-160000</v>
      </c>
      <c r="I2598" s="3" t="s">
        <v>18</v>
      </c>
      <c r="J2598" s="3" t="s">
        <v>14</v>
      </c>
      <c r="K2598" s="3" t="s">
        <v>14</v>
      </c>
      <c r="L2598" s="3" t="s">
        <v>2345</v>
      </c>
      <c r="M2598" s="4">
        <v>46297</v>
      </c>
      <c r="N2598" s="3" t="s">
        <v>2349</v>
      </c>
      <c r="O2598" s="3" t="s">
        <v>141</v>
      </c>
      <c r="P2598" t="str">
        <f t="shared" si="40"/>
        <v>450013707760</v>
      </c>
      <c r="Q2598" s="7" cm="1">
        <f t="array" ref="Q2598:S2598">VLOOKUP(P2598,Hoja1!C:F,{2,3,4},FALSE)</f>
        <v>46326</v>
      </c>
      <c r="R2598" t="str">
        <v>C25</v>
      </c>
      <c r="S2598" t="str">
        <v>1000009722 PRINTER SRL</v>
      </c>
    </row>
    <row r="2599" spans="1:19" x14ac:dyDescent="0.3">
      <c r="A2599" s="2" t="s">
        <v>14</v>
      </c>
      <c r="B2599" s="3" t="s">
        <v>14</v>
      </c>
      <c r="C2599" s="3" t="s">
        <v>2350</v>
      </c>
      <c r="D2599" s="3" t="s">
        <v>14</v>
      </c>
      <c r="E2599" s="3" t="s">
        <v>466</v>
      </c>
      <c r="F2599" s="4">
        <v>46296</v>
      </c>
      <c r="G2599" s="3" t="s">
        <v>17</v>
      </c>
      <c r="H2599" s="5">
        <v>-131262</v>
      </c>
      <c r="I2599" s="3" t="s">
        <v>18</v>
      </c>
      <c r="J2599" s="3" t="s">
        <v>14</v>
      </c>
      <c r="K2599" s="3" t="s">
        <v>14</v>
      </c>
      <c r="L2599" s="3" t="s">
        <v>20</v>
      </c>
      <c r="M2599" s="4">
        <v>46297</v>
      </c>
      <c r="N2599" s="3" t="s">
        <v>2351</v>
      </c>
      <c r="O2599" s="3" t="s">
        <v>30</v>
      </c>
      <c r="P2599" t="str">
        <f t="shared" si="40"/>
        <v>450013986610</v>
      </c>
      <c r="Q2599" s="7" cm="1">
        <f t="array" ref="Q2599:S2599">VLOOKUP(P2599,Hoja1!C:F,{2,3,4},FALSE)</f>
        <v>46311</v>
      </c>
      <c r="R2599" t="str">
        <v>C42</v>
      </c>
      <c r="S2599" t="str">
        <v>1000000754 AURELIA SACIYF</v>
      </c>
    </row>
    <row r="2600" spans="1:19" x14ac:dyDescent="0.3">
      <c r="A2600" s="2" t="s">
        <v>14</v>
      </c>
      <c r="B2600" s="3" t="s">
        <v>14</v>
      </c>
      <c r="C2600" s="3" t="s">
        <v>2352</v>
      </c>
      <c r="D2600" s="3" t="s">
        <v>14</v>
      </c>
      <c r="E2600" s="3" t="s">
        <v>466</v>
      </c>
      <c r="F2600" s="4">
        <v>46296</v>
      </c>
      <c r="G2600" s="3" t="s">
        <v>17</v>
      </c>
      <c r="H2600" s="5">
        <v>-107359</v>
      </c>
      <c r="I2600" s="3" t="s">
        <v>18</v>
      </c>
      <c r="J2600" s="3" t="s">
        <v>14</v>
      </c>
      <c r="K2600" s="3" t="s">
        <v>14</v>
      </c>
      <c r="L2600" s="3" t="s">
        <v>20</v>
      </c>
      <c r="M2600" s="4">
        <v>46297</v>
      </c>
      <c r="N2600" s="3" t="s">
        <v>2353</v>
      </c>
      <c r="O2600" s="3" t="s">
        <v>30</v>
      </c>
      <c r="P2600" t="str">
        <f t="shared" si="40"/>
        <v>450013994810</v>
      </c>
      <c r="Q2600" s="7" cm="1">
        <f t="array" ref="Q2600:S2600">VLOOKUP(P2600,Hoja1!C:F,{2,3,4},FALSE)</f>
        <v>46310</v>
      </c>
      <c r="R2600" t="str">
        <v>C29</v>
      </c>
      <c r="S2600" t="str">
        <v>1000000754 AURELIA SACIYF</v>
      </c>
    </row>
    <row r="2601" spans="1:19" x14ac:dyDescent="0.3">
      <c r="A2601" s="2" t="s">
        <v>14</v>
      </c>
      <c r="B2601" s="3" t="s">
        <v>14</v>
      </c>
      <c r="C2601" s="3" t="s">
        <v>2352</v>
      </c>
      <c r="D2601" s="3" t="s">
        <v>14</v>
      </c>
      <c r="E2601" s="3" t="s">
        <v>466</v>
      </c>
      <c r="F2601" s="4">
        <v>46296</v>
      </c>
      <c r="G2601" s="3" t="s">
        <v>17</v>
      </c>
      <c r="H2601" s="5">
        <v>-238294.36</v>
      </c>
      <c r="I2601" s="3" t="s">
        <v>18</v>
      </c>
      <c r="J2601" s="3" t="s">
        <v>14</v>
      </c>
      <c r="K2601" s="3" t="s">
        <v>14</v>
      </c>
      <c r="L2601" s="3" t="s">
        <v>20</v>
      </c>
      <c r="M2601" s="4">
        <v>46297</v>
      </c>
      <c r="N2601" s="3" t="s">
        <v>2353</v>
      </c>
      <c r="O2601" s="3" t="s">
        <v>22</v>
      </c>
      <c r="P2601" t="str">
        <f t="shared" si="40"/>
        <v>450013994820</v>
      </c>
      <c r="Q2601" s="7" cm="1">
        <f t="array" ref="Q2601:S2601">VLOOKUP(P2601,Hoja1!C:F,{2,3,4},FALSE)</f>
        <v>46310</v>
      </c>
      <c r="R2601" t="str">
        <v>C29</v>
      </c>
      <c r="S2601" t="str">
        <v>1000000754 AURELIA SACIYF</v>
      </c>
    </row>
    <row r="2602" spans="1:19" x14ac:dyDescent="0.3">
      <c r="A2602" s="2" t="s">
        <v>14</v>
      </c>
      <c r="B2602" s="3" t="s">
        <v>14</v>
      </c>
      <c r="C2602" s="3" t="s">
        <v>2354</v>
      </c>
      <c r="D2602" s="3" t="s">
        <v>14</v>
      </c>
      <c r="E2602" s="3" t="s">
        <v>466</v>
      </c>
      <c r="F2602" s="4">
        <v>46297</v>
      </c>
      <c r="G2602" s="3" t="s">
        <v>17</v>
      </c>
      <c r="H2602" s="5">
        <v>-295000</v>
      </c>
      <c r="I2602" s="3" t="s">
        <v>18</v>
      </c>
      <c r="J2602" s="3" t="s">
        <v>14</v>
      </c>
      <c r="K2602" s="3" t="s">
        <v>14</v>
      </c>
      <c r="L2602" s="3" t="s">
        <v>1670</v>
      </c>
      <c r="M2602" s="4">
        <v>46297</v>
      </c>
      <c r="N2602" s="3" t="s">
        <v>2355</v>
      </c>
      <c r="O2602" s="3" t="s">
        <v>30</v>
      </c>
      <c r="P2602" t="str">
        <f t="shared" si="40"/>
        <v>450013679010</v>
      </c>
      <c r="Q2602" s="7" cm="1">
        <f t="array" ref="Q2602:S2602">VLOOKUP(P2602,Hoja1!C:F,{2,3,4},FALSE)</f>
        <v>46298</v>
      </c>
      <c r="R2602" t="str">
        <v>374</v>
      </c>
      <c r="S2602" t="str">
        <v>1000012006 MORALES MIGUEL ALBERTO</v>
      </c>
    </row>
    <row r="2603" spans="1:19" x14ac:dyDescent="0.3">
      <c r="A2603" s="2" t="s">
        <v>14</v>
      </c>
      <c r="B2603" s="3" t="s">
        <v>14</v>
      </c>
      <c r="C2603" s="3" t="s">
        <v>2356</v>
      </c>
      <c r="D2603" s="3" t="s">
        <v>14</v>
      </c>
      <c r="E2603" s="3" t="s">
        <v>466</v>
      </c>
      <c r="F2603" s="4">
        <v>46296</v>
      </c>
      <c r="G2603" s="3" t="s">
        <v>17</v>
      </c>
      <c r="H2603" s="5">
        <v>-297068.03999999998</v>
      </c>
      <c r="I2603" s="3" t="s">
        <v>18</v>
      </c>
      <c r="J2603" s="3" t="s">
        <v>14</v>
      </c>
      <c r="K2603" s="3" t="s">
        <v>14</v>
      </c>
      <c r="L2603" s="3" t="s">
        <v>412</v>
      </c>
      <c r="M2603" s="4">
        <v>46297</v>
      </c>
      <c r="N2603" s="3" t="s">
        <v>2357</v>
      </c>
      <c r="O2603" s="3" t="s">
        <v>22</v>
      </c>
      <c r="P2603" t="str">
        <f t="shared" si="40"/>
        <v>450013927120</v>
      </c>
      <c r="Q2603" s="7" cm="1">
        <f t="array" ref="Q2603:S2603">VLOOKUP(P2603,Hoja1!C:F,{2,3,4},FALSE)</f>
        <v>46295</v>
      </c>
      <c r="R2603" t="str">
        <v>C11</v>
      </c>
      <c r="S2603" t="str">
        <v>1000000093 ELECTRICIDAD SERRA S.R.L.</v>
      </c>
    </row>
    <row r="2604" spans="1:19" x14ac:dyDescent="0.3">
      <c r="A2604" s="2" t="s">
        <v>14</v>
      </c>
      <c r="B2604" s="3" t="s">
        <v>14</v>
      </c>
      <c r="C2604" s="3" t="s">
        <v>2356</v>
      </c>
      <c r="D2604" s="3" t="s">
        <v>14</v>
      </c>
      <c r="E2604" s="3" t="s">
        <v>466</v>
      </c>
      <c r="F2604" s="4">
        <v>46296</v>
      </c>
      <c r="G2604" s="3" t="s">
        <v>17</v>
      </c>
      <c r="H2604" s="5">
        <v>-384343.92</v>
      </c>
      <c r="I2604" s="3" t="s">
        <v>18</v>
      </c>
      <c r="J2604" s="3" t="s">
        <v>14</v>
      </c>
      <c r="K2604" s="3" t="s">
        <v>14</v>
      </c>
      <c r="L2604" s="3" t="s">
        <v>412</v>
      </c>
      <c r="M2604" s="4">
        <v>46297</v>
      </c>
      <c r="N2604" s="3" t="s">
        <v>2357</v>
      </c>
      <c r="O2604" s="3" t="s">
        <v>35</v>
      </c>
      <c r="P2604" t="str">
        <f t="shared" si="40"/>
        <v>450013927130</v>
      </c>
      <c r="Q2604" s="7" cm="1">
        <f t="array" ref="Q2604:S2604">VLOOKUP(P2604,Hoja1!C:F,{2,3,4},FALSE)</f>
        <v>46295</v>
      </c>
      <c r="R2604" t="str">
        <v>C11</v>
      </c>
      <c r="S2604" t="str">
        <v>1000000093 ELECTRICIDAD SERRA S.R.L.</v>
      </c>
    </row>
    <row r="2605" spans="1:19" x14ac:dyDescent="0.3">
      <c r="A2605" s="2" t="s">
        <v>14</v>
      </c>
      <c r="B2605" s="3" t="s">
        <v>14</v>
      </c>
      <c r="C2605" s="3" t="s">
        <v>2358</v>
      </c>
      <c r="D2605" s="3" t="s">
        <v>32</v>
      </c>
      <c r="E2605" s="3" t="s">
        <v>466</v>
      </c>
      <c r="F2605" s="4">
        <v>46297</v>
      </c>
      <c r="G2605" s="3" t="s">
        <v>17</v>
      </c>
      <c r="H2605" s="5">
        <v>-2019512</v>
      </c>
      <c r="I2605" s="3" t="s">
        <v>18</v>
      </c>
      <c r="J2605" s="3" t="s">
        <v>14</v>
      </c>
      <c r="K2605" s="3" t="s">
        <v>14</v>
      </c>
      <c r="L2605" s="3" t="s">
        <v>987</v>
      </c>
      <c r="M2605" s="4">
        <v>46297</v>
      </c>
      <c r="N2605" s="3" t="s">
        <v>2359</v>
      </c>
      <c r="O2605" s="3" t="s">
        <v>22</v>
      </c>
      <c r="P2605" t="str">
        <f t="shared" si="40"/>
        <v>450013792120</v>
      </c>
      <c r="Q2605" s="7" cm="1">
        <f t="array" ref="Q2605:S2605">VLOOKUP(P2605,Hoja1!C:F,{2,3,4},FALSE)</f>
        <v>46439</v>
      </c>
      <c r="R2605" t="str">
        <v>C25</v>
      </c>
      <c r="S2605" t="str">
        <v>1000001657 ECOPORTATILES SA</v>
      </c>
    </row>
    <row r="2606" spans="1:19" x14ac:dyDescent="0.3">
      <c r="A2606" s="2" t="s">
        <v>14</v>
      </c>
      <c r="B2606" s="3" t="s">
        <v>14</v>
      </c>
      <c r="C2606" s="3" t="s">
        <v>2358</v>
      </c>
      <c r="D2606" s="3" t="s">
        <v>32</v>
      </c>
      <c r="E2606" s="3" t="s">
        <v>466</v>
      </c>
      <c r="F2606" s="4">
        <v>46297</v>
      </c>
      <c r="G2606" s="3" t="s">
        <v>17</v>
      </c>
      <c r="H2606" s="5">
        <v>-285474.15999999997</v>
      </c>
      <c r="I2606" s="3" t="s">
        <v>18</v>
      </c>
      <c r="J2606" s="3" t="s">
        <v>14</v>
      </c>
      <c r="K2606" s="3" t="s">
        <v>14</v>
      </c>
      <c r="L2606" s="3" t="s">
        <v>987</v>
      </c>
      <c r="M2606" s="4">
        <v>46297</v>
      </c>
      <c r="N2606" s="3" t="s">
        <v>2360</v>
      </c>
      <c r="O2606" s="3" t="s">
        <v>30</v>
      </c>
      <c r="P2606" t="str">
        <f t="shared" si="40"/>
        <v>450011860710</v>
      </c>
      <c r="Q2606" s="7" cm="1">
        <f t="array" ref="Q2606:S2606">VLOOKUP(P2606,Hoja1!C:F,{2,3,4},FALSE)</f>
        <v>46407</v>
      </c>
      <c r="R2606" t="str">
        <v>C25</v>
      </c>
      <c r="S2606" t="str">
        <v>1000001657 ECOPORTATILES SA</v>
      </c>
    </row>
    <row r="2607" spans="1:19" x14ac:dyDescent="0.3">
      <c r="A2607" s="2" t="s">
        <v>14</v>
      </c>
      <c r="B2607" s="3" t="s">
        <v>14</v>
      </c>
      <c r="C2607" s="3" t="s">
        <v>2358</v>
      </c>
      <c r="D2607" s="3" t="s">
        <v>32</v>
      </c>
      <c r="E2607" s="3" t="s">
        <v>466</v>
      </c>
      <c r="F2607" s="4">
        <v>46297</v>
      </c>
      <c r="G2607" s="3" t="s">
        <v>17</v>
      </c>
      <c r="H2607" s="5">
        <v>-37419078.880000003</v>
      </c>
      <c r="I2607" s="3" t="s">
        <v>18</v>
      </c>
      <c r="J2607" s="3" t="s">
        <v>14</v>
      </c>
      <c r="K2607" s="3" t="s">
        <v>14</v>
      </c>
      <c r="L2607" s="3" t="s">
        <v>987</v>
      </c>
      <c r="M2607" s="4">
        <v>46297</v>
      </c>
      <c r="N2607" s="3" t="s">
        <v>2360</v>
      </c>
      <c r="O2607" s="3" t="s">
        <v>22</v>
      </c>
      <c r="P2607" t="str">
        <f t="shared" si="40"/>
        <v>450011860720</v>
      </c>
      <c r="Q2607" s="7" cm="1">
        <f t="array" ref="Q2607:S2607">VLOOKUP(P2607,Hoja1!C:F,{2,3,4},FALSE)</f>
        <v>46407</v>
      </c>
      <c r="R2607" t="str">
        <v>C25</v>
      </c>
      <c r="S2607" t="str">
        <v>1000001657 ECOPORTATILES SA</v>
      </c>
    </row>
    <row r="2608" spans="1:19" x14ac:dyDescent="0.3">
      <c r="A2608" s="2" t="s">
        <v>14</v>
      </c>
      <c r="B2608" s="3" t="s">
        <v>14</v>
      </c>
      <c r="C2608" s="3" t="s">
        <v>2358</v>
      </c>
      <c r="D2608" s="3" t="s">
        <v>32</v>
      </c>
      <c r="E2608" s="3" t="s">
        <v>466</v>
      </c>
      <c r="F2608" s="4">
        <v>46297</v>
      </c>
      <c r="G2608" s="3" t="s">
        <v>17</v>
      </c>
      <c r="H2608" s="5">
        <v>-3638003.44</v>
      </c>
      <c r="I2608" s="3" t="s">
        <v>18</v>
      </c>
      <c r="J2608" s="3" t="s">
        <v>14</v>
      </c>
      <c r="K2608" s="3" t="s">
        <v>14</v>
      </c>
      <c r="L2608" s="3" t="s">
        <v>987</v>
      </c>
      <c r="M2608" s="4">
        <v>46297</v>
      </c>
      <c r="N2608" s="3" t="s">
        <v>2361</v>
      </c>
      <c r="O2608" s="3" t="s">
        <v>30</v>
      </c>
      <c r="P2608" t="str">
        <f t="shared" si="40"/>
        <v>450012150810</v>
      </c>
      <c r="Q2608" s="7" cm="1">
        <f t="array" ref="Q2608:S2608">VLOOKUP(P2608,Hoja1!C:F,{2,3,4},FALSE)</f>
        <v>46446</v>
      </c>
      <c r="R2608" t="str">
        <v>C25</v>
      </c>
      <c r="S2608" t="str">
        <v>1000001657 ECOPORTATILES SA</v>
      </c>
    </row>
    <row r="2609" spans="1:19" x14ac:dyDescent="0.3">
      <c r="A2609" s="2" t="s">
        <v>14</v>
      </c>
      <c r="B2609" s="3" t="s">
        <v>14</v>
      </c>
      <c r="C2609" s="3" t="s">
        <v>2358</v>
      </c>
      <c r="D2609" s="3" t="s">
        <v>32</v>
      </c>
      <c r="E2609" s="3" t="s">
        <v>466</v>
      </c>
      <c r="F2609" s="4">
        <v>46297</v>
      </c>
      <c r="G2609" s="3" t="s">
        <v>17</v>
      </c>
      <c r="H2609" s="5">
        <v>-11787130.800000001</v>
      </c>
      <c r="I2609" s="3" t="s">
        <v>18</v>
      </c>
      <c r="J2609" s="3" t="s">
        <v>14</v>
      </c>
      <c r="K2609" s="3" t="s">
        <v>14</v>
      </c>
      <c r="L2609" s="3" t="s">
        <v>987</v>
      </c>
      <c r="M2609" s="4">
        <v>46297</v>
      </c>
      <c r="N2609" s="3" t="s">
        <v>2361</v>
      </c>
      <c r="O2609" s="3" t="s">
        <v>22</v>
      </c>
      <c r="P2609" t="str">
        <f t="shared" si="40"/>
        <v>450012150820</v>
      </c>
      <c r="Q2609" s="7" cm="1">
        <f t="array" ref="Q2609:S2609">VLOOKUP(P2609,Hoja1!C:F,{2,3,4},FALSE)</f>
        <v>46446</v>
      </c>
      <c r="R2609" t="str">
        <v>C25</v>
      </c>
      <c r="S2609" t="str">
        <v>1000001657 ECOPORTATILES SA</v>
      </c>
    </row>
    <row r="2610" spans="1:19" x14ac:dyDescent="0.3">
      <c r="A2610" s="2" t="s">
        <v>14</v>
      </c>
      <c r="B2610" s="3" t="s">
        <v>14</v>
      </c>
      <c r="C2610" s="3" t="s">
        <v>2362</v>
      </c>
      <c r="D2610" s="3" t="s">
        <v>14</v>
      </c>
      <c r="E2610" s="3" t="s">
        <v>466</v>
      </c>
      <c r="F2610" s="4">
        <v>46297</v>
      </c>
      <c r="G2610" s="3" t="s">
        <v>17</v>
      </c>
      <c r="H2610" s="5">
        <v>-53740</v>
      </c>
      <c r="I2610" s="3" t="s">
        <v>18</v>
      </c>
      <c r="J2610" s="3" t="s">
        <v>14</v>
      </c>
      <c r="K2610" s="3" t="s">
        <v>14</v>
      </c>
      <c r="L2610" s="3" t="s">
        <v>2130</v>
      </c>
      <c r="M2610" s="4">
        <v>46297</v>
      </c>
      <c r="N2610" s="3" t="s">
        <v>2363</v>
      </c>
      <c r="O2610" s="3" t="s">
        <v>35</v>
      </c>
      <c r="P2610" t="str">
        <f t="shared" si="40"/>
        <v>450014003330</v>
      </c>
      <c r="Q2610" s="7" cm="1">
        <f t="array" ref="Q2610:S2610">VLOOKUP(P2610,Hoja1!C:F,{2,3,4},FALSE)</f>
        <v>46432</v>
      </c>
      <c r="R2610" t="str">
        <v>C24</v>
      </c>
      <c r="S2610" t="str">
        <v>1000008037 OMEDES MARTIN MARCELO</v>
      </c>
    </row>
    <row r="2611" spans="1:19" x14ac:dyDescent="0.3">
      <c r="A2611" s="2" t="s">
        <v>14</v>
      </c>
      <c r="B2611" s="3" t="s">
        <v>14</v>
      </c>
      <c r="C2611" s="3" t="s">
        <v>2364</v>
      </c>
      <c r="D2611" s="3" t="s">
        <v>32</v>
      </c>
      <c r="E2611" s="3" t="s">
        <v>466</v>
      </c>
      <c r="F2611" s="4">
        <v>46297</v>
      </c>
      <c r="G2611" s="3" t="s">
        <v>17</v>
      </c>
      <c r="H2611" s="5">
        <v>-269800</v>
      </c>
      <c r="I2611" s="3" t="s">
        <v>18</v>
      </c>
      <c r="J2611" s="3" t="s">
        <v>14</v>
      </c>
      <c r="K2611" s="3" t="s">
        <v>14</v>
      </c>
      <c r="L2611" s="3" t="s">
        <v>2365</v>
      </c>
      <c r="M2611" s="4">
        <v>46297</v>
      </c>
      <c r="N2611" s="3" t="s">
        <v>2366</v>
      </c>
      <c r="O2611" s="3" t="s">
        <v>30</v>
      </c>
      <c r="P2611" t="str">
        <f t="shared" si="40"/>
        <v>450012451110</v>
      </c>
      <c r="Q2611" s="7" cm="1">
        <f t="array" ref="Q2611:S2611">VLOOKUP(P2611,Hoja1!C:F,{2,3,4},FALSE)</f>
        <v>46387</v>
      </c>
      <c r="R2611" t="str">
        <v>C25</v>
      </c>
      <c r="S2611" t="str">
        <v>1000012924 KRIGER ALEJANDRO SEBASTIAN</v>
      </c>
    </row>
    <row r="2612" spans="1:19" x14ac:dyDescent="0.3">
      <c r="A2612" s="2" t="s">
        <v>14</v>
      </c>
      <c r="B2612" s="3" t="s">
        <v>14</v>
      </c>
      <c r="C2612" s="3" t="s">
        <v>2367</v>
      </c>
      <c r="D2612" s="3" t="s">
        <v>14</v>
      </c>
      <c r="E2612" s="3" t="s">
        <v>466</v>
      </c>
      <c r="F2612" s="4">
        <v>46297</v>
      </c>
      <c r="G2612" s="3" t="s">
        <v>17</v>
      </c>
      <c r="H2612" s="5">
        <v>-35792250</v>
      </c>
      <c r="I2612" s="3" t="s">
        <v>18</v>
      </c>
      <c r="J2612" s="3" t="s">
        <v>14</v>
      </c>
      <c r="K2612" s="3" t="s">
        <v>14</v>
      </c>
      <c r="L2612" s="3" t="s">
        <v>40</v>
      </c>
      <c r="M2612" s="4">
        <v>46297</v>
      </c>
      <c r="N2612" s="3" t="s">
        <v>2368</v>
      </c>
      <c r="O2612" s="3" t="s">
        <v>30</v>
      </c>
      <c r="P2612" t="str">
        <f t="shared" si="40"/>
        <v>450013630310</v>
      </c>
      <c r="Q2612" s="7" cm="1">
        <f t="array" ref="Q2612:S2612">VLOOKUP(P2612,Hoja1!C:F,{2,3,4},FALSE)</f>
        <v>46356</v>
      </c>
      <c r="R2612" t="str">
        <v>C21</v>
      </c>
      <c r="S2612" t="str">
        <v>1000006796 SERVICIOS CIPOLLETTI SRL</v>
      </c>
    </row>
    <row r="2613" spans="1:19" x14ac:dyDescent="0.3">
      <c r="A2613" s="2" t="s">
        <v>14</v>
      </c>
      <c r="B2613" s="3" t="s">
        <v>14</v>
      </c>
      <c r="C2613" s="3" t="s">
        <v>2367</v>
      </c>
      <c r="D2613" s="3" t="s">
        <v>14</v>
      </c>
      <c r="E2613" s="3" t="s">
        <v>466</v>
      </c>
      <c r="F2613" s="4">
        <v>46297</v>
      </c>
      <c r="G2613" s="3" t="s">
        <v>17</v>
      </c>
      <c r="H2613" s="5">
        <v>-7353250</v>
      </c>
      <c r="I2613" s="3" t="s">
        <v>18</v>
      </c>
      <c r="J2613" s="3" t="s">
        <v>14</v>
      </c>
      <c r="K2613" s="3" t="s">
        <v>14</v>
      </c>
      <c r="L2613" s="3" t="s">
        <v>40</v>
      </c>
      <c r="M2613" s="4">
        <v>46297</v>
      </c>
      <c r="N2613" s="3" t="s">
        <v>2368</v>
      </c>
      <c r="O2613" s="3" t="s">
        <v>30</v>
      </c>
      <c r="P2613" t="str">
        <f t="shared" si="40"/>
        <v>450013630310</v>
      </c>
      <c r="Q2613" s="7" cm="1">
        <f t="array" ref="Q2613:S2613">VLOOKUP(P2613,Hoja1!C:F,{2,3,4},FALSE)</f>
        <v>46356</v>
      </c>
      <c r="R2613" t="str">
        <v>C21</v>
      </c>
      <c r="S2613" t="str">
        <v>1000006796 SERVICIOS CIPOLLETTI SRL</v>
      </c>
    </row>
    <row r="2614" spans="1:19" x14ac:dyDescent="0.3">
      <c r="A2614" s="2" t="s">
        <v>14</v>
      </c>
      <c r="B2614" s="3" t="s">
        <v>14</v>
      </c>
      <c r="C2614" s="3" t="s">
        <v>2367</v>
      </c>
      <c r="D2614" s="3" t="s">
        <v>14</v>
      </c>
      <c r="E2614" s="3" t="s">
        <v>466</v>
      </c>
      <c r="F2614" s="4">
        <v>46297</v>
      </c>
      <c r="G2614" s="3" t="s">
        <v>17</v>
      </c>
      <c r="H2614" s="5">
        <v>-838000</v>
      </c>
      <c r="I2614" s="3" t="s">
        <v>18</v>
      </c>
      <c r="J2614" s="3" t="s">
        <v>14</v>
      </c>
      <c r="K2614" s="3" t="s">
        <v>14</v>
      </c>
      <c r="L2614" s="3" t="s">
        <v>40</v>
      </c>
      <c r="M2614" s="4">
        <v>46297</v>
      </c>
      <c r="N2614" s="3" t="s">
        <v>2368</v>
      </c>
      <c r="O2614" s="3" t="s">
        <v>30</v>
      </c>
      <c r="P2614" t="str">
        <f t="shared" si="40"/>
        <v>450013630310</v>
      </c>
      <c r="Q2614" s="7" cm="1">
        <f t="array" ref="Q2614:S2614">VLOOKUP(P2614,Hoja1!C:F,{2,3,4},FALSE)</f>
        <v>46356</v>
      </c>
      <c r="R2614" t="str">
        <v>C21</v>
      </c>
      <c r="S2614" t="str">
        <v>1000006796 SERVICIOS CIPOLLETTI SRL</v>
      </c>
    </row>
    <row r="2615" spans="1:19" x14ac:dyDescent="0.3">
      <c r="A2615" s="2" t="s">
        <v>14</v>
      </c>
      <c r="B2615" s="3" t="s">
        <v>14</v>
      </c>
      <c r="C2615" s="3" t="s">
        <v>2369</v>
      </c>
      <c r="D2615" s="3" t="s">
        <v>32</v>
      </c>
      <c r="E2615" s="3" t="s">
        <v>466</v>
      </c>
      <c r="F2615" s="4">
        <v>46297</v>
      </c>
      <c r="G2615" s="3" t="s">
        <v>17</v>
      </c>
      <c r="H2615" s="5">
        <v>-142500</v>
      </c>
      <c r="I2615" s="3" t="s">
        <v>18</v>
      </c>
      <c r="J2615" s="3" t="s">
        <v>14</v>
      </c>
      <c r="K2615" s="3" t="s">
        <v>14</v>
      </c>
      <c r="L2615" s="3" t="s">
        <v>2370</v>
      </c>
      <c r="M2615" s="4">
        <v>46297</v>
      </c>
      <c r="N2615" s="3" t="s">
        <v>2371</v>
      </c>
      <c r="O2615" s="3" t="s">
        <v>30</v>
      </c>
      <c r="P2615" t="str">
        <f t="shared" si="40"/>
        <v>450011412710</v>
      </c>
      <c r="Q2615" s="7" cm="1">
        <f t="array" ref="Q2615:S2615">VLOOKUP(P2615,Hoja1!C:F,{2,3,4},FALSE)</f>
        <v>46359</v>
      </c>
      <c r="R2615" t="str">
        <v>C25</v>
      </c>
      <c r="S2615" t="str">
        <v>1000011590 NOALE CLAUDIA ELISABETH VIVIANA</v>
      </c>
    </row>
    <row r="2616" spans="1:19" x14ac:dyDescent="0.3">
      <c r="A2616" s="2" t="s">
        <v>14</v>
      </c>
      <c r="B2616" s="3" t="s">
        <v>14</v>
      </c>
      <c r="C2616" s="3" t="s">
        <v>2369</v>
      </c>
      <c r="D2616" s="3" t="s">
        <v>32</v>
      </c>
      <c r="E2616" s="3" t="s">
        <v>466</v>
      </c>
      <c r="F2616" s="4">
        <v>46297</v>
      </c>
      <c r="G2616" s="3" t="s">
        <v>17</v>
      </c>
      <c r="H2616" s="5">
        <v>-1573200</v>
      </c>
      <c r="I2616" s="3" t="s">
        <v>18</v>
      </c>
      <c r="J2616" s="3" t="s">
        <v>14</v>
      </c>
      <c r="K2616" s="3" t="s">
        <v>14</v>
      </c>
      <c r="L2616" s="3" t="s">
        <v>2370</v>
      </c>
      <c r="M2616" s="4">
        <v>46297</v>
      </c>
      <c r="N2616" s="3" t="s">
        <v>2371</v>
      </c>
      <c r="O2616" s="3" t="s">
        <v>22</v>
      </c>
      <c r="P2616" t="str">
        <f t="shared" si="40"/>
        <v>450011412720</v>
      </c>
      <c r="Q2616" s="7" cm="1">
        <f t="array" ref="Q2616:S2616">VLOOKUP(P2616,Hoja1!C:F,{2,3,4},FALSE)</f>
        <v>46359</v>
      </c>
      <c r="R2616" t="str">
        <v>C25</v>
      </c>
      <c r="S2616" t="str">
        <v>1000011590 NOALE CLAUDIA ELISABETH VIVIANA</v>
      </c>
    </row>
    <row r="2617" spans="1:19" x14ac:dyDescent="0.3">
      <c r="A2617" s="2" t="s">
        <v>14</v>
      </c>
      <c r="B2617" s="3" t="s">
        <v>14</v>
      </c>
      <c r="C2617" s="3" t="s">
        <v>2372</v>
      </c>
      <c r="D2617" s="3" t="s">
        <v>32</v>
      </c>
      <c r="E2617" s="3" t="s">
        <v>466</v>
      </c>
      <c r="F2617" s="4">
        <v>46297</v>
      </c>
      <c r="G2617" s="3" t="s">
        <v>17</v>
      </c>
      <c r="H2617" s="5">
        <v>-207359.2</v>
      </c>
      <c r="I2617" s="3" t="s">
        <v>18</v>
      </c>
      <c r="J2617" s="3" t="s">
        <v>14</v>
      </c>
      <c r="K2617" s="3" t="s">
        <v>14</v>
      </c>
      <c r="L2617" s="3" t="s">
        <v>2373</v>
      </c>
      <c r="M2617" s="4">
        <v>46297</v>
      </c>
      <c r="N2617" s="3" t="s">
        <v>2374</v>
      </c>
      <c r="O2617" s="3" t="s">
        <v>30</v>
      </c>
      <c r="P2617" t="str">
        <f t="shared" si="40"/>
        <v>450011529010</v>
      </c>
      <c r="Q2617" s="7" cm="1">
        <f t="array" ref="Q2617:S2617">VLOOKUP(P2617,Hoja1!C:F,{2,3,4},FALSE)</f>
        <v>46387</v>
      </c>
      <c r="R2617" t="str">
        <v>C25</v>
      </c>
      <c r="S2617" t="str">
        <v>1000011539 PAZ PABLO FABIAN</v>
      </c>
    </row>
    <row r="2618" spans="1:19" x14ac:dyDescent="0.3">
      <c r="A2618" s="2" t="s">
        <v>14</v>
      </c>
      <c r="B2618" s="3" t="s">
        <v>14</v>
      </c>
      <c r="C2618" s="3" t="s">
        <v>2372</v>
      </c>
      <c r="D2618" s="3" t="s">
        <v>32</v>
      </c>
      <c r="E2618" s="3" t="s">
        <v>466</v>
      </c>
      <c r="F2618" s="4">
        <v>46297</v>
      </c>
      <c r="G2618" s="3" t="s">
        <v>17</v>
      </c>
      <c r="H2618" s="5">
        <v>-1292540.7</v>
      </c>
      <c r="I2618" s="3" t="s">
        <v>18</v>
      </c>
      <c r="J2618" s="3" t="s">
        <v>14</v>
      </c>
      <c r="K2618" s="3" t="s">
        <v>14</v>
      </c>
      <c r="L2618" s="3" t="s">
        <v>2373</v>
      </c>
      <c r="M2618" s="4">
        <v>46297</v>
      </c>
      <c r="N2618" s="3" t="s">
        <v>2374</v>
      </c>
      <c r="O2618" s="3" t="s">
        <v>22</v>
      </c>
      <c r="P2618" t="str">
        <f t="shared" si="40"/>
        <v>450011529020</v>
      </c>
      <c r="Q2618" s="7" cm="1">
        <f t="array" ref="Q2618:S2618">VLOOKUP(P2618,Hoja1!C:F,{2,3,4},FALSE)</f>
        <v>46387</v>
      </c>
      <c r="R2618" t="str">
        <v>C25</v>
      </c>
      <c r="S2618" t="str">
        <v>1000011539 PAZ PABLO FABIAN</v>
      </c>
    </row>
    <row r="2619" spans="1:19" x14ac:dyDescent="0.3">
      <c r="A2619" s="2" t="s">
        <v>14</v>
      </c>
      <c r="B2619" s="3" t="s">
        <v>14</v>
      </c>
      <c r="C2619" s="3" t="s">
        <v>2375</v>
      </c>
      <c r="D2619" s="3" t="s">
        <v>14</v>
      </c>
      <c r="E2619" s="3" t="s">
        <v>466</v>
      </c>
      <c r="F2619" s="4">
        <v>46296</v>
      </c>
      <c r="G2619" s="3" t="s">
        <v>17</v>
      </c>
      <c r="H2619" s="5">
        <v>-8516.24</v>
      </c>
      <c r="I2619" s="3" t="s">
        <v>18</v>
      </c>
      <c r="J2619" s="3" t="s">
        <v>14</v>
      </c>
      <c r="K2619" s="3" t="s">
        <v>14</v>
      </c>
      <c r="L2619" s="3" t="s">
        <v>412</v>
      </c>
      <c r="M2619" s="4">
        <v>46297</v>
      </c>
      <c r="N2619" s="3" t="s">
        <v>2376</v>
      </c>
      <c r="O2619" s="3" t="s">
        <v>30</v>
      </c>
      <c r="P2619" t="str">
        <f t="shared" si="40"/>
        <v>450013925710</v>
      </c>
      <c r="Q2619" s="7" cm="1">
        <f t="array" ref="Q2619:S2619">VLOOKUP(P2619,Hoja1!C:F,{2,3,4},FALSE)</f>
        <v>46295</v>
      </c>
      <c r="R2619" t="str">
        <v>C11</v>
      </c>
      <c r="S2619" t="str">
        <v>1000000093 ELECTRICIDAD SERRA S.R.L.</v>
      </c>
    </row>
    <row r="2620" spans="1:19" x14ac:dyDescent="0.3">
      <c r="A2620" s="2" t="s">
        <v>14</v>
      </c>
      <c r="B2620" s="3" t="s">
        <v>14</v>
      </c>
      <c r="C2620" s="3" t="s">
        <v>2375</v>
      </c>
      <c r="D2620" s="3" t="s">
        <v>14</v>
      </c>
      <c r="E2620" s="3" t="s">
        <v>466</v>
      </c>
      <c r="F2620" s="4">
        <v>46296</v>
      </c>
      <c r="G2620" s="3" t="s">
        <v>17</v>
      </c>
      <c r="H2620" s="5">
        <v>-2317.98</v>
      </c>
      <c r="I2620" s="3" t="s">
        <v>18</v>
      </c>
      <c r="J2620" s="3" t="s">
        <v>14</v>
      </c>
      <c r="K2620" s="3" t="s">
        <v>14</v>
      </c>
      <c r="L2620" s="3" t="s">
        <v>412</v>
      </c>
      <c r="M2620" s="4">
        <v>46297</v>
      </c>
      <c r="N2620" s="3" t="s">
        <v>2376</v>
      </c>
      <c r="O2620" s="3" t="s">
        <v>22</v>
      </c>
      <c r="P2620" t="str">
        <f t="shared" si="40"/>
        <v>450013925720</v>
      </c>
      <c r="Q2620" s="7" cm="1">
        <f t="array" ref="Q2620:S2620">VLOOKUP(P2620,Hoja1!C:F,{2,3,4},FALSE)</f>
        <v>46295</v>
      </c>
      <c r="R2620" t="str">
        <v>C11</v>
      </c>
      <c r="S2620" t="str">
        <v>1000000093 ELECTRICIDAD SERRA S.R.L.</v>
      </c>
    </row>
    <row r="2621" spans="1:19" x14ac:dyDescent="0.3">
      <c r="A2621" s="2" t="s">
        <v>14</v>
      </c>
      <c r="B2621" s="3" t="s">
        <v>14</v>
      </c>
      <c r="C2621" s="3" t="s">
        <v>2377</v>
      </c>
      <c r="D2621" s="3" t="s">
        <v>14</v>
      </c>
      <c r="E2621" s="3" t="s">
        <v>466</v>
      </c>
      <c r="F2621" s="4">
        <v>46296</v>
      </c>
      <c r="G2621" s="3" t="s">
        <v>17</v>
      </c>
      <c r="H2621" s="5">
        <v>-261668</v>
      </c>
      <c r="I2621" s="3" t="s">
        <v>18</v>
      </c>
      <c r="J2621" s="3" t="s">
        <v>14</v>
      </c>
      <c r="K2621" s="3" t="s">
        <v>14</v>
      </c>
      <c r="L2621" s="3" t="s">
        <v>340</v>
      </c>
      <c r="M2621" s="4">
        <v>46297</v>
      </c>
      <c r="N2621" s="3" t="s">
        <v>2378</v>
      </c>
      <c r="O2621" s="3" t="s">
        <v>22</v>
      </c>
      <c r="P2621" t="str">
        <f t="shared" si="40"/>
        <v>450013963620</v>
      </c>
      <c r="Q2621" s="7" cm="1">
        <f t="array" ref="Q2621:S2621">VLOOKUP(P2621,Hoja1!C:F,{2,3,4},FALSE)</f>
        <v>46297</v>
      </c>
      <c r="R2621" t="str">
        <v>C03</v>
      </c>
      <c r="S2621" t="str">
        <v>1000000062 FINNING ARGENTINA S.A.</v>
      </c>
    </row>
    <row r="2622" spans="1:19" x14ac:dyDescent="0.3">
      <c r="A2622" s="2" t="s">
        <v>14</v>
      </c>
      <c r="B2622" s="3" t="s">
        <v>14</v>
      </c>
      <c r="C2622" s="3" t="s">
        <v>2379</v>
      </c>
      <c r="D2622" s="3" t="s">
        <v>32</v>
      </c>
      <c r="E2622" s="3" t="s">
        <v>466</v>
      </c>
      <c r="F2622" s="4">
        <v>46297</v>
      </c>
      <c r="G2622" s="3" t="s">
        <v>17</v>
      </c>
      <c r="H2622" s="5">
        <v>-2457450</v>
      </c>
      <c r="I2622" s="3" t="s">
        <v>18</v>
      </c>
      <c r="J2622" s="3" t="s">
        <v>14</v>
      </c>
      <c r="K2622" s="3" t="s">
        <v>14</v>
      </c>
      <c r="L2622" s="3" t="s">
        <v>359</v>
      </c>
      <c r="M2622" s="4">
        <v>46297</v>
      </c>
      <c r="N2622" s="3" t="s">
        <v>2380</v>
      </c>
      <c r="O2622" s="3" t="s">
        <v>30</v>
      </c>
      <c r="P2622" t="str">
        <f t="shared" si="40"/>
        <v>450013774810</v>
      </c>
      <c r="Q2622" s="7" cm="1">
        <f t="array" ref="Q2622:S2622">VLOOKUP(P2622,Hoja1!C:F,{2,3,4},FALSE)</f>
        <v>46336</v>
      </c>
      <c r="R2622" t="str">
        <v>C15</v>
      </c>
      <c r="S2622" t="str">
        <v>1000011965 DIRECTO SUR S. R. L.</v>
      </c>
    </row>
    <row r="2623" spans="1:19" x14ac:dyDescent="0.3">
      <c r="A2623" s="2" t="s">
        <v>14</v>
      </c>
      <c r="B2623" s="3" t="s">
        <v>14</v>
      </c>
      <c r="C2623" s="3" t="s">
        <v>2381</v>
      </c>
      <c r="D2623" s="3" t="s">
        <v>14</v>
      </c>
      <c r="E2623" s="3" t="s">
        <v>466</v>
      </c>
      <c r="F2623" s="4">
        <v>46296</v>
      </c>
      <c r="G2623" s="3" t="s">
        <v>17</v>
      </c>
      <c r="H2623" s="5">
        <v>-1685908</v>
      </c>
      <c r="I2623" s="3" t="s">
        <v>18</v>
      </c>
      <c r="J2623" s="3" t="s">
        <v>14</v>
      </c>
      <c r="K2623" s="3" t="s">
        <v>14</v>
      </c>
      <c r="L2623" s="3" t="s">
        <v>340</v>
      </c>
      <c r="M2623" s="4">
        <v>46297</v>
      </c>
      <c r="N2623" s="3" t="s">
        <v>1876</v>
      </c>
      <c r="O2623" s="3" t="s">
        <v>53</v>
      </c>
      <c r="P2623" t="str">
        <f t="shared" si="40"/>
        <v>4500138815170</v>
      </c>
      <c r="Q2623" s="7" cm="1">
        <f t="array" ref="Q2623:S2623">VLOOKUP(P2623,Hoja1!C:F,{2,3,4},FALSE)</f>
        <v>46308</v>
      </c>
      <c r="R2623" t="str">
        <v>C03</v>
      </c>
      <c r="S2623" t="str">
        <v>1000000062 FINNING ARGENTINA S.A.</v>
      </c>
    </row>
    <row r="2624" spans="1:19" x14ac:dyDescent="0.3">
      <c r="A2624" s="2" t="s">
        <v>14</v>
      </c>
      <c r="B2624" s="3" t="s">
        <v>14</v>
      </c>
      <c r="C2624" s="3" t="s">
        <v>2382</v>
      </c>
      <c r="D2624" s="3" t="s">
        <v>14</v>
      </c>
      <c r="E2624" s="3" t="s">
        <v>466</v>
      </c>
      <c r="F2624" s="4">
        <v>46296</v>
      </c>
      <c r="G2624" s="3" t="s">
        <v>17</v>
      </c>
      <c r="H2624" s="5">
        <v>-38225</v>
      </c>
      <c r="I2624" s="3" t="s">
        <v>18</v>
      </c>
      <c r="J2624" s="3" t="s">
        <v>14</v>
      </c>
      <c r="K2624" s="3" t="s">
        <v>14</v>
      </c>
      <c r="L2624" s="3" t="s">
        <v>2383</v>
      </c>
      <c r="M2624" s="4">
        <v>46297</v>
      </c>
      <c r="N2624" s="3" t="s">
        <v>2384</v>
      </c>
      <c r="O2624" s="3" t="s">
        <v>30</v>
      </c>
      <c r="P2624" t="str">
        <f t="shared" si="40"/>
        <v>450013983710</v>
      </c>
      <c r="Q2624" s="7" cm="1">
        <f t="array" ref="Q2624:S2624">VLOOKUP(P2624,Hoja1!C:F,{2,3,4},FALSE)</f>
        <v>46302</v>
      </c>
      <c r="R2624" t="str">
        <v>C17</v>
      </c>
      <c r="S2624" t="str">
        <v>1000002909 CESCHIN GABRIELA ROSANA</v>
      </c>
    </row>
    <row r="2625" spans="1:19" x14ac:dyDescent="0.3">
      <c r="A2625" s="2" t="s">
        <v>14</v>
      </c>
      <c r="B2625" s="3" t="s">
        <v>14</v>
      </c>
      <c r="C2625" s="3" t="s">
        <v>2382</v>
      </c>
      <c r="D2625" s="3" t="s">
        <v>14</v>
      </c>
      <c r="E2625" s="3" t="s">
        <v>466</v>
      </c>
      <c r="F2625" s="4">
        <v>46296</v>
      </c>
      <c r="G2625" s="3" t="s">
        <v>17</v>
      </c>
      <c r="H2625" s="5">
        <v>-19950</v>
      </c>
      <c r="I2625" s="3" t="s">
        <v>18</v>
      </c>
      <c r="J2625" s="3" t="s">
        <v>14</v>
      </c>
      <c r="K2625" s="3" t="s">
        <v>14</v>
      </c>
      <c r="L2625" s="3" t="s">
        <v>2383</v>
      </c>
      <c r="M2625" s="4">
        <v>46297</v>
      </c>
      <c r="N2625" s="3" t="s">
        <v>2384</v>
      </c>
      <c r="O2625" s="3" t="s">
        <v>22</v>
      </c>
      <c r="P2625" t="str">
        <f t="shared" si="40"/>
        <v>450013983720</v>
      </c>
      <c r="Q2625" s="7" cm="1">
        <f t="array" ref="Q2625:S2625">VLOOKUP(P2625,Hoja1!C:F,{2,3,4},FALSE)</f>
        <v>46302</v>
      </c>
      <c r="R2625" t="str">
        <v>C17</v>
      </c>
      <c r="S2625" t="str">
        <v>1000002909 CESCHIN GABRIELA ROSANA</v>
      </c>
    </row>
    <row r="2626" spans="1:19" x14ac:dyDescent="0.3">
      <c r="A2626" s="2" t="s">
        <v>14</v>
      </c>
      <c r="B2626" s="3" t="s">
        <v>14</v>
      </c>
      <c r="C2626" s="3" t="s">
        <v>2382</v>
      </c>
      <c r="D2626" s="3" t="s">
        <v>14</v>
      </c>
      <c r="E2626" s="3" t="s">
        <v>466</v>
      </c>
      <c r="F2626" s="4">
        <v>46296</v>
      </c>
      <c r="G2626" s="3" t="s">
        <v>17</v>
      </c>
      <c r="H2626" s="5">
        <v>-2120</v>
      </c>
      <c r="I2626" s="3" t="s">
        <v>18</v>
      </c>
      <c r="J2626" s="3" t="s">
        <v>14</v>
      </c>
      <c r="K2626" s="3" t="s">
        <v>14</v>
      </c>
      <c r="L2626" s="3" t="s">
        <v>2383</v>
      </c>
      <c r="M2626" s="4">
        <v>46297</v>
      </c>
      <c r="N2626" s="3" t="s">
        <v>2384</v>
      </c>
      <c r="O2626" s="3" t="s">
        <v>35</v>
      </c>
      <c r="P2626" t="str">
        <f t="shared" si="40"/>
        <v>450013983730</v>
      </c>
      <c r="Q2626" s="7" cm="1">
        <f t="array" ref="Q2626:S2626">VLOOKUP(P2626,Hoja1!C:F,{2,3,4},FALSE)</f>
        <v>46302</v>
      </c>
      <c r="R2626" t="str">
        <v>C17</v>
      </c>
      <c r="S2626" t="str">
        <v>1000002909 CESCHIN GABRIELA ROSANA</v>
      </c>
    </row>
    <row r="2627" spans="1:19" x14ac:dyDescent="0.3">
      <c r="A2627" s="2" t="s">
        <v>14</v>
      </c>
      <c r="B2627" s="3" t="s">
        <v>14</v>
      </c>
      <c r="C2627" s="3" t="s">
        <v>2382</v>
      </c>
      <c r="D2627" s="3" t="s">
        <v>14</v>
      </c>
      <c r="E2627" s="3" t="s">
        <v>466</v>
      </c>
      <c r="F2627" s="4">
        <v>46296</v>
      </c>
      <c r="G2627" s="3" t="s">
        <v>17</v>
      </c>
      <c r="H2627" s="5">
        <v>-9720</v>
      </c>
      <c r="I2627" s="3" t="s">
        <v>18</v>
      </c>
      <c r="J2627" s="3" t="s">
        <v>14</v>
      </c>
      <c r="K2627" s="3" t="s">
        <v>14</v>
      </c>
      <c r="L2627" s="3" t="s">
        <v>2383</v>
      </c>
      <c r="M2627" s="4">
        <v>46297</v>
      </c>
      <c r="N2627" s="3" t="s">
        <v>2384</v>
      </c>
      <c r="O2627" s="3" t="s">
        <v>23</v>
      </c>
      <c r="P2627" t="str">
        <f t="shared" ref="P2627:P2690" si="41">_xlfn.CONCAT(N2627:O2627)</f>
        <v>450013983740</v>
      </c>
      <c r="Q2627" s="7" cm="1">
        <f t="array" ref="Q2627:S2627">VLOOKUP(P2627,Hoja1!C:F,{2,3,4},FALSE)</f>
        <v>46302</v>
      </c>
      <c r="R2627" t="str">
        <v>C17</v>
      </c>
      <c r="S2627" t="str">
        <v>1000002909 CESCHIN GABRIELA ROSANA</v>
      </c>
    </row>
    <row r="2628" spans="1:19" x14ac:dyDescent="0.3">
      <c r="A2628" s="2" t="s">
        <v>14</v>
      </c>
      <c r="B2628" s="3" t="s">
        <v>14</v>
      </c>
      <c r="C2628" s="3" t="s">
        <v>2382</v>
      </c>
      <c r="D2628" s="3" t="s">
        <v>14</v>
      </c>
      <c r="E2628" s="3" t="s">
        <v>466</v>
      </c>
      <c r="F2628" s="4">
        <v>46296</v>
      </c>
      <c r="G2628" s="3" t="s">
        <v>17</v>
      </c>
      <c r="H2628" s="5">
        <v>-8265</v>
      </c>
      <c r="I2628" s="3" t="s">
        <v>18</v>
      </c>
      <c r="J2628" s="3" t="s">
        <v>14</v>
      </c>
      <c r="K2628" s="3" t="s">
        <v>14</v>
      </c>
      <c r="L2628" s="3" t="s">
        <v>2383</v>
      </c>
      <c r="M2628" s="4">
        <v>46297</v>
      </c>
      <c r="N2628" s="3" t="s">
        <v>2384</v>
      </c>
      <c r="O2628" s="3" t="s">
        <v>144</v>
      </c>
      <c r="P2628" t="str">
        <f t="shared" si="41"/>
        <v>450013983750</v>
      </c>
      <c r="Q2628" s="7" cm="1">
        <f t="array" ref="Q2628:S2628">VLOOKUP(P2628,Hoja1!C:F,{2,3,4},FALSE)</f>
        <v>46302</v>
      </c>
      <c r="R2628" t="str">
        <v>C17</v>
      </c>
      <c r="S2628" t="str">
        <v>1000002909 CESCHIN GABRIELA ROSANA</v>
      </c>
    </row>
    <row r="2629" spans="1:19" x14ac:dyDescent="0.3">
      <c r="A2629" s="2" t="s">
        <v>14</v>
      </c>
      <c r="B2629" s="3" t="s">
        <v>14</v>
      </c>
      <c r="C2629" s="3" t="s">
        <v>2385</v>
      </c>
      <c r="D2629" s="3" t="s">
        <v>32</v>
      </c>
      <c r="E2629" s="3" t="s">
        <v>466</v>
      </c>
      <c r="F2629" s="4">
        <v>46296</v>
      </c>
      <c r="G2629" s="3" t="s">
        <v>17</v>
      </c>
      <c r="H2629" s="5">
        <v>-216116.98</v>
      </c>
      <c r="I2629" s="3" t="s">
        <v>18</v>
      </c>
      <c r="J2629" s="3" t="s">
        <v>14</v>
      </c>
      <c r="K2629" s="3" t="s">
        <v>14</v>
      </c>
      <c r="L2629" s="3" t="s">
        <v>2386</v>
      </c>
      <c r="M2629" s="4">
        <v>46297</v>
      </c>
      <c r="N2629" s="3" t="s">
        <v>2387</v>
      </c>
      <c r="O2629" s="3" t="s">
        <v>30</v>
      </c>
      <c r="P2629" t="str">
        <f t="shared" si="41"/>
        <v>450013972710</v>
      </c>
      <c r="Q2629" s="7" cm="1">
        <f t="array" ref="Q2629:S2629">VLOOKUP(P2629,Hoja1!C:F,{2,3,4},FALSE)</f>
        <v>46295</v>
      </c>
      <c r="R2629" t="str">
        <v>378</v>
      </c>
      <c r="S2629" t="str">
        <v>1000013178 DI CROCE RICARDO DANIEL</v>
      </c>
    </row>
    <row r="2630" spans="1:19" x14ac:dyDescent="0.3">
      <c r="A2630" s="2" t="s">
        <v>14</v>
      </c>
      <c r="B2630" s="3" t="s">
        <v>14</v>
      </c>
      <c r="C2630" s="3" t="s">
        <v>2385</v>
      </c>
      <c r="D2630" s="3" t="s">
        <v>32</v>
      </c>
      <c r="E2630" s="3" t="s">
        <v>466</v>
      </c>
      <c r="F2630" s="4">
        <v>46296</v>
      </c>
      <c r="G2630" s="3" t="s">
        <v>17</v>
      </c>
      <c r="H2630" s="5">
        <v>-156684.57999999999</v>
      </c>
      <c r="I2630" s="3" t="s">
        <v>18</v>
      </c>
      <c r="J2630" s="3" t="s">
        <v>14</v>
      </c>
      <c r="K2630" s="3" t="s">
        <v>14</v>
      </c>
      <c r="L2630" s="3" t="s">
        <v>2386</v>
      </c>
      <c r="M2630" s="4">
        <v>46297</v>
      </c>
      <c r="N2630" s="3" t="s">
        <v>2387</v>
      </c>
      <c r="O2630" s="3" t="s">
        <v>22</v>
      </c>
      <c r="P2630" t="str">
        <f t="shared" si="41"/>
        <v>450013972720</v>
      </c>
      <c r="Q2630" s="7" cm="1">
        <f t="array" ref="Q2630:S2630">VLOOKUP(P2630,Hoja1!C:F,{2,3,4},FALSE)</f>
        <v>46295</v>
      </c>
      <c r="R2630" t="str">
        <v>378</v>
      </c>
      <c r="S2630" t="str">
        <v>1000013178 DI CROCE RICARDO DANIEL</v>
      </c>
    </row>
    <row r="2631" spans="1:19" x14ac:dyDescent="0.3">
      <c r="A2631" s="2" t="s">
        <v>14</v>
      </c>
      <c r="B2631" s="3" t="s">
        <v>14</v>
      </c>
      <c r="C2631" s="3" t="s">
        <v>2385</v>
      </c>
      <c r="D2631" s="3" t="s">
        <v>32</v>
      </c>
      <c r="E2631" s="3" t="s">
        <v>466</v>
      </c>
      <c r="F2631" s="4">
        <v>46296</v>
      </c>
      <c r="G2631" s="3" t="s">
        <v>17</v>
      </c>
      <c r="H2631" s="5">
        <v>-12845.9</v>
      </c>
      <c r="I2631" s="3" t="s">
        <v>18</v>
      </c>
      <c r="J2631" s="3" t="s">
        <v>14</v>
      </c>
      <c r="K2631" s="3" t="s">
        <v>14</v>
      </c>
      <c r="L2631" s="3" t="s">
        <v>2386</v>
      </c>
      <c r="M2631" s="4">
        <v>46297</v>
      </c>
      <c r="N2631" s="3" t="s">
        <v>2387</v>
      </c>
      <c r="O2631" s="3" t="s">
        <v>35</v>
      </c>
      <c r="P2631" t="str">
        <f t="shared" si="41"/>
        <v>450013972730</v>
      </c>
      <c r="Q2631" s="7" cm="1">
        <f t="array" ref="Q2631:S2631">VLOOKUP(P2631,Hoja1!C:F,{2,3,4},FALSE)</f>
        <v>46295</v>
      </c>
      <c r="R2631" t="str">
        <v>378</v>
      </c>
      <c r="S2631" t="str">
        <v>1000013178 DI CROCE RICARDO DANIEL</v>
      </c>
    </row>
    <row r="2632" spans="1:19" x14ac:dyDescent="0.3">
      <c r="A2632" s="2" t="s">
        <v>14</v>
      </c>
      <c r="B2632" s="3" t="s">
        <v>14</v>
      </c>
      <c r="C2632" s="3" t="s">
        <v>2385</v>
      </c>
      <c r="D2632" s="3" t="s">
        <v>14</v>
      </c>
      <c r="E2632" s="3" t="s">
        <v>466</v>
      </c>
      <c r="F2632" s="4">
        <v>46296</v>
      </c>
      <c r="G2632" s="3" t="s">
        <v>17</v>
      </c>
      <c r="H2632" s="5">
        <v>-29883.8</v>
      </c>
      <c r="I2632" s="3" t="s">
        <v>18</v>
      </c>
      <c r="J2632" s="3" t="s">
        <v>14</v>
      </c>
      <c r="K2632" s="3" t="s">
        <v>14</v>
      </c>
      <c r="L2632" s="3" t="s">
        <v>2386</v>
      </c>
      <c r="M2632" s="4">
        <v>46297</v>
      </c>
      <c r="N2632" s="3" t="s">
        <v>2387</v>
      </c>
      <c r="O2632" s="3" t="s">
        <v>23</v>
      </c>
      <c r="P2632" t="str">
        <f t="shared" si="41"/>
        <v>450013972740</v>
      </c>
      <c r="Q2632" s="7" cm="1">
        <f t="array" ref="Q2632:S2632">VLOOKUP(P2632,Hoja1!C:F,{2,3,4},FALSE)</f>
        <v>46295</v>
      </c>
      <c r="R2632" t="str">
        <v>378</v>
      </c>
      <c r="S2632" t="str">
        <v>1000013178 DI CROCE RICARDO DANIEL</v>
      </c>
    </row>
    <row r="2633" spans="1:19" x14ac:dyDescent="0.3">
      <c r="A2633" s="2" t="s">
        <v>14</v>
      </c>
      <c r="B2633" s="3" t="s">
        <v>14</v>
      </c>
      <c r="C2633" s="3" t="s">
        <v>2388</v>
      </c>
      <c r="D2633" s="3" t="s">
        <v>14</v>
      </c>
      <c r="E2633" s="3" t="s">
        <v>466</v>
      </c>
      <c r="F2633" s="4">
        <v>46296</v>
      </c>
      <c r="G2633" s="3" t="s">
        <v>17</v>
      </c>
      <c r="H2633" s="5">
        <v>-334795.2</v>
      </c>
      <c r="I2633" s="3" t="s">
        <v>18</v>
      </c>
      <c r="J2633" s="3" t="s">
        <v>14</v>
      </c>
      <c r="K2633" s="3" t="s">
        <v>14</v>
      </c>
      <c r="L2633" s="3" t="s">
        <v>117</v>
      </c>
      <c r="M2633" s="4">
        <v>46297</v>
      </c>
      <c r="N2633" s="3" t="s">
        <v>1216</v>
      </c>
      <c r="O2633" s="3" t="s">
        <v>22</v>
      </c>
      <c r="P2633" t="str">
        <f t="shared" si="41"/>
        <v>450013464120</v>
      </c>
      <c r="Q2633" s="7" cm="1">
        <f t="array" ref="Q2633:S2633">VLOOKUP(P2633,Hoja1!C:F,{2,3,4},FALSE)</f>
        <v>46301</v>
      </c>
      <c r="R2633" t="str">
        <v>C03</v>
      </c>
      <c r="S2633" t="str">
        <v>1000001129 AGRONORTE S.R.L.</v>
      </c>
    </row>
    <row r="2634" spans="1:19" x14ac:dyDescent="0.3">
      <c r="A2634" s="2" t="s">
        <v>14</v>
      </c>
      <c r="B2634" s="3" t="s">
        <v>14</v>
      </c>
      <c r="C2634" s="3" t="s">
        <v>2388</v>
      </c>
      <c r="D2634" s="3" t="s">
        <v>14</v>
      </c>
      <c r="E2634" s="3" t="s">
        <v>466</v>
      </c>
      <c r="F2634" s="4">
        <v>46296</v>
      </c>
      <c r="G2634" s="3" t="s">
        <v>17</v>
      </c>
      <c r="H2634" s="5">
        <v>-167397.6</v>
      </c>
      <c r="I2634" s="3" t="s">
        <v>18</v>
      </c>
      <c r="J2634" s="3" t="s">
        <v>14</v>
      </c>
      <c r="K2634" s="3" t="s">
        <v>14</v>
      </c>
      <c r="L2634" s="3" t="s">
        <v>117</v>
      </c>
      <c r="M2634" s="4">
        <v>46297</v>
      </c>
      <c r="N2634" s="3" t="s">
        <v>1216</v>
      </c>
      <c r="O2634" s="3" t="s">
        <v>23</v>
      </c>
      <c r="P2634" t="str">
        <f t="shared" si="41"/>
        <v>450013464140</v>
      </c>
      <c r="Q2634" s="7" cm="1">
        <f t="array" ref="Q2634:S2634">VLOOKUP(P2634,Hoja1!C:F,{2,3,4},FALSE)</f>
        <v>46301</v>
      </c>
      <c r="R2634" t="str">
        <v>C03</v>
      </c>
      <c r="S2634" t="str">
        <v>1000001129 AGRONORTE S.R.L.</v>
      </c>
    </row>
    <row r="2635" spans="1:19" x14ac:dyDescent="0.3">
      <c r="A2635" s="2" t="s">
        <v>14</v>
      </c>
      <c r="B2635" s="3" t="s">
        <v>14</v>
      </c>
      <c r="C2635" s="3" t="s">
        <v>2389</v>
      </c>
      <c r="D2635" s="3" t="s">
        <v>14</v>
      </c>
      <c r="E2635" s="3" t="s">
        <v>466</v>
      </c>
      <c r="F2635" s="4">
        <v>46297</v>
      </c>
      <c r="G2635" s="3" t="s">
        <v>17</v>
      </c>
      <c r="H2635" s="5">
        <v>-619430</v>
      </c>
      <c r="I2635" s="3" t="s">
        <v>18</v>
      </c>
      <c r="J2635" s="3" t="s">
        <v>14</v>
      </c>
      <c r="K2635" s="3" t="s">
        <v>14</v>
      </c>
      <c r="L2635" s="3" t="s">
        <v>2102</v>
      </c>
      <c r="M2635" s="4">
        <v>46297</v>
      </c>
      <c r="N2635" s="3" t="s">
        <v>2390</v>
      </c>
      <c r="O2635" s="3" t="s">
        <v>30</v>
      </c>
      <c r="P2635" t="str">
        <f t="shared" si="41"/>
        <v>450013888110</v>
      </c>
      <c r="Q2635" s="7" cm="1">
        <f t="array" ref="Q2635:S2635">VLOOKUP(P2635,Hoja1!C:F,{2,3,4},FALSE)</f>
        <v>46290</v>
      </c>
      <c r="R2635" t="str">
        <v>C38</v>
      </c>
      <c r="S2635" t="str">
        <v>1000000273 SALVADOR Y BARBIERI S.R.L.</v>
      </c>
    </row>
    <row r="2636" spans="1:19" x14ac:dyDescent="0.3">
      <c r="A2636" s="2" t="s">
        <v>14</v>
      </c>
      <c r="B2636" s="3" t="s">
        <v>14</v>
      </c>
      <c r="C2636" s="3" t="s">
        <v>2391</v>
      </c>
      <c r="D2636" s="3" t="s">
        <v>14</v>
      </c>
      <c r="E2636" s="3" t="s">
        <v>466</v>
      </c>
      <c r="F2636" s="4">
        <v>46296</v>
      </c>
      <c r="G2636" s="3" t="s">
        <v>17</v>
      </c>
      <c r="H2636" s="5">
        <v>-3838045.6</v>
      </c>
      <c r="I2636" s="3" t="s">
        <v>18</v>
      </c>
      <c r="J2636" s="3" t="s">
        <v>14</v>
      </c>
      <c r="K2636" s="3" t="s">
        <v>14</v>
      </c>
      <c r="L2636" s="3" t="s">
        <v>117</v>
      </c>
      <c r="M2636" s="4">
        <v>46297</v>
      </c>
      <c r="N2636" s="3" t="s">
        <v>118</v>
      </c>
      <c r="O2636" s="3" t="s">
        <v>162</v>
      </c>
      <c r="P2636" t="str">
        <f t="shared" si="41"/>
        <v>4500136283370</v>
      </c>
      <c r="Q2636" s="7" cm="1">
        <f t="array" ref="Q2636:S2636">VLOOKUP(P2636,Hoja1!C:F,{2,3,4},FALSE)</f>
        <v>46295</v>
      </c>
      <c r="R2636" t="str">
        <v>C03</v>
      </c>
      <c r="S2636" t="str">
        <v>1000001129 AGRONORTE S.R.L.</v>
      </c>
    </row>
    <row r="2637" spans="1:19" x14ac:dyDescent="0.3">
      <c r="A2637" s="2" t="s">
        <v>14</v>
      </c>
      <c r="B2637" s="3" t="s">
        <v>14</v>
      </c>
      <c r="C2637" s="3" t="s">
        <v>2391</v>
      </c>
      <c r="D2637" s="3" t="s">
        <v>14</v>
      </c>
      <c r="E2637" s="3" t="s">
        <v>466</v>
      </c>
      <c r="F2637" s="4">
        <v>46296</v>
      </c>
      <c r="G2637" s="3" t="s">
        <v>17</v>
      </c>
      <c r="H2637" s="5">
        <v>-30035.200000000001</v>
      </c>
      <c r="I2637" s="3" t="s">
        <v>18</v>
      </c>
      <c r="J2637" s="3" t="s">
        <v>14</v>
      </c>
      <c r="K2637" s="3" t="s">
        <v>14</v>
      </c>
      <c r="L2637" s="3" t="s">
        <v>117</v>
      </c>
      <c r="M2637" s="4">
        <v>46297</v>
      </c>
      <c r="N2637" s="3" t="s">
        <v>118</v>
      </c>
      <c r="O2637" s="3" t="s">
        <v>52</v>
      </c>
      <c r="P2637" t="str">
        <f t="shared" si="41"/>
        <v>450013628380</v>
      </c>
      <c r="Q2637" s="7" cm="1">
        <f t="array" ref="Q2637:S2637">VLOOKUP(P2637,Hoja1!C:F,{2,3,4},FALSE)</f>
        <v>46295</v>
      </c>
      <c r="R2637" t="str">
        <v>C03</v>
      </c>
      <c r="S2637" t="str">
        <v>1000001129 AGRONORTE S.R.L.</v>
      </c>
    </row>
    <row r="2638" spans="1:19" x14ac:dyDescent="0.3">
      <c r="A2638" s="2" t="s">
        <v>14</v>
      </c>
      <c r="B2638" s="3" t="s">
        <v>14</v>
      </c>
      <c r="C2638" s="3" t="s">
        <v>2391</v>
      </c>
      <c r="D2638" s="3" t="s">
        <v>14</v>
      </c>
      <c r="E2638" s="3" t="s">
        <v>466</v>
      </c>
      <c r="F2638" s="4">
        <v>46296</v>
      </c>
      <c r="G2638" s="3" t="s">
        <v>17</v>
      </c>
      <c r="H2638" s="5">
        <v>-276564</v>
      </c>
      <c r="I2638" s="3" t="s">
        <v>18</v>
      </c>
      <c r="J2638" s="3" t="s">
        <v>14</v>
      </c>
      <c r="K2638" s="3" t="s">
        <v>14</v>
      </c>
      <c r="L2638" s="3" t="s">
        <v>117</v>
      </c>
      <c r="M2638" s="4">
        <v>46297</v>
      </c>
      <c r="N2638" s="3" t="s">
        <v>118</v>
      </c>
      <c r="O2638" s="3" t="s">
        <v>138</v>
      </c>
      <c r="P2638" t="str">
        <f t="shared" si="41"/>
        <v>450013628390</v>
      </c>
      <c r="Q2638" s="7" cm="1">
        <f t="array" ref="Q2638:S2638">VLOOKUP(P2638,Hoja1!C:F,{2,3,4},FALSE)</f>
        <v>46295</v>
      </c>
      <c r="R2638" t="str">
        <v>C03</v>
      </c>
      <c r="S2638" t="str">
        <v>1000001129 AGRONORTE S.R.L.</v>
      </c>
    </row>
    <row r="2639" spans="1:19" x14ac:dyDescent="0.3">
      <c r="A2639" s="2" t="s">
        <v>14</v>
      </c>
      <c r="B2639" s="3" t="s">
        <v>14</v>
      </c>
      <c r="C2639" s="3" t="s">
        <v>2392</v>
      </c>
      <c r="D2639" s="3" t="s">
        <v>14</v>
      </c>
      <c r="E2639" s="3" t="s">
        <v>466</v>
      </c>
      <c r="F2639" s="4">
        <v>46296</v>
      </c>
      <c r="G2639" s="3" t="s">
        <v>17</v>
      </c>
      <c r="H2639" s="5">
        <v>-88836.4</v>
      </c>
      <c r="I2639" s="3" t="s">
        <v>18</v>
      </c>
      <c r="J2639" s="3" t="s">
        <v>14</v>
      </c>
      <c r="K2639" s="3" t="s">
        <v>14</v>
      </c>
      <c r="L2639" s="3" t="s">
        <v>117</v>
      </c>
      <c r="M2639" s="4">
        <v>46297</v>
      </c>
      <c r="N2639" s="3" t="s">
        <v>1216</v>
      </c>
      <c r="O2639" s="3" t="s">
        <v>53</v>
      </c>
      <c r="P2639" t="str">
        <f t="shared" si="41"/>
        <v>4500134641170</v>
      </c>
      <c r="Q2639" s="7" cm="1">
        <f t="array" ref="Q2639:S2639">VLOOKUP(P2639,Hoja1!C:F,{2,3,4},FALSE)</f>
        <v>46320</v>
      </c>
      <c r="R2639" t="str">
        <v>C03</v>
      </c>
      <c r="S2639" t="str">
        <v>1000001129 AGRONORTE S.R.L.</v>
      </c>
    </row>
    <row r="2640" spans="1:19" x14ac:dyDescent="0.3">
      <c r="A2640" s="2" t="s">
        <v>14</v>
      </c>
      <c r="B2640" s="3" t="s">
        <v>14</v>
      </c>
      <c r="C2640" s="3" t="s">
        <v>2393</v>
      </c>
      <c r="D2640" s="3" t="s">
        <v>14</v>
      </c>
      <c r="E2640" s="3" t="s">
        <v>466</v>
      </c>
      <c r="F2640" s="4">
        <v>46296</v>
      </c>
      <c r="G2640" s="3" t="s">
        <v>17</v>
      </c>
      <c r="H2640" s="5">
        <v>-521724.8</v>
      </c>
      <c r="I2640" s="3" t="s">
        <v>18</v>
      </c>
      <c r="J2640" s="3" t="s">
        <v>14</v>
      </c>
      <c r="K2640" s="3" t="s">
        <v>14</v>
      </c>
      <c r="L2640" s="3" t="s">
        <v>117</v>
      </c>
      <c r="M2640" s="4">
        <v>46297</v>
      </c>
      <c r="N2640" s="3" t="s">
        <v>118</v>
      </c>
      <c r="O2640" s="3" t="s">
        <v>180</v>
      </c>
      <c r="P2640" t="str">
        <f t="shared" si="41"/>
        <v>4500136283670</v>
      </c>
      <c r="Q2640" s="7" cm="1">
        <f t="array" ref="Q2640:S2640">VLOOKUP(P2640,Hoja1!C:F,{2,3,4},FALSE)</f>
        <v>46295</v>
      </c>
      <c r="R2640" t="str">
        <v>C03</v>
      </c>
      <c r="S2640" t="str">
        <v>1000001129 AGRONORTE S.R.L.</v>
      </c>
    </row>
    <row r="2641" spans="1:19" x14ac:dyDescent="0.3">
      <c r="A2641" s="2" t="s">
        <v>14</v>
      </c>
      <c r="B2641" s="3" t="s">
        <v>14</v>
      </c>
      <c r="C2641" s="3" t="s">
        <v>2394</v>
      </c>
      <c r="D2641" s="3" t="s">
        <v>32</v>
      </c>
      <c r="E2641" s="3" t="s">
        <v>466</v>
      </c>
      <c r="F2641" s="4">
        <v>46296</v>
      </c>
      <c r="G2641" s="3" t="s">
        <v>17</v>
      </c>
      <c r="H2641" s="5">
        <v>-3422461.67</v>
      </c>
      <c r="I2641" s="3" t="s">
        <v>18</v>
      </c>
      <c r="J2641" s="3" t="s">
        <v>14</v>
      </c>
      <c r="K2641" s="3" t="s">
        <v>14</v>
      </c>
      <c r="L2641" s="3" t="s">
        <v>73</v>
      </c>
      <c r="M2641" s="4">
        <v>46296</v>
      </c>
      <c r="N2641" s="3" t="s">
        <v>436</v>
      </c>
      <c r="O2641" s="3" t="s">
        <v>30</v>
      </c>
      <c r="P2641" t="str">
        <f t="shared" si="41"/>
        <v>450013922410</v>
      </c>
      <c r="Q2641" s="7" cm="1">
        <f t="array" ref="Q2641:S2641">VLOOKUP(P2641,Hoja1!C:F,{2,3,4},FALSE)</f>
        <v>46326</v>
      </c>
      <c r="R2641" t="str">
        <v>C21</v>
      </c>
      <c r="S2641" t="str">
        <v>1000000808 GLOBAL OIL S.R.L.</v>
      </c>
    </row>
    <row r="2642" spans="1:19" x14ac:dyDescent="0.3">
      <c r="A2642" s="2" t="s">
        <v>14</v>
      </c>
      <c r="B2642" s="3" t="s">
        <v>14</v>
      </c>
      <c r="C2642" s="3" t="s">
        <v>2394</v>
      </c>
      <c r="D2642" s="3" t="s">
        <v>32</v>
      </c>
      <c r="E2642" s="3" t="s">
        <v>466</v>
      </c>
      <c r="F2642" s="4">
        <v>46296</v>
      </c>
      <c r="G2642" s="3" t="s">
        <v>17</v>
      </c>
      <c r="H2642" s="5">
        <v>-319989.36</v>
      </c>
      <c r="I2642" s="3" t="s">
        <v>18</v>
      </c>
      <c r="J2642" s="3" t="s">
        <v>14</v>
      </c>
      <c r="K2642" s="3" t="s">
        <v>14</v>
      </c>
      <c r="L2642" s="3" t="s">
        <v>73</v>
      </c>
      <c r="M2642" s="4">
        <v>46296</v>
      </c>
      <c r="N2642" s="3" t="s">
        <v>436</v>
      </c>
      <c r="O2642" s="3" t="s">
        <v>30</v>
      </c>
      <c r="P2642" t="str">
        <f t="shared" si="41"/>
        <v>450013922410</v>
      </c>
      <c r="Q2642" s="7" cm="1">
        <f t="array" ref="Q2642:S2642">VLOOKUP(P2642,Hoja1!C:F,{2,3,4},FALSE)</f>
        <v>46326</v>
      </c>
      <c r="R2642" t="str">
        <v>C21</v>
      </c>
      <c r="S2642" t="str">
        <v>1000000808 GLOBAL OIL S.R.L.</v>
      </c>
    </row>
    <row r="2643" spans="1:19" x14ac:dyDescent="0.3">
      <c r="A2643" s="2" t="s">
        <v>14</v>
      </c>
      <c r="B2643" s="3" t="s">
        <v>14</v>
      </c>
      <c r="C2643" s="3" t="s">
        <v>2394</v>
      </c>
      <c r="D2643" s="3" t="s">
        <v>32</v>
      </c>
      <c r="E2643" s="3" t="s">
        <v>466</v>
      </c>
      <c r="F2643" s="4">
        <v>46296</v>
      </c>
      <c r="G2643" s="3" t="s">
        <v>17</v>
      </c>
      <c r="H2643" s="5">
        <v>-67353.070000000007</v>
      </c>
      <c r="I2643" s="3" t="s">
        <v>18</v>
      </c>
      <c r="J2643" s="3" t="s">
        <v>14</v>
      </c>
      <c r="K2643" s="3" t="s">
        <v>14</v>
      </c>
      <c r="L2643" s="3" t="s">
        <v>73</v>
      </c>
      <c r="M2643" s="4">
        <v>46296</v>
      </c>
      <c r="N2643" s="3" t="s">
        <v>436</v>
      </c>
      <c r="O2643" s="3" t="s">
        <v>30</v>
      </c>
      <c r="P2643" t="str">
        <f t="shared" si="41"/>
        <v>450013922410</v>
      </c>
      <c r="Q2643" s="7" cm="1">
        <f t="array" ref="Q2643:S2643">VLOOKUP(P2643,Hoja1!C:F,{2,3,4},FALSE)</f>
        <v>46326</v>
      </c>
      <c r="R2643" t="str">
        <v>C21</v>
      </c>
      <c r="S2643" t="str">
        <v>1000000808 GLOBAL OIL S.R.L.</v>
      </c>
    </row>
    <row r="2644" spans="1:19" x14ac:dyDescent="0.3">
      <c r="A2644" s="2" t="s">
        <v>14</v>
      </c>
      <c r="B2644" s="3" t="s">
        <v>14</v>
      </c>
      <c r="C2644" s="3" t="s">
        <v>2395</v>
      </c>
      <c r="D2644" s="3" t="s">
        <v>14</v>
      </c>
      <c r="E2644" s="3" t="s">
        <v>466</v>
      </c>
      <c r="F2644" s="4">
        <v>46296</v>
      </c>
      <c r="G2644" s="3" t="s">
        <v>17</v>
      </c>
      <c r="H2644" s="5">
        <v>-116462.39999999999</v>
      </c>
      <c r="I2644" s="3" t="s">
        <v>18</v>
      </c>
      <c r="J2644" s="3" t="s">
        <v>14</v>
      </c>
      <c r="K2644" s="3" t="s">
        <v>14</v>
      </c>
      <c r="L2644" s="3" t="s">
        <v>117</v>
      </c>
      <c r="M2644" s="4">
        <v>46297</v>
      </c>
      <c r="N2644" s="3" t="s">
        <v>2396</v>
      </c>
      <c r="O2644" s="3" t="s">
        <v>30</v>
      </c>
      <c r="P2644" t="str">
        <f t="shared" si="41"/>
        <v>450013992310</v>
      </c>
      <c r="Q2644" s="7" cm="1">
        <f t="array" ref="Q2644:S2644">VLOOKUP(P2644,Hoja1!C:F,{2,3,4},FALSE)</f>
        <v>46314</v>
      </c>
      <c r="R2644" t="str">
        <v>C29</v>
      </c>
      <c r="S2644" t="str">
        <v>1000001129 AGRONORTE S.R.L.</v>
      </c>
    </row>
    <row r="2645" spans="1:19" x14ac:dyDescent="0.3">
      <c r="A2645" s="2" t="s">
        <v>14</v>
      </c>
      <c r="B2645" s="3" t="s">
        <v>14</v>
      </c>
      <c r="C2645" s="3" t="s">
        <v>2397</v>
      </c>
      <c r="D2645" s="3" t="s">
        <v>14</v>
      </c>
      <c r="E2645" s="3" t="s">
        <v>466</v>
      </c>
      <c r="F2645" s="4">
        <v>46297</v>
      </c>
      <c r="G2645" s="3" t="s">
        <v>17</v>
      </c>
      <c r="H2645" s="5">
        <v>-10249.200000000001</v>
      </c>
      <c r="I2645" s="3" t="s">
        <v>18</v>
      </c>
      <c r="J2645" s="3" t="s">
        <v>14</v>
      </c>
      <c r="K2645" s="3" t="s">
        <v>14</v>
      </c>
      <c r="L2645" s="3" t="s">
        <v>2398</v>
      </c>
      <c r="M2645" s="4">
        <v>46297</v>
      </c>
      <c r="N2645" s="3" t="s">
        <v>2399</v>
      </c>
      <c r="O2645" s="3" t="s">
        <v>30</v>
      </c>
      <c r="P2645" t="str">
        <f t="shared" si="41"/>
        <v>450013975110</v>
      </c>
      <c r="Q2645" s="7" cm="1">
        <f t="array" ref="Q2645:S2645">VLOOKUP(P2645,Hoja1!C:F,{2,3,4},FALSE)</f>
        <v>46304</v>
      </c>
      <c r="R2645" t="str">
        <v>C28</v>
      </c>
      <c r="S2645" t="str">
        <v>1000008983 TKW S.A.</v>
      </c>
    </row>
    <row r="2646" spans="1:19" x14ac:dyDescent="0.3">
      <c r="A2646" s="2" t="s">
        <v>14</v>
      </c>
      <c r="B2646" s="3" t="s">
        <v>14</v>
      </c>
      <c r="C2646" s="3" t="s">
        <v>2400</v>
      </c>
      <c r="D2646" s="3" t="s">
        <v>192</v>
      </c>
      <c r="E2646" s="3" t="s">
        <v>466</v>
      </c>
      <c r="F2646" s="4">
        <v>46297</v>
      </c>
      <c r="G2646" s="3" t="s">
        <v>17</v>
      </c>
      <c r="H2646" s="5">
        <v>-129873.72</v>
      </c>
      <c r="I2646" s="3" t="s">
        <v>18</v>
      </c>
      <c r="J2646" s="3" t="s">
        <v>14</v>
      </c>
      <c r="K2646" s="3" t="s">
        <v>14</v>
      </c>
      <c r="L2646" s="3" t="s">
        <v>2398</v>
      </c>
      <c r="M2646" s="4">
        <v>46297</v>
      </c>
      <c r="N2646" s="3" t="s">
        <v>2401</v>
      </c>
      <c r="O2646" s="3" t="s">
        <v>30</v>
      </c>
      <c r="P2646" t="str">
        <f t="shared" si="41"/>
        <v>450013974910</v>
      </c>
      <c r="Q2646" s="7" cm="1">
        <f t="array" ref="Q2646:S2646">VLOOKUP(P2646,Hoja1!C:F,{2,3,4},FALSE)</f>
        <v>46304</v>
      </c>
      <c r="R2646" t="str">
        <v>C28</v>
      </c>
      <c r="S2646" t="str">
        <v>1000008983 TKW S.A.</v>
      </c>
    </row>
    <row r="2647" spans="1:19" x14ac:dyDescent="0.3">
      <c r="A2647" s="2" t="s">
        <v>14</v>
      </c>
      <c r="B2647" s="3" t="s">
        <v>14</v>
      </c>
      <c r="C2647" s="3" t="s">
        <v>2400</v>
      </c>
      <c r="D2647" s="3" t="s">
        <v>192</v>
      </c>
      <c r="E2647" s="3" t="s">
        <v>466</v>
      </c>
      <c r="F2647" s="4">
        <v>46297</v>
      </c>
      <c r="G2647" s="3" t="s">
        <v>17</v>
      </c>
      <c r="H2647" s="5">
        <v>-194810.58</v>
      </c>
      <c r="I2647" s="3" t="s">
        <v>18</v>
      </c>
      <c r="J2647" s="3" t="s">
        <v>14</v>
      </c>
      <c r="K2647" s="3" t="s">
        <v>14</v>
      </c>
      <c r="L2647" s="3" t="s">
        <v>2398</v>
      </c>
      <c r="M2647" s="4">
        <v>46297</v>
      </c>
      <c r="N2647" s="3" t="s">
        <v>2401</v>
      </c>
      <c r="O2647" s="3" t="s">
        <v>22</v>
      </c>
      <c r="P2647" t="str">
        <f t="shared" si="41"/>
        <v>450013974920</v>
      </c>
      <c r="Q2647" s="7" cm="1">
        <f t="array" ref="Q2647:S2647">VLOOKUP(P2647,Hoja1!C:F,{2,3,4},FALSE)</f>
        <v>46304</v>
      </c>
      <c r="R2647" t="str">
        <v>C28</v>
      </c>
      <c r="S2647" t="str">
        <v>1000008983 TKW S.A.</v>
      </c>
    </row>
    <row r="2648" spans="1:19" x14ac:dyDescent="0.3">
      <c r="A2648" s="2" t="s">
        <v>14</v>
      </c>
      <c r="B2648" s="3" t="s">
        <v>14</v>
      </c>
      <c r="C2648" s="3" t="s">
        <v>2400</v>
      </c>
      <c r="D2648" s="3" t="s">
        <v>192</v>
      </c>
      <c r="E2648" s="3" t="s">
        <v>466</v>
      </c>
      <c r="F2648" s="4">
        <v>46297</v>
      </c>
      <c r="G2648" s="3" t="s">
        <v>17</v>
      </c>
      <c r="H2648" s="5">
        <v>-194810.58</v>
      </c>
      <c r="I2648" s="3" t="s">
        <v>18</v>
      </c>
      <c r="J2648" s="3" t="s">
        <v>14</v>
      </c>
      <c r="K2648" s="3" t="s">
        <v>14</v>
      </c>
      <c r="L2648" s="3" t="s">
        <v>2398</v>
      </c>
      <c r="M2648" s="4">
        <v>46297</v>
      </c>
      <c r="N2648" s="3" t="s">
        <v>2401</v>
      </c>
      <c r="O2648" s="3" t="s">
        <v>35</v>
      </c>
      <c r="P2648" t="str">
        <f t="shared" si="41"/>
        <v>450013974930</v>
      </c>
      <c r="Q2648" s="7" cm="1">
        <f t="array" ref="Q2648:S2648">VLOOKUP(P2648,Hoja1!C:F,{2,3,4},FALSE)</f>
        <v>46304</v>
      </c>
      <c r="R2648" t="str">
        <v>C28</v>
      </c>
      <c r="S2648" t="str">
        <v>1000008983 TKW S.A.</v>
      </c>
    </row>
    <row r="2649" spans="1:19" x14ac:dyDescent="0.3">
      <c r="A2649" s="2" t="s">
        <v>14</v>
      </c>
      <c r="B2649" s="3" t="s">
        <v>14</v>
      </c>
      <c r="C2649" s="3" t="s">
        <v>2400</v>
      </c>
      <c r="D2649" s="3" t="s">
        <v>192</v>
      </c>
      <c r="E2649" s="3" t="s">
        <v>466</v>
      </c>
      <c r="F2649" s="4">
        <v>46297</v>
      </c>
      <c r="G2649" s="3" t="s">
        <v>17</v>
      </c>
      <c r="H2649" s="5">
        <v>-324684.3</v>
      </c>
      <c r="I2649" s="3" t="s">
        <v>18</v>
      </c>
      <c r="J2649" s="3" t="s">
        <v>14</v>
      </c>
      <c r="K2649" s="3" t="s">
        <v>14</v>
      </c>
      <c r="L2649" s="3" t="s">
        <v>2398</v>
      </c>
      <c r="M2649" s="4">
        <v>46297</v>
      </c>
      <c r="N2649" s="3" t="s">
        <v>2401</v>
      </c>
      <c r="O2649" s="3" t="s">
        <v>23</v>
      </c>
      <c r="P2649" t="str">
        <f t="shared" si="41"/>
        <v>450013974940</v>
      </c>
      <c r="Q2649" s="7" cm="1">
        <f t="array" ref="Q2649:S2649">VLOOKUP(P2649,Hoja1!C:F,{2,3,4},FALSE)</f>
        <v>46304</v>
      </c>
      <c r="R2649" t="str">
        <v>C28</v>
      </c>
      <c r="S2649" t="str">
        <v>1000008983 TKW S.A.</v>
      </c>
    </row>
    <row r="2650" spans="1:19" x14ac:dyDescent="0.3">
      <c r="A2650" s="2" t="s">
        <v>14</v>
      </c>
      <c r="B2650" s="3" t="s">
        <v>14</v>
      </c>
      <c r="C2650" s="3" t="s">
        <v>2400</v>
      </c>
      <c r="D2650" s="3" t="s">
        <v>192</v>
      </c>
      <c r="E2650" s="3" t="s">
        <v>466</v>
      </c>
      <c r="F2650" s="4">
        <v>46297</v>
      </c>
      <c r="G2650" s="3" t="s">
        <v>17</v>
      </c>
      <c r="H2650" s="5">
        <v>-129873.72</v>
      </c>
      <c r="I2650" s="3" t="s">
        <v>18</v>
      </c>
      <c r="J2650" s="3" t="s">
        <v>14</v>
      </c>
      <c r="K2650" s="3" t="s">
        <v>14</v>
      </c>
      <c r="L2650" s="3" t="s">
        <v>2398</v>
      </c>
      <c r="M2650" s="4">
        <v>46297</v>
      </c>
      <c r="N2650" s="3" t="s">
        <v>2401</v>
      </c>
      <c r="O2650" s="3" t="s">
        <v>144</v>
      </c>
      <c r="P2650" t="str">
        <f t="shared" si="41"/>
        <v>450013974950</v>
      </c>
      <c r="Q2650" s="7" cm="1">
        <f t="array" ref="Q2650:S2650">VLOOKUP(P2650,Hoja1!C:F,{2,3,4},FALSE)</f>
        <v>46304</v>
      </c>
      <c r="R2650" t="str">
        <v>C28</v>
      </c>
      <c r="S2650" t="str">
        <v>1000008983 TKW S.A.</v>
      </c>
    </row>
    <row r="2651" spans="1:19" x14ac:dyDescent="0.3">
      <c r="A2651" s="2" t="s">
        <v>14</v>
      </c>
      <c r="B2651" s="3" t="s">
        <v>14</v>
      </c>
      <c r="C2651" s="3" t="s">
        <v>2400</v>
      </c>
      <c r="D2651" s="3" t="s">
        <v>192</v>
      </c>
      <c r="E2651" s="3" t="s">
        <v>466</v>
      </c>
      <c r="F2651" s="4">
        <v>46297</v>
      </c>
      <c r="G2651" s="3" t="s">
        <v>17</v>
      </c>
      <c r="H2651" s="5">
        <v>-129873.72</v>
      </c>
      <c r="I2651" s="3" t="s">
        <v>18</v>
      </c>
      <c r="J2651" s="3" t="s">
        <v>14</v>
      </c>
      <c r="K2651" s="3" t="s">
        <v>14</v>
      </c>
      <c r="L2651" s="3" t="s">
        <v>2398</v>
      </c>
      <c r="M2651" s="4">
        <v>46297</v>
      </c>
      <c r="N2651" s="3" t="s">
        <v>2401</v>
      </c>
      <c r="O2651" s="3" t="s">
        <v>141</v>
      </c>
      <c r="P2651" t="str">
        <f t="shared" si="41"/>
        <v>450013974960</v>
      </c>
      <c r="Q2651" s="7" cm="1">
        <f t="array" ref="Q2651:S2651">VLOOKUP(P2651,Hoja1!C:F,{2,3,4},FALSE)</f>
        <v>46304</v>
      </c>
      <c r="R2651" t="str">
        <v>C28</v>
      </c>
      <c r="S2651" t="str">
        <v>1000008983 TKW S.A.</v>
      </c>
    </row>
    <row r="2652" spans="1:19" x14ac:dyDescent="0.3">
      <c r="A2652" s="2" t="s">
        <v>14</v>
      </c>
      <c r="B2652" s="3" t="s">
        <v>14</v>
      </c>
      <c r="C2652" s="3" t="s">
        <v>2400</v>
      </c>
      <c r="D2652" s="3" t="s">
        <v>192</v>
      </c>
      <c r="E2652" s="3" t="s">
        <v>466</v>
      </c>
      <c r="F2652" s="4">
        <v>46297</v>
      </c>
      <c r="G2652" s="3" t="s">
        <v>17</v>
      </c>
      <c r="H2652" s="5">
        <v>-71428.66</v>
      </c>
      <c r="I2652" s="3" t="s">
        <v>18</v>
      </c>
      <c r="J2652" s="3" t="s">
        <v>14</v>
      </c>
      <c r="K2652" s="3" t="s">
        <v>14</v>
      </c>
      <c r="L2652" s="3" t="s">
        <v>2398</v>
      </c>
      <c r="M2652" s="4">
        <v>46297</v>
      </c>
      <c r="N2652" s="3" t="s">
        <v>2401</v>
      </c>
      <c r="O2652" s="3" t="s">
        <v>134</v>
      </c>
      <c r="P2652" t="str">
        <f t="shared" si="41"/>
        <v>450013974970</v>
      </c>
      <c r="Q2652" s="7" cm="1">
        <f t="array" ref="Q2652:S2652">VLOOKUP(P2652,Hoja1!C:F,{2,3,4},FALSE)</f>
        <v>46304</v>
      </c>
      <c r="R2652" t="str">
        <v>C28</v>
      </c>
      <c r="S2652" t="str">
        <v>1000008983 TKW S.A.</v>
      </c>
    </row>
    <row r="2653" spans="1:19" x14ac:dyDescent="0.3">
      <c r="A2653" s="2" t="s">
        <v>14</v>
      </c>
      <c r="B2653" s="3" t="s">
        <v>14</v>
      </c>
      <c r="C2653" s="3" t="s">
        <v>2402</v>
      </c>
      <c r="D2653" s="3" t="s">
        <v>14</v>
      </c>
      <c r="E2653" s="3" t="s">
        <v>466</v>
      </c>
      <c r="F2653" s="4">
        <v>46297</v>
      </c>
      <c r="G2653" s="3" t="s">
        <v>17</v>
      </c>
      <c r="H2653" s="5">
        <v>-52388289.600000001</v>
      </c>
      <c r="I2653" s="3" t="s">
        <v>18</v>
      </c>
      <c r="J2653" s="3" t="s">
        <v>14</v>
      </c>
      <c r="K2653" s="3" t="s">
        <v>14</v>
      </c>
      <c r="L2653" s="3" t="s">
        <v>614</v>
      </c>
      <c r="M2653" s="4">
        <v>46297</v>
      </c>
      <c r="N2653" s="3" t="s">
        <v>1061</v>
      </c>
      <c r="O2653" s="3" t="s">
        <v>133</v>
      </c>
      <c r="P2653" t="str">
        <f t="shared" si="41"/>
        <v>4500121621280</v>
      </c>
      <c r="Q2653" s="7" cm="1">
        <f t="array" ref="Q2653:S2653">VLOOKUP(P2653,Hoja1!C:F,{2,3,4},FALSE)</f>
        <v>46293</v>
      </c>
      <c r="R2653" t="str">
        <v>C03</v>
      </c>
      <c r="S2653" t="str">
        <v>2000000164 SANY INTERNACIONAL</v>
      </c>
    </row>
    <row r="2654" spans="1:19" x14ac:dyDescent="0.3">
      <c r="A2654" s="2" t="s">
        <v>14</v>
      </c>
      <c r="B2654" s="3" t="s">
        <v>14</v>
      </c>
      <c r="C2654" s="3" t="s">
        <v>2734</v>
      </c>
      <c r="D2654" s="3" t="s">
        <v>32</v>
      </c>
      <c r="E2654" s="3" t="s">
        <v>466</v>
      </c>
      <c r="F2654" s="4">
        <v>46297</v>
      </c>
      <c r="G2654" s="3" t="s">
        <v>17</v>
      </c>
      <c r="H2654" s="5">
        <v>-56437.42</v>
      </c>
      <c r="I2654" s="3" t="s">
        <v>18</v>
      </c>
      <c r="J2654" s="3" t="s">
        <v>14</v>
      </c>
      <c r="K2654" s="3" t="s">
        <v>14</v>
      </c>
      <c r="L2654" s="3" t="s">
        <v>2735</v>
      </c>
      <c r="M2654" s="4">
        <v>46297</v>
      </c>
      <c r="N2654" s="3" t="s">
        <v>2736</v>
      </c>
      <c r="O2654" s="3" t="s">
        <v>30</v>
      </c>
      <c r="P2654" t="str">
        <f t="shared" si="41"/>
        <v>450013742410</v>
      </c>
      <c r="Q2654" s="7" cm="1">
        <f t="array" ref="Q2654:S2654">VLOOKUP(P2654,Hoja1!C:F,{2,3,4},FALSE)</f>
        <v>46298</v>
      </c>
      <c r="R2654" t="str">
        <v>374</v>
      </c>
      <c r="S2654" t="str">
        <v>1000011214 MACER S.A.</v>
      </c>
    </row>
    <row r="2655" spans="1:19" x14ac:dyDescent="0.3">
      <c r="A2655" s="2" t="s">
        <v>14</v>
      </c>
      <c r="B2655" s="3" t="s">
        <v>14</v>
      </c>
      <c r="C2655" s="3" t="s">
        <v>2737</v>
      </c>
      <c r="D2655" s="3" t="s">
        <v>14</v>
      </c>
      <c r="E2655" s="3" t="s">
        <v>466</v>
      </c>
      <c r="F2655" s="4">
        <v>46297</v>
      </c>
      <c r="G2655" s="3" t="s">
        <v>17</v>
      </c>
      <c r="H2655" s="5">
        <v>-735537.19</v>
      </c>
      <c r="I2655" s="3" t="s">
        <v>18</v>
      </c>
      <c r="J2655" s="3" t="s">
        <v>14</v>
      </c>
      <c r="K2655" s="3" t="s">
        <v>14</v>
      </c>
      <c r="L2655" s="3" t="s">
        <v>994</v>
      </c>
      <c r="M2655" s="4">
        <v>46297</v>
      </c>
      <c r="N2655" s="3" t="s">
        <v>2738</v>
      </c>
      <c r="O2655" s="3" t="s">
        <v>30</v>
      </c>
      <c r="P2655" t="str">
        <f t="shared" si="41"/>
        <v>450013947810</v>
      </c>
      <c r="Q2655" s="7" cm="1">
        <f t="array" ref="Q2655:S2655">VLOOKUP(P2655,Hoja1!C:F,{2,3,4},FALSE)</f>
        <v>46295</v>
      </c>
      <c r="R2655" t="str">
        <v>C38</v>
      </c>
      <c r="S2655" t="str">
        <v>1000012776 TURBOLAR S.A.</v>
      </c>
    </row>
    <row r="2656" spans="1:19" x14ac:dyDescent="0.3">
      <c r="A2656" s="2" t="s">
        <v>14</v>
      </c>
      <c r="B2656" s="3" t="s">
        <v>14</v>
      </c>
      <c r="C2656" s="3" t="s">
        <v>2739</v>
      </c>
      <c r="D2656" s="3" t="s">
        <v>32</v>
      </c>
      <c r="E2656" s="3" t="s">
        <v>466</v>
      </c>
      <c r="F2656" s="4">
        <v>46297</v>
      </c>
      <c r="G2656" s="3" t="s">
        <v>17</v>
      </c>
      <c r="H2656" s="5">
        <v>-3084019.2</v>
      </c>
      <c r="I2656" s="3" t="s">
        <v>18</v>
      </c>
      <c r="J2656" s="3" t="s">
        <v>14</v>
      </c>
      <c r="K2656" s="3" t="s">
        <v>14</v>
      </c>
      <c r="L2656" s="3" t="s">
        <v>2740</v>
      </c>
      <c r="M2656" s="4">
        <v>46297</v>
      </c>
      <c r="N2656" s="3" t="s">
        <v>2741</v>
      </c>
      <c r="O2656" s="3" t="s">
        <v>35</v>
      </c>
      <c r="P2656" t="str">
        <f t="shared" si="41"/>
        <v>450013960430</v>
      </c>
      <c r="Q2656" s="7" cm="1">
        <f t="array" ref="Q2656:S2656">VLOOKUP(P2656,Hoja1!C:F,{2,3,4},FALSE)</f>
        <v>46299</v>
      </c>
      <c r="R2656" t="str">
        <v>377</v>
      </c>
      <c r="S2656" t="str">
        <v>1000009946 CARDALDA S A</v>
      </c>
    </row>
    <row r="2657" spans="1:19" x14ac:dyDescent="0.3">
      <c r="A2657" s="2" t="s">
        <v>14</v>
      </c>
      <c r="B2657" s="3" t="s">
        <v>14</v>
      </c>
      <c r="C2657" s="3" t="s">
        <v>2739</v>
      </c>
      <c r="D2657" s="3" t="s">
        <v>32</v>
      </c>
      <c r="E2657" s="3" t="s">
        <v>466</v>
      </c>
      <c r="F2657" s="4">
        <v>46297</v>
      </c>
      <c r="G2657" s="3" t="s">
        <v>17</v>
      </c>
      <c r="H2657" s="5">
        <v>-1080948</v>
      </c>
      <c r="I2657" s="3" t="s">
        <v>18</v>
      </c>
      <c r="J2657" s="3" t="s">
        <v>14</v>
      </c>
      <c r="K2657" s="3" t="s">
        <v>14</v>
      </c>
      <c r="L2657" s="3" t="s">
        <v>2740</v>
      </c>
      <c r="M2657" s="4">
        <v>46297</v>
      </c>
      <c r="N2657" s="3" t="s">
        <v>2741</v>
      </c>
      <c r="O2657" s="3" t="s">
        <v>23</v>
      </c>
      <c r="P2657" t="str">
        <f t="shared" si="41"/>
        <v>450013960440</v>
      </c>
      <c r="Q2657" s="7" cm="1">
        <f t="array" ref="Q2657:S2657">VLOOKUP(P2657,Hoja1!C:F,{2,3,4},FALSE)</f>
        <v>46299</v>
      </c>
      <c r="R2657" t="str">
        <v>377</v>
      </c>
      <c r="S2657" t="str">
        <v>1000009946 CARDALDA S A</v>
      </c>
    </row>
    <row r="2658" spans="1:19" x14ac:dyDescent="0.3">
      <c r="A2658" s="2" t="s">
        <v>14</v>
      </c>
      <c r="B2658" s="3" t="s">
        <v>14</v>
      </c>
      <c r="C2658" s="3" t="s">
        <v>2739</v>
      </c>
      <c r="D2658" s="3" t="s">
        <v>32</v>
      </c>
      <c r="E2658" s="3" t="s">
        <v>466</v>
      </c>
      <c r="F2658" s="4">
        <v>46297</v>
      </c>
      <c r="G2658" s="3" t="s">
        <v>17</v>
      </c>
      <c r="H2658" s="5">
        <v>-12607488</v>
      </c>
      <c r="I2658" s="3" t="s">
        <v>18</v>
      </c>
      <c r="J2658" s="3" t="s">
        <v>14</v>
      </c>
      <c r="K2658" s="3" t="s">
        <v>14</v>
      </c>
      <c r="L2658" s="3" t="s">
        <v>2740</v>
      </c>
      <c r="M2658" s="4">
        <v>46297</v>
      </c>
      <c r="N2658" s="3" t="s">
        <v>2741</v>
      </c>
      <c r="O2658" s="3" t="s">
        <v>134</v>
      </c>
      <c r="P2658" t="str">
        <f t="shared" si="41"/>
        <v>450013960470</v>
      </c>
      <c r="Q2658" s="7" cm="1">
        <f t="array" ref="Q2658:S2658">VLOOKUP(P2658,Hoja1!C:F,{2,3,4},FALSE)</f>
        <v>46299</v>
      </c>
      <c r="R2658" t="str">
        <v>377</v>
      </c>
      <c r="S2658" t="str">
        <v>1000009946 CARDALDA S A</v>
      </c>
    </row>
    <row r="2659" spans="1:19" x14ac:dyDescent="0.3">
      <c r="A2659" s="2" t="s">
        <v>14</v>
      </c>
      <c r="B2659" s="3" t="s">
        <v>14</v>
      </c>
      <c r="C2659" s="3" t="s">
        <v>2739</v>
      </c>
      <c r="D2659" s="3" t="s">
        <v>32</v>
      </c>
      <c r="E2659" s="3" t="s">
        <v>466</v>
      </c>
      <c r="F2659" s="4">
        <v>46297</v>
      </c>
      <c r="G2659" s="3" t="s">
        <v>17</v>
      </c>
      <c r="H2659" s="5">
        <v>-1839656</v>
      </c>
      <c r="I2659" s="3" t="s">
        <v>18</v>
      </c>
      <c r="J2659" s="3" t="s">
        <v>14</v>
      </c>
      <c r="K2659" s="3" t="s">
        <v>14</v>
      </c>
      <c r="L2659" s="3" t="s">
        <v>2740</v>
      </c>
      <c r="M2659" s="4">
        <v>46297</v>
      </c>
      <c r="N2659" s="3" t="s">
        <v>2741</v>
      </c>
      <c r="O2659" s="3" t="s">
        <v>52</v>
      </c>
      <c r="P2659" t="str">
        <f t="shared" si="41"/>
        <v>450013960480</v>
      </c>
      <c r="Q2659" s="7" cm="1">
        <f t="array" ref="Q2659:S2659">VLOOKUP(P2659,Hoja1!C:F,{2,3,4},FALSE)</f>
        <v>46299</v>
      </c>
      <c r="R2659" t="str">
        <v>377</v>
      </c>
      <c r="S2659" t="str">
        <v>1000009946 CARDALDA S A</v>
      </c>
    </row>
    <row r="2660" spans="1:19" x14ac:dyDescent="0.3">
      <c r="A2660" s="2" t="s">
        <v>14</v>
      </c>
      <c r="B2660" s="3" t="s">
        <v>14</v>
      </c>
      <c r="C2660" s="3" t="s">
        <v>2742</v>
      </c>
      <c r="D2660" s="3" t="s">
        <v>32</v>
      </c>
      <c r="E2660" s="3" t="s">
        <v>466</v>
      </c>
      <c r="F2660" s="4">
        <v>46297</v>
      </c>
      <c r="G2660" s="3" t="s">
        <v>17</v>
      </c>
      <c r="H2660" s="5">
        <v>-385502.4</v>
      </c>
      <c r="I2660" s="3" t="s">
        <v>18</v>
      </c>
      <c r="J2660" s="3" t="s">
        <v>14</v>
      </c>
      <c r="K2660" s="3" t="s">
        <v>14</v>
      </c>
      <c r="L2660" s="3" t="s">
        <v>2740</v>
      </c>
      <c r="M2660" s="4">
        <v>46297</v>
      </c>
      <c r="N2660" s="3" t="s">
        <v>2743</v>
      </c>
      <c r="O2660" s="3" t="s">
        <v>30</v>
      </c>
      <c r="P2660" t="str">
        <f t="shared" si="41"/>
        <v>450013969110</v>
      </c>
      <c r="Q2660" s="7" cm="1">
        <f t="array" ref="Q2660:S2660">VLOOKUP(P2660,Hoja1!C:F,{2,3,4},FALSE)</f>
        <v>46296</v>
      </c>
      <c r="R2660" t="str">
        <v>377</v>
      </c>
      <c r="S2660" t="str">
        <v>1000009946 CARDALDA S A</v>
      </c>
    </row>
    <row r="2661" spans="1:19" x14ac:dyDescent="0.3">
      <c r="A2661" s="2" t="s">
        <v>14</v>
      </c>
      <c r="B2661" s="3" t="s">
        <v>14</v>
      </c>
      <c r="C2661" s="3" t="s">
        <v>2742</v>
      </c>
      <c r="D2661" s="3" t="s">
        <v>32</v>
      </c>
      <c r="E2661" s="3" t="s">
        <v>466</v>
      </c>
      <c r="F2661" s="4">
        <v>46297</v>
      </c>
      <c r="G2661" s="3" t="s">
        <v>17</v>
      </c>
      <c r="H2661" s="5">
        <v>-570547.19999999995</v>
      </c>
      <c r="I2661" s="3" t="s">
        <v>18</v>
      </c>
      <c r="J2661" s="3" t="s">
        <v>14</v>
      </c>
      <c r="K2661" s="3" t="s">
        <v>14</v>
      </c>
      <c r="L2661" s="3" t="s">
        <v>2740</v>
      </c>
      <c r="M2661" s="4">
        <v>46297</v>
      </c>
      <c r="N2661" s="3" t="s">
        <v>2743</v>
      </c>
      <c r="O2661" s="3" t="s">
        <v>22</v>
      </c>
      <c r="P2661" t="str">
        <f t="shared" si="41"/>
        <v>450013969120</v>
      </c>
      <c r="Q2661" s="7" cm="1">
        <f t="array" ref="Q2661:S2661">VLOOKUP(P2661,Hoja1!C:F,{2,3,4},FALSE)</f>
        <v>46296</v>
      </c>
      <c r="R2661" t="str">
        <v>377</v>
      </c>
      <c r="S2661" t="str">
        <v>1000009946 CARDALDA S A</v>
      </c>
    </row>
    <row r="2662" spans="1:19" x14ac:dyDescent="0.3">
      <c r="A2662" s="2" t="s">
        <v>14</v>
      </c>
      <c r="B2662" s="3" t="s">
        <v>14</v>
      </c>
      <c r="C2662" s="3" t="s">
        <v>2744</v>
      </c>
      <c r="D2662" s="3" t="s">
        <v>32</v>
      </c>
      <c r="E2662" s="3" t="s">
        <v>466</v>
      </c>
      <c r="F2662" s="4">
        <v>46297</v>
      </c>
      <c r="G2662" s="3" t="s">
        <v>17</v>
      </c>
      <c r="H2662" s="5">
        <v>-2084800</v>
      </c>
      <c r="I2662" s="3" t="s">
        <v>18</v>
      </c>
      <c r="J2662" s="3" t="s">
        <v>14</v>
      </c>
      <c r="K2662" s="3" t="s">
        <v>14</v>
      </c>
      <c r="L2662" s="3" t="s">
        <v>1258</v>
      </c>
      <c r="M2662" s="4">
        <v>46297</v>
      </c>
      <c r="N2662" s="3" t="s">
        <v>2745</v>
      </c>
      <c r="O2662" s="3" t="s">
        <v>30</v>
      </c>
      <c r="P2662" t="str">
        <f t="shared" si="41"/>
        <v>450011587110</v>
      </c>
      <c r="Q2662" s="7" cm="1">
        <f t="array" ref="Q2662:S2662">VLOOKUP(P2662,Hoja1!C:F,{2,3,4},FALSE)</f>
        <v>46387</v>
      </c>
      <c r="R2662" t="str">
        <v>C25</v>
      </c>
      <c r="S2662" t="str">
        <v>1000011987 MOLINA SOTO MATIAS FABIAN</v>
      </c>
    </row>
    <row r="2663" spans="1:19" x14ac:dyDescent="0.3">
      <c r="A2663" s="2" t="s">
        <v>14</v>
      </c>
      <c r="B2663" s="3" t="s">
        <v>14</v>
      </c>
      <c r="C2663" s="3" t="s">
        <v>2746</v>
      </c>
      <c r="D2663" s="3" t="s">
        <v>32</v>
      </c>
      <c r="E2663" s="3" t="s">
        <v>466</v>
      </c>
      <c r="F2663" s="4">
        <v>46297</v>
      </c>
      <c r="G2663" s="3" t="s">
        <v>17</v>
      </c>
      <c r="H2663" s="5">
        <v>-25900</v>
      </c>
      <c r="I2663" s="3" t="s">
        <v>18</v>
      </c>
      <c r="J2663" s="3" t="s">
        <v>14</v>
      </c>
      <c r="K2663" s="3" t="s">
        <v>14</v>
      </c>
      <c r="L2663" s="3" t="s">
        <v>2747</v>
      </c>
      <c r="M2663" s="4">
        <v>46297</v>
      </c>
      <c r="N2663" s="3" t="s">
        <v>2748</v>
      </c>
      <c r="O2663" s="3" t="s">
        <v>22</v>
      </c>
      <c r="P2663" t="str">
        <f t="shared" si="41"/>
        <v>450012856020</v>
      </c>
      <c r="Q2663" s="7" cm="1">
        <f t="array" ref="Q2663:S2663">VLOOKUP(P2663,Hoja1!C:F,{2,3,4},FALSE)</f>
        <v>46418</v>
      </c>
      <c r="R2663" t="str">
        <v>C24</v>
      </c>
      <c r="S2663" t="str">
        <v>1000004488 ASOC.CIVIL PROF TECRADIOL ROSA</v>
      </c>
    </row>
    <row r="2664" spans="1:19" x14ac:dyDescent="0.3">
      <c r="A2664" s="2" t="s">
        <v>14</v>
      </c>
      <c r="B2664" s="3" t="s">
        <v>14</v>
      </c>
      <c r="C2664" s="3" t="s">
        <v>2746</v>
      </c>
      <c r="D2664" s="3" t="s">
        <v>32</v>
      </c>
      <c r="E2664" s="3" t="s">
        <v>466</v>
      </c>
      <c r="F2664" s="4">
        <v>46297</v>
      </c>
      <c r="G2664" s="3" t="s">
        <v>17</v>
      </c>
      <c r="H2664" s="5">
        <v>-25900</v>
      </c>
      <c r="I2664" s="3" t="s">
        <v>18</v>
      </c>
      <c r="J2664" s="3" t="s">
        <v>14</v>
      </c>
      <c r="K2664" s="3" t="s">
        <v>14</v>
      </c>
      <c r="L2664" s="3" t="s">
        <v>2747</v>
      </c>
      <c r="M2664" s="4">
        <v>46297</v>
      </c>
      <c r="N2664" s="3" t="s">
        <v>2748</v>
      </c>
      <c r="O2664" s="3" t="s">
        <v>35</v>
      </c>
      <c r="P2664" t="str">
        <f t="shared" si="41"/>
        <v>450012856030</v>
      </c>
      <c r="Q2664" s="7" cm="1">
        <f t="array" ref="Q2664:S2664">VLOOKUP(P2664,Hoja1!C:F,{2,3,4},FALSE)</f>
        <v>46418</v>
      </c>
      <c r="R2664" t="str">
        <v>C24</v>
      </c>
      <c r="S2664" t="str">
        <v>1000004488 ASOC.CIVIL PROF TECRADIOL ROSA</v>
      </c>
    </row>
    <row r="2665" spans="1:19" x14ac:dyDescent="0.3">
      <c r="A2665" s="2" t="s">
        <v>14</v>
      </c>
      <c r="B2665" s="3" t="s">
        <v>14</v>
      </c>
      <c r="C2665" s="3" t="s">
        <v>2746</v>
      </c>
      <c r="D2665" s="3" t="s">
        <v>32</v>
      </c>
      <c r="E2665" s="3" t="s">
        <v>466</v>
      </c>
      <c r="F2665" s="4">
        <v>46297</v>
      </c>
      <c r="G2665" s="3" t="s">
        <v>17</v>
      </c>
      <c r="H2665" s="5">
        <v>-25900</v>
      </c>
      <c r="I2665" s="3" t="s">
        <v>18</v>
      </c>
      <c r="J2665" s="3" t="s">
        <v>14</v>
      </c>
      <c r="K2665" s="3" t="s">
        <v>14</v>
      </c>
      <c r="L2665" s="3" t="s">
        <v>2747</v>
      </c>
      <c r="M2665" s="4">
        <v>46297</v>
      </c>
      <c r="N2665" s="3" t="s">
        <v>2748</v>
      </c>
      <c r="O2665" s="3" t="s">
        <v>23</v>
      </c>
      <c r="P2665" t="str">
        <f t="shared" si="41"/>
        <v>450012856040</v>
      </c>
      <c r="Q2665" s="7" cm="1">
        <f t="array" ref="Q2665:S2665">VLOOKUP(P2665,Hoja1!C:F,{2,3,4},FALSE)</f>
        <v>46418</v>
      </c>
      <c r="R2665" t="str">
        <v>C24</v>
      </c>
      <c r="S2665" t="str">
        <v>1000004488 ASOC.CIVIL PROF TECRADIOL ROSA</v>
      </c>
    </row>
    <row r="2666" spans="1:19" x14ac:dyDescent="0.3">
      <c r="A2666" s="2" t="s">
        <v>14</v>
      </c>
      <c r="B2666" s="3" t="s">
        <v>14</v>
      </c>
      <c r="C2666" s="3" t="s">
        <v>2746</v>
      </c>
      <c r="D2666" s="3" t="s">
        <v>32</v>
      </c>
      <c r="E2666" s="3" t="s">
        <v>466</v>
      </c>
      <c r="F2666" s="4">
        <v>46297</v>
      </c>
      <c r="G2666" s="3" t="s">
        <v>17</v>
      </c>
      <c r="H2666" s="5">
        <v>-25900</v>
      </c>
      <c r="I2666" s="3" t="s">
        <v>18</v>
      </c>
      <c r="J2666" s="3" t="s">
        <v>14</v>
      </c>
      <c r="K2666" s="3" t="s">
        <v>14</v>
      </c>
      <c r="L2666" s="3" t="s">
        <v>2747</v>
      </c>
      <c r="M2666" s="4">
        <v>46297</v>
      </c>
      <c r="N2666" s="3" t="s">
        <v>2748</v>
      </c>
      <c r="O2666" s="3" t="s">
        <v>144</v>
      </c>
      <c r="P2666" t="str">
        <f t="shared" si="41"/>
        <v>450012856050</v>
      </c>
      <c r="Q2666" s="7" cm="1">
        <f t="array" ref="Q2666:S2666">VLOOKUP(P2666,Hoja1!C:F,{2,3,4},FALSE)</f>
        <v>46418</v>
      </c>
      <c r="R2666" t="str">
        <v>C24</v>
      </c>
      <c r="S2666" t="str">
        <v>1000004488 ASOC.CIVIL PROF TECRADIOL ROSA</v>
      </c>
    </row>
    <row r="2667" spans="1:19" x14ac:dyDescent="0.3">
      <c r="A2667" s="2" t="s">
        <v>14</v>
      </c>
      <c r="B2667" s="3" t="s">
        <v>14</v>
      </c>
      <c r="C2667" s="3" t="s">
        <v>2746</v>
      </c>
      <c r="D2667" s="3" t="s">
        <v>32</v>
      </c>
      <c r="E2667" s="3" t="s">
        <v>466</v>
      </c>
      <c r="F2667" s="4">
        <v>46297</v>
      </c>
      <c r="G2667" s="3" t="s">
        <v>17</v>
      </c>
      <c r="H2667" s="5">
        <v>-23100</v>
      </c>
      <c r="I2667" s="3" t="s">
        <v>18</v>
      </c>
      <c r="J2667" s="3" t="s">
        <v>14</v>
      </c>
      <c r="K2667" s="3" t="s">
        <v>14</v>
      </c>
      <c r="L2667" s="3" t="s">
        <v>2747</v>
      </c>
      <c r="M2667" s="4">
        <v>46297</v>
      </c>
      <c r="N2667" s="3" t="s">
        <v>2749</v>
      </c>
      <c r="O2667" s="3" t="s">
        <v>30</v>
      </c>
      <c r="P2667" t="str">
        <f t="shared" si="41"/>
        <v>450011966610</v>
      </c>
      <c r="Q2667" s="7" cm="1">
        <f t="array" ref="Q2667:S2667">VLOOKUP(P2667,Hoja1!C:F,{2,3,4},FALSE)</f>
        <v>46380</v>
      </c>
      <c r="R2667" t="str">
        <v>C24</v>
      </c>
      <c r="S2667" t="str">
        <v>1000004488 ASOC.CIVIL PROF TECRADIOL ROSA</v>
      </c>
    </row>
    <row r="2668" spans="1:19" x14ac:dyDescent="0.3">
      <c r="A2668" s="2" t="s">
        <v>14</v>
      </c>
      <c r="B2668" s="3" t="s">
        <v>14</v>
      </c>
      <c r="C2668" s="3" t="s">
        <v>2746</v>
      </c>
      <c r="D2668" s="3" t="s">
        <v>32</v>
      </c>
      <c r="E2668" s="3" t="s">
        <v>466</v>
      </c>
      <c r="F2668" s="4">
        <v>46297</v>
      </c>
      <c r="G2668" s="3" t="s">
        <v>17</v>
      </c>
      <c r="H2668" s="5">
        <v>-23100</v>
      </c>
      <c r="I2668" s="3" t="s">
        <v>18</v>
      </c>
      <c r="J2668" s="3" t="s">
        <v>14</v>
      </c>
      <c r="K2668" s="3" t="s">
        <v>14</v>
      </c>
      <c r="L2668" s="3" t="s">
        <v>2747</v>
      </c>
      <c r="M2668" s="4">
        <v>46297</v>
      </c>
      <c r="N2668" s="3" t="s">
        <v>2749</v>
      </c>
      <c r="O2668" s="3" t="s">
        <v>22</v>
      </c>
      <c r="P2668" t="str">
        <f t="shared" si="41"/>
        <v>450011966620</v>
      </c>
      <c r="Q2668" s="7" cm="1">
        <f t="array" ref="Q2668:S2668">VLOOKUP(P2668,Hoja1!C:F,{2,3,4},FALSE)</f>
        <v>46380</v>
      </c>
      <c r="R2668" t="str">
        <v>C24</v>
      </c>
      <c r="S2668" t="str">
        <v>1000004488 ASOC.CIVIL PROF TECRADIOL ROSA</v>
      </c>
    </row>
    <row r="2669" spans="1:19" x14ac:dyDescent="0.3">
      <c r="A2669" s="2" t="s">
        <v>14</v>
      </c>
      <c r="B2669" s="3" t="s">
        <v>14</v>
      </c>
      <c r="C2669" s="3" t="s">
        <v>2746</v>
      </c>
      <c r="D2669" s="3" t="s">
        <v>32</v>
      </c>
      <c r="E2669" s="3" t="s">
        <v>466</v>
      </c>
      <c r="F2669" s="4">
        <v>46297</v>
      </c>
      <c r="G2669" s="3" t="s">
        <v>17</v>
      </c>
      <c r="H2669" s="5">
        <v>-23100</v>
      </c>
      <c r="I2669" s="3" t="s">
        <v>18</v>
      </c>
      <c r="J2669" s="3" t="s">
        <v>14</v>
      </c>
      <c r="K2669" s="3" t="s">
        <v>14</v>
      </c>
      <c r="L2669" s="3" t="s">
        <v>2747</v>
      </c>
      <c r="M2669" s="4">
        <v>46297</v>
      </c>
      <c r="N2669" s="3" t="s">
        <v>2749</v>
      </c>
      <c r="O2669" s="3" t="s">
        <v>35</v>
      </c>
      <c r="P2669" t="str">
        <f t="shared" si="41"/>
        <v>450011966630</v>
      </c>
      <c r="Q2669" s="7" cm="1">
        <f t="array" ref="Q2669:S2669">VLOOKUP(P2669,Hoja1!C:F,{2,3,4},FALSE)</f>
        <v>46380</v>
      </c>
      <c r="R2669" t="str">
        <v>C24</v>
      </c>
      <c r="S2669" t="str">
        <v>1000004488 ASOC.CIVIL PROF TECRADIOL ROSA</v>
      </c>
    </row>
    <row r="2670" spans="1:19" x14ac:dyDescent="0.3">
      <c r="A2670" s="2" t="s">
        <v>14</v>
      </c>
      <c r="B2670" s="3" t="s">
        <v>14</v>
      </c>
      <c r="C2670" s="3" t="s">
        <v>2746</v>
      </c>
      <c r="D2670" s="3" t="s">
        <v>32</v>
      </c>
      <c r="E2670" s="3" t="s">
        <v>466</v>
      </c>
      <c r="F2670" s="4">
        <v>46297</v>
      </c>
      <c r="G2670" s="3" t="s">
        <v>17</v>
      </c>
      <c r="H2670" s="5">
        <v>-23100</v>
      </c>
      <c r="I2670" s="3" t="s">
        <v>18</v>
      </c>
      <c r="J2670" s="3" t="s">
        <v>14</v>
      </c>
      <c r="K2670" s="3" t="s">
        <v>14</v>
      </c>
      <c r="L2670" s="3" t="s">
        <v>2747</v>
      </c>
      <c r="M2670" s="4">
        <v>46297</v>
      </c>
      <c r="N2670" s="3" t="s">
        <v>2749</v>
      </c>
      <c r="O2670" s="3" t="s">
        <v>23</v>
      </c>
      <c r="P2670" t="str">
        <f t="shared" si="41"/>
        <v>450011966640</v>
      </c>
      <c r="Q2670" s="7" cm="1">
        <f t="array" ref="Q2670:S2670">VLOOKUP(P2670,Hoja1!C:F,{2,3,4},FALSE)</f>
        <v>46380</v>
      </c>
      <c r="R2670" t="str">
        <v>C24</v>
      </c>
      <c r="S2670" t="str">
        <v>1000004488 ASOC.CIVIL PROF TECRADIOL ROSA</v>
      </c>
    </row>
    <row r="2671" spans="1:19" x14ac:dyDescent="0.3">
      <c r="A2671" s="2" t="s">
        <v>14</v>
      </c>
      <c r="B2671" s="3" t="s">
        <v>14</v>
      </c>
      <c r="C2671" s="3" t="s">
        <v>2750</v>
      </c>
      <c r="D2671" s="3" t="s">
        <v>32</v>
      </c>
      <c r="E2671" s="3" t="s">
        <v>466</v>
      </c>
      <c r="F2671" s="4">
        <v>46297</v>
      </c>
      <c r="G2671" s="3" t="s">
        <v>17</v>
      </c>
      <c r="H2671" s="5">
        <v>-7112400</v>
      </c>
      <c r="I2671" s="3" t="s">
        <v>18</v>
      </c>
      <c r="J2671" s="3" t="s">
        <v>14</v>
      </c>
      <c r="K2671" s="3" t="s">
        <v>14</v>
      </c>
      <c r="L2671" s="3" t="s">
        <v>2097</v>
      </c>
      <c r="M2671" s="4">
        <v>46297</v>
      </c>
      <c r="N2671" s="3" t="s">
        <v>2751</v>
      </c>
      <c r="O2671" s="3" t="s">
        <v>30</v>
      </c>
      <c r="P2671" t="str">
        <f t="shared" si="41"/>
        <v>450013990910</v>
      </c>
      <c r="Q2671" s="7" cm="1">
        <f t="array" ref="Q2671:S2671">VLOOKUP(P2671,Hoja1!C:F,{2,3,4},FALSE)</f>
        <v>46297</v>
      </c>
      <c r="R2671" t="str">
        <v>377</v>
      </c>
      <c r="S2671" t="str">
        <v>1000010685 TECNOSTORE S. A.</v>
      </c>
    </row>
    <row r="2672" spans="1:19" x14ac:dyDescent="0.3">
      <c r="A2672" s="2" t="s">
        <v>14</v>
      </c>
      <c r="B2672" s="3" t="s">
        <v>14</v>
      </c>
      <c r="C2672" s="3" t="s">
        <v>2750</v>
      </c>
      <c r="D2672" s="3" t="s">
        <v>32</v>
      </c>
      <c r="E2672" s="3" t="s">
        <v>466</v>
      </c>
      <c r="F2672" s="4">
        <v>46297</v>
      </c>
      <c r="G2672" s="3" t="s">
        <v>17</v>
      </c>
      <c r="H2672" s="5">
        <v>-191200</v>
      </c>
      <c r="I2672" s="3" t="s">
        <v>18</v>
      </c>
      <c r="J2672" s="3" t="s">
        <v>14</v>
      </c>
      <c r="K2672" s="3" t="s">
        <v>14</v>
      </c>
      <c r="L2672" s="3" t="s">
        <v>2097</v>
      </c>
      <c r="M2672" s="4">
        <v>46297</v>
      </c>
      <c r="N2672" s="3" t="s">
        <v>2751</v>
      </c>
      <c r="O2672" s="3" t="s">
        <v>22</v>
      </c>
      <c r="P2672" t="str">
        <f t="shared" si="41"/>
        <v>450013990920</v>
      </c>
      <c r="Q2672" s="7" cm="1">
        <f t="array" ref="Q2672:S2672">VLOOKUP(P2672,Hoja1!C:F,{2,3,4},FALSE)</f>
        <v>46297</v>
      </c>
      <c r="R2672" t="str">
        <v>377</v>
      </c>
      <c r="S2672" t="str">
        <v>1000010685 TECNOSTORE S. A.</v>
      </c>
    </row>
    <row r="2673" spans="1:19" x14ac:dyDescent="0.3">
      <c r="A2673" s="2" t="s">
        <v>14</v>
      </c>
      <c r="B2673" s="3" t="s">
        <v>14</v>
      </c>
      <c r="C2673" s="3" t="s">
        <v>2752</v>
      </c>
      <c r="D2673" s="3" t="s">
        <v>14</v>
      </c>
      <c r="E2673" s="3" t="s">
        <v>466</v>
      </c>
      <c r="F2673" s="4">
        <v>46297</v>
      </c>
      <c r="G2673" s="3" t="s">
        <v>17</v>
      </c>
      <c r="H2673" s="5">
        <v>-109911.2</v>
      </c>
      <c r="I2673" s="3" t="s">
        <v>18</v>
      </c>
      <c r="J2673" s="3" t="s">
        <v>14</v>
      </c>
      <c r="K2673" s="3" t="s">
        <v>14</v>
      </c>
      <c r="L2673" s="3" t="s">
        <v>1211</v>
      </c>
      <c r="M2673" s="4">
        <v>46297</v>
      </c>
      <c r="N2673" s="3" t="s">
        <v>2753</v>
      </c>
      <c r="O2673" s="3" t="s">
        <v>30</v>
      </c>
      <c r="P2673" t="str">
        <f t="shared" si="41"/>
        <v>450013753410</v>
      </c>
      <c r="Q2673" s="7" cm="1">
        <f t="array" ref="Q2673:S2673">VLOOKUP(P2673,Hoja1!C:F,{2,3,4},FALSE)</f>
        <v>46295</v>
      </c>
      <c r="R2673" t="str">
        <v>C03</v>
      </c>
      <c r="S2673" t="str">
        <v>1000000012 IGARRETA MAQUINAS S.A.</v>
      </c>
    </row>
    <row r="2674" spans="1:19" x14ac:dyDescent="0.3">
      <c r="A2674" s="2" t="s">
        <v>14</v>
      </c>
      <c r="B2674" s="3" t="s">
        <v>14</v>
      </c>
      <c r="C2674" s="3" t="s">
        <v>2754</v>
      </c>
      <c r="D2674" s="3" t="s">
        <v>14</v>
      </c>
      <c r="E2674" s="3" t="s">
        <v>466</v>
      </c>
      <c r="F2674" s="4">
        <v>46296</v>
      </c>
      <c r="G2674" s="3" t="s">
        <v>17</v>
      </c>
      <c r="H2674" s="5">
        <v>-115322.4</v>
      </c>
      <c r="I2674" s="3" t="s">
        <v>18</v>
      </c>
      <c r="J2674" s="3" t="s">
        <v>14</v>
      </c>
      <c r="K2674" s="3" t="s">
        <v>14</v>
      </c>
      <c r="L2674" s="3" t="s">
        <v>117</v>
      </c>
      <c r="M2674" s="4">
        <v>46297</v>
      </c>
      <c r="N2674" s="3" t="s">
        <v>2755</v>
      </c>
      <c r="O2674" s="3" t="s">
        <v>35</v>
      </c>
      <c r="P2674" t="str">
        <f t="shared" si="41"/>
        <v>450013949330</v>
      </c>
      <c r="Q2674" s="7" cm="1">
        <f t="array" ref="Q2674:S2674">VLOOKUP(P2674,Hoja1!C:F,{2,3,4},FALSE)</f>
        <v>46314</v>
      </c>
      <c r="R2674" t="str">
        <v>F04</v>
      </c>
      <c r="S2674" t="str">
        <v>1000001129 AGRONORTE S.R.L.</v>
      </c>
    </row>
    <row r="2675" spans="1:19" x14ac:dyDescent="0.3">
      <c r="A2675" s="2" t="s">
        <v>14</v>
      </c>
      <c r="B2675" s="3" t="s">
        <v>14</v>
      </c>
      <c r="C2675" s="3" t="s">
        <v>2754</v>
      </c>
      <c r="D2675" s="3" t="s">
        <v>14</v>
      </c>
      <c r="E2675" s="3" t="s">
        <v>466</v>
      </c>
      <c r="F2675" s="4">
        <v>46296</v>
      </c>
      <c r="G2675" s="3" t="s">
        <v>17</v>
      </c>
      <c r="H2675" s="5">
        <v>-296278.40000000002</v>
      </c>
      <c r="I2675" s="3" t="s">
        <v>18</v>
      </c>
      <c r="J2675" s="3" t="s">
        <v>14</v>
      </c>
      <c r="K2675" s="3" t="s">
        <v>14</v>
      </c>
      <c r="L2675" s="3" t="s">
        <v>117</v>
      </c>
      <c r="M2675" s="4">
        <v>46297</v>
      </c>
      <c r="N2675" s="3" t="s">
        <v>2755</v>
      </c>
      <c r="O2675" s="3" t="s">
        <v>23</v>
      </c>
      <c r="P2675" t="str">
        <f t="shared" si="41"/>
        <v>450013949340</v>
      </c>
      <c r="Q2675" s="7" cm="1">
        <f t="array" ref="Q2675:S2675">VLOOKUP(P2675,Hoja1!C:F,{2,3,4},FALSE)</f>
        <v>46314</v>
      </c>
      <c r="R2675" t="str">
        <v>F04</v>
      </c>
      <c r="S2675" t="str">
        <v>1000001129 AGRONORTE S.R.L.</v>
      </c>
    </row>
    <row r="2676" spans="1:19" x14ac:dyDescent="0.3">
      <c r="A2676" s="2" t="s">
        <v>14</v>
      </c>
      <c r="B2676" s="3" t="s">
        <v>14</v>
      </c>
      <c r="C2676" s="3" t="s">
        <v>2754</v>
      </c>
      <c r="D2676" s="3" t="s">
        <v>14</v>
      </c>
      <c r="E2676" s="3" t="s">
        <v>466</v>
      </c>
      <c r="F2676" s="4">
        <v>46296</v>
      </c>
      <c r="G2676" s="3" t="s">
        <v>17</v>
      </c>
      <c r="H2676" s="5">
        <v>-302601.59999999998</v>
      </c>
      <c r="I2676" s="3" t="s">
        <v>18</v>
      </c>
      <c r="J2676" s="3" t="s">
        <v>14</v>
      </c>
      <c r="K2676" s="3" t="s">
        <v>14</v>
      </c>
      <c r="L2676" s="3" t="s">
        <v>117</v>
      </c>
      <c r="M2676" s="4">
        <v>46297</v>
      </c>
      <c r="N2676" s="3" t="s">
        <v>2755</v>
      </c>
      <c r="O2676" s="3" t="s">
        <v>144</v>
      </c>
      <c r="P2676" t="str">
        <f t="shared" si="41"/>
        <v>450013949350</v>
      </c>
      <c r="Q2676" s="7" cm="1">
        <f t="array" ref="Q2676:S2676">VLOOKUP(P2676,Hoja1!C:F,{2,3,4},FALSE)</f>
        <v>46314</v>
      </c>
      <c r="R2676" t="str">
        <v>F04</v>
      </c>
      <c r="S2676" t="str">
        <v>1000001129 AGRONORTE S.R.L.</v>
      </c>
    </row>
    <row r="2677" spans="1:19" x14ac:dyDescent="0.3">
      <c r="A2677" s="2" t="s">
        <v>14</v>
      </c>
      <c r="B2677" s="3" t="s">
        <v>14</v>
      </c>
      <c r="C2677" s="3" t="s">
        <v>2754</v>
      </c>
      <c r="D2677" s="3" t="s">
        <v>14</v>
      </c>
      <c r="E2677" s="3" t="s">
        <v>466</v>
      </c>
      <c r="F2677" s="4">
        <v>46296</v>
      </c>
      <c r="G2677" s="3" t="s">
        <v>17</v>
      </c>
      <c r="H2677" s="5">
        <v>-1033964.8</v>
      </c>
      <c r="I2677" s="3" t="s">
        <v>18</v>
      </c>
      <c r="J2677" s="3" t="s">
        <v>14</v>
      </c>
      <c r="K2677" s="3" t="s">
        <v>14</v>
      </c>
      <c r="L2677" s="3" t="s">
        <v>117</v>
      </c>
      <c r="M2677" s="4">
        <v>46297</v>
      </c>
      <c r="N2677" s="3" t="s">
        <v>2755</v>
      </c>
      <c r="O2677" s="3" t="s">
        <v>141</v>
      </c>
      <c r="P2677" t="str">
        <f t="shared" si="41"/>
        <v>450013949360</v>
      </c>
      <c r="Q2677" s="7" cm="1">
        <f t="array" ref="Q2677:S2677">VLOOKUP(P2677,Hoja1!C:F,{2,3,4},FALSE)</f>
        <v>46314</v>
      </c>
      <c r="R2677" t="str">
        <v>F04</v>
      </c>
      <c r="S2677" t="str">
        <v>1000001129 AGRONORTE S.R.L.</v>
      </c>
    </row>
    <row r="2678" spans="1:19" x14ac:dyDescent="0.3">
      <c r="A2678" s="2" t="s">
        <v>14</v>
      </c>
      <c r="B2678" s="3" t="s">
        <v>14</v>
      </c>
      <c r="C2678" s="3" t="s">
        <v>2754</v>
      </c>
      <c r="D2678" s="3" t="s">
        <v>14</v>
      </c>
      <c r="E2678" s="3" t="s">
        <v>466</v>
      </c>
      <c r="F2678" s="4">
        <v>46296</v>
      </c>
      <c r="G2678" s="3" t="s">
        <v>17</v>
      </c>
      <c r="H2678" s="5">
        <v>-233654.39999999999</v>
      </c>
      <c r="I2678" s="3" t="s">
        <v>18</v>
      </c>
      <c r="J2678" s="3" t="s">
        <v>14</v>
      </c>
      <c r="K2678" s="3" t="s">
        <v>14</v>
      </c>
      <c r="L2678" s="3" t="s">
        <v>117</v>
      </c>
      <c r="M2678" s="4">
        <v>46297</v>
      </c>
      <c r="N2678" s="3" t="s">
        <v>2755</v>
      </c>
      <c r="O2678" s="3" t="s">
        <v>134</v>
      </c>
      <c r="P2678" t="str">
        <f t="shared" si="41"/>
        <v>450013949370</v>
      </c>
      <c r="Q2678" s="7" cm="1">
        <f t="array" ref="Q2678:S2678">VLOOKUP(P2678,Hoja1!C:F,{2,3,4},FALSE)</f>
        <v>46314</v>
      </c>
      <c r="R2678" t="str">
        <v>F04</v>
      </c>
      <c r="S2678" t="str">
        <v>1000001129 AGRONORTE S.R.L.</v>
      </c>
    </row>
    <row r="2679" spans="1:19" x14ac:dyDescent="0.3">
      <c r="A2679" s="2" t="s">
        <v>14</v>
      </c>
      <c r="B2679" s="3" t="s">
        <v>14</v>
      </c>
      <c r="C2679" s="3" t="s">
        <v>2754</v>
      </c>
      <c r="D2679" s="3" t="s">
        <v>14</v>
      </c>
      <c r="E2679" s="3" t="s">
        <v>466</v>
      </c>
      <c r="F2679" s="4">
        <v>46296</v>
      </c>
      <c r="G2679" s="3" t="s">
        <v>17</v>
      </c>
      <c r="H2679" s="5">
        <v>-355132.8</v>
      </c>
      <c r="I2679" s="3" t="s">
        <v>18</v>
      </c>
      <c r="J2679" s="3" t="s">
        <v>14</v>
      </c>
      <c r="K2679" s="3" t="s">
        <v>14</v>
      </c>
      <c r="L2679" s="3" t="s">
        <v>117</v>
      </c>
      <c r="M2679" s="4">
        <v>46297</v>
      </c>
      <c r="N2679" s="3" t="s">
        <v>2755</v>
      </c>
      <c r="O2679" s="3" t="s">
        <v>52</v>
      </c>
      <c r="P2679" t="str">
        <f t="shared" si="41"/>
        <v>450013949380</v>
      </c>
      <c r="Q2679" s="7" cm="1">
        <f t="array" ref="Q2679:S2679">VLOOKUP(P2679,Hoja1!C:F,{2,3,4},FALSE)</f>
        <v>46314</v>
      </c>
      <c r="R2679" t="str">
        <v>F04</v>
      </c>
      <c r="S2679" t="str">
        <v>1000001129 AGRONORTE S.R.L.</v>
      </c>
    </row>
    <row r="2680" spans="1:19" x14ac:dyDescent="0.3">
      <c r="A2680" s="2" t="s">
        <v>14</v>
      </c>
      <c r="B2680" s="3" t="s">
        <v>14</v>
      </c>
      <c r="C2680" s="3" t="s">
        <v>2756</v>
      </c>
      <c r="D2680" s="3" t="s">
        <v>14</v>
      </c>
      <c r="E2680" s="3" t="s">
        <v>466</v>
      </c>
      <c r="F2680" s="4">
        <v>46297</v>
      </c>
      <c r="G2680" s="3" t="s">
        <v>17</v>
      </c>
      <c r="H2680" s="5">
        <v>-21600.04</v>
      </c>
      <c r="I2680" s="3" t="s">
        <v>18</v>
      </c>
      <c r="J2680" s="3" t="s">
        <v>14</v>
      </c>
      <c r="K2680" s="3" t="s">
        <v>14</v>
      </c>
      <c r="L2680" s="3" t="s">
        <v>1647</v>
      </c>
      <c r="M2680" s="4">
        <v>46297</v>
      </c>
      <c r="N2680" s="3" t="s">
        <v>2757</v>
      </c>
      <c r="O2680" s="3" t="s">
        <v>141</v>
      </c>
      <c r="P2680" t="str">
        <f t="shared" si="41"/>
        <v>450014004460</v>
      </c>
      <c r="Q2680" s="7" cm="1">
        <f t="array" ref="Q2680:S2680">VLOOKUP(P2680,Hoja1!C:F,{2,3,4},FALSE)</f>
        <v>46309</v>
      </c>
      <c r="R2680" t="str">
        <v>C17</v>
      </c>
      <c r="S2680" t="str">
        <v>1000012179 TINTA NEGRA S. A. S.</v>
      </c>
    </row>
    <row r="2681" spans="1:19" x14ac:dyDescent="0.3">
      <c r="A2681" s="2" t="s">
        <v>14</v>
      </c>
      <c r="B2681" s="3" t="s">
        <v>14</v>
      </c>
      <c r="C2681" s="3" t="s">
        <v>2756</v>
      </c>
      <c r="D2681" s="3" t="s">
        <v>14</v>
      </c>
      <c r="E2681" s="3" t="s">
        <v>466</v>
      </c>
      <c r="F2681" s="4">
        <v>46297</v>
      </c>
      <c r="G2681" s="3" t="s">
        <v>17</v>
      </c>
      <c r="H2681" s="5">
        <v>-6247.92</v>
      </c>
      <c r="I2681" s="3" t="s">
        <v>18</v>
      </c>
      <c r="J2681" s="3" t="s">
        <v>14</v>
      </c>
      <c r="K2681" s="3" t="s">
        <v>14</v>
      </c>
      <c r="L2681" s="3" t="s">
        <v>1647</v>
      </c>
      <c r="M2681" s="4">
        <v>46297</v>
      </c>
      <c r="N2681" s="3" t="s">
        <v>2757</v>
      </c>
      <c r="O2681" s="3" t="s">
        <v>134</v>
      </c>
      <c r="P2681" t="str">
        <f t="shared" si="41"/>
        <v>450014004470</v>
      </c>
      <c r="Q2681" s="7" cm="1">
        <f t="array" ref="Q2681:S2681">VLOOKUP(P2681,Hoja1!C:F,{2,3,4},FALSE)</f>
        <v>46309</v>
      </c>
      <c r="R2681" t="str">
        <v>C17</v>
      </c>
      <c r="S2681" t="str">
        <v>1000012179 TINTA NEGRA S. A. S.</v>
      </c>
    </row>
    <row r="2682" spans="1:19" x14ac:dyDescent="0.3">
      <c r="A2682" s="2" t="s">
        <v>14</v>
      </c>
      <c r="B2682" s="3" t="s">
        <v>14</v>
      </c>
      <c r="C2682" s="3" t="s">
        <v>2756</v>
      </c>
      <c r="D2682" s="3" t="s">
        <v>14</v>
      </c>
      <c r="E2682" s="3" t="s">
        <v>466</v>
      </c>
      <c r="F2682" s="4">
        <v>46297</v>
      </c>
      <c r="G2682" s="3" t="s">
        <v>17</v>
      </c>
      <c r="H2682" s="5">
        <v>-7933.92</v>
      </c>
      <c r="I2682" s="3" t="s">
        <v>18</v>
      </c>
      <c r="J2682" s="3" t="s">
        <v>14</v>
      </c>
      <c r="K2682" s="3" t="s">
        <v>14</v>
      </c>
      <c r="L2682" s="3" t="s">
        <v>1647</v>
      </c>
      <c r="M2682" s="4">
        <v>46297</v>
      </c>
      <c r="N2682" s="3" t="s">
        <v>2757</v>
      </c>
      <c r="O2682" s="3" t="s">
        <v>52</v>
      </c>
      <c r="P2682" t="str">
        <f t="shared" si="41"/>
        <v>450014004480</v>
      </c>
      <c r="Q2682" s="7" cm="1">
        <f t="array" ref="Q2682:S2682">VLOOKUP(P2682,Hoja1!C:F,{2,3,4},FALSE)</f>
        <v>46309</v>
      </c>
      <c r="R2682" t="str">
        <v>C17</v>
      </c>
      <c r="S2682" t="str">
        <v>1000012179 TINTA NEGRA S. A. S.</v>
      </c>
    </row>
    <row r="2683" spans="1:19" x14ac:dyDescent="0.3">
      <c r="A2683" s="2" t="s">
        <v>14</v>
      </c>
      <c r="B2683" s="3" t="s">
        <v>14</v>
      </c>
      <c r="C2683" s="3" t="s">
        <v>2756</v>
      </c>
      <c r="D2683" s="3" t="s">
        <v>14</v>
      </c>
      <c r="E2683" s="3" t="s">
        <v>466</v>
      </c>
      <c r="F2683" s="4">
        <v>46297</v>
      </c>
      <c r="G2683" s="3" t="s">
        <v>17</v>
      </c>
      <c r="H2683" s="5">
        <v>-22314.05</v>
      </c>
      <c r="I2683" s="3" t="s">
        <v>18</v>
      </c>
      <c r="J2683" s="3" t="s">
        <v>14</v>
      </c>
      <c r="K2683" s="3" t="s">
        <v>14</v>
      </c>
      <c r="L2683" s="3" t="s">
        <v>1647</v>
      </c>
      <c r="M2683" s="4">
        <v>46297</v>
      </c>
      <c r="N2683" s="3" t="s">
        <v>2757</v>
      </c>
      <c r="O2683" s="3" t="s">
        <v>138</v>
      </c>
      <c r="P2683" t="str">
        <f t="shared" si="41"/>
        <v>450014004490</v>
      </c>
      <c r="Q2683" s="7" cm="1">
        <f t="array" ref="Q2683:S2683">VLOOKUP(P2683,Hoja1!C:F,{2,3,4},FALSE)</f>
        <v>46309</v>
      </c>
      <c r="R2683" t="str">
        <v>C17</v>
      </c>
      <c r="S2683" t="str">
        <v>1000012179 TINTA NEGRA S. A. S.</v>
      </c>
    </row>
    <row r="2684" spans="1:19" x14ac:dyDescent="0.3">
      <c r="A2684" s="2" t="s">
        <v>14</v>
      </c>
      <c r="B2684" s="3" t="s">
        <v>14</v>
      </c>
      <c r="C2684" s="3" t="s">
        <v>2756</v>
      </c>
      <c r="D2684" s="3" t="s">
        <v>14</v>
      </c>
      <c r="E2684" s="3" t="s">
        <v>466</v>
      </c>
      <c r="F2684" s="4">
        <v>46297</v>
      </c>
      <c r="G2684" s="3" t="s">
        <v>17</v>
      </c>
      <c r="H2684" s="5">
        <v>-3968.92</v>
      </c>
      <c r="I2684" s="3" t="s">
        <v>18</v>
      </c>
      <c r="J2684" s="3" t="s">
        <v>14</v>
      </c>
      <c r="K2684" s="3" t="s">
        <v>14</v>
      </c>
      <c r="L2684" s="3" t="s">
        <v>1647</v>
      </c>
      <c r="M2684" s="4">
        <v>46297</v>
      </c>
      <c r="N2684" s="3" t="s">
        <v>2757</v>
      </c>
      <c r="O2684" s="3" t="s">
        <v>156</v>
      </c>
      <c r="P2684" t="str">
        <f t="shared" si="41"/>
        <v>4500140044110</v>
      </c>
      <c r="Q2684" s="7" cm="1">
        <f t="array" ref="Q2684:S2684">VLOOKUP(P2684,Hoja1!C:F,{2,3,4},FALSE)</f>
        <v>46309</v>
      </c>
      <c r="R2684" t="str">
        <v>C17</v>
      </c>
      <c r="S2684" t="str">
        <v>1000012179 TINTA NEGRA S. A. S.</v>
      </c>
    </row>
    <row r="2685" spans="1:19" x14ac:dyDescent="0.3">
      <c r="A2685" s="2" t="s">
        <v>14</v>
      </c>
      <c r="B2685" s="3" t="s">
        <v>14</v>
      </c>
      <c r="C2685" s="3" t="s">
        <v>2756</v>
      </c>
      <c r="D2685" s="3" t="s">
        <v>14</v>
      </c>
      <c r="E2685" s="3" t="s">
        <v>466</v>
      </c>
      <c r="F2685" s="4">
        <v>46297</v>
      </c>
      <c r="G2685" s="3" t="s">
        <v>17</v>
      </c>
      <c r="H2685" s="5">
        <v>-8925.6200000000008</v>
      </c>
      <c r="I2685" s="3" t="s">
        <v>18</v>
      </c>
      <c r="J2685" s="3" t="s">
        <v>14</v>
      </c>
      <c r="K2685" s="3" t="s">
        <v>14</v>
      </c>
      <c r="L2685" s="3" t="s">
        <v>1647</v>
      </c>
      <c r="M2685" s="4">
        <v>46297</v>
      </c>
      <c r="N2685" s="3" t="s">
        <v>2757</v>
      </c>
      <c r="O2685" s="3" t="s">
        <v>142</v>
      </c>
      <c r="P2685" t="str">
        <f t="shared" si="41"/>
        <v>4500140044130</v>
      </c>
      <c r="Q2685" s="7" cm="1">
        <f t="array" ref="Q2685:S2685">VLOOKUP(P2685,Hoja1!C:F,{2,3,4},FALSE)</f>
        <v>46309</v>
      </c>
      <c r="R2685" t="str">
        <v>C17</v>
      </c>
      <c r="S2685" t="str">
        <v>1000012179 TINTA NEGRA S. A. S.</v>
      </c>
    </row>
    <row r="2686" spans="1:19" x14ac:dyDescent="0.3">
      <c r="A2686" s="2" t="s">
        <v>14</v>
      </c>
      <c r="B2686" s="3" t="s">
        <v>14</v>
      </c>
      <c r="C2686" s="3" t="s">
        <v>2756</v>
      </c>
      <c r="D2686" s="3" t="s">
        <v>14</v>
      </c>
      <c r="E2686" s="3" t="s">
        <v>466</v>
      </c>
      <c r="F2686" s="4">
        <v>46297</v>
      </c>
      <c r="G2686" s="3" t="s">
        <v>17</v>
      </c>
      <c r="H2686" s="5">
        <v>-5900.83</v>
      </c>
      <c r="I2686" s="3" t="s">
        <v>18</v>
      </c>
      <c r="J2686" s="3" t="s">
        <v>14</v>
      </c>
      <c r="K2686" s="3" t="s">
        <v>14</v>
      </c>
      <c r="L2686" s="3" t="s">
        <v>1647</v>
      </c>
      <c r="M2686" s="4">
        <v>46297</v>
      </c>
      <c r="N2686" s="3" t="s">
        <v>2757</v>
      </c>
      <c r="O2686" s="3" t="s">
        <v>131</v>
      </c>
      <c r="P2686" t="str">
        <f t="shared" si="41"/>
        <v>4500140044140</v>
      </c>
      <c r="Q2686" s="7" cm="1">
        <f t="array" ref="Q2686:S2686">VLOOKUP(P2686,Hoja1!C:F,{2,3,4},FALSE)</f>
        <v>46309</v>
      </c>
      <c r="R2686" t="str">
        <v>C17</v>
      </c>
      <c r="S2686" t="str">
        <v>1000012179 TINTA NEGRA S. A. S.</v>
      </c>
    </row>
    <row r="2687" spans="1:19" x14ac:dyDescent="0.3">
      <c r="A2687" s="2" t="s">
        <v>14</v>
      </c>
      <c r="B2687" s="3" t="s">
        <v>14</v>
      </c>
      <c r="C2687" s="3" t="s">
        <v>2758</v>
      </c>
      <c r="D2687" s="3" t="s">
        <v>14</v>
      </c>
      <c r="E2687" s="3" t="s">
        <v>466</v>
      </c>
      <c r="F2687" s="4">
        <v>46297</v>
      </c>
      <c r="G2687" s="3" t="s">
        <v>17</v>
      </c>
      <c r="H2687" s="5">
        <v>-170000</v>
      </c>
      <c r="I2687" s="3" t="s">
        <v>18</v>
      </c>
      <c r="J2687" s="3" t="s">
        <v>14</v>
      </c>
      <c r="K2687" s="3" t="s">
        <v>14</v>
      </c>
      <c r="L2687" s="3" t="s">
        <v>1813</v>
      </c>
      <c r="M2687" s="4">
        <v>46297</v>
      </c>
      <c r="N2687" s="3" t="s">
        <v>2759</v>
      </c>
      <c r="O2687" s="3" t="s">
        <v>30</v>
      </c>
      <c r="P2687" t="str">
        <f t="shared" si="41"/>
        <v>450013922810</v>
      </c>
      <c r="Q2687" s="7" cm="1">
        <f t="array" ref="Q2687:S2687">VLOOKUP(P2687,Hoja1!C:F,{2,3,4},FALSE)</f>
        <v>46295</v>
      </c>
      <c r="R2687" t="str">
        <v>C38</v>
      </c>
      <c r="S2687" t="str">
        <v>1000001289 DUCA SEBASTIAN ENRIQUE</v>
      </c>
    </row>
    <row r="2688" spans="1:19" x14ac:dyDescent="0.3">
      <c r="A2688" s="2" t="s">
        <v>14</v>
      </c>
      <c r="B2688" s="3" t="s">
        <v>14</v>
      </c>
      <c r="C2688" s="3" t="s">
        <v>2760</v>
      </c>
      <c r="D2688" s="3" t="s">
        <v>14</v>
      </c>
      <c r="E2688" s="3" t="s">
        <v>466</v>
      </c>
      <c r="F2688" s="4">
        <v>46297</v>
      </c>
      <c r="G2688" s="3" t="s">
        <v>17</v>
      </c>
      <c r="H2688" s="5">
        <v>-1176860</v>
      </c>
      <c r="I2688" s="3" t="s">
        <v>18</v>
      </c>
      <c r="J2688" s="3" t="s">
        <v>14</v>
      </c>
      <c r="K2688" s="3" t="s">
        <v>14</v>
      </c>
      <c r="L2688" s="3" t="s">
        <v>1211</v>
      </c>
      <c r="M2688" s="4">
        <v>46297</v>
      </c>
      <c r="N2688" s="3" t="s">
        <v>1706</v>
      </c>
      <c r="O2688" s="3" t="s">
        <v>30</v>
      </c>
      <c r="P2688" t="str">
        <f t="shared" si="41"/>
        <v>450013711810</v>
      </c>
      <c r="Q2688" s="7" cm="1">
        <f t="array" ref="Q2688:S2688">VLOOKUP(P2688,Hoja1!C:F,{2,3,4},FALSE)</f>
        <v>46295</v>
      </c>
      <c r="R2688" t="str">
        <v>C03</v>
      </c>
      <c r="S2688" t="str">
        <v>1000000012 IGARRETA MAQUINAS S.A.</v>
      </c>
    </row>
    <row r="2689" spans="1:19" x14ac:dyDescent="0.3">
      <c r="A2689" s="2" t="s">
        <v>14</v>
      </c>
      <c r="B2689" s="3" t="s">
        <v>14</v>
      </c>
      <c r="C2689" s="3" t="s">
        <v>2760</v>
      </c>
      <c r="D2689" s="3" t="s">
        <v>14</v>
      </c>
      <c r="E2689" s="3" t="s">
        <v>466</v>
      </c>
      <c r="F2689" s="4">
        <v>46297</v>
      </c>
      <c r="G2689" s="3" t="s">
        <v>17</v>
      </c>
      <c r="H2689" s="5">
        <v>-281367.2</v>
      </c>
      <c r="I2689" s="3" t="s">
        <v>18</v>
      </c>
      <c r="J2689" s="3" t="s">
        <v>14</v>
      </c>
      <c r="K2689" s="3" t="s">
        <v>14</v>
      </c>
      <c r="L2689" s="3" t="s">
        <v>1211</v>
      </c>
      <c r="M2689" s="4">
        <v>46297</v>
      </c>
      <c r="N2689" s="3" t="s">
        <v>1706</v>
      </c>
      <c r="O2689" s="3" t="s">
        <v>22</v>
      </c>
      <c r="P2689" t="str">
        <f t="shared" si="41"/>
        <v>450013711820</v>
      </c>
      <c r="Q2689" s="7" cm="1">
        <f t="array" ref="Q2689:S2689">VLOOKUP(P2689,Hoja1!C:F,{2,3,4},FALSE)</f>
        <v>46295</v>
      </c>
      <c r="R2689" t="str">
        <v>C03</v>
      </c>
      <c r="S2689" t="str">
        <v>1000000012 IGARRETA MAQUINAS S.A.</v>
      </c>
    </row>
    <row r="2690" spans="1:19" x14ac:dyDescent="0.3">
      <c r="A2690" s="2" t="s">
        <v>14</v>
      </c>
      <c r="B2690" s="3" t="s">
        <v>14</v>
      </c>
      <c r="C2690" s="3" t="s">
        <v>2760</v>
      </c>
      <c r="D2690" s="3" t="s">
        <v>14</v>
      </c>
      <c r="E2690" s="3" t="s">
        <v>466</v>
      </c>
      <c r="F2690" s="4">
        <v>46297</v>
      </c>
      <c r="G2690" s="3" t="s">
        <v>17</v>
      </c>
      <c r="H2690" s="5">
        <v>-4157686.4</v>
      </c>
      <c r="I2690" s="3" t="s">
        <v>18</v>
      </c>
      <c r="J2690" s="3" t="s">
        <v>14</v>
      </c>
      <c r="K2690" s="3" t="s">
        <v>14</v>
      </c>
      <c r="L2690" s="3" t="s">
        <v>1211</v>
      </c>
      <c r="M2690" s="4">
        <v>46297</v>
      </c>
      <c r="N2690" s="3" t="s">
        <v>1706</v>
      </c>
      <c r="O2690" s="3" t="s">
        <v>23</v>
      </c>
      <c r="P2690" t="str">
        <f t="shared" si="41"/>
        <v>450013711840</v>
      </c>
      <c r="Q2690" s="7" cm="1">
        <f t="array" ref="Q2690:S2690">VLOOKUP(P2690,Hoja1!C:F,{2,3,4},FALSE)</f>
        <v>46295</v>
      </c>
      <c r="R2690" t="str">
        <v>C03</v>
      </c>
      <c r="S2690" t="str">
        <v>1000000012 IGARRETA MAQUINAS S.A.</v>
      </c>
    </row>
    <row r="2691" spans="1:19" x14ac:dyDescent="0.3">
      <c r="A2691" s="2" t="s">
        <v>14</v>
      </c>
      <c r="B2691" s="3" t="s">
        <v>14</v>
      </c>
      <c r="C2691" s="3" t="s">
        <v>2760</v>
      </c>
      <c r="D2691" s="3" t="s">
        <v>14</v>
      </c>
      <c r="E2691" s="3" t="s">
        <v>466</v>
      </c>
      <c r="F2691" s="4">
        <v>46297</v>
      </c>
      <c r="G2691" s="3" t="s">
        <v>17</v>
      </c>
      <c r="H2691" s="5">
        <v>-276442.40000000002</v>
      </c>
      <c r="I2691" s="3" t="s">
        <v>18</v>
      </c>
      <c r="J2691" s="3" t="s">
        <v>14</v>
      </c>
      <c r="K2691" s="3" t="s">
        <v>14</v>
      </c>
      <c r="L2691" s="3" t="s">
        <v>1211</v>
      </c>
      <c r="M2691" s="4">
        <v>46297</v>
      </c>
      <c r="N2691" s="3" t="s">
        <v>1706</v>
      </c>
      <c r="O2691" s="3" t="s">
        <v>141</v>
      </c>
      <c r="P2691" t="str">
        <f t="shared" ref="P2691:P2754" si="42">_xlfn.CONCAT(N2691:O2691)</f>
        <v>450013711860</v>
      </c>
      <c r="Q2691" s="7" cm="1">
        <f t="array" ref="Q2691:S2691">VLOOKUP(P2691,Hoja1!C:F,{2,3,4},FALSE)</f>
        <v>46295</v>
      </c>
      <c r="R2691" t="str">
        <v>C03</v>
      </c>
      <c r="S2691" t="str">
        <v>1000000012 IGARRETA MAQUINAS S.A.</v>
      </c>
    </row>
    <row r="2692" spans="1:19" x14ac:dyDescent="0.3">
      <c r="A2692" s="2" t="s">
        <v>14</v>
      </c>
      <c r="B2692" s="3" t="s">
        <v>14</v>
      </c>
      <c r="C2692" s="3" t="s">
        <v>2760</v>
      </c>
      <c r="D2692" s="3" t="s">
        <v>14</v>
      </c>
      <c r="E2692" s="3" t="s">
        <v>466</v>
      </c>
      <c r="F2692" s="4">
        <v>46297</v>
      </c>
      <c r="G2692" s="3" t="s">
        <v>17</v>
      </c>
      <c r="H2692" s="5">
        <v>-114623.2</v>
      </c>
      <c r="I2692" s="3" t="s">
        <v>18</v>
      </c>
      <c r="J2692" s="3" t="s">
        <v>14</v>
      </c>
      <c r="K2692" s="3" t="s">
        <v>14</v>
      </c>
      <c r="L2692" s="3" t="s">
        <v>1211</v>
      </c>
      <c r="M2692" s="4">
        <v>46297</v>
      </c>
      <c r="N2692" s="3" t="s">
        <v>1706</v>
      </c>
      <c r="O2692" s="3" t="s">
        <v>134</v>
      </c>
      <c r="P2692" t="str">
        <f t="shared" si="42"/>
        <v>450013711870</v>
      </c>
      <c r="Q2692" s="7" cm="1">
        <f t="array" ref="Q2692:S2692">VLOOKUP(P2692,Hoja1!C:F,{2,3,4},FALSE)</f>
        <v>46295</v>
      </c>
      <c r="R2692" t="str">
        <v>C03</v>
      </c>
      <c r="S2692" t="str">
        <v>1000000012 IGARRETA MAQUINAS S.A.</v>
      </c>
    </row>
    <row r="2693" spans="1:19" x14ac:dyDescent="0.3">
      <c r="A2693" s="2" t="s">
        <v>14</v>
      </c>
      <c r="B2693" s="3" t="s">
        <v>14</v>
      </c>
      <c r="C2693" s="3" t="s">
        <v>2760</v>
      </c>
      <c r="D2693" s="3" t="s">
        <v>14</v>
      </c>
      <c r="E2693" s="3" t="s">
        <v>466</v>
      </c>
      <c r="F2693" s="4">
        <v>46297</v>
      </c>
      <c r="G2693" s="3" t="s">
        <v>17</v>
      </c>
      <c r="H2693" s="5">
        <v>-56817.599999999999</v>
      </c>
      <c r="I2693" s="3" t="s">
        <v>18</v>
      </c>
      <c r="J2693" s="3" t="s">
        <v>14</v>
      </c>
      <c r="K2693" s="3" t="s">
        <v>14</v>
      </c>
      <c r="L2693" s="3" t="s">
        <v>1211</v>
      </c>
      <c r="M2693" s="4">
        <v>46297</v>
      </c>
      <c r="N2693" s="3" t="s">
        <v>1706</v>
      </c>
      <c r="O2693" s="3" t="s">
        <v>52</v>
      </c>
      <c r="P2693" t="str">
        <f t="shared" si="42"/>
        <v>450013711880</v>
      </c>
      <c r="Q2693" s="7" cm="1">
        <f t="array" ref="Q2693:S2693">VLOOKUP(P2693,Hoja1!C:F,{2,3,4},FALSE)</f>
        <v>46295</v>
      </c>
      <c r="R2693" t="str">
        <v>C03</v>
      </c>
      <c r="S2693" t="str">
        <v>1000000012 IGARRETA MAQUINAS S.A.</v>
      </c>
    </row>
    <row r="2694" spans="1:19" x14ac:dyDescent="0.3">
      <c r="A2694" s="2" t="s">
        <v>14</v>
      </c>
      <c r="B2694" s="3" t="s">
        <v>14</v>
      </c>
      <c r="C2694" s="3" t="s">
        <v>2760</v>
      </c>
      <c r="D2694" s="3" t="s">
        <v>14</v>
      </c>
      <c r="E2694" s="3" t="s">
        <v>466</v>
      </c>
      <c r="F2694" s="4">
        <v>46297</v>
      </c>
      <c r="G2694" s="3" t="s">
        <v>17</v>
      </c>
      <c r="H2694" s="5">
        <v>-320340</v>
      </c>
      <c r="I2694" s="3" t="s">
        <v>18</v>
      </c>
      <c r="J2694" s="3" t="s">
        <v>14</v>
      </c>
      <c r="K2694" s="3" t="s">
        <v>14</v>
      </c>
      <c r="L2694" s="3" t="s">
        <v>1211</v>
      </c>
      <c r="M2694" s="4">
        <v>46297</v>
      </c>
      <c r="N2694" s="3" t="s">
        <v>1706</v>
      </c>
      <c r="O2694" s="3" t="s">
        <v>138</v>
      </c>
      <c r="P2694" t="str">
        <f t="shared" si="42"/>
        <v>450013711890</v>
      </c>
      <c r="Q2694" s="7" cm="1">
        <f t="array" ref="Q2694:S2694">VLOOKUP(P2694,Hoja1!C:F,{2,3,4},FALSE)</f>
        <v>46295</v>
      </c>
      <c r="R2694" t="str">
        <v>C03</v>
      </c>
      <c r="S2694" t="str">
        <v>1000000012 IGARRETA MAQUINAS S.A.</v>
      </c>
    </row>
    <row r="2695" spans="1:19" x14ac:dyDescent="0.3">
      <c r="A2695" s="2" t="s">
        <v>14</v>
      </c>
      <c r="B2695" s="3" t="s">
        <v>14</v>
      </c>
      <c r="C2695" s="3" t="s">
        <v>2760</v>
      </c>
      <c r="D2695" s="3" t="s">
        <v>14</v>
      </c>
      <c r="E2695" s="3" t="s">
        <v>466</v>
      </c>
      <c r="F2695" s="4">
        <v>46297</v>
      </c>
      <c r="G2695" s="3" t="s">
        <v>17</v>
      </c>
      <c r="H2695" s="5">
        <v>-114623.2</v>
      </c>
      <c r="I2695" s="3" t="s">
        <v>18</v>
      </c>
      <c r="J2695" s="3" t="s">
        <v>14</v>
      </c>
      <c r="K2695" s="3" t="s">
        <v>14</v>
      </c>
      <c r="L2695" s="3" t="s">
        <v>1211</v>
      </c>
      <c r="M2695" s="4">
        <v>46297</v>
      </c>
      <c r="N2695" s="3" t="s">
        <v>1706</v>
      </c>
      <c r="O2695" s="3" t="s">
        <v>45</v>
      </c>
      <c r="P2695" t="str">
        <f t="shared" si="42"/>
        <v>4500137118100</v>
      </c>
      <c r="Q2695" s="7" cm="1">
        <f t="array" ref="Q2695:S2695">VLOOKUP(P2695,Hoja1!C:F,{2,3,4},FALSE)</f>
        <v>46295</v>
      </c>
      <c r="R2695" t="str">
        <v>C03</v>
      </c>
      <c r="S2695" t="str">
        <v>1000000012 IGARRETA MAQUINAS S.A.</v>
      </c>
    </row>
    <row r="2696" spans="1:19" x14ac:dyDescent="0.3">
      <c r="A2696" s="2" t="s">
        <v>14</v>
      </c>
      <c r="B2696" s="3" t="s">
        <v>14</v>
      </c>
      <c r="C2696" s="3" t="s">
        <v>2760</v>
      </c>
      <c r="D2696" s="3" t="s">
        <v>14</v>
      </c>
      <c r="E2696" s="3" t="s">
        <v>466</v>
      </c>
      <c r="F2696" s="4">
        <v>46297</v>
      </c>
      <c r="G2696" s="3" t="s">
        <v>17</v>
      </c>
      <c r="H2696" s="5">
        <v>-43274.400000000001</v>
      </c>
      <c r="I2696" s="3" t="s">
        <v>18</v>
      </c>
      <c r="J2696" s="3" t="s">
        <v>14</v>
      </c>
      <c r="K2696" s="3" t="s">
        <v>14</v>
      </c>
      <c r="L2696" s="3" t="s">
        <v>1211</v>
      </c>
      <c r="M2696" s="4">
        <v>46297</v>
      </c>
      <c r="N2696" s="3" t="s">
        <v>1706</v>
      </c>
      <c r="O2696" s="3" t="s">
        <v>156</v>
      </c>
      <c r="P2696" t="str">
        <f t="shared" si="42"/>
        <v>4500137118110</v>
      </c>
      <c r="Q2696" s="7" cm="1">
        <f t="array" ref="Q2696:S2696">VLOOKUP(P2696,Hoja1!C:F,{2,3,4},FALSE)</f>
        <v>46295</v>
      </c>
      <c r="R2696" t="str">
        <v>C03</v>
      </c>
      <c r="S2696" t="str">
        <v>1000000012 IGARRETA MAQUINAS S.A.</v>
      </c>
    </row>
    <row r="2697" spans="1:19" x14ac:dyDescent="0.3">
      <c r="A2697" s="2" t="s">
        <v>14</v>
      </c>
      <c r="B2697" s="3" t="s">
        <v>14</v>
      </c>
      <c r="C2697" s="3" t="s">
        <v>2760</v>
      </c>
      <c r="D2697" s="3" t="s">
        <v>14</v>
      </c>
      <c r="E2697" s="3" t="s">
        <v>466</v>
      </c>
      <c r="F2697" s="4">
        <v>46297</v>
      </c>
      <c r="G2697" s="3" t="s">
        <v>17</v>
      </c>
      <c r="H2697" s="5">
        <v>-1221715.2</v>
      </c>
      <c r="I2697" s="3" t="s">
        <v>18</v>
      </c>
      <c r="J2697" s="3" t="s">
        <v>14</v>
      </c>
      <c r="K2697" s="3" t="s">
        <v>14</v>
      </c>
      <c r="L2697" s="3" t="s">
        <v>1211</v>
      </c>
      <c r="M2697" s="4">
        <v>46297</v>
      </c>
      <c r="N2697" s="3" t="s">
        <v>1706</v>
      </c>
      <c r="O2697" s="3" t="s">
        <v>132</v>
      </c>
      <c r="P2697" t="str">
        <f t="shared" si="42"/>
        <v>4500137118120</v>
      </c>
      <c r="Q2697" s="7" cm="1">
        <f t="array" ref="Q2697:S2697">VLOOKUP(P2697,Hoja1!C:F,{2,3,4},FALSE)</f>
        <v>46295</v>
      </c>
      <c r="R2697" t="str">
        <v>C03</v>
      </c>
      <c r="S2697" t="str">
        <v>1000000012 IGARRETA MAQUINAS S.A.</v>
      </c>
    </row>
    <row r="2698" spans="1:19" x14ac:dyDescent="0.3">
      <c r="A2698" s="2" t="s">
        <v>14</v>
      </c>
      <c r="B2698" s="3" t="s">
        <v>14</v>
      </c>
      <c r="C2698" s="3" t="s">
        <v>2760</v>
      </c>
      <c r="D2698" s="3" t="s">
        <v>14</v>
      </c>
      <c r="E2698" s="3" t="s">
        <v>466</v>
      </c>
      <c r="F2698" s="4">
        <v>46297</v>
      </c>
      <c r="G2698" s="3" t="s">
        <v>17</v>
      </c>
      <c r="H2698" s="5">
        <v>-50251.199999999997</v>
      </c>
      <c r="I2698" s="3" t="s">
        <v>18</v>
      </c>
      <c r="J2698" s="3" t="s">
        <v>14</v>
      </c>
      <c r="K2698" s="3" t="s">
        <v>14</v>
      </c>
      <c r="L2698" s="3" t="s">
        <v>1211</v>
      </c>
      <c r="M2698" s="4">
        <v>46297</v>
      </c>
      <c r="N2698" s="3" t="s">
        <v>1706</v>
      </c>
      <c r="O2698" s="3" t="s">
        <v>53</v>
      </c>
      <c r="P2698" t="str">
        <f t="shared" si="42"/>
        <v>4500137118170</v>
      </c>
      <c r="Q2698" s="7" cm="1">
        <f t="array" ref="Q2698:S2698">VLOOKUP(P2698,Hoja1!C:F,{2,3,4},FALSE)</f>
        <v>46295</v>
      </c>
      <c r="R2698" t="str">
        <v>C03</v>
      </c>
      <c r="S2698" t="str">
        <v>1000000012 IGARRETA MAQUINAS S.A.</v>
      </c>
    </row>
    <row r="2699" spans="1:19" x14ac:dyDescent="0.3">
      <c r="A2699" s="2" t="s">
        <v>14</v>
      </c>
      <c r="B2699" s="3" t="s">
        <v>14</v>
      </c>
      <c r="C2699" s="3" t="s">
        <v>2761</v>
      </c>
      <c r="D2699" s="3" t="s">
        <v>14</v>
      </c>
      <c r="E2699" s="3" t="s">
        <v>466</v>
      </c>
      <c r="F2699" s="4">
        <v>46297</v>
      </c>
      <c r="G2699" s="3" t="s">
        <v>17</v>
      </c>
      <c r="H2699" s="5">
        <v>-6198.36</v>
      </c>
      <c r="I2699" s="3" t="s">
        <v>18</v>
      </c>
      <c r="J2699" s="3" t="s">
        <v>14</v>
      </c>
      <c r="K2699" s="3" t="s">
        <v>14</v>
      </c>
      <c r="L2699" s="3" t="s">
        <v>1647</v>
      </c>
      <c r="M2699" s="4">
        <v>46297</v>
      </c>
      <c r="N2699" s="3" t="s">
        <v>1648</v>
      </c>
      <c r="O2699" s="3" t="s">
        <v>35</v>
      </c>
      <c r="P2699" t="str">
        <f t="shared" si="42"/>
        <v>450013856330</v>
      </c>
      <c r="Q2699" s="7" cm="1">
        <f t="array" ref="Q2699:S2699">VLOOKUP(P2699,Hoja1!C:F,{2,3,4},FALSE)</f>
        <v>46287</v>
      </c>
      <c r="R2699" t="str">
        <v>C17</v>
      </c>
      <c r="S2699" t="str">
        <v>1000012179 TINTA NEGRA S. A. S.</v>
      </c>
    </row>
    <row r="2700" spans="1:19" x14ac:dyDescent="0.3">
      <c r="A2700" s="2" t="s">
        <v>14</v>
      </c>
      <c r="B2700" s="3" t="s">
        <v>14</v>
      </c>
      <c r="C2700" s="3" t="s">
        <v>2762</v>
      </c>
      <c r="D2700" s="3" t="s">
        <v>14</v>
      </c>
      <c r="E2700" s="3" t="s">
        <v>466</v>
      </c>
      <c r="F2700" s="4">
        <v>46297</v>
      </c>
      <c r="G2700" s="3" t="s">
        <v>17</v>
      </c>
      <c r="H2700" s="5">
        <v>-213070</v>
      </c>
      <c r="I2700" s="3" t="s">
        <v>18</v>
      </c>
      <c r="J2700" s="3" t="s">
        <v>14</v>
      </c>
      <c r="K2700" s="3" t="s">
        <v>14</v>
      </c>
      <c r="L2700" s="3" t="s">
        <v>2763</v>
      </c>
      <c r="M2700" s="4">
        <v>46297</v>
      </c>
      <c r="N2700" s="3" t="s">
        <v>2764</v>
      </c>
      <c r="O2700" s="3" t="s">
        <v>30</v>
      </c>
      <c r="P2700" t="str">
        <f t="shared" si="42"/>
        <v>450013214210</v>
      </c>
      <c r="Q2700" s="7" cm="1">
        <f t="array" ref="Q2700:S2700">VLOOKUP(P2700,Hoja1!C:F,{2,3,4},FALSE)</f>
        <v>46418</v>
      </c>
      <c r="R2700" t="str">
        <v>C24</v>
      </c>
      <c r="S2700" t="str">
        <v>1000007599 MAGRI TELEFONIA S.R.L.</v>
      </c>
    </row>
    <row r="2701" spans="1:19" x14ac:dyDescent="0.3">
      <c r="A2701" s="2" t="s">
        <v>14</v>
      </c>
      <c r="B2701" s="3" t="s">
        <v>14</v>
      </c>
      <c r="C2701" s="3" t="s">
        <v>2762</v>
      </c>
      <c r="D2701" s="3" t="s">
        <v>14</v>
      </c>
      <c r="E2701" s="3" t="s">
        <v>466</v>
      </c>
      <c r="F2701" s="4">
        <v>46297</v>
      </c>
      <c r="G2701" s="3" t="s">
        <v>17</v>
      </c>
      <c r="H2701" s="5">
        <v>-85585.5</v>
      </c>
      <c r="I2701" s="3" t="s">
        <v>18</v>
      </c>
      <c r="J2701" s="3" t="s">
        <v>14</v>
      </c>
      <c r="K2701" s="3" t="s">
        <v>14</v>
      </c>
      <c r="L2701" s="3" t="s">
        <v>2763</v>
      </c>
      <c r="M2701" s="4">
        <v>46297</v>
      </c>
      <c r="N2701" s="3" t="s">
        <v>2764</v>
      </c>
      <c r="O2701" s="3" t="s">
        <v>22</v>
      </c>
      <c r="P2701" t="str">
        <f t="shared" si="42"/>
        <v>450013214220</v>
      </c>
      <c r="Q2701" s="7" cm="1">
        <f t="array" ref="Q2701:S2701">VLOOKUP(P2701,Hoja1!C:F,{2,3,4},FALSE)</f>
        <v>46418</v>
      </c>
      <c r="R2701" t="str">
        <v>C24</v>
      </c>
      <c r="S2701" t="str">
        <v>1000007599 MAGRI TELEFONIA S.R.L.</v>
      </c>
    </row>
    <row r="2702" spans="1:19" x14ac:dyDescent="0.3">
      <c r="A2702" s="2" t="s">
        <v>14</v>
      </c>
      <c r="B2702" s="3" t="s">
        <v>14</v>
      </c>
      <c r="C2702" s="3" t="s">
        <v>2762</v>
      </c>
      <c r="D2702" s="3" t="s">
        <v>14</v>
      </c>
      <c r="E2702" s="3" t="s">
        <v>466</v>
      </c>
      <c r="F2702" s="4">
        <v>46297</v>
      </c>
      <c r="G2702" s="3" t="s">
        <v>17</v>
      </c>
      <c r="H2702" s="5">
        <v>-8580</v>
      </c>
      <c r="I2702" s="3" t="s">
        <v>18</v>
      </c>
      <c r="J2702" s="3" t="s">
        <v>14</v>
      </c>
      <c r="K2702" s="3" t="s">
        <v>14</v>
      </c>
      <c r="L2702" s="3" t="s">
        <v>2763</v>
      </c>
      <c r="M2702" s="4">
        <v>46297</v>
      </c>
      <c r="N2702" s="3" t="s">
        <v>2764</v>
      </c>
      <c r="O2702" s="3" t="s">
        <v>35</v>
      </c>
      <c r="P2702" t="str">
        <f t="shared" si="42"/>
        <v>450013214230</v>
      </c>
      <c r="Q2702" s="7" cm="1">
        <f t="array" ref="Q2702:S2702">VLOOKUP(P2702,Hoja1!C:F,{2,3,4},FALSE)</f>
        <v>46418</v>
      </c>
      <c r="R2702" t="str">
        <v>C24</v>
      </c>
      <c r="S2702" t="str">
        <v>1000007599 MAGRI TELEFONIA S.R.L.</v>
      </c>
    </row>
    <row r="2703" spans="1:19" x14ac:dyDescent="0.3">
      <c r="A2703" s="2" t="s">
        <v>14</v>
      </c>
      <c r="B2703" s="3" t="s">
        <v>14</v>
      </c>
      <c r="C2703" s="3" t="s">
        <v>2762</v>
      </c>
      <c r="D2703" s="3" t="s">
        <v>14</v>
      </c>
      <c r="E2703" s="3" t="s">
        <v>466</v>
      </c>
      <c r="F2703" s="4">
        <v>46297</v>
      </c>
      <c r="G2703" s="3" t="s">
        <v>17</v>
      </c>
      <c r="H2703" s="5">
        <v>-81510</v>
      </c>
      <c r="I2703" s="3" t="s">
        <v>18</v>
      </c>
      <c r="J2703" s="3" t="s">
        <v>14</v>
      </c>
      <c r="K2703" s="3" t="s">
        <v>14</v>
      </c>
      <c r="L2703" s="3" t="s">
        <v>2763</v>
      </c>
      <c r="M2703" s="4">
        <v>46297</v>
      </c>
      <c r="N2703" s="3" t="s">
        <v>2764</v>
      </c>
      <c r="O2703" s="3" t="s">
        <v>23</v>
      </c>
      <c r="P2703" t="str">
        <f t="shared" si="42"/>
        <v>450013214240</v>
      </c>
      <c r="Q2703" s="7" cm="1">
        <f t="array" ref="Q2703:S2703">VLOOKUP(P2703,Hoja1!C:F,{2,3,4},FALSE)</f>
        <v>46418</v>
      </c>
      <c r="R2703" t="str">
        <v>C24</v>
      </c>
      <c r="S2703" t="str">
        <v>1000007599 MAGRI TELEFONIA S.R.L.</v>
      </c>
    </row>
    <row r="2704" spans="1:19" x14ac:dyDescent="0.3">
      <c r="A2704" s="2" t="s">
        <v>14</v>
      </c>
      <c r="B2704" s="3" t="s">
        <v>14</v>
      </c>
      <c r="C2704" s="3" t="s">
        <v>2765</v>
      </c>
      <c r="D2704" s="3" t="s">
        <v>84</v>
      </c>
      <c r="E2704" s="3" t="s">
        <v>466</v>
      </c>
      <c r="F2704" s="4">
        <v>46297</v>
      </c>
      <c r="G2704" s="3" t="s">
        <v>17</v>
      </c>
      <c r="H2704" s="5">
        <v>-124432</v>
      </c>
      <c r="I2704" s="3" t="s">
        <v>18</v>
      </c>
      <c r="J2704" s="3" t="s">
        <v>14</v>
      </c>
      <c r="K2704" s="3" t="s">
        <v>14</v>
      </c>
      <c r="L2704" s="3" t="s">
        <v>420</v>
      </c>
      <c r="M2704" s="4">
        <v>46297</v>
      </c>
      <c r="N2704" s="3" t="s">
        <v>421</v>
      </c>
      <c r="O2704" s="3" t="s">
        <v>30</v>
      </c>
      <c r="P2704" t="str">
        <f t="shared" si="42"/>
        <v>450013978310</v>
      </c>
      <c r="Q2704" s="7" cm="1">
        <f t="array" ref="Q2704:S2704">VLOOKUP(P2704,Hoja1!C:F,{2,3,4},FALSE)</f>
        <v>46309</v>
      </c>
      <c r="R2704" t="str">
        <v>C06</v>
      </c>
      <c r="S2704" t="str">
        <v>1000013631 TANKE S A</v>
      </c>
    </row>
    <row r="2705" spans="1:19" x14ac:dyDescent="0.3">
      <c r="A2705" s="2" t="s">
        <v>14</v>
      </c>
      <c r="B2705" s="3" t="s">
        <v>14</v>
      </c>
      <c r="C2705" s="3" t="s">
        <v>2766</v>
      </c>
      <c r="D2705" s="3" t="s">
        <v>14</v>
      </c>
      <c r="E2705" s="3" t="s">
        <v>466</v>
      </c>
      <c r="F2705" s="4">
        <v>46297</v>
      </c>
      <c r="G2705" s="3" t="s">
        <v>17</v>
      </c>
      <c r="H2705" s="5">
        <v>-15070800</v>
      </c>
      <c r="I2705" s="3" t="s">
        <v>18</v>
      </c>
      <c r="J2705" s="3" t="s">
        <v>14</v>
      </c>
      <c r="K2705" s="3" t="s">
        <v>14</v>
      </c>
      <c r="L2705" s="3" t="s">
        <v>125</v>
      </c>
      <c r="M2705" s="4">
        <v>46297</v>
      </c>
      <c r="N2705" s="3" t="s">
        <v>2767</v>
      </c>
      <c r="O2705" s="3" t="s">
        <v>30</v>
      </c>
      <c r="P2705" t="str">
        <f t="shared" si="42"/>
        <v>450013740910</v>
      </c>
      <c r="Q2705" s="7" cm="1">
        <f t="array" ref="Q2705:S2705">VLOOKUP(P2705,Hoja1!C:F,{2,3,4},FALSE)</f>
        <v>46295</v>
      </c>
      <c r="R2705" t="str">
        <v>C03</v>
      </c>
      <c r="S2705" t="str">
        <v>1000001470 SUDAMERICANA CAMIONES SA</v>
      </c>
    </row>
    <row r="2706" spans="1:19" x14ac:dyDescent="0.3">
      <c r="A2706" s="2" t="s">
        <v>14</v>
      </c>
      <c r="B2706" s="3" t="s">
        <v>14</v>
      </c>
      <c r="C2706" s="3" t="s">
        <v>2768</v>
      </c>
      <c r="D2706" s="3" t="s">
        <v>14</v>
      </c>
      <c r="E2706" s="3" t="s">
        <v>466</v>
      </c>
      <c r="F2706" s="4">
        <v>46297</v>
      </c>
      <c r="G2706" s="3" t="s">
        <v>17</v>
      </c>
      <c r="H2706" s="5">
        <v>-8250000</v>
      </c>
      <c r="I2706" s="3" t="s">
        <v>18</v>
      </c>
      <c r="J2706" s="3" t="s">
        <v>14</v>
      </c>
      <c r="K2706" s="3" t="s">
        <v>14</v>
      </c>
      <c r="L2706" s="3" t="s">
        <v>20</v>
      </c>
      <c r="M2706" s="4">
        <v>46297</v>
      </c>
      <c r="N2706" s="3" t="s">
        <v>2769</v>
      </c>
      <c r="O2706" s="3" t="s">
        <v>30</v>
      </c>
      <c r="P2706" t="str">
        <f t="shared" si="42"/>
        <v>450013826910</v>
      </c>
      <c r="Q2706" s="7" cm="1">
        <f t="array" ref="Q2706:S2706">VLOOKUP(P2706,Hoja1!C:F,{2,3,4},FALSE)</f>
        <v>46294</v>
      </c>
      <c r="R2706" t="str">
        <v>C03</v>
      </c>
      <c r="S2706" t="str">
        <v>1000000754 AURELIA SACIYF</v>
      </c>
    </row>
    <row r="2707" spans="1:19" x14ac:dyDescent="0.3">
      <c r="A2707" s="2" t="s">
        <v>14</v>
      </c>
      <c r="B2707" s="3" t="s">
        <v>14</v>
      </c>
      <c r="C2707" s="3" t="s">
        <v>2770</v>
      </c>
      <c r="D2707" s="3" t="s">
        <v>32</v>
      </c>
      <c r="E2707" s="3" t="s">
        <v>466</v>
      </c>
      <c r="F2707" s="4">
        <v>46297</v>
      </c>
      <c r="G2707" s="3" t="s">
        <v>17</v>
      </c>
      <c r="H2707" s="5">
        <v>-1191680</v>
      </c>
      <c r="I2707" s="3" t="s">
        <v>18</v>
      </c>
      <c r="J2707" s="3" t="s">
        <v>14</v>
      </c>
      <c r="K2707" s="3" t="s">
        <v>14</v>
      </c>
      <c r="L2707" s="3" t="s">
        <v>2771</v>
      </c>
      <c r="M2707" s="4">
        <v>46297</v>
      </c>
      <c r="N2707" s="3" t="s">
        <v>2772</v>
      </c>
      <c r="O2707" s="3" t="s">
        <v>30</v>
      </c>
      <c r="P2707" t="str">
        <f t="shared" si="42"/>
        <v>450013942210</v>
      </c>
      <c r="Q2707" s="7" cm="1">
        <f t="array" ref="Q2707:S2707">VLOOKUP(P2707,Hoja1!C:F,{2,3,4},FALSE)</f>
        <v>46325</v>
      </c>
      <c r="R2707" t="str">
        <v>C26</v>
      </c>
      <c r="S2707" t="str">
        <v>1000012282 G&amp;M INFINITE ENERGY S. A.</v>
      </c>
    </row>
    <row r="2708" spans="1:19" x14ac:dyDescent="0.3">
      <c r="A2708" s="2" t="s">
        <v>14</v>
      </c>
      <c r="B2708" s="3" t="s">
        <v>14</v>
      </c>
      <c r="C2708" s="3" t="s">
        <v>2770</v>
      </c>
      <c r="D2708" s="3" t="s">
        <v>32</v>
      </c>
      <c r="E2708" s="3" t="s">
        <v>466</v>
      </c>
      <c r="F2708" s="4">
        <v>46297</v>
      </c>
      <c r="G2708" s="3" t="s">
        <v>17</v>
      </c>
      <c r="H2708" s="5">
        <v>-10427200</v>
      </c>
      <c r="I2708" s="3" t="s">
        <v>18</v>
      </c>
      <c r="J2708" s="3" t="s">
        <v>14</v>
      </c>
      <c r="K2708" s="3" t="s">
        <v>14</v>
      </c>
      <c r="L2708" s="3" t="s">
        <v>2771</v>
      </c>
      <c r="M2708" s="4">
        <v>46297</v>
      </c>
      <c r="N2708" s="3" t="s">
        <v>2772</v>
      </c>
      <c r="O2708" s="3" t="s">
        <v>22</v>
      </c>
      <c r="P2708" t="str">
        <f t="shared" si="42"/>
        <v>450013942220</v>
      </c>
      <c r="Q2708" s="7" cm="1">
        <f t="array" ref="Q2708:S2708">VLOOKUP(P2708,Hoja1!C:F,{2,3,4},FALSE)</f>
        <v>46326</v>
      </c>
      <c r="R2708" t="str">
        <v>C26</v>
      </c>
      <c r="S2708" t="str">
        <v>1000012282 G&amp;M INFINITE ENERGY S. A.</v>
      </c>
    </row>
    <row r="2709" spans="1:19" x14ac:dyDescent="0.3">
      <c r="A2709" s="2" t="s">
        <v>14</v>
      </c>
      <c r="B2709" s="3" t="s">
        <v>14</v>
      </c>
      <c r="C2709" s="3" t="s">
        <v>2770</v>
      </c>
      <c r="D2709" s="3" t="s">
        <v>32</v>
      </c>
      <c r="E2709" s="3" t="s">
        <v>466</v>
      </c>
      <c r="F2709" s="4">
        <v>46297</v>
      </c>
      <c r="G2709" s="3" t="s">
        <v>17</v>
      </c>
      <c r="H2709" s="5">
        <v>-4170880</v>
      </c>
      <c r="I2709" s="3" t="s">
        <v>18</v>
      </c>
      <c r="J2709" s="3" t="s">
        <v>14</v>
      </c>
      <c r="K2709" s="3" t="s">
        <v>14</v>
      </c>
      <c r="L2709" s="3" t="s">
        <v>2771</v>
      </c>
      <c r="M2709" s="4">
        <v>46297</v>
      </c>
      <c r="N2709" s="3" t="s">
        <v>2772</v>
      </c>
      <c r="O2709" s="3" t="s">
        <v>35</v>
      </c>
      <c r="P2709" t="str">
        <f t="shared" si="42"/>
        <v>450013942230</v>
      </c>
      <c r="Q2709" s="7" cm="1">
        <f t="array" ref="Q2709:S2709">VLOOKUP(P2709,Hoja1!C:F,{2,3,4},FALSE)</f>
        <v>46326</v>
      </c>
      <c r="R2709" t="str">
        <v>C26</v>
      </c>
      <c r="S2709" t="str">
        <v>1000012282 G&amp;M INFINITE ENERGY S. A.</v>
      </c>
    </row>
    <row r="2710" spans="1:19" x14ac:dyDescent="0.3">
      <c r="A2710" s="2" t="s">
        <v>14</v>
      </c>
      <c r="B2710" s="3" t="s">
        <v>14</v>
      </c>
      <c r="C2710" s="3" t="s">
        <v>2773</v>
      </c>
      <c r="D2710" s="3" t="s">
        <v>32</v>
      </c>
      <c r="E2710" s="3" t="s">
        <v>466</v>
      </c>
      <c r="F2710" s="4">
        <v>46297</v>
      </c>
      <c r="G2710" s="3" t="s">
        <v>17</v>
      </c>
      <c r="H2710" s="5">
        <v>-5588128</v>
      </c>
      <c r="I2710" s="3" t="s">
        <v>18</v>
      </c>
      <c r="J2710" s="3" t="s">
        <v>14</v>
      </c>
      <c r="K2710" s="3" t="s">
        <v>14</v>
      </c>
      <c r="L2710" s="3" t="s">
        <v>2774</v>
      </c>
      <c r="M2710" s="4">
        <v>46297</v>
      </c>
      <c r="N2710" s="3" t="s">
        <v>2775</v>
      </c>
      <c r="O2710" s="3" t="s">
        <v>30</v>
      </c>
      <c r="P2710" t="str">
        <f t="shared" si="42"/>
        <v>450013471610</v>
      </c>
      <c r="Q2710" s="7" cm="1">
        <f t="array" ref="Q2710:S2710">VLOOKUP(P2710,Hoja1!C:F,{2,3,4},FALSE)</f>
        <v>46325</v>
      </c>
      <c r="R2710" t="str">
        <v>C26</v>
      </c>
      <c r="S2710" t="str">
        <v>1000013445 KINKURO SAS</v>
      </c>
    </row>
    <row r="2711" spans="1:19" x14ac:dyDescent="0.3">
      <c r="A2711" s="2" t="s">
        <v>14</v>
      </c>
      <c r="B2711" s="3" t="s">
        <v>14</v>
      </c>
      <c r="C2711" s="3" t="s">
        <v>2776</v>
      </c>
      <c r="D2711" s="3" t="s">
        <v>32</v>
      </c>
      <c r="E2711" s="3" t="s">
        <v>466</v>
      </c>
      <c r="F2711" s="4">
        <v>46297</v>
      </c>
      <c r="G2711" s="3" t="s">
        <v>17</v>
      </c>
      <c r="H2711" s="5">
        <v>-5067474</v>
      </c>
      <c r="I2711" s="3" t="s">
        <v>18</v>
      </c>
      <c r="J2711" s="3" t="s">
        <v>14</v>
      </c>
      <c r="K2711" s="3" t="s">
        <v>14</v>
      </c>
      <c r="L2711" s="3" t="s">
        <v>2774</v>
      </c>
      <c r="M2711" s="4">
        <v>46297</v>
      </c>
      <c r="N2711" s="3" t="s">
        <v>2777</v>
      </c>
      <c r="O2711" s="3" t="s">
        <v>30</v>
      </c>
      <c r="P2711" t="str">
        <f t="shared" si="42"/>
        <v>450013467110</v>
      </c>
      <c r="Q2711" s="7" cm="1">
        <f t="array" ref="Q2711:S2711">VLOOKUP(P2711,Hoja1!C:F,{2,3,4},FALSE)</f>
        <v>46325</v>
      </c>
      <c r="R2711" t="str">
        <v>C26</v>
      </c>
      <c r="S2711" t="str">
        <v>1000013445 KINKURO SAS</v>
      </c>
    </row>
    <row r="2712" spans="1:19" x14ac:dyDescent="0.3">
      <c r="A2712" s="2" t="s">
        <v>14</v>
      </c>
      <c r="B2712" s="3" t="s">
        <v>14</v>
      </c>
      <c r="C2712" s="3" t="s">
        <v>2776</v>
      </c>
      <c r="D2712" s="3" t="s">
        <v>32</v>
      </c>
      <c r="E2712" s="3" t="s">
        <v>466</v>
      </c>
      <c r="F2712" s="4">
        <v>46297</v>
      </c>
      <c r="G2712" s="3" t="s">
        <v>17</v>
      </c>
      <c r="H2712" s="5">
        <v>-447883</v>
      </c>
      <c r="I2712" s="3" t="s">
        <v>18</v>
      </c>
      <c r="J2712" s="3" t="s">
        <v>14</v>
      </c>
      <c r="K2712" s="3" t="s">
        <v>14</v>
      </c>
      <c r="L2712" s="3" t="s">
        <v>2774</v>
      </c>
      <c r="M2712" s="4">
        <v>46297</v>
      </c>
      <c r="N2712" s="3" t="s">
        <v>2777</v>
      </c>
      <c r="O2712" s="3" t="s">
        <v>22</v>
      </c>
      <c r="P2712" t="str">
        <f t="shared" si="42"/>
        <v>450013467120</v>
      </c>
      <c r="Q2712" s="7" cm="1">
        <f t="array" ref="Q2712:S2712">VLOOKUP(P2712,Hoja1!C:F,{2,3,4},FALSE)</f>
        <v>46325</v>
      </c>
      <c r="R2712" t="str">
        <v>C26</v>
      </c>
      <c r="S2712" t="str">
        <v>1000013445 KINKURO SAS</v>
      </c>
    </row>
    <row r="2713" spans="1:19" x14ac:dyDescent="0.3">
      <c r="A2713" s="2" t="s">
        <v>14</v>
      </c>
      <c r="B2713" s="3" t="s">
        <v>14</v>
      </c>
      <c r="C2713" s="3" t="s">
        <v>2776</v>
      </c>
      <c r="D2713" s="3" t="s">
        <v>32</v>
      </c>
      <c r="E2713" s="3" t="s">
        <v>466</v>
      </c>
      <c r="F2713" s="4">
        <v>46297</v>
      </c>
      <c r="G2713" s="3" t="s">
        <v>17</v>
      </c>
      <c r="H2713" s="5">
        <v>-716612</v>
      </c>
      <c r="I2713" s="3" t="s">
        <v>18</v>
      </c>
      <c r="J2713" s="3" t="s">
        <v>14</v>
      </c>
      <c r="K2713" s="3" t="s">
        <v>14</v>
      </c>
      <c r="L2713" s="3" t="s">
        <v>2774</v>
      </c>
      <c r="M2713" s="4">
        <v>46297</v>
      </c>
      <c r="N2713" s="3" t="s">
        <v>2777</v>
      </c>
      <c r="O2713" s="3" t="s">
        <v>35</v>
      </c>
      <c r="P2713" t="str">
        <f t="shared" si="42"/>
        <v>450013467130</v>
      </c>
      <c r="Q2713" s="7" cm="1">
        <f t="array" ref="Q2713:S2713">VLOOKUP(P2713,Hoja1!C:F,{2,3,4},FALSE)</f>
        <v>46325</v>
      </c>
      <c r="R2713" t="str">
        <v>C26</v>
      </c>
      <c r="S2713" t="str">
        <v>1000013445 KINKURO SAS</v>
      </c>
    </row>
    <row r="2714" spans="1:19" x14ac:dyDescent="0.3">
      <c r="A2714" s="2" t="s">
        <v>14</v>
      </c>
      <c r="B2714" s="3" t="s">
        <v>14</v>
      </c>
      <c r="C2714" s="3" t="s">
        <v>2778</v>
      </c>
      <c r="D2714" s="3" t="s">
        <v>84</v>
      </c>
      <c r="E2714" s="3" t="s">
        <v>466</v>
      </c>
      <c r="F2714" s="4">
        <v>46297</v>
      </c>
      <c r="G2714" s="3" t="s">
        <v>17</v>
      </c>
      <c r="H2714" s="5">
        <v>-22133.69</v>
      </c>
      <c r="I2714" s="3" t="s">
        <v>18</v>
      </c>
      <c r="J2714" s="3" t="s">
        <v>14</v>
      </c>
      <c r="K2714" s="3" t="s">
        <v>14</v>
      </c>
      <c r="L2714" s="3" t="s">
        <v>498</v>
      </c>
      <c r="M2714" s="4">
        <v>46297</v>
      </c>
      <c r="N2714" s="3" t="s">
        <v>2779</v>
      </c>
      <c r="O2714" s="3" t="s">
        <v>30</v>
      </c>
      <c r="P2714" t="str">
        <f t="shared" si="42"/>
        <v>450013989510</v>
      </c>
      <c r="Q2714" s="7" cm="1">
        <f t="array" ref="Q2714:S2714">VLOOKUP(P2714,Hoja1!C:F,{2,3,4},FALSE)</f>
        <v>46307</v>
      </c>
      <c r="R2714" t="str">
        <v>C06</v>
      </c>
      <c r="S2714" t="str">
        <v>1000000453 GOMA 2000 DE TECNO PART S.A.</v>
      </c>
    </row>
    <row r="2715" spans="1:19" x14ac:dyDescent="0.3">
      <c r="A2715" s="2" t="s">
        <v>14</v>
      </c>
      <c r="B2715" s="3" t="s">
        <v>14</v>
      </c>
      <c r="C2715" s="3" t="s">
        <v>2780</v>
      </c>
      <c r="D2715" s="3" t="s">
        <v>84</v>
      </c>
      <c r="E2715" s="3" t="s">
        <v>466</v>
      </c>
      <c r="F2715" s="4">
        <v>46297</v>
      </c>
      <c r="G2715" s="3" t="s">
        <v>17</v>
      </c>
      <c r="H2715" s="5">
        <v>-208301.76</v>
      </c>
      <c r="I2715" s="3" t="s">
        <v>18</v>
      </c>
      <c r="J2715" s="3" t="s">
        <v>14</v>
      </c>
      <c r="K2715" s="3" t="s">
        <v>14</v>
      </c>
      <c r="L2715" s="3" t="s">
        <v>1751</v>
      </c>
      <c r="M2715" s="4">
        <v>46297</v>
      </c>
      <c r="N2715" s="3" t="s">
        <v>1752</v>
      </c>
      <c r="O2715" s="3" t="s">
        <v>177</v>
      </c>
      <c r="P2715" t="str">
        <f t="shared" si="42"/>
        <v>4500134130570</v>
      </c>
      <c r="Q2715" s="7" cm="1">
        <f t="array" ref="Q2715:S2715">VLOOKUP(P2715,Hoja1!C:F,{2,3,4},FALSE)</f>
        <v>46304</v>
      </c>
      <c r="R2715" t="str">
        <v>C19</v>
      </c>
      <c r="S2715" t="str">
        <v>1000007752 VAHUME S.A.</v>
      </c>
    </row>
    <row r="2716" spans="1:19" x14ac:dyDescent="0.3">
      <c r="A2716" s="2" t="s">
        <v>14</v>
      </c>
      <c r="B2716" s="3" t="s">
        <v>14</v>
      </c>
      <c r="C2716" s="3" t="s">
        <v>2781</v>
      </c>
      <c r="D2716" s="3" t="s">
        <v>14</v>
      </c>
      <c r="E2716" s="3" t="s">
        <v>466</v>
      </c>
      <c r="F2716" s="4">
        <v>46297</v>
      </c>
      <c r="G2716" s="3" t="s">
        <v>17</v>
      </c>
      <c r="H2716" s="5">
        <v>-300000</v>
      </c>
      <c r="I2716" s="3" t="s">
        <v>18</v>
      </c>
      <c r="J2716" s="3" t="s">
        <v>14</v>
      </c>
      <c r="K2716" s="3" t="s">
        <v>14</v>
      </c>
      <c r="L2716" s="3" t="s">
        <v>2782</v>
      </c>
      <c r="M2716" s="4">
        <v>46297</v>
      </c>
      <c r="N2716" s="3" t="s">
        <v>2783</v>
      </c>
      <c r="O2716" s="3" t="s">
        <v>30</v>
      </c>
      <c r="P2716" t="str">
        <f t="shared" si="42"/>
        <v>450012833210</v>
      </c>
      <c r="Q2716" s="7" cm="1">
        <f t="array" ref="Q2716:S2716">VLOOKUP(P2716,Hoja1!C:F,{2,3,4},FALSE)</f>
        <v>46331</v>
      </c>
      <c r="R2716" t="str">
        <v>C24</v>
      </c>
      <c r="S2716" t="str">
        <v>1000013078 RAMIREZ RUBEN DARIO</v>
      </c>
    </row>
    <row r="2717" spans="1:19" x14ac:dyDescent="0.3">
      <c r="A2717" s="2" t="s">
        <v>14</v>
      </c>
      <c r="B2717" s="3" t="s">
        <v>14</v>
      </c>
      <c r="C2717" s="3" t="s">
        <v>2905</v>
      </c>
      <c r="D2717" s="3" t="s">
        <v>14</v>
      </c>
      <c r="E2717" s="3" t="s">
        <v>466</v>
      </c>
      <c r="F2717" s="4">
        <v>46297</v>
      </c>
      <c r="G2717" s="3" t="s">
        <v>17</v>
      </c>
      <c r="H2717" s="5">
        <v>-32231.4</v>
      </c>
      <c r="I2717" s="3" t="s">
        <v>18</v>
      </c>
      <c r="J2717" s="3" t="s">
        <v>14</v>
      </c>
      <c r="K2717" s="3" t="s">
        <v>14</v>
      </c>
      <c r="L2717" s="3" t="s">
        <v>2878</v>
      </c>
      <c r="M2717" s="4">
        <v>46297</v>
      </c>
      <c r="N2717" s="3" t="s">
        <v>2906</v>
      </c>
      <c r="O2717" s="3" t="s">
        <v>30</v>
      </c>
      <c r="P2717" t="str">
        <f t="shared" si="42"/>
        <v>450014004710</v>
      </c>
      <c r="Q2717" s="7" cm="1">
        <f t="array" ref="Q2717:S2717">VLOOKUP(P2717,Hoja1!C:F,{2,3,4},FALSE)</f>
        <v>46309</v>
      </c>
      <c r="R2717" t="str">
        <v>C17</v>
      </c>
      <c r="S2717" t="str">
        <v>1000012175 SINELLI MAURICIO ALEJANDRO</v>
      </c>
    </row>
    <row r="2718" spans="1:19" x14ac:dyDescent="0.3">
      <c r="A2718" s="2" t="s">
        <v>14</v>
      </c>
      <c r="B2718" s="3" t="s">
        <v>14</v>
      </c>
      <c r="C2718" s="3" t="s">
        <v>2905</v>
      </c>
      <c r="D2718" s="3" t="s">
        <v>14</v>
      </c>
      <c r="E2718" s="3" t="s">
        <v>466</v>
      </c>
      <c r="F2718" s="4">
        <v>46297</v>
      </c>
      <c r="G2718" s="3" t="s">
        <v>17</v>
      </c>
      <c r="H2718" s="5">
        <v>-13636.26</v>
      </c>
      <c r="I2718" s="3" t="s">
        <v>18</v>
      </c>
      <c r="J2718" s="3" t="s">
        <v>14</v>
      </c>
      <c r="K2718" s="3" t="s">
        <v>14</v>
      </c>
      <c r="L2718" s="3" t="s">
        <v>2878</v>
      </c>
      <c r="M2718" s="4">
        <v>46297</v>
      </c>
      <c r="N2718" s="3" t="s">
        <v>2906</v>
      </c>
      <c r="O2718" s="3" t="s">
        <v>22</v>
      </c>
      <c r="P2718" t="str">
        <f t="shared" si="42"/>
        <v>450014004720</v>
      </c>
      <c r="Q2718" s="7" cm="1">
        <f t="array" ref="Q2718:S2718">VLOOKUP(P2718,Hoja1!C:F,{2,3,4},FALSE)</f>
        <v>46309</v>
      </c>
      <c r="R2718" t="str">
        <v>C17</v>
      </c>
      <c r="S2718" t="str">
        <v>1000012175 SINELLI MAURICIO ALEJANDRO</v>
      </c>
    </row>
    <row r="2719" spans="1:19" x14ac:dyDescent="0.3">
      <c r="A2719" s="2" t="s">
        <v>14</v>
      </c>
      <c r="B2719" s="3" t="s">
        <v>14</v>
      </c>
      <c r="C2719" s="3" t="s">
        <v>2905</v>
      </c>
      <c r="D2719" s="3" t="s">
        <v>14</v>
      </c>
      <c r="E2719" s="3" t="s">
        <v>466</v>
      </c>
      <c r="F2719" s="4">
        <v>46297</v>
      </c>
      <c r="G2719" s="3" t="s">
        <v>17</v>
      </c>
      <c r="H2719" s="5">
        <v>-10743.72</v>
      </c>
      <c r="I2719" s="3" t="s">
        <v>18</v>
      </c>
      <c r="J2719" s="3" t="s">
        <v>14</v>
      </c>
      <c r="K2719" s="3" t="s">
        <v>14</v>
      </c>
      <c r="L2719" s="3" t="s">
        <v>2878</v>
      </c>
      <c r="M2719" s="4">
        <v>46297</v>
      </c>
      <c r="N2719" s="3" t="s">
        <v>2906</v>
      </c>
      <c r="O2719" s="3" t="s">
        <v>35</v>
      </c>
      <c r="P2719" t="str">
        <f t="shared" si="42"/>
        <v>450014004730</v>
      </c>
      <c r="Q2719" s="7" cm="1">
        <f t="array" ref="Q2719:S2719">VLOOKUP(P2719,Hoja1!C:F,{2,3,4},FALSE)</f>
        <v>46309</v>
      </c>
      <c r="R2719" t="str">
        <v>C17</v>
      </c>
      <c r="S2719" t="str">
        <v>1000012175 SINELLI MAURICIO ALEJANDRO</v>
      </c>
    </row>
    <row r="2720" spans="1:19" x14ac:dyDescent="0.3">
      <c r="A2720" s="2" t="s">
        <v>14</v>
      </c>
      <c r="B2720" s="3" t="s">
        <v>14</v>
      </c>
      <c r="C2720" s="3" t="s">
        <v>2905</v>
      </c>
      <c r="D2720" s="3" t="s">
        <v>14</v>
      </c>
      <c r="E2720" s="3" t="s">
        <v>466</v>
      </c>
      <c r="F2720" s="4">
        <v>46297</v>
      </c>
      <c r="G2720" s="3" t="s">
        <v>17</v>
      </c>
      <c r="H2720" s="5">
        <v>-9917.2800000000007</v>
      </c>
      <c r="I2720" s="3" t="s">
        <v>18</v>
      </c>
      <c r="J2720" s="3" t="s">
        <v>14</v>
      </c>
      <c r="K2720" s="3" t="s">
        <v>14</v>
      </c>
      <c r="L2720" s="3" t="s">
        <v>2878</v>
      </c>
      <c r="M2720" s="4">
        <v>46297</v>
      </c>
      <c r="N2720" s="3" t="s">
        <v>2906</v>
      </c>
      <c r="O2720" s="3" t="s">
        <v>23</v>
      </c>
      <c r="P2720" t="str">
        <f t="shared" si="42"/>
        <v>450014004740</v>
      </c>
      <c r="Q2720" s="7" cm="1">
        <f t="array" ref="Q2720:S2720">VLOOKUP(P2720,Hoja1!C:F,{2,3,4},FALSE)</f>
        <v>46309</v>
      </c>
      <c r="R2720" t="str">
        <v>C17</v>
      </c>
      <c r="S2720" t="str">
        <v>1000012175 SINELLI MAURICIO ALEJANDRO</v>
      </c>
    </row>
    <row r="2721" spans="1:19" x14ac:dyDescent="0.3">
      <c r="A2721" s="2" t="s">
        <v>14</v>
      </c>
      <c r="B2721" s="3" t="s">
        <v>14</v>
      </c>
      <c r="C2721" s="3" t="s">
        <v>2905</v>
      </c>
      <c r="D2721" s="3" t="s">
        <v>14</v>
      </c>
      <c r="E2721" s="3" t="s">
        <v>466</v>
      </c>
      <c r="F2721" s="4">
        <v>46297</v>
      </c>
      <c r="G2721" s="3" t="s">
        <v>17</v>
      </c>
      <c r="H2721" s="5">
        <v>-9090.84</v>
      </c>
      <c r="I2721" s="3" t="s">
        <v>18</v>
      </c>
      <c r="J2721" s="3" t="s">
        <v>14</v>
      </c>
      <c r="K2721" s="3" t="s">
        <v>14</v>
      </c>
      <c r="L2721" s="3" t="s">
        <v>2878</v>
      </c>
      <c r="M2721" s="4">
        <v>46297</v>
      </c>
      <c r="N2721" s="3" t="s">
        <v>2906</v>
      </c>
      <c r="O2721" s="3" t="s">
        <v>144</v>
      </c>
      <c r="P2721" t="str">
        <f t="shared" si="42"/>
        <v>450014004750</v>
      </c>
      <c r="Q2721" s="7" cm="1">
        <f t="array" ref="Q2721:S2721">VLOOKUP(P2721,Hoja1!C:F,{2,3,4},FALSE)</f>
        <v>46309</v>
      </c>
      <c r="R2721" t="str">
        <v>C17</v>
      </c>
      <c r="S2721" t="str">
        <v>1000012175 SINELLI MAURICIO ALEJANDRO</v>
      </c>
    </row>
    <row r="2722" spans="1:19" x14ac:dyDescent="0.3">
      <c r="A2722" s="2" t="s">
        <v>14</v>
      </c>
      <c r="B2722" s="3" t="s">
        <v>14</v>
      </c>
      <c r="C2722" s="3" t="s">
        <v>2905</v>
      </c>
      <c r="D2722" s="3" t="s">
        <v>14</v>
      </c>
      <c r="E2722" s="3" t="s">
        <v>466</v>
      </c>
      <c r="F2722" s="4">
        <v>46297</v>
      </c>
      <c r="G2722" s="3" t="s">
        <v>17</v>
      </c>
      <c r="H2722" s="5">
        <v>-4909.08</v>
      </c>
      <c r="I2722" s="3" t="s">
        <v>18</v>
      </c>
      <c r="J2722" s="3" t="s">
        <v>14</v>
      </c>
      <c r="K2722" s="3" t="s">
        <v>14</v>
      </c>
      <c r="L2722" s="3" t="s">
        <v>2878</v>
      </c>
      <c r="M2722" s="4">
        <v>46297</v>
      </c>
      <c r="N2722" s="3" t="s">
        <v>2906</v>
      </c>
      <c r="O2722" s="3" t="s">
        <v>45</v>
      </c>
      <c r="P2722" t="str">
        <f t="shared" si="42"/>
        <v>4500140047100</v>
      </c>
      <c r="Q2722" s="7" cm="1">
        <f t="array" ref="Q2722:S2722">VLOOKUP(P2722,Hoja1!C:F,{2,3,4},FALSE)</f>
        <v>46309</v>
      </c>
      <c r="R2722" t="str">
        <v>C17</v>
      </c>
      <c r="S2722" t="str">
        <v>1000012175 SINELLI MAURICIO ALEJANDRO</v>
      </c>
    </row>
    <row r="2723" spans="1:19" x14ac:dyDescent="0.3">
      <c r="A2723" s="2" t="s">
        <v>14</v>
      </c>
      <c r="B2723" s="3" t="s">
        <v>14</v>
      </c>
      <c r="C2723" s="3" t="s">
        <v>2907</v>
      </c>
      <c r="D2723" s="3" t="s">
        <v>14</v>
      </c>
      <c r="E2723" s="3" t="s">
        <v>466</v>
      </c>
      <c r="F2723" s="4">
        <v>46260</v>
      </c>
      <c r="G2723" s="3" t="s">
        <v>17</v>
      </c>
      <c r="H2723" s="5">
        <v>-430000</v>
      </c>
      <c r="I2723" s="3" t="s">
        <v>18</v>
      </c>
      <c r="J2723" s="3" t="s">
        <v>14</v>
      </c>
      <c r="K2723" s="3" t="s">
        <v>14</v>
      </c>
      <c r="L2723" s="3" t="s">
        <v>2840</v>
      </c>
      <c r="M2723" s="4">
        <v>46297</v>
      </c>
      <c r="N2723" s="3" t="s">
        <v>2841</v>
      </c>
      <c r="O2723" s="3" t="s">
        <v>30</v>
      </c>
      <c r="P2723" t="str">
        <f t="shared" si="42"/>
        <v>450014009010</v>
      </c>
      <c r="Q2723" s="7" cm="1">
        <f t="array" ref="Q2723:S2723">VLOOKUP(P2723,Hoja1!C:F,{2,3,4},FALSE)</f>
        <v>46259</v>
      </c>
      <c r="R2723" t="str">
        <v>C38</v>
      </c>
      <c r="S2723" t="str">
        <v>1000009410 TONELLI CRISTIAN ADRIAN</v>
      </c>
    </row>
    <row r="2724" spans="1:19" x14ac:dyDescent="0.3">
      <c r="A2724" s="2" t="s">
        <v>14</v>
      </c>
      <c r="B2724" s="3" t="s">
        <v>14</v>
      </c>
      <c r="C2724" s="3" t="s">
        <v>2908</v>
      </c>
      <c r="D2724" s="3" t="s">
        <v>14</v>
      </c>
      <c r="E2724" s="3" t="s">
        <v>466</v>
      </c>
      <c r="F2724" s="4">
        <v>46297</v>
      </c>
      <c r="G2724" s="3" t="s">
        <v>17</v>
      </c>
      <c r="H2724" s="5">
        <v>-92179</v>
      </c>
      <c r="I2724" s="3" t="s">
        <v>18</v>
      </c>
      <c r="J2724" s="3" t="s">
        <v>14</v>
      </c>
      <c r="K2724" s="3" t="s">
        <v>14</v>
      </c>
      <c r="L2724" s="3" t="s">
        <v>2909</v>
      </c>
      <c r="M2724" s="4">
        <v>46297</v>
      </c>
      <c r="N2724" s="3" t="s">
        <v>2910</v>
      </c>
      <c r="O2724" s="3" t="s">
        <v>30</v>
      </c>
      <c r="P2724" t="str">
        <f t="shared" si="42"/>
        <v>450014001710</v>
      </c>
      <c r="Q2724" s="7" cm="1">
        <f t="array" ref="Q2724:S2724">VLOOKUP(P2724,Hoja1!C:F,{2,3,4},FALSE)</f>
        <v>46302</v>
      </c>
      <c r="R2724" t="str">
        <v>C38</v>
      </c>
      <c r="S2724" t="str">
        <v>1000000636 GIOVAGNOLI S.R.L.</v>
      </c>
    </row>
    <row r="2725" spans="1:19" x14ac:dyDescent="0.3">
      <c r="A2725" s="2" t="s">
        <v>14</v>
      </c>
      <c r="B2725" s="3" t="s">
        <v>14</v>
      </c>
      <c r="C2725" s="3" t="s">
        <v>2911</v>
      </c>
      <c r="D2725" s="3" t="s">
        <v>84</v>
      </c>
      <c r="E2725" s="3" t="s">
        <v>466</v>
      </c>
      <c r="F2725" s="4">
        <v>46297</v>
      </c>
      <c r="G2725" s="3" t="s">
        <v>17</v>
      </c>
      <c r="H2725" s="5">
        <v>-107414.78</v>
      </c>
      <c r="I2725" s="3" t="s">
        <v>18</v>
      </c>
      <c r="J2725" s="3" t="s">
        <v>14</v>
      </c>
      <c r="K2725" s="3" t="s">
        <v>14</v>
      </c>
      <c r="L2725" s="3" t="s">
        <v>2912</v>
      </c>
      <c r="M2725" s="4">
        <v>46297</v>
      </c>
      <c r="N2725" s="3" t="s">
        <v>2913</v>
      </c>
      <c r="O2725" s="3" t="s">
        <v>30</v>
      </c>
      <c r="P2725" t="str">
        <f t="shared" si="42"/>
        <v>450013955510</v>
      </c>
      <c r="Q2725" s="7" cm="1">
        <f t="array" ref="Q2725:S2725">VLOOKUP(P2725,Hoja1!C:F,{2,3,4},FALSE)</f>
        <v>46303</v>
      </c>
      <c r="R2725" t="str">
        <v>C06</v>
      </c>
      <c r="S2725" t="str">
        <v>1000000811 MARADONA, RICARDO WALTER</v>
      </c>
    </row>
    <row r="2726" spans="1:19" x14ac:dyDescent="0.3">
      <c r="A2726" s="2" t="s">
        <v>14</v>
      </c>
      <c r="B2726" s="3" t="s">
        <v>14</v>
      </c>
      <c r="C2726" s="3" t="s">
        <v>2911</v>
      </c>
      <c r="D2726" s="3" t="s">
        <v>14</v>
      </c>
      <c r="E2726" s="3" t="s">
        <v>466</v>
      </c>
      <c r="F2726" s="4">
        <v>46297</v>
      </c>
      <c r="G2726" s="3" t="s">
        <v>17</v>
      </c>
      <c r="H2726" s="5">
        <v>-29297.94</v>
      </c>
      <c r="I2726" s="3" t="s">
        <v>18</v>
      </c>
      <c r="J2726" s="3" t="s">
        <v>14</v>
      </c>
      <c r="K2726" s="3" t="s">
        <v>14</v>
      </c>
      <c r="L2726" s="3" t="s">
        <v>2912</v>
      </c>
      <c r="M2726" s="4">
        <v>46297</v>
      </c>
      <c r="N2726" s="3" t="s">
        <v>2913</v>
      </c>
      <c r="O2726" s="3" t="s">
        <v>22</v>
      </c>
      <c r="P2726" t="str">
        <f t="shared" si="42"/>
        <v>450013955520</v>
      </c>
      <c r="Q2726" s="7" cm="1">
        <f t="array" ref="Q2726:S2726">VLOOKUP(P2726,Hoja1!C:F,{2,3,4},FALSE)</f>
        <v>46303</v>
      </c>
      <c r="R2726" t="str">
        <v>C06</v>
      </c>
      <c r="S2726" t="str">
        <v>1000000811 MARADONA, RICARDO WALTER</v>
      </c>
    </row>
    <row r="2727" spans="1:19" x14ac:dyDescent="0.3">
      <c r="A2727" s="2" t="s">
        <v>14</v>
      </c>
      <c r="B2727" s="3" t="s">
        <v>14</v>
      </c>
      <c r="C2727" s="3" t="s">
        <v>2911</v>
      </c>
      <c r="D2727" s="3" t="s">
        <v>84</v>
      </c>
      <c r="E2727" s="3" t="s">
        <v>466</v>
      </c>
      <c r="F2727" s="4">
        <v>46297</v>
      </c>
      <c r="G2727" s="3" t="s">
        <v>17</v>
      </c>
      <c r="H2727" s="5">
        <v>-383569.06</v>
      </c>
      <c r="I2727" s="3" t="s">
        <v>18</v>
      </c>
      <c r="J2727" s="3" t="s">
        <v>14</v>
      </c>
      <c r="K2727" s="3" t="s">
        <v>14</v>
      </c>
      <c r="L2727" s="3" t="s">
        <v>2912</v>
      </c>
      <c r="M2727" s="4">
        <v>46297</v>
      </c>
      <c r="N2727" s="3" t="s">
        <v>2913</v>
      </c>
      <c r="O2727" s="3" t="s">
        <v>35</v>
      </c>
      <c r="P2727" t="str">
        <f t="shared" si="42"/>
        <v>450013955530</v>
      </c>
      <c r="Q2727" s="7" cm="1">
        <f t="array" ref="Q2727:S2727">VLOOKUP(P2727,Hoja1!C:F,{2,3,4},FALSE)</f>
        <v>46303</v>
      </c>
      <c r="R2727" t="str">
        <v>C06</v>
      </c>
      <c r="S2727" t="str">
        <v>1000000811 MARADONA, RICARDO WALTER</v>
      </c>
    </row>
    <row r="2728" spans="1:19" x14ac:dyDescent="0.3">
      <c r="A2728" s="2" t="s">
        <v>14</v>
      </c>
      <c r="B2728" s="3" t="s">
        <v>14</v>
      </c>
      <c r="C2728" s="3" t="s">
        <v>2914</v>
      </c>
      <c r="D2728" s="3" t="s">
        <v>14</v>
      </c>
      <c r="E2728" s="3" t="s">
        <v>466</v>
      </c>
      <c r="F2728" s="4">
        <v>46297</v>
      </c>
      <c r="G2728" s="3" t="s">
        <v>17</v>
      </c>
      <c r="H2728" s="5">
        <v>-362550</v>
      </c>
      <c r="I2728" s="3" t="s">
        <v>18</v>
      </c>
      <c r="J2728" s="3" t="s">
        <v>14</v>
      </c>
      <c r="K2728" s="3" t="s">
        <v>14</v>
      </c>
      <c r="L2728" s="3" t="s">
        <v>2915</v>
      </c>
      <c r="M2728" s="4">
        <v>46297</v>
      </c>
      <c r="N2728" s="3" t="s">
        <v>2916</v>
      </c>
      <c r="O2728" s="3" t="s">
        <v>30</v>
      </c>
      <c r="P2728" t="str">
        <f t="shared" si="42"/>
        <v>450011897910</v>
      </c>
      <c r="Q2728" s="7" cm="1">
        <f t="array" ref="Q2728:S2728">VLOOKUP(P2728,Hoja1!C:F,{2,3,4},FALSE)</f>
        <v>46418</v>
      </c>
      <c r="R2728" t="str">
        <v>C24</v>
      </c>
      <c r="S2728" t="str">
        <v>1000002819 POMA SCIANCA &amp; ASOCIADOS SA</v>
      </c>
    </row>
    <row r="2729" spans="1:19" x14ac:dyDescent="0.3">
      <c r="A2729" s="2" t="s">
        <v>14</v>
      </c>
      <c r="B2729" s="3" t="s">
        <v>14</v>
      </c>
      <c r="C2729" s="3" t="s">
        <v>2914</v>
      </c>
      <c r="D2729" s="3" t="s">
        <v>14</v>
      </c>
      <c r="E2729" s="3" t="s">
        <v>466</v>
      </c>
      <c r="F2729" s="4">
        <v>46297</v>
      </c>
      <c r="G2729" s="3" t="s">
        <v>17</v>
      </c>
      <c r="H2729" s="5">
        <v>-362550</v>
      </c>
      <c r="I2729" s="3" t="s">
        <v>18</v>
      </c>
      <c r="J2729" s="3" t="s">
        <v>14</v>
      </c>
      <c r="K2729" s="3" t="s">
        <v>14</v>
      </c>
      <c r="L2729" s="3" t="s">
        <v>2915</v>
      </c>
      <c r="M2729" s="4">
        <v>46297</v>
      </c>
      <c r="N2729" s="3" t="s">
        <v>2916</v>
      </c>
      <c r="O2729" s="3" t="s">
        <v>22</v>
      </c>
      <c r="P2729" t="str">
        <f t="shared" si="42"/>
        <v>450011897920</v>
      </c>
      <c r="Q2729" s="7" cm="1">
        <f t="array" ref="Q2729:S2729">VLOOKUP(P2729,Hoja1!C:F,{2,3,4},FALSE)</f>
        <v>46418</v>
      </c>
      <c r="R2729" t="str">
        <v>C24</v>
      </c>
      <c r="S2729" t="str">
        <v>1000002819 POMA SCIANCA &amp; ASOCIADOS SA</v>
      </c>
    </row>
    <row r="2730" spans="1:19" x14ac:dyDescent="0.3">
      <c r="A2730" s="2" t="s">
        <v>14</v>
      </c>
      <c r="B2730" s="3" t="s">
        <v>14</v>
      </c>
      <c r="C2730" s="3" t="s">
        <v>2917</v>
      </c>
      <c r="D2730" s="3" t="s">
        <v>32</v>
      </c>
      <c r="E2730" s="3" t="s">
        <v>466</v>
      </c>
      <c r="F2730" s="4">
        <v>46297</v>
      </c>
      <c r="G2730" s="3" t="s">
        <v>17</v>
      </c>
      <c r="H2730" s="5">
        <v>-1017645.72</v>
      </c>
      <c r="I2730" s="3" t="s">
        <v>18</v>
      </c>
      <c r="J2730" s="3" t="s">
        <v>14</v>
      </c>
      <c r="K2730" s="3" t="s">
        <v>14</v>
      </c>
      <c r="L2730" s="3" t="s">
        <v>2793</v>
      </c>
      <c r="M2730" s="4">
        <v>46297</v>
      </c>
      <c r="N2730" s="3" t="s">
        <v>2843</v>
      </c>
      <c r="O2730" s="3" t="s">
        <v>30</v>
      </c>
      <c r="P2730" t="str">
        <f t="shared" si="42"/>
        <v>450012914210</v>
      </c>
      <c r="Q2730" s="7" cm="1">
        <f t="array" ref="Q2730:S2730">VLOOKUP(P2730,Hoja1!C:F,{2,3,4},FALSE)</f>
        <v>46387</v>
      </c>
      <c r="R2730" t="str">
        <v>C18</v>
      </c>
      <c r="S2730" t="str">
        <v>1000001737 BETONSUR SRL</v>
      </c>
    </row>
    <row r="2731" spans="1:19" x14ac:dyDescent="0.3">
      <c r="A2731" s="2" t="s">
        <v>14</v>
      </c>
      <c r="B2731" s="3" t="s">
        <v>14</v>
      </c>
      <c r="C2731" s="3" t="s">
        <v>2918</v>
      </c>
      <c r="D2731" s="3" t="s">
        <v>32</v>
      </c>
      <c r="E2731" s="3" t="s">
        <v>466</v>
      </c>
      <c r="F2731" s="4">
        <v>46297</v>
      </c>
      <c r="G2731" s="3" t="s">
        <v>17</v>
      </c>
      <c r="H2731" s="5">
        <v>-13026982.460000001</v>
      </c>
      <c r="I2731" s="3" t="s">
        <v>18</v>
      </c>
      <c r="J2731" s="3" t="s">
        <v>14</v>
      </c>
      <c r="K2731" s="3" t="s">
        <v>14</v>
      </c>
      <c r="L2731" s="3" t="s">
        <v>2793</v>
      </c>
      <c r="M2731" s="4">
        <v>46297</v>
      </c>
      <c r="N2731" s="3" t="s">
        <v>2796</v>
      </c>
      <c r="O2731" s="3" t="s">
        <v>30</v>
      </c>
      <c r="P2731" t="str">
        <f t="shared" si="42"/>
        <v>450013361610</v>
      </c>
      <c r="Q2731" s="7" cm="1">
        <f t="array" ref="Q2731:S2731">VLOOKUP(P2731,Hoja1!C:F,{2,3,4},FALSE)</f>
        <v>46327</v>
      </c>
      <c r="R2731" t="str">
        <v>C18</v>
      </c>
      <c r="S2731" t="str">
        <v>1000001737 BETONSUR SRL</v>
      </c>
    </row>
    <row r="2732" spans="1:19" x14ac:dyDescent="0.3">
      <c r="A2732" s="2" t="s">
        <v>14</v>
      </c>
      <c r="B2732" s="3" t="s">
        <v>14</v>
      </c>
      <c r="C2732" s="3" t="s">
        <v>2919</v>
      </c>
      <c r="D2732" s="3" t="s">
        <v>32</v>
      </c>
      <c r="E2732" s="3" t="s">
        <v>466</v>
      </c>
      <c r="F2732" s="4">
        <v>46297</v>
      </c>
      <c r="G2732" s="3" t="s">
        <v>17</v>
      </c>
      <c r="H2732" s="5">
        <v>-34233020.18</v>
      </c>
      <c r="I2732" s="3" t="s">
        <v>18</v>
      </c>
      <c r="J2732" s="3" t="s">
        <v>14</v>
      </c>
      <c r="K2732" s="3" t="s">
        <v>14</v>
      </c>
      <c r="L2732" s="3" t="s">
        <v>2793</v>
      </c>
      <c r="M2732" s="4">
        <v>46297</v>
      </c>
      <c r="N2732" s="3" t="s">
        <v>2794</v>
      </c>
      <c r="O2732" s="3" t="s">
        <v>30</v>
      </c>
      <c r="P2732" t="str">
        <f t="shared" si="42"/>
        <v>450013792910</v>
      </c>
      <c r="Q2732" s="7" cm="1">
        <f t="array" ref="Q2732:S2732">VLOOKUP(P2732,Hoja1!C:F,{2,3,4},FALSE)</f>
        <v>46387</v>
      </c>
      <c r="R2732" t="str">
        <v>C18</v>
      </c>
      <c r="S2732" t="str">
        <v>1000001737 BETONSUR SRL</v>
      </c>
    </row>
    <row r="2733" spans="1:19" x14ac:dyDescent="0.3">
      <c r="A2733" s="2" t="s">
        <v>14</v>
      </c>
      <c r="B2733" s="3" t="s">
        <v>14</v>
      </c>
      <c r="C2733" s="3" t="s">
        <v>2920</v>
      </c>
      <c r="D2733" s="3" t="s">
        <v>32</v>
      </c>
      <c r="E2733" s="3" t="s">
        <v>466</v>
      </c>
      <c r="F2733" s="4">
        <v>46297</v>
      </c>
      <c r="G2733" s="3" t="s">
        <v>17</v>
      </c>
      <c r="H2733" s="5">
        <v>-622956.80000000005</v>
      </c>
      <c r="I2733" s="3" t="s">
        <v>18</v>
      </c>
      <c r="J2733" s="3" t="s">
        <v>14</v>
      </c>
      <c r="K2733" s="3" t="s">
        <v>14</v>
      </c>
      <c r="L2733" s="3" t="s">
        <v>2067</v>
      </c>
      <c r="M2733" s="4">
        <v>46297</v>
      </c>
      <c r="N2733" s="3" t="s">
        <v>2870</v>
      </c>
      <c r="O2733" s="3" t="s">
        <v>30</v>
      </c>
      <c r="P2733" t="str">
        <f t="shared" si="42"/>
        <v>450013970610</v>
      </c>
      <c r="Q2733" s="7" cm="1">
        <f t="array" ref="Q2733:S2733">VLOOKUP(P2733,Hoja1!C:F,{2,3,4},FALSE)</f>
        <v>46303</v>
      </c>
      <c r="R2733" t="str">
        <v>374</v>
      </c>
      <c r="S2733" t="str">
        <v>1000000418 HILTI ARGENTINA SRL</v>
      </c>
    </row>
    <row r="2734" spans="1:19" x14ac:dyDescent="0.3">
      <c r="A2734" s="2" t="s">
        <v>14</v>
      </c>
      <c r="B2734" s="3" t="s">
        <v>14</v>
      </c>
      <c r="C2734" s="3" t="s">
        <v>2920</v>
      </c>
      <c r="D2734" s="3" t="s">
        <v>32</v>
      </c>
      <c r="E2734" s="3" t="s">
        <v>466</v>
      </c>
      <c r="F2734" s="4">
        <v>46297</v>
      </c>
      <c r="G2734" s="3" t="s">
        <v>17</v>
      </c>
      <c r="H2734" s="5">
        <v>-61712</v>
      </c>
      <c r="I2734" s="3" t="s">
        <v>18</v>
      </c>
      <c r="J2734" s="3" t="s">
        <v>14</v>
      </c>
      <c r="K2734" s="3" t="s">
        <v>14</v>
      </c>
      <c r="L2734" s="3" t="s">
        <v>2067</v>
      </c>
      <c r="M2734" s="4">
        <v>46297</v>
      </c>
      <c r="N2734" s="3" t="s">
        <v>2870</v>
      </c>
      <c r="O2734" s="3" t="s">
        <v>22</v>
      </c>
      <c r="P2734" t="str">
        <f t="shared" si="42"/>
        <v>450013970620</v>
      </c>
      <c r="Q2734" s="7" cm="1">
        <f t="array" ref="Q2734:S2734">VLOOKUP(P2734,Hoja1!C:F,{2,3,4},FALSE)</f>
        <v>46303</v>
      </c>
      <c r="R2734" t="str">
        <v>374</v>
      </c>
      <c r="S2734" t="str">
        <v>1000000418 HILTI ARGENTINA SRL</v>
      </c>
    </row>
    <row r="2735" spans="1:19" x14ac:dyDescent="0.3">
      <c r="A2735" s="2" t="s">
        <v>14</v>
      </c>
      <c r="B2735" s="3" t="s">
        <v>14</v>
      </c>
      <c r="C2735" s="3" t="s">
        <v>2920</v>
      </c>
      <c r="D2735" s="3" t="s">
        <v>32</v>
      </c>
      <c r="E2735" s="3" t="s">
        <v>466</v>
      </c>
      <c r="F2735" s="4">
        <v>46297</v>
      </c>
      <c r="G2735" s="3" t="s">
        <v>17</v>
      </c>
      <c r="H2735" s="5">
        <v>-42560</v>
      </c>
      <c r="I2735" s="3" t="s">
        <v>18</v>
      </c>
      <c r="J2735" s="3" t="s">
        <v>14</v>
      </c>
      <c r="K2735" s="3" t="s">
        <v>14</v>
      </c>
      <c r="L2735" s="3" t="s">
        <v>2067</v>
      </c>
      <c r="M2735" s="4">
        <v>46297</v>
      </c>
      <c r="N2735" s="3" t="s">
        <v>2870</v>
      </c>
      <c r="O2735" s="3" t="s">
        <v>35</v>
      </c>
      <c r="P2735" t="str">
        <f t="shared" si="42"/>
        <v>450013970630</v>
      </c>
      <c r="Q2735" s="7" cm="1">
        <f t="array" ref="Q2735:S2735">VLOOKUP(P2735,Hoja1!C:F,{2,3,4},FALSE)</f>
        <v>46303</v>
      </c>
      <c r="R2735" t="str">
        <v>374</v>
      </c>
      <c r="S2735" t="str">
        <v>1000000418 HILTI ARGENTINA SRL</v>
      </c>
    </row>
    <row r="2736" spans="1:19" x14ac:dyDescent="0.3">
      <c r="A2736" s="2" t="s">
        <v>14</v>
      </c>
      <c r="B2736" s="3" t="s">
        <v>14</v>
      </c>
      <c r="C2736" s="3" t="s">
        <v>2920</v>
      </c>
      <c r="D2736" s="3" t="s">
        <v>32</v>
      </c>
      <c r="E2736" s="3" t="s">
        <v>466</v>
      </c>
      <c r="F2736" s="4">
        <v>46297</v>
      </c>
      <c r="G2736" s="3" t="s">
        <v>17</v>
      </c>
      <c r="H2736" s="5">
        <v>-109440</v>
      </c>
      <c r="I2736" s="3" t="s">
        <v>18</v>
      </c>
      <c r="J2736" s="3" t="s">
        <v>14</v>
      </c>
      <c r="K2736" s="3" t="s">
        <v>14</v>
      </c>
      <c r="L2736" s="3" t="s">
        <v>2067</v>
      </c>
      <c r="M2736" s="4">
        <v>46297</v>
      </c>
      <c r="N2736" s="3" t="s">
        <v>2870</v>
      </c>
      <c r="O2736" s="3" t="s">
        <v>23</v>
      </c>
      <c r="P2736" t="str">
        <f t="shared" si="42"/>
        <v>450013970640</v>
      </c>
      <c r="Q2736" s="7" cm="1">
        <f t="array" ref="Q2736:S2736">VLOOKUP(P2736,Hoja1!C:F,{2,3,4},FALSE)</f>
        <v>46303</v>
      </c>
      <c r="R2736" t="str">
        <v>374</v>
      </c>
      <c r="S2736" t="str">
        <v>1000000418 HILTI ARGENTINA SRL</v>
      </c>
    </row>
    <row r="2737" spans="1:19" x14ac:dyDescent="0.3">
      <c r="A2737" s="2" t="s">
        <v>14</v>
      </c>
      <c r="B2737" s="3" t="s">
        <v>14</v>
      </c>
      <c r="C2737" s="3" t="s">
        <v>2921</v>
      </c>
      <c r="D2737" s="3" t="s">
        <v>14</v>
      </c>
      <c r="E2737" s="3" t="s">
        <v>466</v>
      </c>
      <c r="F2737" s="4">
        <v>46297</v>
      </c>
      <c r="G2737" s="3" t="s">
        <v>17</v>
      </c>
      <c r="H2737" s="5">
        <v>-62016</v>
      </c>
      <c r="I2737" s="3" t="s">
        <v>18</v>
      </c>
      <c r="J2737" s="3" t="s">
        <v>14</v>
      </c>
      <c r="K2737" s="3" t="s">
        <v>14</v>
      </c>
      <c r="L2737" s="3" t="s">
        <v>117</v>
      </c>
      <c r="M2737" s="4">
        <v>46297</v>
      </c>
      <c r="N2737" s="3" t="s">
        <v>2922</v>
      </c>
      <c r="O2737" s="3" t="s">
        <v>30</v>
      </c>
      <c r="P2737" t="str">
        <f t="shared" si="42"/>
        <v>450013954310</v>
      </c>
      <c r="Q2737" s="7" cm="1">
        <f t="array" ref="Q2737:S2737">VLOOKUP(P2737,Hoja1!C:F,{2,3,4},FALSE)</f>
        <v>46297</v>
      </c>
      <c r="R2737" t="str">
        <v>C29</v>
      </c>
      <c r="S2737" t="str">
        <v>1000001129 AGRONORTE S.R.L.</v>
      </c>
    </row>
    <row r="2738" spans="1:19" x14ac:dyDescent="0.3">
      <c r="A2738" s="2" t="s">
        <v>14</v>
      </c>
      <c r="B2738" s="3" t="s">
        <v>14</v>
      </c>
      <c r="C2738" s="3" t="s">
        <v>2921</v>
      </c>
      <c r="D2738" s="3" t="s">
        <v>14</v>
      </c>
      <c r="E2738" s="3" t="s">
        <v>466</v>
      </c>
      <c r="F2738" s="4">
        <v>46297</v>
      </c>
      <c r="G2738" s="3" t="s">
        <v>17</v>
      </c>
      <c r="H2738" s="5">
        <v>-88646.399999999994</v>
      </c>
      <c r="I2738" s="3" t="s">
        <v>18</v>
      </c>
      <c r="J2738" s="3" t="s">
        <v>14</v>
      </c>
      <c r="K2738" s="3" t="s">
        <v>14</v>
      </c>
      <c r="L2738" s="3" t="s">
        <v>117</v>
      </c>
      <c r="M2738" s="4">
        <v>46297</v>
      </c>
      <c r="N2738" s="3" t="s">
        <v>2922</v>
      </c>
      <c r="O2738" s="3" t="s">
        <v>22</v>
      </c>
      <c r="P2738" t="str">
        <f t="shared" si="42"/>
        <v>450013954320</v>
      </c>
      <c r="Q2738" s="7" cm="1">
        <f t="array" ref="Q2738:S2738">VLOOKUP(P2738,Hoja1!C:F,{2,3,4},FALSE)</f>
        <v>46297</v>
      </c>
      <c r="R2738" t="str">
        <v>C29</v>
      </c>
      <c r="S2738" t="str">
        <v>1000001129 AGRONORTE S.R.L.</v>
      </c>
    </row>
    <row r="2739" spans="1:19" x14ac:dyDescent="0.3">
      <c r="A2739" s="2" t="s">
        <v>14</v>
      </c>
      <c r="B2739" s="3" t="s">
        <v>14</v>
      </c>
      <c r="C2739" s="3" t="s">
        <v>2921</v>
      </c>
      <c r="D2739" s="3" t="s">
        <v>14</v>
      </c>
      <c r="E2739" s="3" t="s">
        <v>466</v>
      </c>
      <c r="F2739" s="4">
        <v>46297</v>
      </c>
      <c r="G2739" s="3" t="s">
        <v>17</v>
      </c>
      <c r="H2739" s="5">
        <v>-110488.8</v>
      </c>
      <c r="I2739" s="3" t="s">
        <v>18</v>
      </c>
      <c r="J2739" s="3" t="s">
        <v>14</v>
      </c>
      <c r="K2739" s="3" t="s">
        <v>14</v>
      </c>
      <c r="L2739" s="3" t="s">
        <v>117</v>
      </c>
      <c r="M2739" s="4">
        <v>46297</v>
      </c>
      <c r="N2739" s="3" t="s">
        <v>2922</v>
      </c>
      <c r="O2739" s="3" t="s">
        <v>35</v>
      </c>
      <c r="P2739" t="str">
        <f t="shared" si="42"/>
        <v>450013954330</v>
      </c>
      <c r="Q2739" s="7" cm="1">
        <f t="array" ref="Q2739:S2739">VLOOKUP(P2739,Hoja1!C:F,{2,3,4},FALSE)</f>
        <v>46297</v>
      </c>
      <c r="R2739" t="str">
        <v>C29</v>
      </c>
      <c r="S2739" t="str">
        <v>1000001129 AGRONORTE S.R.L.</v>
      </c>
    </row>
    <row r="2740" spans="1:19" x14ac:dyDescent="0.3">
      <c r="A2740" s="2" t="s">
        <v>14</v>
      </c>
      <c r="B2740" s="3" t="s">
        <v>14</v>
      </c>
      <c r="C2740" s="3" t="s">
        <v>2921</v>
      </c>
      <c r="D2740" s="3" t="s">
        <v>14</v>
      </c>
      <c r="E2740" s="3" t="s">
        <v>466</v>
      </c>
      <c r="F2740" s="4">
        <v>46297</v>
      </c>
      <c r="G2740" s="3" t="s">
        <v>17</v>
      </c>
      <c r="H2740" s="5">
        <v>-412497.6</v>
      </c>
      <c r="I2740" s="3" t="s">
        <v>18</v>
      </c>
      <c r="J2740" s="3" t="s">
        <v>14</v>
      </c>
      <c r="K2740" s="3" t="s">
        <v>14</v>
      </c>
      <c r="L2740" s="3" t="s">
        <v>117</v>
      </c>
      <c r="M2740" s="4">
        <v>46297</v>
      </c>
      <c r="N2740" s="3" t="s">
        <v>2922</v>
      </c>
      <c r="O2740" s="3" t="s">
        <v>23</v>
      </c>
      <c r="P2740" t="str">
        <f t="shared" si="42"/>
        <v>450013954340</v>
      </c>
      <c r="Q2740" s="7" cm="1">
        <f t="array" ref="Q2740:S2740">VLOOKUP(P2740,Hoja1!C:F,{2,3,4},FALSE)</f>
        <v>46297</v>
      </c>
      <c r="R2740" t="str">
        <v>C29</v>
      </c>
      <c r="S2740" t="str">
        <v>1000001129 AGRONORTE S.R.L.</v>
      </c>
    </row>
    <row r="2741" spans="1:19" x14ac:dyDescent="0.3">
      <c r="A2741" s="2" t="s">
        <v>14</v>
      </c>
      <c r="B2741" s="3" t="s">
        <v>14</v>
      </c>
      <c r="C2741" s="3" t="s">
        <v>2923</v>
      </c>
      <c r="D2741" s="3" t="s">
        <v>14</v>
      </c>
      <c r="E2741" s="3" t="s">
        <v>466</v>
      </c>
      <c r="F2741" s="4">
        <v>46297</v>
      </c>
      <c r="G2741" s="3" t="s">
        <v>17</v>
      </c>
      <c r="H2741" s="5">
        <v>-136952</v>
      </c>
      <c r="I2741" s="3" t="s">
        <v>18</v>
      </c>
      <c r="J2741" s="3" t="s">
        <v>14</v>
      </c>
      <c r="K2741" s="3" t="s">
        <v>14</v>
      </c>
      <c r="L2741" s="3" t="s">
        <v>117</v>
      </c>
      <c r="M2741" s="4">
        <v>46297</v>
      </c>
      <c r="N2741" s="3" t="s">
        <v>432</v>
      </c>
      <c r="O2741" s="3" t="s">
        <v>131</v>
      </c>
      <c r="P2741" t="str">
        <f t="shared" si="42"/>
        <v>4500136739140</v>
      </c>
      <c r="Q2741" s="7" cm="1">
        <f t="array" ref="Q2741:S2741">VLOOKUP(P2741,Hoja1!C:F,{2,3,4},FALSE)</f>
        <v>46297</v>
      </c>
      <c r="R2741" t="str">
        <v>C03</v>
      </c>
      <c r="S2741" t="str">
        <v>1000001129 AGRONORTE S.R.L.</v>
      </c>
    </row>
    <row r="2742" spans="1:19" x14ac:dyDescent="0.3">
      <c r="A2742" s="2" t="s">
        <v>14</v>
      </c>
      <c r="B2742" s="3" t="s">
        <v>14</v>
      </c>
      <c r="C2742" s="3" t="s">
        <v>2924</v>
      </c>
      <c r="D2742" s="3" t="s">
        <v>14</v>
      </c>
      <c r="E2742" s="3" t="s">
        <v>466</v>
      </c>
      <c r="F2742" s="4">
        <v>46297</v>
      </c>
      <c r="G2742" s="3" t="s">
        <v>17</v>
      </c>
      <c r="H2742" s="5">
        <v>-254964.8</v>
      </c>
      <c r="I2742" s="3" t="s">
        <v>18</v>
      </c>
      <c r="J2742" s="3" t="s">
        <v>14</v>
      </c>
      <c r="K2742" s="3" t="s">
        <v>14</v>
      </c>
      <c r="L2742" s="3" t="s">
        <v>117</v>
      </c>
      <c r="M2742" s="4">
        <v>46297</v>
      </c>
      <c r="N2742" s="3" t="s">
        <v>2925</v>
      </c>
      <c r="O2742" s="3" t="s">
        <v>30</v>
      </c>
      <c r="P2742" t="str">
        <f t="shared" si="42"/>
        <v>450013988310</v>
      </c>
      <c r="Q2742" s="7" cm="1">
        <f t="array" ref="Q2742:S2742">VLOOKUP(P2742,Hoja1!C:F,{2,3,4},FALSE)</f>
        <v>46301</v>
      </c>
      <c r="R2742" t="str">
        <v>C03</v>
      </c>
      <c r="S2742" t="str">
        <v>1000001129 AGRONORTE S.R.L.</v>
      </c>
    </row>
    <row r="2743" spans="1:19" x14ac:dyDescent="0.3">
      <c r="A2743" s="2" t="s">
        <v>14</v>
      </c>
      <c r="B2743" s="3" t="s">
        <v>14</v>
      </c>
      <c r="C2743" s="3" t="s">
        <v>2924</v>
      </c>
      <c r="D2743" s="3" t="s">
        <v>14</v>
      </c>
      <c r="E2743" s="3" t="s">
        <v>466</v>
      </c>
      <c r="F2743" s="4">
        <v>46297</v>
      </c>
      <c r="G2743" s="3" t="s">
        <v>17</v>
      </c>
      <c r="H2743" s="5">
        <v>-172337.6</v>
      </c>
      <c r="I2743" s="3" t="s">
        <v>18</v>
      </c>
      <c r="J2743" s="3" t="s">
        <v>14</v>
      </c>
      <c r="K2743" s="3" t="s">
        <v>14</v>
      </c>
      <c r="L2743" s="3" t="s">
        <v>117</v>
      </c>
      <c r="M2743" s="4">
        <v>46297</v>
      </c>
      <c r="N2743" s="3" t="s">
        <v>2925</v>
      </c>
      <c r="O2743" s="3" t="s">
        <v>22</v>
      </c>
      <c r="P2743" t="str">
        <f t="shared" si="42"/>
        <v>450013988320</v>
      </c>
      <c r="Q2743" s="7" cm="1">
        <f t="array" ref="Q2743:S2743">VLOOKUP(P2743,Hoja1!C:F,{2,3,4},FALSE)</f>
        <v>46301</v>
      </c>
      <c r="R2743" t="str">
        <v>C03</v>
      </c>
      <c r="S2743" t="str">
        <v>1000001129 AGRONORTE S.R.L.</v>
      </c>
    </row>
    <row r="2744" spans="1:19" x14ac:dyDescent="0.3">
      <c r="A2744" s="2" t="s">
        <v>14</v>
      </c>
      <c r="B2744" s="3" t="s">
        <v>14</v>
      </c>
      <c r="C2744" s="3" t="s">
        <v>2926</v>
      </c>
      <c r="D2744" s="3" t="s">
        <v>14</v>
      </c>
      <c r="E2744" s="3" t="s">
        <v>466</v>
      </c>
      <c r="F2744" s="4">
        <v>46297</v>
      </c>
      <c r="G2744" s="3" t="s">
        <v>17</v>
      </c>
      <c r="H2744" s="5">
        <v>-169480</v>
      </c>
      <c r="I2744" s="3" t="s">
        <v>18</v>
      </c>
      <c r="J2744" s="3" t="s">
        <v>14</v>
      </c>
      <c r="K2744" s="3" t="s">
        <v>14</v>
      </c>
      <c r="L2744" s="3" t="s">
        <v>117</v>
      </c>
      <c r="M2744" s="4">
        <v>46297</v>
      </c>
      <c r="N2744" s="3" t="s">
        <v>2927</v>
      </c>
      <c r="O2744" s="3" t="s">
        <v>30</v>
      </c>
      <c r="P2744" t="str">
        <f t="shared" si="42"/>
        <v>450014004510</v>
      </c>
      <c r="Q2744" s="7" cm="1">
        <f t="array" ref="Q2744:S2744">VLOOKUP(P2744,Hoja1!C:F,{2,3,4},FALSE)</f>
        <v>46301</v>
      </c>
      <c r="R2744" t="str">
        <v>C03</v>
      </c>
      <c r="S2744" t="str">
        <v>1000001129 AGRONORTE S.R.L.</v>
      </c>
    </row>
    <row r="2745" spans="1:19" x14ac:dyDescent="0.3">
      <c r="A2745" s="2" t="s">
        <v>14</v>
      </c>
      <c r="B2745" s="3" t="s">
        <v>14</v>
      </c>
      <c r="C2745" s="3" t="s">
        <v>2926</v>
      </c>
      <c r="D2745" s="3" t="s">
        <v>14</v>
      </c>
      <c r="E2745" s="3" t="s">
        <v>466</v>
      </c>
      <c r="F2745" s="4">
        <v>46297</v>
      </c>
      <c r="G2745" s="3" t="s">
        <v>17</v>
      </c>
      <c r="H2745" s="5">
        <v>-140022.39999999999</v>
      </c>
      <c r="I2745" s="3" t="s">
        <v>18</v>
      </c>
      <c r="J2745" s="3" t="s">
        <v>14</v>
      </c>
      <c r="K2745" s="3" t="s">
        <v>14</v>
      </c>
      <c r="L2745" s="3" t="s">
        <v>117</v>
      </c>
      <c r="M2745" s="4">
        <v>46297</v>
      </c>
      <c r="N2745" s="3" t="s">
        <v>2927</v>
      </c>
      <c r="O2745" s="3" t="s">
        <v>22</v>
      </c>
      <c r="P2745" t="str">
        <f t="shared" si="42"/>
        <v>450014004520</v>
      </c>
      <c r="Q2745" s="7" cm="1">
        <f t="array" ref="Q2745:S2745">VLOOKUP(P2745,Hoja1!C:F,{2,3,4},FALSE)</f>
        <v>46301</v>
      </c>
      <c r="R2745" t="str">
        <v>C03</v>
      </c>
      <c r="S2745" t="str">
        <v>1000001129 AGRONORTE S.R.L.</v>
      </c>
    </row>
    <row r="2746" spans="1:19" x14ac:dyDescent="0.3">
      <c r="A2746" s="2" t="s">
        <v>14</v>
      </c>
      <c r="B2746" s="3" t="s">
        <v>14</v>
      </c>
      <c r="C2746" s="3" t="s">
        <v>2926</v>
      </c>
      <c r="D2746" s="3" t="s">
        <v>14</v>
      </c>
      <c r="E2746" s="3" t="s">
        <v>466</v>
      </c>
      <c r="F2746" s="4">
        <v>46297</v>
      </c>
      <c r="G2746" s="3" t="s">
        <v>17</v>
      </c>
      <c r="H2746" s="5">
        <v>-169480</v>
      </c>
      <c r="I2746" s="3" t="s">
        <v>18</v>
      </c>
      <c r="J2746" s="3" t="s">
        <v>14</v>
      </c>
      <c r="K2746" s="3" t="s">
        <v>14</v>
      </c>
      <c r="L2746" s="3" t="s">
        <v>117</v>
      </c>
      <c r="M2746" s="4">
        <v>46297</v>
      </c>
      <c r="N2746" s="3" t="s">
        <v>2927</v>
      </c>
      <c r="O2746" s="3" t="s">
        <v>35</v>
      </c>
      <c r="P2746" t="str">
        <f t="shared" si="42"/>
        <v>450014004530</v>
      </c>
      <c r="Q2746" s="7" cm="1">
        <f t="array" ref="Q2746:S2746">VLOOKUP(P2746,Hoja1!C:F,{2,3,4},FALSE)</f>
        <v>46301</v>
      </c>
      <c r="R2746" t="str">
        <v>C03</v>
      </c>
      <c r="S2746" t="str">
        <v>1000001129 AGRONORTE S.R.L.</v>
      </c>
    </row>
    <row r="2747" spans="1:19" x14ac:dyDescent="0.3">
      <c r="A2747" s="2" t="s">
        <v>14</v>
      </c>
      <c r="B2747" s="3" t="s">
        <v>14</v>
      </c>
      <c r="C2747" s="3" t="s">
        <v>2926</v>
      </c>
      <c r="D2747" s="3" t="s">
        <v>14</v>
      </c>
      <c r="E2747" s="3" t="s">
        <v>466</v>
      </c>
      <c r="F2747" s="4">
        <v>46297</v>
      </c>
      <c r="G2747" s="3" t="s">
        <v>17</v>
      </c>
      <c r="H2747" s="5">
        <v>-151088</v>
      </c>
      <c r="I2747" s="3" t="s">
        <v>18</v>
      </c>
      <c r="J2747" s="3" t="s">
        <v>14</v>
      </c>
      <c r="K2747" s="3" t="s">
        <v>14</v>
      </c>
      <c r="L2747" s="3" t="s">
        <v>117</v>
      </c>
      <c r="M2747" s="4">
        <v>46297</v>
      </c>
      <c r="N2747" s="3" t="s">
        <v>2927</v>
      </c>
      <c r="O2747" s="3" t="s">
        <v>23</v>
      </c>
      <c r="P2747" t="str">
        <f t="shared" si="42"/>
        <v>450014004540</v>
      </c>
      <c r="Q2747" s="7" cm="1">
        <f t="array" ref="Q2747:S2747">VLOOKUP(P2747,Hoja1!C:F,{2,3,4},FALSE)</f>
        <v>46301</v>
      </c>
      <c r="R2747" t="str">
        <v>C03</v>
      </c>
      <c r="S2747" t="str">
        <v>1000001129 AGRONORTE S.R.L.</v>
      </c>
    </row>
    <row r="2748" spans="1:19" x14ac:dyDescent="0.3">
      <c r="A2748" s="2" t="s">
        <v>14</v>
      </c>
      <c r="B2748" s="3" t="s">
        <v>14</v>
      </c>
      <c r="C2748" s="3" t="s">
        <v>2926</v>
      </c>
      <c r="D2748" s="3" t="s">
        <v>14</v>
      </c>
      <c r="E2748" s="3" t="s">
        <v>466</v>
      </c>
      <c r="F2748" s="4">
        <v>46297</v>
      </c>
      <c r="G2748" s="3" t="s">
        <v>17</v>
      </c>
      <c r="H2748" s="5">
        <v>-169480</v>
      </c>
      <c r="I2748" s="3" t="s">
        <v>18</v>
      </c>
      <c r="J2748" s="3" t="s">
        <v>14</v>
      </c>
      <c r="K2748" s="3" t="s">
        <v>14</v>
      </c>
      <c r="L2748" s="3" t="s">
        <v>117</v>
      </c>
      <c r="M2748" s="4">
        <v>46297</v>
      </c>
      <c r="N2748" s="3" t="s">
        <v>2927</v>
      </c>
      <c r="O2748" s="3" t="s">
        <v>144</v>
      </c>
      <c r="P2748" t="str">
        <f t="shared" si="42"/>
        <v>450014004550</v>
      </c>
      <c r="Q2748" s="7" cm="1">
        <f t="array" ref="Q2748:S2748">VLOOKUP(P2748,Hoja1!C:F,{2,3,4},FALSE)</f>
        <v>46301</v>
      </c>
      <c r="R2748" t="str">
        <v>C03</v>
      </c>
      <c r="S2748" t="str">
        <v>1000001129 AGRONORTE S.R.L.</v>
      </c>
    </row>
    <row r="2749" spans="1:19" x14ac:dyDescent="0.3">
      <c r="A2749" s="2" t="s">
        <v>14</v>
      </c>
      <c r="B2749" s="3" t="s">
        <v>14</v>
      </c>
      <c r="C2749" s="3" t="s">
        <v>2926</v>
      </c>
      <c r="D2749" s="3" t="s">
        <v>14</v>
      </c>
      <c r="E2749" s="3" t="s">
        <v>466</v>
      </c>
      <c r="F2749" s="4">
        <v>46297</v>
      </c>
      <c r="G2749" s="3" t="s">
        <v>17</v>
      </c>
      <c r="H2749" s="5">
        <v>-151088</v>
      </c>
      <c r="I2749" s="3" t="s">
        <v>18</v>
      </c>
      <c r="J2749" s="3" t="s">
        <v>14</v>
      </c>
      <c r="K2749" s="3" t="s">
        <v>14</v>
      </c>
      <c r="L2749" s="3" t="s">
        <v>117</v>
      </c>
      <c r="M2749" s="4">
        <v>46297</v>
      </c>
      <c r="N2749" s="3" t="s">
        <v>2927</v>
      </c>
      <c r="O2749" s="3" t="s">
        <v>141</v>
      </c>
      <c r="P2749" t="str">
        <f t="shared" si="42"/>
        <v>450014004560</v>
      </c>
      <c r="Q2749" s="7" cm="1">
        <f t="array" ref="Q2749:S2749">VLOOKUP(P2749,Hoja1!C:F,{2,3,4},FALSE)</f>
        <v>46301</v>
      </c>
      <c r="R2749" t="str">
        <v>C03</v>
      </c>
      <c r="S2749" t="str">
        <v>1000001129 AGRONORTE S.R.L.</v>
      </c>
    </row>
    <row r="2750" spans="1:19" x14ac:dyDescent="0.3">
      <c r="A2750" s="2" t="s">
        <v>14</v>
      </c>
      <c r="B2750" s="3" t="s">
        <v>14</v>
      </c>
      <c r="C2750" s="3" t="s">
        <v>2928</v>
      </c>
      <c r="D2750" s="3" t="s">
        <v>14</v>
      </c>
      <c r="E2750" s="3" t="s">
        <v>466</v>
      </c>
      <c r="F2750" s="4">
        <v>46297</v>
      </c>
      <c r="G2750" s="3" t="s">
        <v>17</v>
      </c>
      <c r="H2750" s="5">
        <v>-152</v>
      </c>
      <c r="I2750" s="3" t="s">
        <v>18</v>
      </c>
      <c r="J2750" s="3" t="s">
        <v>14</v>
      </c>
      <c r="K2750" s="3" t="s">
        <v>14</v>
      </c>
      <c r="L2750" s="3" t="s">
        <v>117</v>
      </c>
      <c r="M2750" s="4">
        <v>46297</v>
      </c>
      <c r="N2750" s="3" t="s">
        <v>118</v>
      </c>
      <c r="O2750" s="3" t="s">
        <v>1599</v>
      </c>
      <c r="P2750" t="str">
        <f t="shared" si="42"/>
        <v>4500136283710</v>
      </c>
      <c r="Q2750" s="7" cm="1">
        <f t="array" ref="Q2750:S2750">VLOOKUP(P2750,Hoja1!C:F,{2,3,4},FALSE)</f>
        <v>46295</v>
      </c>
      <c r="R2750" t="str">
        <v>C03</v>
      </c>
      <c r="S2750" t="str">
        <v>1000001129 AGRONORTE S.R.L.</v>
      </c>
    </row>
    <row r="2751" spans="1:19" x14ac:dyDescent="0.3">
      <c r="A2751" s="2" t="s">
        <v>14</v>
      </c>
      <c r="B2751" s="3" t="s">
        <v>14</v>
      </c>
      <c r="C2751" s="3" t="s">
        <v>2929</v>
      </c>
      <c r="D2751" s="3" t="s">
        <v>14</v>
      </c>
      <c r="E2751" s="3" t="s">
        <v>466</v>
      </c>
      <c r="F2751" s="4">
        <v>46297</v>
      </c>
      <c r="G2751" s="3" t="s">
        <v>17</v>
      </c>
      <c r="H2751" s="5">
        <v>-35887.199999999997</v>
      </c>
      <c r="I2751" s="3" t="s">
        <v>18</v>
      </c>
      <c r="J2751" s="3" t="s">
        <v>14</v>
      </c>
      <c r="K2751" s="3" t="s">
        <v>14</v>
      </c>
      <c r="L2751" s="3" t="s">
        <v>117</v>
      </c>
      <c r="M2751" s="4">
        <v>46297</v>
      </c>
      <c r="N2751" s="3" t="s">
        <v>1939</v>
      </c>
      <c r="O2751" s="3" t="s">
        <v>23</v>
      </c>
      <c r="P2751" t="str">
        <f t="shared" si="42"/>
        <v>450013696440</v>
      </c>
      <c r="Q2751" s="7" cm="1">
        <f t="array" ref="Q2751:S2751">VLOOKUP(P2751,Hoja1!C:F,{2,3,4},FALSE)</f>
        <v>46295</v>
      </c>
      <c r="R2751" t="str">
        <v>C03</v>
      </c>
      <c r="S2751" t="str">
        <v>1000001129 AGRONORTE S.R.L.</v>
      </c>
    </row>
    <row r="2752" spans="1:19" x14ac:dyDescent="0.3">
      <c r="A2752" s="2" t="s">
        <v>14</v>
      </c>
      <c r="B2752" s="3" t="s">
        <v>14</v>
      </c>
      <c r="C2752" s="3" t="s">
        <v>2930</v>
      </c>
      <c r="D2752" s="3" t="s">
        <v>14</v>
      </c>
      <c r="E2752" s="3" t="s">
        <v>466</v>
      </c>
      <c r="F2752" s="4">
        <v>46297</v>
      </c>
      <c r="G2752" s="3" t="s">
        <v>17</v>
      </c>
      <c r="H2752" s="5">
        <v>-111534.2</v>
      </c>
      <c r="I2752" s="3" t="s">
        <v>18</v>
      </c>
      <c r="J2752" s="3" t="s">
        <v>14</v>
      </c>
      <c r="K2752" s="3" t="s">
        <v>14</v>
      </c>
      <c r="L2752" s="3" t="s">
        <v>1508</v>
      </c>
      <c r="M2752" s="4">
        <v>46297</v>
      </c>
      <c r="N2752" s="3" t="s">
        <v>2333</v>
      </c>
      <c r="O2752" s="3" t="s">
        <v>23</v>
      </c>
      <c r="P2752" t="str">
        <f t="shared" si="42"/>
        <v>450013961640</v>
      </c>
      <c r="Q2752" s="7" cm="1">
        <f t="array" ref="Q2752:S2752">VLOOKUP(P2752,Hoja1!C:F,{2,3,4},FALSE)</f>
        <v>46296</v>
      </c>
      <c r="R2752" t="str">
        <v>C08</v>
      </c>
      <c r="S2752" t="str">
        <v>1000003014 DICO ACEROS SRL</v>
      </c>
    </row>
    <row r="2753" spans="1:19" x14ac:dyDescent="0.3">
      <c r="A2753" s="2" t="s">
        <v>14</v>
      </c>
      <c r="B2753" s="3" t="s">
        <v>14</v>
      </c>
      <c r="C2753" s="3" t="s">
        <v>2931</v>
      </c>
      <c r="D2753" s="3" t="s">
        <v>32</v>
      </c>
      <c r="E2753" s="3" t="s">
        <v>466</v>
      </c>
      <c r="F2753" s="4">
        <v>46297</v>
      </c>
      <c r="G2753" s="3" t="s">
        <v>17</v>
      </c>
      <c r="H2753" s="5">
        <v>-198000</v>
      </c>
      <c r="I2753" s="3" t="s">
        <v>18</v>
      </c>
      <c r="J2753" s="3" t="s">
        <v>14</v>
      </c>
      <c r="K2753" s="3" t="s">
        <v>14</v>
      </c>
      <c r="L2753" s="3" t="s">
        <v>1917</v>
      </c>
      <c r="M2753" s="4">
        <v>46297</v>
      </c>
      <c r="N2753" s="3" t="s">
        <v>2932</v>
      </c>
      <c r="O2753" s="3" t="s">
        <v>30</v>
      </c>
      <c r="P2753" t="str">
        <f t="shared" si="42"/>
        <v>450013982410</v>
      </c>
      <c r="Q2753" s="7" cm="1">
        <f t="array" ref="Q2753:S2753">VLOOKUP(P2753,Hoja1!C:F,{2,3,4},FALSE)</f>
        <v>46301</v>
      </c>
      <c r="R2753" t="str">
        <v>374</v>
      </c>
      <c r="S2753" t="str">
        <v>1000011463 CASA PATRICELLI SOC. LEY 19550 CAP.</v>
      </c>
    </row>
    <row r="2754" spans="1:19" x14ac:dyDescent="0.3">
      <c r="A2754" s="2" t="s">
        <v>14</v>
      </c>
      <c r="B2754" s="3" t="s">
        <v>14</v>
      </c>
      <c r="C2754" s="3" t="s">
        <v>2931</v>
      </c>
      <c r="D2754" s="3" t="s">
        <v>32</v>
      </c>
      <c r="E2754" s="3" t="s">
        <v>466</v>
      </c>
      <c r="F2754" s="4">
        <v>46297</v>
      </c>
      <c r="G2754" s="3" t="s">
        <v>17</v>
      </c>
      <c r="H2754" s="5">
        <v>-17400</v>
      </c>
      <c r="I2754" s="3" t="s">
        <v>18</v>
      </c>
      <c r="J2754" s="3" t="s">
        <v>14</v>
      </c>
      <c r="K2754" s="3" t="s">
        <v>14</v>
      </c>
      <c r="L2754" s="3" t="s">
        <v>1917</v>
      </c>
      <c r="M2754" s="4">
        <v>46297</v>
      </c>
      <c r="N2754" s="3" t="s">
        <v>2932</v>
      </c>
      <c r="O2754" s="3" t="s">
        <v>22</v>
      </c>
      <c r="P2754" t="str">
        <f t="shared" si="42"/>
        <v>450013982420</v>
      </c>
      <c r="Q2754" s="7" cm="1">
        <f t="array" ref="Q2754:S2754">VLOOKUP(P2754,Hoja1!C:F,{2,3,4},FALSE)</f>
        <v>46301</v>
      </c>
      <c r="R2754" t="str">
        <v>374</v>
      </c>
      <c r="S2754" t="str">
        <v>1000011463 CASA PATRICELLI SOC. LEY 19550 CAP.</v>
      </c>
    </row>
    <row r="2755" spans="1:19" x14ac:dyDescent="0.3">
      <c r="A2755" s="2" t="s">
        <v>14</v>
      </c>
      <c r="B2755" s="3" t="s">
        <v>14</v>
      </c>
      <c r="C2755" s="3" t="s">
        <v>2931</v>
      </c>
      <c r="D2755" s="3" t="s">
        <v>32</v>
      </c>
      <c r="E2755" s="3" t="s">
        <v>466</v>
      </c>
      <c r="F2755" s="4">
        <v>46297</v>
      </c>
      <c r="G2755" s="3" t="s">
        <v>17</v>
      </c>
      <c r="H2755" s="5">
        <v>-17400</v>
      </c>
      <c r="I2755" s="3" t="s">
        <v>18</v>
      </c>
      <c r="J2755" s="3" t="s">
        <v>14</v>
      </c>
      <c r="K2755" s="3" t="s">
        <v>14</v>
      </c>
      <c r="L2755" s="3" t="s">
        <v>1917</v>
      </c>
      <c r="M2755" s="4">
        <v>46297</v>
      </c>
      <c r="N2755" s="3" t="s">
        <v>2932</v>
      </c>
      <c r="O2755" s="3" t="s">
        <v>35</v>
      </c>
      <c r="P2755" t="str">
        <f t="shared" ref="P2755:P2818" si="43">_xlfn.CONCAT(N2755:O2755)</f>
        <v>450013982430</v>
      </c>
      <c r="Q2755" s="7" cm="1">
        <f t="array" ref="Q2755:S2755">VLOOKUP(P2755,Hoja1!C:F,{2,3,4},FALSE)</f>
        <v>46301</v>
      </c>
      <c r="R2755" t="str">
        <v>374</v>
      </c>
      <c r="S2755" t="str">
        <v>1000011463 CASA PATRICELLI SOC. LEY 19550 CAP.</v>
      </c>
    </row>
    <row r="2756" spans="1:19" x14ac:dyDescent="0.3">
      <c r="A2756" s="2" t="s">
        <v>14</v>
      </c>
      <c r="B2756" s="3" t="s">
        <v>14</v>
      </c>
      <c r="C2756" s="3" t="s">
        <v>2931</v>
      </c>
      <c r="D2756" s="3" t="s">
        <v>32</v>
      </c>
      <c r="E2756" s="3" t="s">
        <v>466</v>
      </c>
      <c r="F2756" s="4">
        <v>46297</v>
      </c>
      <c r="G2756" s="3" t="s">
        <v>17</v>
      </c>
      <c r="H2756" s="5">
        <v>-24900</v>
      </c>
      <c r="I2756" s="3" t="s">
        <v>18</v>
      </c>
      <c r="J2756" s="3" t="s">
        <v>14</v>
      </c>
      <c r="K2756" s="3" t="s">
        <v>14</v>
      </c>
      <c r="L2756" s="3" t="s">
        <v>1917</v>
      </c>
      <c r="M2756" s="4">
        <v>46297</v>
      </c>
      <c r="N2756" s="3" t="s">
        <v>2932</v>
      </c>
      <c r="O2756" s="3" t="s">
        <v>23</v>
      </c>
      <c r="P2756" t="str">
        <f t="shared" si="43"/>
        <v>450013982440</v>
      </c>
      <c r="Q2756" s="7" cm="1">
        <f t="array" ref="Q2756:S2756">VLOOKUP(P2756,Hoja1!C:F,{2,3,4},FALSE)</f>
        <v>46301</v>
      </c>
      <c r="R2756" t="str">
        <v>374</v>
      </c>
      <c r="S2756" t="str">
        <v>1000011463 CASA PATRICELLI SOC. LEY 19550 CAP.</v>
      </c>
    </row>
    <row r="2757" spans="1:19" x14ac:dyDescent="0.3">
      <c r="A2757" s="2" t="s">
        <v>14</v>
      </c>
      <c r="B2757" s="3" t="s">
        <v>14</v>
      </c>
      <c r="C2757" s="3" t="s">
        <v>2931</v>
      </c>
      <c r="D2757" s="3" t="s">
        <v>32</v>
      </c>
      <c r="E2757" s="3" t="s">
        <v>466</v>
      </c>
      <c r="F2757" s="4">
        <v>46297</v>
      </c>
      <c r="G2757" s="3" t="s">
        <v>17</v>
      </c>
      <c r="H2757" s="5">
        <v>-15000</v>
      </c>
      <c r="I2757" s="3" t="s">
        <v>18</v>
      </c>
      <c r="J2757" s="3" t="s">
        <v>14</v>
      </c>
      <c r="K2757" s="3" t="s">
        <v>14</v>
      </c>
      <c r="L2757" s="3" t="s">
        <v>1917</v>
      </c>
      <c r="M2757" s="4">
        <v>46297</v>
      </c>
      <c r="N2757" s="3" t="s">
        <v>2932</v>
      </c>
      <c r="O2757" s="3" t="s">
        <v>144</v>
      </c>
      <c r="P2757" t="str">
        <f t="shared" si="43"/>
        <v>450013982450</v>
      </c>
      <c r="Q2757" s="7" cm="1">
        <f t="array" ref="Q2757:S2757">VLOOKUP(P2757,Hoja1!C:F,{2,3,4},FALSE)</f>
        <v>46301</v>
      </c>
      <c r="R2757" t="str">
        <v>374</v>
      </c>
      <c r="S2757" t="str">
        <v>1000011463 CASA PATRICELLI SOC. LEY 19550 CAP.</v>
      </c>
    </row>
    <row r="2758" spans="1:19" x14ac:dyDescent="0.3">
      <c r="A2758" s="2" t="s">
        <v>14</v>
      </c>
      <c r="B2758" s="3" t="s">
        <v>14</v>
      </c>
      <c r="C2758" s="3" t="s">
        <v>2931</v>
      </c>
      <c r="D2758" s="3" t="s">
        <v>32</v>
      </c>
      <c r="E2758" s="3" t="s">
        <v>466</v>
      </c>
      <c r="F2758" s="4">
        <v>46297</v>
      </c>
      <c r="G2758" s="3" t="s">
        <v>17</v>
      </c>
      <c r="H2758" s="5">
        <v>-15000</v>
      </c>
      <c r="I2758" s="3" t="s">
        <v>18</v>
      </c>
      <c r="J2758" s="3" t="s">
        <v>14</v>
      </c>
      <c r="K2758" s="3" t="s">
        <v>14</v>
      </c>
      <c r="L2758" s="3" t="s">
        <v>1917</v>
      </c>
      <c r="M2758" s="4">
        <v>46297</v>
      </c>
      <c r="N2758" s="3" t="s">
        <v>2932</v>
      </c>
      <c r="O2758" s="3" t="s">
        <v>141</v>
      </c>
      <c r="P2758" t="str">
        <f t="shared" si="43"/>
        <v>450013982460</v>
      </c>
      <c r="Q2758" s="7" cm="1">
        <f t="array" ref="Q2758:S2758">VLOOKUP(P2758,Hoja1!C:F,{2,3,4},FALSE)</f>
        <v>46301</v>
      </c>
      <c r="R2758" t="str">
        <v>374</v>
      </c>
      <c r="S2758" t="str">
        <v>1000011463 CASA PATRICELLI SOC. LEY 19550 CAP.</v>
      </c>
    </row>
    <row r="2759" spans="1:19" x14ac:dyDescent="0.3">
      <c r="A2759" s="2" t="s">
        <v>14</v>
      </c>
      <c r="B2759" s="3" t="s">
        <v>14</v>
      </c>
      <c r="C2759" s="3" t="s">
        <v>2931</v>
      </c>
      <c r="D2759" s="3" t="s">
        <v>32</v>
      </c>
      <c r="E2759" s="3" t="s">
        <v>466</v>
      </c>
      <c r="F2759" s="4">
        <v>46297</v>
      </c>
      <c r="G2759" s="3" t="s">
        <v>17</v>
      </c>
      <c r="H2759" s="5">
        <v>-56000</v>
      </c>
      <c r="I2759" s="3" t="s">
        <v>18</v>
      </c>
      <c r="J2759" s="3" t="s">
        <v>14</v>
      </c>
      <c r="K2759" s="3" t="s">
        <v>14</v>
      </c>
      <c r="L2759" s="3" t="s">
        <v>1917</v>
      </c>
      <c r="M2759" s="4">
        <v>46297</v>
      </c>
      <c r="N2759" s="3" t="s">
        <v>2932</v>
      </c>
      <c r="O2759" s="3" t="s">
        <v>134</v>
      </c>
      <c r="P2759" t="str">
        <f t="shared" si="43"/>
        <v>450013982470</v>
      </c>
      <c r="Q2759" s="7" cm="1">
        <f t="array" ref="Q2759:S2759">VLOOKUP(P2759,Hoja1!C:F,{2,3,4},FALSE)</f>
        <v>46301</v>
      </c>
      <c r="R2759" t="str">
        <v>374</v>
      </c>
      <c r="S2759" t="str">
        <v>1000011463 CASA PATRICELLI SOC. LEY 19550 CAP.</v>
      </c>
    </row>
    <row r="2760" spans="1:19" x14ac:dyDescent="0.3">
      <c r="A2760" s="2" t="s">
        <v>14</v>
      </c>
      <c r="B2760" s="3" t="s">
        <v>14</v>
      </c>
      <c r="C2760" s="3" t="s">
        <v>2931</v>
      </c>
      <c r="D2760" s="3" t="s">
        <v>32</v>
      </c>
      <c r="E2760" s="3" t="s">
        <v>466</v>
      </c>
      <c r="F2760" s="4">
        <v>46297</v>
      </c>
      <c r="G2760" s="3" t="s">
        <v>17</v>
      </c>
      <c r="H2760" s="5">
        <v>-17400</v>
      </c>
      <c r="I2760" s="3" t="s">
        <v>18</v>
      </c>
      <c r="J2760" s="3" t="s">
        <v>14</v>
      </c>
      <c r="K2760" s="3" t="s">
        <v>14</v>
      </c>
      <c r="L2760" s="3" t="s">
        <v>1917</v>
      </c>
      <c r="M2760" s="4">
        <v>46297</v>
      </c>
      <c r="N2760" s="3" t="s">
        <v>2932</v>
      </c>
      <c r="O2760" s="3" t="s">
        <v>52</v>
      </c>
      <c r="P2760" t="str">
        <f t="shared" si="43"/>
        <v>450013982480</v>
      </c>
      <c r="Q2760" s="7" cm="1">
        <f t="array" ref="Q2760:S2760">VLOOKUP(P2760,Hoja1!C:F,{2,3,4},FALSE)</f>
        <v>46301</v>
      </c>
      <c r="R2760" t="str">
        <v>374</v>
      </c>
      <c r="S2760" t="str">
        <v>1000011463 CASA PATRICELLI SOC. LEY 19550 CAP.</v>
      </c>
    </row>
    <row r="2761" spans="1:19" x14ac:dyDescent="0.3">
      <c r="A2761" s="2" t="s">
        <v>14</v>
      </c>
      <c r="B2761" s="3" t="s">
        <v>14</v>
      </c>
      <c r="C2761" s="3" t="s">
        <v>2931</v>
      </c>
      <c r="D2761" s="3" t="s">
        <v>32</v>
      </c>
      <c r="E2761" s="3" t="s">
        <v>466</v>
      </c>
      <c r="F2761" s="4">
        <v>46297</v>
      </c>
      <c r="G2761" s="3" t="s">
        <v>17</v>
      </c>
      <c r="H2761" s="5">
        <v>-516000</v>
      </c>
      <c r="I2761" s="3" t="s">
        <v>18</v>
      </c>
      <c r="J2761" s="3" t="s">
        <v>14</v>
      </c>
      <c r="K2761" s="3" t="s">
        <v>14</v>
      </c>
      <c r="L2761" s="3" t="s">
        <v>1917</v>
      </c>
      <c r="M2761" s="4">
        <v>46297</v>
      </c>
      <c r="N2761" s="3" t="s">
        <v>2932</v>
      </c>
      <c r="O2761" s="3" t="s">
        <v>138</v>
      </c>
      <c r="P2761" t="str">
        <f t="shared" si="43"/>
        <v>450013982490</v>
      </c>
      <c r="Q2761" s="7" cm="1">
        <f t="array" ref="Q2761:S2761">VLOOKUP(P2761,Hoja1!C:F,{2,3,4},FALSE)</f>
        <v>46301</v>
      </c>
      <c r="R2761" t="str">
        <v>374</v>
      </c>
      <c r="S2761" t="str">
        <v>1000011463 CASA PATRICELLI SOC. LEY 19550 CAP.</v>
      </c>
    </row>
    <row r="2762" spans="1:19" x14ac:dyDescent="0.3">
      <c r="A2762" s="2" t="s">
        <v>14</v>
      </c>
      <c r="B2762" s="3" t="s">
        <v>14</v>
      </c>
      <c r="C2762" s="3" t="s">
        <v>2931</v>
      </c>
      <c r="D2762" s="3" t="s">
        <v>32</v>
      </c>
      <c r="E2762" s="3" t="s">
        <v>466</v>
      </c>
      <c r="F2762" s="4">
        <v>46297</v>
      </c>
      <c r="G2762" s="3" t="s">
        <v>17</v>
      </c>
      <c r="H2762" s="5">
        <v>-11400</v>
      </c>
      <c r="I2762" s="3" t="s">
        <v>18</v>
      </c>
      <c r="J2762" s="3" t="s">
        <v>14</v>
      </c>
      <c r="K2762" s="3" t="s">
        <v>14</v>
      </c>
      <c r="L2762" s="3" t="s">
        <v>1917</v>
      </c>
      <c r="M2762" s="4">
        <v>46297</v>
      </c>
      <c r="N2762" s="3" t="s">
        <v>2932</v>
      </c>
      <c r="O2762" s="3" t="s">
        <v>45</v>
      </c>
      <c r="P2762" t="str">
        <f t="shared" si="43"/>
        <v>4500139824100</v>
      </c>
      <c r="Q2762" s="7" cm="1">
        <f t="array" ref="Q2762:S2762">VLOOKUP(P2762,Hoja1!C:F,{2,3,4},FALSE)</f>
        <v>46301</v>
      </c>
      <c r="R2762" t="str">
        <v>374</v>
      </c>
      <c r="S2762" t="str">
        <v>1000011463 CASA PATRICELLI SOC. LEY 19550 CAP.</v>
      </c>
    </row>
    <row r="2763" spans="1:19" x14ac:dyDescent="0.3">
      <c r="A2763" s="2" t="s">
        <v>14</v>
      </c>
      <c r="B2763" s="3" t="s">
        <v>14</v>
      </c>
      <c r="C2763" s="3" t="s">
        <v>2931</v>
      </c>
      <c r="D2763" s="3" t="s">
        <v>32</v>
      </c>
      <c r="E2763" s="3" t="s">
        <v>466</v>
      </c>
      <c r="F2763" s="4">
        <v>46297</v>
      </c>
      <c r="G2763" s="3" t="s">
        <v>17</v>
      </c>
      <c r="H2763" s="5">
        <v>-23600</v>
      </c>
      <c r="I2763" s="3" t="s">
        <v>18</v>
      </c>
      <c r="J2763" s="3" t="s">
        <v>14</v>
      </c>
      <c r="K2763" s="3" t="s">
        <v>14</v>
      </c>
      <c r="L2763" s="3" t="s">
        <v>1917</v>
      </c>
      <c r="M2763" s="4">
        <v>46297</v>
      </c>
      <c r="N2763" s="3" t="s">
        <v>2932</v>
      </c>
      <c r="O2763" s="3" t="s">
        <v>156</v>
      </c>
      <c r="P2763" t="str">
        <f t="shared" si="43"/>
        <v>4500139824110</v>
      </c>
      <c r="Q2763" s="7" cm="1">
        <f t="array" ref="Q2763:S2763">VLOOKUP(P2763,Hoja1!C:F,{2,3,4},FALSE)</f>
        <v>46301</v>
      </c>
      <c r="R2763" t="str">
        <v>374</v>
      </c>
      <c r="S2763" t="str">
        <v>1000011463 CASA PATRICELLI SOC. LEY 19550 CAP.</v>
      </c>
    </row>
    <row r="2764" spans="1:19" x14ac:dyDescent="0.3">
      <c r="A2764" s="2" t="s">
        <v>14</v>
      </c>
      <c r="B2764" s="3" t="s">
        <v>14</v>
      </c>
      <c r="C2764" s="3" t="s">
        <v>2931</v>
      </c>
      <c r="D2764" s="3" t="s">
        <v>32</v>
      </c>
      <c r="E2764" s="3" t="s">
        <v>466</v>
      </c>
      <c r="F2764" s="4">
        <v>46297</v>
      </c>
      <c r="G2764" s="3" t="s">
        <v>17</v>
      </c>
      <c r="H2764" s="5">
        <v>-15000</v>
      </c>
      <c r="I2764" s="3" t="s">
        <v>18</v>
      </c>
      <c r="J2764" s="3" t="s">
        <v>14</v>
      </c>
      <c r="K2764" s="3" t="s">
        <v>14</v>
      </c>
      <c r="L2764" s="3" t="s">
        <v>1917</v>
      </c>
      <c r="M2764" s="4">
        <v>46297</v>
      </c>
      <c r="N2764" s="3" t="s">
        <v>2932</v>
      </c>
      <c r="O2764" s="3" t="s">
        <v>132</v>
      </c>
      <c r="P2764" t="str">
        <f t="shared" si="43"/>
        <v>4500139824120</v>
      </c>
      <c r="Q2764" s="7" cm="1">
        <f t="array" ref="Q2764:S2764">VLOOKUP(P2764,Hoja1!C:F,{2,3,4},FALSE)</f>
        <v>46301</v>
      </c>
      <c r="R2764" t="str">
        <v>374</v>
      </c>
      <c r="S2764" t="str">
        <v>1000011463 CASA PATRICELLI SOC. LEY 19550 CAP.</v>
      </c>
    </row>
    <row r="2765" spans="1:19" x14ac:dyDescent="0.3">
      <c r="A2765" s="2" t="s">
        <v>14</v>
      </c>
      <c r="B2765" s="3" t="s">
        <v>14</v>
      </c>
      <c r="C2765" s="3" t="s">
        <v>2931</v>
      </c>
      <c r="D2765" s="3" t="s">
        <v>32</v>
      </c>
      <c r="E2765" s="3" t="s">
        <v>466</v>
      </c>
      <c r="F2765" s="4">
        <v>46297</v>
      </c>
      <c r="G2765" s="3" t="s">
        <v>17</v>
      </c>
      <c r="H2765" s="5">
        <v>-198000</v>
      </c>
      <c r="I2765" s="3" t="s">
        <v>18</v>
      </c>
      <c r="J2765" s="3" t="s">
        <v>14</v>
      </c>
      <c r="K2765" s="3" t="s">
        <v>14</v>
      </c>
      <c r="L2765" s="3" t="s">
        <v>1917</v>
      </c>
      <c r="M2765" s="4">
        <v>46297</v>
      </c>
      <c r="N2765" s="3" t="s">
        <v>2932</v>
      </c>
      <c r="O2765" s="3" t="s">
        <v>142</v>
      </c>
      <c r="P2765" t="str">
        <f t="shared" si="43"/>
        <v>4500139824130</v>
      </c>
      <c r="Q2765" s="7" cm="1">
        <f t="array" ref="Q2765:S2765">VLOOKUP(P2765,Hoja1!C:F,{2,3,4},FALSE)</f>
        <v>46301</v>
      </c>
      <c r="R2765" t="str">
        <v>374</v>
      </c>
      <c r="S2765" t="str">
        <v>1000011463 CASA PATRICELLI SOC. LEY 19550 CAP.</v>
      </c>
    </row>
    <row r="2766" spans="1:19" x14ac:dyDescent="0.3">
      <c r="A2766" s="2" t="s">
        <v>14</v>
      </c>
      <c r="B2766" s="3" t="s">
        <v>14</v>
      </c>
      <c r="C2766" s="3" t="s">
        <v>2931</v>
      </c>
      <c r="D2766" s="3" t="s">
        <v>32</v>
      </c>
      <c r="E2766" s="3" t="s">
        <v>466</v>
      </c>
      <c r="F2766" s="4">
        <v>46297</v>
      </c>
      <c r="G2766" s="3" t="s">
        <v>17</v>
      </c>
      <c r="H2766" s="5">
        <v>-70000</v>
      </c>
      <c r="I2766" s="3" t="s">
        <v>18</v>
      </c>
      <c r="J2766" s="3" t="s">
        <v>14</v>
      </c>
      <c r="K2766" s="3" t="s">
        <v>14</v>
      </c>
      <c r="L2766" s="3" t="s">
        <v>1917</v>
      </c>
      <c r="M2766" s="4">
        <v>46297</v>
      </c>
      <c r="N2766" s="3" t="s">
        <v>2932</v>
      </c>
      <c r="O2766" s="3" t="s">
        <v>131</v>
      </c>
      <c r="P2766" t="str">
        <f t="shared" si="43"/>
        <v>4500139824140</v>
      </c>
      <c r="Q2766" s="7" cm="1">
        <f t="array" ref="Q2766:S2766">VLOOKUP(P2766,Hoja1!C:F,{2,3,4},FALSE)</f>
        <v>46301</v>
      </c>
      <c r="R2766" t="str">
        <v>374</v>
      </c>
      <c r="S2766" t="str">
        <v>1000011463 CASA PATRICELLI SOC. LEY 19550 CAP.</v>
      </c>
    </row>
    <row r="2767" spans="1:19" x14ac:dyDescent="0.3">
      <c r="A2767" s="2" t="s">
        <v>14</v>
      </c>
      <c r="B2767" s="3" t="s">
        <v>14</v>
      </c>
      <c r="C2767" s="3" t="s">
        <v>2931</v>
      </c>
      <c r="D2767" s="3" t="s">
        <v>32</v>
      </c>
      <c r="E2767" s="3" t="s">
        <v>466</v>
      </c>
      <c r="F2767" s="4">
        <v>46297</v>
      </c>
      <c r="G2767" s="3" t="s">
        <v>17</v>
      </c>
      <c r="H2767" s="5">
        <v>-17700</v>
      </c>
      <c r="I2767" s="3" t="s">
        <v>18</v>
      </c>
      <c r="J2767" s="3" t="s">
        <v>14</v>
      </c>
      <c r="K2767" s="3" t="s">
        <v>14</v>
      </c>
      <c r="L2767" s="3" t="s">
        <v>1917</v>
      </c>
      <c r="M2767" s="4">
        <v>46297</v>
      </c>
      <c r="N2767" s="3" t="s">
        <v>2932</v>
      </c>
      <c r="O2767" s="3" t="s">
        <v>68</v>
      </c>
      <c r="P2767" t="str">
        <f t="shared" si="43"/>
        <v>4500139824150</v>
      </c>
      <c r="Q2767" s="7" cm="1">
        <f t="array" ref="Q2767:S2767">VLOOKUP(P2767,Hoja1!C:F,{2,3,4},FALSE)</f>
        <v>46301</v>
      </c>
      <c r="R2767" t="str">
        <v>374</v>
      </c>
      <c r="S2767" t="str">
        <v>1000011463 CASA PATRICELLI SOC. LEY 19550 CAP.</v>
      </c>
    </row>
    <row r="2768" spans="1:19" x14ac:dyDescent="0.3">
      <c r="A2768" s="2" t="s">
        <v>14</v>
      </c>
      <c r="B2768" s="3" t="s">
        <v>14</v>
      </c>
      <c r="C2768" s="3" t="s">
        <v>2931</v>
      </c>
      <c r="D2768" s="3" t="s">
        <v>32</v>
      </c>
      <c r="E2768" s="3" t="s">
        <v>466</v>
      </c>
      <c r="F2768" s="4">
        <v>46297</v>
      </c>
      <c r="G2768" s="3" t="s">
        <v>17</v>
      </c>
      <c r="H2768" s="5">
        <v>-49000</v>
      </c>
      <c r="I2768" s="3" t="s">
        <v>18</v>
      </c>
      <c r="J2768" s="3" t="s">
        <v>14</v>
      </c>
      <c r="K2768" s="3" t="s">
        <v>14</v>
      </c>
      <c r="L2768" s="3" t="s">
        <v>1917</v>
      </c>
      <c r="M2768" s="4">
        <v>46297</v>
      </c>
      <c r="N2768" s="3" t="s">
        <v>2932</v>
      </c>
      <c r="O2768" s="3" t="s">
        <v>129</v>
      </c>
      <c r="P2768" t="str">
        <f t="shared" si="43"/>
        <v>4500139824160</v>
      </c>
      <c r="Q2768" s="7" cm="1">
        <f t="array" ref="Q2768:S2768">VLOOKUP(P2768,Hoja1!C:F,{2,3,4},FALSE)</f>
        <v>46301</v>
      </c>
      <c r="R2768" t="str">
        <v>374</v>
      </c>
      <c r="S2768" t="str">
        <v>1000011463 CASA PATRICELLI SOC. LEY 19550 CAP.</v>
      </c>
    </row>
    <row r="2769" spans="1:19" x14ac:dyDescent="0.3">
      <c r="A2769" s="2" t="s">
        <v>14</v>
      </c>
      <c r="B2769" s="3" t="s">
        <v>14</v>
      </c>
      <c r="C2769" s="3" t="s">
        <v>2931</v>
      </c>
      <c r="D2769" s="3" t="s">
        <v>32</v>
      </c>
      <c r="E2769" s="3" t="s">
        <v>466</v>
      </c>
      <c r="F2769" s="4">
        <v>46297</v>
      </c>
      <c r="G2769" s="3" t="s">
        <v>17</v>
      </c>
      <c r="H2769" s="5">
        <v>-7900</v>
      </c>
      <c r="I2769" s="3" t="s">
        <v>18</v>
      </c>
      <c r="J2769" s="3" t="s">
        <v>14</v>
      </c>
      <c r="K2769" s="3" t="s">
        <v>14</v>
      </c>
      <c r="L2769" s="3" t="s">
        <v>1917</v>
      </c>
      <c r="M2769" s="4">
        <v>46297</v>
      </c>
      <c r="N2769" s="3" t="s">
        <v>2932</v>
      </c>
      <c r="O2769" s="3" t="s">
        <v>53</v>
      </c>
      <c r="P2769" t="str">
        <f t="shared" si="43"/>
        <v>4500139824170</v>
      </c>
      <c r="Q2769" s="7" cm="1">
        <f t="array" ref="Q2769:S2769">VLOOKUP(P2769,Hoja1!C:F,{2,3,4},FALSE)</f>
        <v>46301</v>
      </c>
      <c r="R2769" t="str">
        <v>374</v>
      </c>
      <c r="S2769" t="str">
        <v>1000011463 CASA PATRICELLI SOC. LEY 19550 CAP.</v>
      </c>
    </row>
    <row r="2770" spans="1:19" x14ac:dyDescent="0.3">
      <c r="A2770" s="2" t="s">
        <v>14</v>
      </c>
      <c r="B2770" s="3" t="s">
        <v>14</v>
      </c>
      <c r="C2770" s="3" t="s">
        <v>2931</v>
      </c>
      <c r="D2770" s="3" t="s">
        <v>32</v>
      </c>
      <c r="E2770" s="3" t="s">
        <v>466</v>
      </c>
      <c r="F2770" s="4">
        <v>46297</v>
      </c>
      <c r="G2770" s="3" t="s">
        <v>17</v>
      </c>
      <c r="H2770" s="5">
        <v>-6500</v>
      </c>
      <c r="I2770" s="3" t="s">
        <v>18</v>
      </c>
      <c r="J2770" s="3" t="s">
        <v>14</v>
      </c>
      <c r="K2770" s="3" t="s">
        <v>14</v>
      </c>
      <c r="L2770" s="3" t="s">
        <v>1917</v>
      </c>
      <c r="M2770" s="4">
        <v>46297</v>
      </c>
      <c r="N2770" s="3" t="s">
        <v>2932</v>
      </c>
      <c r="O2770" s="3" t="s">
        <v>130</v>
      </c>
      <c r="P2770" t="str">
        <f t="shared" si="43"/>
        <v>4500139824180</v>
      </c>
      <c r="Q2770" s="7" cm="1">
        <f t="array" ref="Q2770:S2770">VLOOKUP(P2770,Hoja1!C:F,{2,3,4},FALSE)</f>
        <v>46301</v>
      </c>
      <c r="R2770" t="str">
        <v>374</v>
      </c>
      <c r="S2770" t="str">
        <v>1000011463 CASA PATRICELLI SOC. LEY 19550 CAP.</v>
      </c>
    </row>
    <row r="2771" spans="1:19" x14ac:dyDescent="0.3">
      <c r="A2771" s="2" t="s">
        <v>14</v>
      </c>
      <c r="B2771" s="3" t="s">
        <v>14</v>
      </c>
      <c r="C2771" s="3" t="s">
        <v>2931</v>
      </c>
      <c r="D2771" s="3" t="s">
        <v>32</v>
      </c>
      <c r="E2771" s="3" t="s">
        <v>466</v>
      </c>
      <c r="F2771" s="4">
        <v>46297</v>
      </c>
      <c r="G2771" s="3" t="s">
        <v>17</v>
      </c>
      <c r="H2771" s="5">
        <v>-7900</v>
      </c>
      <c r="I2771" s="3" t="s">
        <v>18</v>
      </c>
      <c r="J2771" s="3" t="s">
        <v>14</v>
      </c>
      <c r="K2771" s="3" t="s">
        <v>14</v>
      </c>
      <c r="L2771" s="3" t="s">
        <v>1917</v>
      </c>
      <c r="M2771" s="4">
        <v>46297</v>
      </c>
      <c r="N2771" s="3" t="s">
        <v>2932</v>
      </c>
      <c r="O2771" s="3" t="s">
        <v>127</v>
      </c>
      <c r="P2771" t="str">
        <f t="shared" si="43"/>
        <v>4500139824190</v>
      </c>
      <c r="Q2771" s="7" cm="1">
        <f t="array" ref="Q2771:S2771">VLOOKUP(P2771,Hoja1!C:F,{2,3,4},FALSE)</f>
        <v>46301</v>
      </c>
      <c r="R2771" t="str">
        <v>374</v>
      </c>
      <c r="S2771" t="str">
        <v>1000011463 CASA PATRICELLI SOC. LEY 19550 CAP.</v>
      </c>
    </row>
    <row r="2772" spans="1:19" x14ac:dyDescent="0.3">
      <c r="A2772" s="2" t="s">
        <v>14</v>
      </c>
      <c r="B2772" s="3" t="s">
        <v>14</v>
      </c>
      <c r="C2772" s="3" t="s">
        <v>2931</v>
      </c>
      <c r="D2772" s="3" t="s">
        <v>32</v>
      </c>
      <c r="E2772" s="3" t="s">
        <v>466</v>
      </c>
      <c r="F2772" s="4">
        <v>46297</v>
      </c>
      <c r="G2772" s="3" t="s">
        <v>17</v>
      </c>
      <c r="H2772" s="5">
        <v>-90000</v>
      </c>
      <c r="I2772" s="3" t="s">
        <v>18</v>
      </c>
      <c r="J2772" s="3" t="s">
        <v>14</v>
      </c>
      <c r="K2772" s="3" t="s">
        <v>14</v>
      </c>
      <c r="L2772" s="3" t="s">
        <v>1917</v>
      </c>
      <c r="M2772" s="4">
        <v>46297</v>
      </c>
      <c r="N2772" s="3" t="s">
        <v>2932</v>
      </c>
      <c r="O2772" s="3" t="s">
        <v>161</v>
      </c>
      <c r="P2772" t="str">
        <f t="shared" si="43"/>
        <v>4500139824200</v>
      </c>
      <c r="Q2772" s="7" cm="1">
        <f t="array" ref="Q2772:S2772">VLOOKUP(P2772,Hoja1!C:F,{2,3,4},FALSE)</f>
        <v>46301</v>
      </c>
      <c r="R2772" t="str">
        <v>374</v>
      </c>
      <c r="S2772" t="str">
        <v>1000011463 CASA PATRICELLI SOC. LEY 19550 CAP.</v>
      </c>
    </row>
    <row r="2773" spans="1:19" x14ac:dyDescent="0.3">
      <c r="A2773" s="2" t="s">
        <v>14</v>
      </c>
      <c r="B2773" s="3" t="s">
        <v>14</v>
      </c>
      <c r="C2773" s="3" t="s">
        <v>2933</v>
      </c>
      <c r="D2773" s="3" t="s">
        <v>14</v>
      </c>
      <c r="E2773" s="3" t="s">
        <v>466</v>
      </c>
      <c r="F2773" s="4">
        <v>46297</v>
      </c>
      <c r="G2773" s="3" t="s">
        <v>17</v>
      </c>
      <c r="H2773" s="5">
        <v>-1026425.6</v>
      </c>
      <c r="I2773" s="3" t="s">
        <v>18</v>
      </c>
      <c r="J2773" s="3" t="s">
        <v>14</v>
      </c>
      <c r="K2773" s="3" t="s">
        <v>14</v>
      </c>
      <c r="L2773" s="3" t="s">
        <v>399</v>
      </c>
      <c r="M2773" s="4">
        <v>46297</v>
      </c>
      <c r="N2773" s="3" t="s">
        <v>2934</v>
      </c>
      <c r="O2773" s="3" t="s">
        <v>30</v>
      </c>
      <c r="P2773" t="str">
        <f t="shared" si="43"/>
        <v>450013913110</v>
      </c>
      <c r="Q2773" s="7" cm="1">
        <f t="array" ref="Q2773:S2773">VLOOKUP(P2773,Hoja1!C:F,{2,3,4},FALSE)</f>
        <v>46297</v>
      </c>
      <c r="R2773" t="str">
        <v>F06</v>
      </c>
      <c r="S2773" t="str">
        <v>1000000561 ESCANDINAVIA DEL PLATA SA</v>
      </c>
    </row>
    <row r="2774" spans="1:19" x14ac:dyDescent="0.3">
      <c r="A2774" s="2" t="s">
        <v>14</v>
      </c>
      <c r="B2774" s="3" t="s">
        <v>14</v>
      </c>
      <c r="C2774" s="3" t="s">
        <v>2933</v>
      </c>
      <c r="D2774" s="3" t="s">
        <v>14</v>
      </c>
      <c r="E2774" s="3" t="s">
        <v>466</v>
      </c>
      <c r="F2774" s="4">
        <v>46297</v>
      </c>
      <c r="G2774" s="3" t="s">
        <v>17</v>
      </c>
      <c r="H2774" s="5">
        <v>-607392</v>
      </c>
      <c r="I2774" s="3" t="s">
        <v>18</v>
      </c>
      <c r="J2774" s="3" t="s">
        <v>14</v>
      </c>
      <c r="K2774" s="3" t="s">
        <v>14</v>
      </c>
      <c r="L2774" s="3" t="s">
        <v>399</v>
      </c>
      <c r="M2774" s="4">
        <v>46297</v>
      </c>
      <c r="N2774" s="3" t="s">
        <v>2934</v>
      </c>
      <c r="O2774" s="3" t="s">
        <v>22</v>
      </c>
      <c r="P2774" t="str">
        <f t="shared" si="43"/>
        <v>450013913120</v>
      </c>
      <c r="Q2774" s="7" cm="1">
        <f t="array" ref="Q2774:S2774">VLOOKUP(P2774,Hoja1!C:F,{2,3,4},FALSE)</f>
        <v>46297</v>
      </c>
      <c r="R2774" t="str">
        <v>F06</v>
      </c>
      <c r="S2774" t="str">
        <v>1000000561 ESCANDINAVIA DEL PLATA SA</v>
      </c>
    </row>
    <row r="2775" spans="1:19" x14ac:dyDescent="0.3">
      <c r="A2775" s="2" t="s">
        <v>14</v>
      </c>
      <c r="B2775" s="3" t="s">
        <v>14</v>
      </c>
      <c r="C2775" s="3" t="s">
        <v>2933</v>
      </c>
      <c r="D2775" s="3" t="s">
        <v>14</v>
      </c>
      <c r="E2775" s="3" t="s">
        <v>466</v>
      </c>
      <c r="F2775" s="4">
        <v>46297</v>
      </c>
      <c r="G2775" s="3" t="s">
        <v>17</v>
      </c>
      <c r="H2775" s="5">
        <v>-1617340.8</v>
      </c>
      <c r="I2775" s="3" t="s">
        <v>18</v>
      </c>
      <c r="J2775" s="3" t="s">
        <v>14</v>
      </c>
      <c r="K2775" s="3" t="s">
        <v>14</v>
      </c>
      <c r="L2775" s="3" t="s">
        <v>399</v>
      </c>
      <c r="M2775" s="4">
        <v>46297</v>
      </c>
      <c r="N2775" s="3" t="s">
        <v>2934</v>
      </c>
      <c r="O2775" s="3" t="s">
        <v>35</v>
      </c>
      <c r="P2775" t="str">
        <f t="shared" si="43"/>
        <v>450013913130</v>
      </c>
      <c r="Q2775" s="7" cm="1">
        <f t="array" ref="Q2775:S2775">VLOOKUP(P2775,Hoja1!C:F,{2,3,4},FALSE)</f>
        <v>46297</v>
      </c>
      <c r="R2775" t="str">
        <v>F06</v>
      </c>
      <c r="S2775" t="str">
        <v>1000000561 ESCANDINAVIA DEL PLATA SA</v>
      </c>
    </row>
    <row r="2776" spans="1:19" x14ac:dyDescent="0.3">
      <c r="A2776" s="2" t="s">
        <v>14</v>
      </c>
      <c r="B2776" s="3" t="s">
        <v>14</v>
      </c>
      <c r="C2776" s="3" t="s">
        <v>2933</v>
      </c>
      <c r="D2776" s="3" t="s">
        <v>14</v>
      </c>
      <c r="E2776" s="3" t="s">
        <v>466</v>
      </c>
      <c r="F2776" s="4">
        <v>46297</v>
      </c>
      <c r="G2776" s="3" t="s">
        <v>17</v>
      </c>
      <c r="H2776" s="5">
        <v>-959180.80000000005</v>
      </c>
      <c r="I2776" s="3" t="s">
        <v>18</v>
      </c>
      <c r="J2776" s="3" t="s">
        <v>14</v>
      </c>
      <c r="K2776" s="3" t="s">
        <v>14</v>
      </c>
      <c r="L2776" s="3" t="s">
        <v>399</v>
      </c>
      <c r="M2776" s="4">
        <v>46297</v>
      </c>
      <c r="N2776" s="3" t="s">
        <v>2934</v>
      </c>
      <c r="O2776" s="3" t="s">
        <v>23</v>
      </c>
      <c r="P2776" t="str">
        <f t="shared" si="43"/>
        <v>450013913140</v>
      </c>
      <c r="Q2776" s="7" cm="1">
        <f t="array" ref="Q2776:S2776">VLOOKUP(P2776,Hoja1!C:F,{2,3,4},FALSE)</f>
        <v>46297</v>
      </c>
      <c r="R2776" t="str">
        <v>F06</v>
      </c>
      <c r="S2776" t="str">
        <v>1000000561 ESCANDINAVIA DEL PLATA SA</v>
      </c>
    </row>
    <row r="2777" spans="1:19" x14ac:dyDescent="0.3">
      <c r="A2777" s="2" t="s">
        <v>14</v>
      </c>
      <c r="B2777" s="3" t="s">
        <v>14</v>
      </c>
      <c r="C2777" s="3" t="s">
        <v>2935</v>
      </c>
      <c r="D2777" s="3" t="s">
        <v>14</v>
      </c>
      <c r="E2777" s="3" t="s">
        <v>466</v>
      </c>
      <c r="F2777" s="4">
        <v>46295</v>
      </c>
      <c r="G2777" s="3" t="s">
        <v>17</v>
      </c>
      <c r="H2777" s="5">
        <v>-124153.60000000001</v>
      </c>
      <c r="I2777" s="3" t="s">
        <v>18</v>
      </c>
      <c r="J2777" s="3" t="s">
        <v>14</v>
      </c>
      <c r="K2777" s="3" t="s">
        <v>14</v>
      </c>
      <c r="L2777" s="3" t="s">
        <v>575</v>
      </c>
      <c r="M2777" s="4">
        <v>46297</v>
      </c>
      <c r="N2777" s="3" t="s">
        <v>2936</v>
      </c>
      <c r="O2777" s="3" t="s">
        <v>22</v>
      </c>
      <c r="P2777" t="str">
        <f t="shared" si="43"/>
        <v>450013841220</v>
      </c>
      <c r="Q2777" s="7" cm="1">
        <f t="array" ref="Q2777:S2777">VLOOKUP(P2777,Hoja1!C:F,{2,3,4},FALSE)</f>
        <v>46289</v>
      </c>
      <c r="R2777" t="str">
        <v>C27</v>
      </c>
      <c r="S2777" t="str">
        <v>1000000001 FERRETERA SAN LUIS</v>
      </c>
    </row>
    <row r="2778" spans="1:19" x14ac:dyDescent="0.3">
      <c r="A2778" s="2" t="s">
        <v>14</v>
      </c>
      <c r="B2778" s="3" t="s">
        <v>14</v>
      </c>
      <c r="C2778" s="3" t="s">
        <v>2937</v>
      </c>
      <c r="D2778" s="3" t="s">
        <v>14</v>
      </c>
      <c r="E2778" s="3" t="s">
        <v>466</v>
      </c>
      <c r="F2778" s="4">
        <v>46295</v>
      </c>
      <c r="G2778" s="3" t="s">
        <v>17</v>
      </c>
      <c r="H2778" s="5">
        <v>-170863.2</v>
      </c>
      <c r="I2778" s="3" t="s">
        <v>18</v>
      </c>
      <c r="J2778" s="3" t="s">
        <v>14</v>
      </c>
      <c r="K2778" s="3" t="s">
        <v>14</v>
      </c>
      <c r="L2778" s="3" t="s">
        <v>575</v>
      </c>
      <c r="M2778" s="4">
        <v>46297</v>
      </c>
      <c r="N2778" s="3" t="s">
        <v>2858</v>
      </c>
      <c r="O2778" s="3" t="s">
        <v>30</v>
      </c>
      <c r="P2778" t="str">
        <f t="shared" si="43"/>
        <v>450013953710</v>
      </c>
      <c r="Q2778" s="7" cm="1">
        <f t="array" ref="Q2778:S2778">VLOOKUP(P2778,Hoja1!C:F,{2,3,4},FALSE)</f>
        <v>46295</v>
      </c>
      <c r="R2778" t="str">
        <v>C27</v>
      </c>
      <c r="S2778" t="str">
        <v>1000000001 FERRETERA SAN LUIS</v>
      </c>
    </row>
    <row r="2779" spans="1:19" x14ac:dyDescent="0.3">
      <c r="A2779" s="2" t="s">
        <v>14</v>
      </c>
      <c r="B2779" s="3" t="s">
        <v>14</v>
      </c>
      <c r="C2779" s="3" t="s">
        <v>2938</v>
      </c>
      <c r="D2779" s="3" t="s">
        <v>192</v>
      </c>
      <c r="E2779" s="3" t="s">
        <v>466</v>
      </c>
      <c r="F2779" s="4">
        <v>46297</v>
      </c>
      <c r="G2779" s="3" t="s">
        <v>17</v>
      </c>
      <c r="H2779" s="5">
        <v>-465000</v>
      </c>
      <c r="I2779" s="3" t="s">
        <v>18</v>
      </c>
      <c r="J2779" s="3" t="s">
        <v>14</v>
      </c>
      <c r="K2779" s="3" t="s">
        <v>14</v>
      </c>
      <c r="L2779" s="3" t="s">
        <v>2939</v>
      </c>
      <c r="M2779" s="4">
        <v>46297</v>
      </c>
      <c r="N2779" s="3" t="s">
        <v>2940</v>
      </c>
      <c r="O2779" s="3" t="s">
        <v>30</v>
      </c>
      <c r="P2779" t="str">
        <f t="shared" si="43"/>
        <v>450013228410</v>
      </c>
      <c r="Q2779" s="7" cm="1">
        <f t="array" ref="Q2779:S2779">VLOOKUP(P2779,Hoja1!C:F,{2,3,4},FALSE)</f>
        <v>46596</v>
      </c>
      <c r="R2779" t="str">
        <v>C25</v>
      </c>
      <c r="S2779" t="str">
        <v>1000012833 CROS SERVICIOS GENERALES SRL</v>
      </c>
    </row>
    <row r="2780" spans="1:19" x14ac:dyDescent="0.3">
      <c r="A2780" s="2" t="s">
        <v>14</v>
      </c>
      <c r="B2780" s="3" t="s">
        <v>14</v>
      </c>
      <c r="C2780" s="3" t="s">
        <v>2941</v>
      </c>
      <c r="D2780" s="3" t="s">
        <v>32</v>
      </c>
      <c r="E2780" s="3" t="s">
        <v>466</v>
      </c>
      <c r="F2780" s="4">
        <v>46297</v>
      </c>
      <c r="G2780" s="3" t="s">
        <v>17</v>
      </c>
      <c r="H2780" s="5">
        <v>-2191538.7400000002</v>
      </c>
      <c r="I2780" s="3" t="s">
        <v>18</v>
      </c>
      <c r="J2780" s="3" t="s">
        <v>14</v>
      </c>
      <c r="K2780" s="3" t="s">
        <v>14</v>
      </c>
      <c r="L2780" s="3" t="s">
        <v>396</v>
      </c>
      <c r="M2780" s="4">
        <v>46297</v>
      </c>
      <c r="N2780" s="3" t="s">
        <v>397</v>
      </c>
      <c r="O2780" s="3" t="s">
        <v>30</v>
      </c>
      <c r="P2780" t="str">
        <f t="shared" si="43"/>
        <v>450013218610</v>
      </c>
      <c r="Q2780" s="7" cm="1">
        <f t="array" ref="Q2780:S2780">VLOOKUP(P2780,Hoja1!C:F,{2,3,4},FALSE)</f>
        <v>46387</v>
      </c>
      <c r="R2780" t="str">
        <v>C25</v>
      </c>
      <c r="S2780" t="str">
        <v>1000011567 MALDONADO ELVA</v>
      </c>
    </row>
    <row r="2781" spans="1:19" x14ac:dyDescent="0.3">
      <c r="A2781" s="2" t="s">
        <v>14</v>
      </c>
      <c r="B2781" s="3" t="s">
        <v>14</v>
      </c>
      <c r="C2781" s="3" t="s">
        <v>2941</v>
      </c>
      <c r="D2781" s="3" t="s">
        <v>32</v>
      </c>
      <c r="E2781" s="3" t="s">
        <v>466</v>
      </c>
      <c r="F2781" s="4">
        <v>46297</v>
      </c>
      <c r="G2781" s="3" t="s">
        <v>17</v>
      </c>
      <c r="H2781" s="5">
        <v>-187500</v>
      </c>
      <c r="I2781" s="3" t="s">
        <v>18</v>
      </c>
      <c r="J2781" s="3" t="s">
        <v>14</v>
      </c>
      <c r="K2781" s="3" t="s">
        <v>14</v>
      </c>
      <c r="L2781" s="3" t="s">
        <v>396</v>
      </c>
      <c r="M2781" s="4">
        <v>46297</v>
      </c>
      <c r="N2781" s="3" t="s">
        <v>397</v>
      </c>
      <c r="O2781" s="3" t="s">
        <v>35</v>
      </c>
      <c r="P2781" t="str">
        <f t="shared" si="43"/>
        <v>450013218630</v>
      </c>
      <c r="Q2781" s="7" cm="1">
        <f t="array" ref="Q2781:S2781">VLOOKUP(P2781,Hoja1!C:F,{2,3,4},FALSE)</f>
        <v>46387</v>
      </c>
      <c r="R2781" t="str">
        <v>C25</v>
      </c>
      <c r="S2781" t="str">
        <v>1000011567 MALDONADO ELVA</v>
      </c>
    </row>
    <row r="2782" spans="1:19" x14ac:dyDescent="0.3">
      <c r="A2782" s="2" t="s">
        <v>14</v>
      </c>
      <c r="B2782" s="3" t="s">
        <v>14</v>
      </c>
      <c r="C2782" s="3" t="s">
        <v>2942</v>
      </c>
      <c r="D2782" s="3" t="s">
        <v>14</v>
      </c>
      <c r="E2782" s="3" t="s">
        <v>466</v>
      </c>
      <c r="F2782" s="4">
        <v>46295</v>
      </c>
      <c r="G2782" s="3" t="s">
        <v>17</v>
      </c>
      <c r="H2782" s="5">
        <v>-798608</v>
      </c>
      <c r="I2782" s="3" t="s">
        <v>18</v>
      </c>
      <c r="J2782" s="3" t="s">
        <v>14</v>
      </c>
      <c r="K2782" s="3" t="s">
        <v>14</v>
      </c>
      <c r="L2782" s="3" t="s">
        <v>575</v>
      </c>
      <c r="M2782" s="4">
        <v>46297</v>
      </c>
      <c r="N2782" s="3" t="s">
        <v>2861</v>
      </c>
      <c r="O2782" s="3" t="s">
        <v>30</v>
      </c>
      <c r="P2782" t="str">
        <f t="shared" si="43"/>
        <v>450013939510</v>
      </c>
      <c r="Q2782" s="7" cm="1">
        <f t="array" ref="Q2782:S2782">VLOOKUP(P2782,Hoja1!C:F,{2,3,4},FALSE)</f>
        <v>46302</v>
      </c>
      <c r="R2782" t="str">
        <v>C28</v>
      </c>
      <c r="S2782" t="str">
        <v>1000000001 FERRETERA SAN LUIS</v>
      </c>
    </row>
    <row r="2783" spans="1:19" x14ac:dyDescent="0.3">
      <c r="A2783" s="2" t="s">
        <v>14</v>
      </c>
      <c r="B2783" s="3" t="s">
        <v>14</v>
      </c>
      <c r="C2783" s="3" t="s">
        <v>2942</v>
      </c>
      <c r="D2783" s="3" t="s">
        <v>14</v>
      </c>
      <c r="E2783" s="3" t="s">
        <v>466</v>
      </c>
      <c r="F2783" s="4">
        <v>46295</v>
      </c>
      <c r="G2783" s="3" t="s">
        <v>17</v>
      </c>
      <c r="H2783" s="5">
        <v>-2934360</v>
      </c>
      <c r="I2783" s="3" t="s">
        <v>18</v>
      </c>
      <c r="J2783" s="3" t="s">
        <v>14</v>
      </c>
      <c r="K2783" s="3" t="s">
        <v>14</v>
      </c>
      <c r="L2783" s="3" t="s">
        <v>575</v>
      </c>
      <c r="M2783" s="4">
        <v>46297</v>
      </c>
      <c r="N2783" s="3" t="s">
        <v>2861</v>
      </c>
      <c r="O2783" s="3" t="s">
        <v>22</v>
      </c>
      <c r="P2783" t="str">
        <f t="shared" si="43"/>
        <v>450013939520</v>
      </c>
      <c r="Q2783" s="7" cm="1">
        <f t="array" ref="Q2783:S2783">VLOOKUP(P2783,Hoja1!C:F,{2,3,4},FALSE)</f>
        <v>46302</v>
      </c>
      <c r="R2783" t="str">
        <v>C28</v>
      </c>
      <c r="S2783" t="str">
        <v>1000000001 FERRETERA SAN LUIS</v>
      </c>
    </row>
    <row r="2784" spans="1:19" x14ac:dyDescent="0.3">
      <c r="A2784" s="2" t="s">
        <v>14</v>
      </c>
      <c r="B2784" s="3" t="s">
        <v>14</v>
      </c>
      <c r="C2784" s="3" t="s">
        <v>2942</v>
      </c>
      <c r="D2784" s="3" t="s">
        <v>14</v>
      </c>
      <c r="E2784" s="3" t="s">
        <v>466</v>
      </c>
      <c r="F2784" s="4">
        <v>46295</v>
      </c>
      <c r="G2784" s="3" t="s">
        <v>17</v>
      </c>
      <c r="H2784" s="5">
        <v>-26448</v>
      </c>
      <c r="I2784" s="3" t="s">
        <v>18</v>
      </c>
      <c r="J2784" s="3" t="s">
        <v>14</v>
      </c>
      <c r="K2784" s="3" t="s">
        <v>14</v>
      </c>
      <c r="L2784" s="3" t="s">
        <v>575</v>
      </c>
      <c r="M2784" s="4">
        <v>46297</v>
      </c>
      <c r="N2784" s="3" t="s">
        <v>2861</v>
      </c>
      <c r="O2784" s="3" t="s">
        <v>35</v>
      </c>
      <c r="P2784" t="str">
        <f t="shared" si="43"/>
        <v>450013939530</v>
      </c>
      <c r="Q2784" s="7" cm="1">
        <f t="array" ref="Q2784:S2784">VLOOKUP(P2784,Hoja1!C:F,{2,3,4},FALSE)</f>
        <v>46302</v>
      </c>
      <c r="R2784" t="str">
        <v>C28</v>
      </c>
      <c r="S2784" t="str">
        <v>1000000001 FERRETERA SAN LUIS</v>
      </c>
    </row>
    <row r="2785" spans="1:19" x14ac:dyDescent="0.3">
      <c r="A2785" s="2" t="s">
        <v>14</v>
      </c>
      <c r="B2785" s="3" t="s">
        <v>14</v>
      </c>
      <c r="C2785" s="3" t="s">
        <v>2943</v>
      </c>
      <c r="D2785" s="3" t="s">
        <v>14</v>
      </c>
      <c r="E2785" s="3" t="s">
        <v>466</v>
      </c>
      <c r="F2785" s="4">
        <v>46297</v>
      </c>
      <c r="G2785" s="3" t="s">
        <v>17</v>
      </c>
      <c r="H2785" s="5">
        <v>-86990.83</v>
      </c>
      <c r="I2785" s="3" t="s">
        <v>18</v>
      </c>
      <c r="J2785" s="3" t="s">
        <v>14</v>
      </c>
      <c r="K2785" s="3" t="s">
        <v>14</v>
      </c>
      <c r="L2785" s="3" t="s">
        <v>2944</v>
      </c>
      <c r="M2785" s="4">
        <v>46297</v>
      </c>
      <c r="N2785" s="3" t="s">
        <v>2945</v>
      </c>
      <c r="O2785" s="3" t="s">
        <v>30</v>
      </c>
      <c r="P2785" t="str">
        <f t="shared" si="43"/>
        <v>450013909010</v>
      </c>
      <c r="Q2785" s="7" cm="1">
        <f t="array" ref="Q2785:S2785">VLOOKUP(P2785,Hoja1!C:F,{2,3,4},FALSE)</f>
        <v>46311</v>
      </c>
      <c r="R2785" t="str">
        <v>C03</v>
      </c>
      <c r="S2785" t="str">
        <v>1000000581 GINZA S.A.</v>
      </c>
    </row>
    <row r="2786" spans="1:19" x14ac:dyDescent="0.3">
      <c r="A2786" s="2" t="s">
        <v>14</v>
      </c>
      <c r="B2786" s="3" t="s">
        <v>14</v>
      </c>
      <c r="C2786" s="3" t="s">
        <v>2943</v>
      </c>
      <c r="D2786" s="3" t="s">
        <v>14</v>
      </c>
      <c r="E2786" s="3" t="s">
        <v>466</v>
      </c>
      <c r="F2786" s="4">
        <v>46297</v>
      </c>
      <c r="G2786" s="3" t="s">
        <v>17</v>
      </c>
      <c r="H2786" s="5">
        <v>-271772.28000000003</v>
      </c>
      <c r="I2786" s="3" t="s">
        <v>18</v>
      </c>
      <c r="J2786" s="3" t="s">
        <v>14</v>
      </c>
      <c r="K2786" s="3" t="s">
        <v>14</v>
      </c>
      <c r="L2786" s="3" t="s">
        <v>2944</v>
      </c>
      <c r="M2786" s="4">
        <v>46297</v>
      </c>
      <c r="N2786" s="3" t="s">
        <v>2945</v>
      </c>
      <c r="O2786" s="3" t="s">
        <v>22</v>
      </c>
      <c r="P2786" t="str">
        <f t="shared" si="43"/>
        <v>450013909020</v>
      </c>
      <c r="Q2786" s="7" cm="1">
        <f t="array" ref="Q2786:S2786">VLOOKUP(P2786,Hoja1!C:F,{2,3,4},FALSE)</f>
        <v>46311</v>
      </c>
      <c r="R2786" t="str">
        <v>C03</v>
      </c>
      <c r="S2786" t="str">
        <v>1000000581 GINZA S.A.</v>
      </c>
    </row>
    <row r="2787" spans="1:19" x14ac:dyDescent="0.3">
      <c r="A2787" s="2" t="s">
        <v>14</v>
      </c>
      <c r="B2787" s="3" t="s">
        <v>14</v>
      </c>
      <c r="C2787" s="3" t="s">
        <v>2946</v>
      </c>
      <c r="D2787" s="3" t="s">
        <v>32</v>
      </c>
      <c r="E2787" s="3" t="s">
        <v>466</v>
      </c>
      <c r="F2787" s="4">
        <v>46297</v>
      </c>
      <c r="G2787" s="3" t="s">
        <v>17</v>
      </c>
      <c r="H2787" s="5">
        <v>-421610</v>
      </c>
      <c r="I2787" s="3" t="s">
        <v>18</v>
      </c>
      <c r="J2787" s="3" t="s">
        <v>14</v>
      </c>
      <c r="K2787" s="3" t="s">
        <v>14</v>
      </c>
      <c r="L2787" s="3" t="s">
        <v>1242</v>
      </c>
      <c r="M2787" s="4">
        <v>46297</v>
      </c>
      <c r="N2787" s="3" t="s">
        <v>2838</v>
      </c>
      <c r="O2787" s="3" t="s">
        <v>30</v>
      </c>
      <c r="P2787" t="str">
        <f t="shared" si="43"/>
        <v>450014009910</v>
      </c>
      <c r="Q2787" s="7" cm="1">
        <f t="array" ref="Q2787:S2787">VLOOKUP(P2787,Hoja1!C:F,{2,3,4},FALSE)</f>
        <v>46326</v>
      </c>
      <c r="R2787" t="str">
        <v>C18</v>
      </c>
      <c r="S2787" t="str">
        <v>1000000226 CONFLUENCIA HORMIGON</v>
      </c>
    </row>
    <row r="2788" spans="1:19" x14ac:dyDescent="0.3">
      <c r="A2788" s="2" t="s">
        <v>14</v>
      </c>
      <c r="B2788" s="3" t="s">
        <v>14</v>
      </c>
      <c r="C2788" s="3" t="s">
        <v>2947</v>
      </c>
      <c r="D2788" s="3" t="s">
        <v>14</v>
      </c>
      <c r="E2788" s="3" t="s">
        <v>466</v>
      </c>
      <c r="F2788" s="4">
        <v>46297</v>
      </c>
      <c r="G2788" s="3" t="s">
        <v>17</v>
      </c>
      <c r="H2788" s="5">
        <v>-751514.17</v>
      </c>
      <c r="I2788" s="3" t="s">
        <v>18</v>
      </c>
      <c r="J2788" s="3" t="s">
        <v>14</v>
      </c>
      <c r="K2788" s="3" t="s">
        <v>14</v>
      </c>
      <c r="L2788" s="3" t="s">
        <v>2944</v>
      </c>
      <c r="M2788" s="4">
        <v>46297</v>
      </c>
      <c r="N2788" s="3" t="s">
        <v>2948</v>
      </c>
      <c r="O2788" s="3" t="s">
        <v>30</v>
      </c>
      <c r="P2788" t="str">
        <f t="shared" si="43"/>
        <v>450013993210</v>
      </c>
      <c r="Q2788" s="7" cm="1">
        <f t="array" ref="Q2788:S2788">VLOOKUP(P2788,Hoja1!C:F,{2,3,4},FALSE)</f>
        <v>46310</v>
      </c>
      <c r="R2788" t="str">
        <v>F04</v>
      </c>
      <c r="S2788" t="str">
        <v>1000000581 GINZA S.A.</v>
      </c>
    </row>
    <row r="2789" spans="1:19" x14ac:dyDescent="0.3">
      <c r="A2789" s="2" t="s">
        <v>14</v>
      </c>
      <c r="B2789" s="3" t="s">
        <v>14</v>
      </c>
      <c r="C2789" s="3" t="s">
        <v>2949</v>
      </c>
      <c r="D2789" s="3" t="s">
        <v>14</v>
      </c>
      <c r="E2789" s="3" t="s">
        <v>466</v>
      </c>
      <c r="F2789" s="4">
        <v>46297</v>
      </c>
      <c r="G2789" s="3" t="s">
        <v>17</v>
      </c>
      <c r="H2789" s="5">
        <v>-388841.82</v>
      </c>
      <c r="I2789" s="3" t="s">
        <v>18</v>
      </c>
      <c r="J2789" s="3" t="s">
        <v>14</v>
      </c>
      <c r="K2789" s="3" t="s">
        <v>14</v>
      </c>
      <c r="L2789" s="3" t="s">
        <v>1151</v>
      </c>
      <c r="M2789" s="4">
        <v>46297</v>
      </c>
      <c r="N2789" s="3" t="s">
        <v>2950</v>
      </c>
      <c r="O2789" s="3" t="s">
        <v>30</v>
      </c>
      <c r="P2789" t="str">
        <f t="shared" si="43"/>
        <v>450013913310</v>
      </c>
      <c r="Q2789" s="7" cm="1">
        <f t="array" ref="Q2789:S2789">VLOOKUP(P2789,Hoja1!C:F,{2,3,4},FALSE)</f>
        <v>46295</v>
      </c>
      <c r="R2789" t="str">
        <v>C03</v>
      </c>
      <c r="S2789" t="str">
        <v>1000011072 NEUMATICOS GOODYEAR S R L</v>
      </c>
    </row>
    <row r="2790" spans="1:19" x14ac:dyDescent="0.3">
      <c r="A2790" s="2" t="s">
        <v>14</v>
      </c>
      <c r="B2790" s="3" t="s">
        <v>14</v>
      </c>
      <c r="C2790" s="3" t="s">
        <v>2951</v>
      </c>
      <c r="D2790" s="3" t="s">
        <v>32</v>
      </c>
      <c r="E2790" s="3" t="s">
        <v>466</v>
      </c>
      <c r="F2790" s="4">
        <v>46297</v>
      </c>
      <c r="G2790" s="3" t="s">
        <v>17</v>
      </c>
      <c r="H2790" s="5">
        <v>-52892.56</v>
      </c>
      <c r="I2790" s="3" t="s">
        <v>18</v>
      </c>
      <c r="J2790" s="3" t="s">
        <v>14</v>
      </c>
      <c r="K2790" s="3" t="s">
        <v>14</v>
      </c>
      <c r="L2790" s="3" t="s">
        <v>2874</v>
      </c>
      <c r="M2790" s="4">
        <v>46297</v>
      </c>
      <c r="N2790" s="3" t="s">
        <v>2875</v>
      </c>
      <c r="O2790" s="3" t="s">
        <v>30</v>
      </c>
      <c r="P2790" t="str">
        <f t="shared" si="43"/>
        <v>450013975910</v>
      </c>
      <c r="Q2790" s="7" cm="1">
        <f t="array" ref="Q2790:S2790">VLOOKUP(P2790,Hoja1!C:F,{2,3,4},FALSE)</f>
        <v>46301</v>
      </c>
      <c r="R2790" t="str">
        <v>374</v>
      </c>
      <c r="S2790" t="str">
        <v>1000011738 CHEN WENRONG</v>
      </c>
    </row>
    <row r="2791" spans="1:19" x14ac:dyDescent="0.3">
      <c r="A2791" s="2" t="s">
        <v>14</v>
      </c>
      <c r="B2791" s="3" t="s">
        <v>14</v>
      </c>
      <c r="C2791" s="3" t="s">
        <v>2951</v>
      </c>
      <c r="D2791" s="3" t="s">
        <v>32</v>
      </c>
      <c r="E2791" s="3" t="s">
        <v>466</v>
      </c>
      <c r="F2791" s="4">
        <v>46297</v>
      </c>
      <c r="G2791" s="3" t="s">
        <v>17</v>
      </c>
      <c r="H2791" s="5">
        <v>-42148.74</v>
      </c>
      <c r="I2791" s="3" t="s">
        <v>18</v>
      </c>
      <c r="J2791" s="3" t="s">
        <v>14</v>
      </c>
      <c r="K2791" s="3" t="s">
        <v>14</v>
      </c>
      <c r="L2791" s="3" t="s">
        <v>2874</v>
      </c>
      <c r="M2791" s="4">
        <v>46297</v>
      </c>
      <c r="N2791" s="3" t="s">
        <v>2875</v>
      </c>
      <c r="O2791" s="3" t="s">
        <v>22</v>
      </c>
      <c r="P2791" t="str">
        <f t="shared" si="43"/>
        <v>450013975920</v>
      </c>
      <c r="Q2791" s="7" cm="1">
        <f t="array" ref="Q2791:S2791">VLOOKUP(P2791,Hoja1!C:F,{2,3,4},FALSE)</f>
        <v>46301</v>
      </c>
      <c r="R2791" t="str">
        <v>374</v>
      </c>
      <c r="S2791" t="str">
        <v>1000011738 CHEN WENRONG</v>
      </c>
    </row>
    <row r="2792" spans="1:19" x14ac:dyDescent="0.3">
      <c r="A2792" s="2" t="s">
        <v>14</v>
      </c>
      <c r="B2792" s="3" t="s">
        <v>14</v>
      </c>
      <c r="C2792" s="3" t="s">
        <v>2951</v>
      </c>
      <c r="D2792" s="3" t="s">
        <v>32</v>
      </c>
      <c r="E2792" s="3" t="s">
        <v>466</v>
      </c>
      <c r="F2792" s="4">
        <v>46297</v>
      </c>
      <c r="G2792" s="3" t="s">
        <v>17</v>
      </c>
      <c r="H2792" s="5">
        <v>-43388.4</v>
      </c>
      <c r="I2792" s="3" t="s">
        <v>18</v>
      </c>
      <c r="J2792" s="3" t="s">
        <v>14</v>
      </c>
      <c r="K2792" s="3" t="s">
        <v>14</v>
      </c>
      <c r="L2792" s="3" t="s">
        <v>2874</v>
      </c>
      <c r="M2792" s="4">
        <v>46297</v>
      </c>
      <c r="N2792" s="3" t="s">
        <v>2875</v>
      </c>
      <c r="O2792" s="3" t="s">
        <v>35</v>
      </c>
      <c r="P2792" t="str">
        <f t="shared" si="43"/>
        <v>450013975930</v>
      </c>
      <c r="Q2792" s="7" cm="1">
        <f t="array" ref="Q2792:S2792">VLOOKUP(P2792,Hoja1!C:F,{2,3,4},FALSE)</f>
        <v>46301</v>
      </c>
      <c r="R2792" t="str">
        <v>374</v>
      </c>
      <c r="S2792" t="str">
        <v>1000011738 CHEN WENRONG</v>
      </c>
    </row>
    <row r="2793" spans="1:19" x14ac:dyDescent="0.3">
      <c r="A2793" s="2" t="s">
        <v>14</v>
      </c>
      <c r="B2793" s="3" t="s">
        <v>14</v>
      </c>
      <c r="C2793" s="3" t="s">
        <v>2951</v>
      </c>
      <c r="D2793" s="3" t="s">
        <v>32</v>
      </c>
      <c r="E2793" s="3" t="s">
        <v>466</v>
      </c>
      <c r="F2793" s="4">
        <v>46297</v>
      </c>
      <c r="G2793" s="3" t="s">
        <v>17</v>
      </c>
      <c r="H2793" s="5">
        <v>-55999.98</v>
      </c>
      <c r="I2793" s="3" t="s">
        <v>18</v>
      </c>
      <c r="J2793" s="3" t="s">
        <v>14</v>
      </c>
      <c r="K2793" s="3" t="s">
        <v>14</v>
      </c>
      <c r="L2793" s="3" t="s">
        <v>2874</v>
      </c>
      <c r="M2793" s="4">
        <v>46297</v>
      </c>
      <c r="N2793" s="3" t="s">
        <v>2875</v>
      </c>
      <c r="O2793" s="3" t="s">
        <v>23</v>
      </c>
      <c r="P2793" t="str">
        <f t="shared" si="43"/>
        <v>450013975940</v>
      </c>
      <c r="Q2793" s="7" cm="1">
        <f t="array" ref="Q2793:S2793">VLOOKUP(P2793,Hoja1!C:F,{2,3,4},FALSE)</f>
        <v>46301</v>
      </c>
      <c r="R2793" t="str">
        <v>374</v>
      </c>
      <c r="S2793" t="str">
        <v>1000011738 CHEN WENRONG</v>
      </c>
    </row>
    <row r="2794" spans="1:19" x14ac:dyDescent="0.3">
      <c r="A2794" s="2" t="s">
        <v>14</v>
      </c>
      <c r="B2794" s="3" t="s">
        <v>14</v>
      </c>
      <c r="C2794" s="3" t="s">
        <v>2951</v>
      </c>
      <c r="D2794" s="3" t="s">
        <v>32</v>
      </c>
      <c r="E2794" s="3" t="s">
        <v>466</v>
      </c>
      <c r="F2794" s="4">
        <v>46297</v>
      </c>
      <c r="G2794" s="3" t="s">
        <v>17</v>
      </c>
      <c r="H2794" s="5">
        <v>-4958.67</v>
      </c>
      <c r="I2794" s="3" t="s">
        <v>18</v>
      </c>
      <c r="J2794" s="3" t="s">
        <v>14</v>
      </c>
      <c r="K2794" s="3" t="s">
        <v>14</v>
      </c>
      <c r="L2794" s="3" t="s">
        <v>2874</v>
      </c>
      <c r="M2794" s="4">
        <v>46297</v>
      </c>
      <c r="N2794" s="3" t="s">
        <v>2875</v>
      </c>
      <c r="O2794" s="3" t="s">
        <v>144</v>
      </c>
      <c r="P2794" t="str">
        <f t="shared" si="43"/>
        <v>450013975950</v>
      </c>
      <c r="Q2794" s="7" cm="1">
        <f t="array" ref="Q2794:S2794">VLOOKUP(P2794,Hoja1!C:F,{2,3,4},FALSE)</f>
        <v>46301</v>
      </c>
      <c r="R2794" t="str">
        <v>374</v>
      </c>
      <c r="S2794" t="str">
        <v>1000011738 CHEN WENRONG</v>
      </c>
    </row>
    <row r="2795" spans="1:19" x14ac:dyDescent="0.3">
      <c r="A2795" s="2" t="s">
        <v>14</v>
      </c>
      <c r="B2795" s="3" t="s">
        <v>14</v>
      </c>
      <c r="C2795" s="3" t="s">
        <v>2951</v>
      </c>
      <c r="D2795" s="3" t="s">
        <v>32</v>
      </c>
      <c r="E2795" s="3" t="s">
        <v>466</v>
      </c>
      <c r="F2795" s="4">
        <v>46297</v>
      </c>
      <c r="G2795" s="3" t="s">
        <v>17</v>
      </c>
      <c r="H2795" s="5">
        <v>-4958.67</v>
      </c>
      <c r="I2795" s="3" t="s">
        <v>18</v>
      </c>
      <c r="J2795" s="3" t="s">
        <v>14</v>
      </c>
      <c r="K2795" s="3" t="s">
        <v>14</v>
      </c>
      <c r="L2795" s="3" t="s">
        <v>2874</v>
      </c>
      <c r="M2795" s="4">
        <v>46297</v>
      </c>
      <c r="N2795" s="3" t="s">
        <v>2875</v>
      </c>
      <c r="O2795" s="3" t="s">
        <v>141</v>
      </c>
      <c r="P2795" t="str">
        <f t="shared" si="43"/>
        <v>450013975960</v>
      </c>
      <c r="Q2795" s="7" cm="1">
        <f t="array" ref="Q2795:S2795">VLOOKUP(P2795,Hoja1!C:F,{2,3,4},FALSE)</f>
        <v>46301</v>
      </c>
      <c r="R2795" t="str">
        <v>374</v>
      </c>
      <c r="S2795" t="str">
        <v>1000011738 CHEN WENRONG</v>
      </c>
    </row>
    <row r="2796" spans="1:19" x14ac:dyDescent="0.3">
      <c r="A2796" s="2" t="s">
        <v>14</v>
      </c>
      <c r="B2796" s="3" t="s">
        <v>14</v>
      </c>
      <c r="C2796" s="3" t="s">
        <v>2951</v>
      </c>
      <c r="D2796" s="3" t="s">
        <v>32</v>
      </c>
      <c r="E2796" s="3" t="s">
        <v>466</v>
      </c>
      <c r="F2796" s="4">
        <v>46297</v>
      </c>
      <c r="G2796" s="3" t="s">
        <v>17</v>
      </c>
      <c r="H2796" s="5">
        <v>-3223.14</v>
      </c>
      <c r="I2796" s="3" t="s">
        <v>18</v>
      </c>
      <c r="J2796" s="3" t="s">
        <v>14</v>
      </c>
      <c r="K2796" s="3" t="s">
        <v>14</v>
      </c>
      <c r="L2796" s="3" t="s">
        <v>2874</v>
      </c>
      <c r="M2796" s="4">
        <v>46297</v>
      </c>
      <c r="N2796" s="3" t="s">
        <v>2875</v>
      </c>
      <c r="O2796" s="3" t="s">
        <v>134</v>
      </c>
      <c r="P2796" t="str">
        <f t="shared" si="43"/>
        <v>450013975970</v>
      </c>
      <c r="Q2796" s="7" cm="1">
        <f t="array" ref="Q2796:S2796">VLOOKUP(P2796,Hoja1!C:F,{2,3,4},FALSE)</f>
        <v>46301</v>
      </c>
      <c r="R2796" t="str">
        <v>374</v>
      </c>
      <c r="S2796" t="str">
        <v>1000011738 CHEN WENRONG</v>
      </c>
    </row>
    <row r="2797" spans="1:19" x14ac:dyDescent="0.3">
      <c r="A2797" s="2" t="s">
        <v>14</v>
      </c>
      <c r="B2797" s="3" t="s">
        <v>14</v>
      </c>
      <c r="C2797" s="3" t="s">
        <v>2951</v>
      </c>
      <c r="D2797" s="3" t="s">
        <v>32</v>
      </c>
      <c r="E2797" s="3" t="s">
        <v>466</v>
      </c>
      <c r="F2797" s="4">
        <v>46297</v>
      </c>
      <c r="G2797" s="3" t="s">
        <v>17</v>
      </c>
      <c r="H2797" s="5">
        <v>-66115.199999999997</v>
      </c>
      <c r="I2797" s="3" t="s">
        <v>18</v>
      </c>
      <c r="J2797" s="3" t="s">
        <v>14</v>
      </c>
      <c r="K2797" s="3" t="s">
        <v>14</v>
      </c>
      <c r="L2797" s="3" t="s">
        <v>2874</v>
      </c>
      <c r="M2797" s="4">
        <v>46297</v>
      </c>
      <c r="N2797" s="3" t="s">
        <v>2875</v>
      </c>
      <c r="O2797" s="3" t="s">
        <v>52</v>
      </c>
      <c r="P2797" t="str">
        <f t="shared" si="43"/>
        <v>450013975980</v>
      </c>
      <c r="Q2797" s="7" cm="1">
        <f t="array" ref="Q2797:S2797">VLOOKUP(P2797,Hoja1!C:F,{2,3,4},FALSE)</f>
        <v>46301</v>
      </c>
      <c r="R2797" t="str">
        <v>374</v>
      </c>
      <c r="S2797" t="str">
        <v>1000011738 CHEN WENRONG</v>
      </c>
    </row>
    <row r="2798" spans="1:19" x14ac:dyDescent="0.3">
      <c r="A2798" s="2" t="s">
        <v>14</v>
      </c>
      <c r="B2798" s="3" t="s">
        <v>14</v>
      </c>
      <c r="C2798" s="3" t="s">
        <v>2951</v>
      </c>
      <c r="D2798" s="3" t="s">
        <v>32</v>
      </c>
      <c r="E2798" s="3" t="s">
        <v>466</v>
      </c>
      <c r="F2798" s="4">
        <v>46297</v>
      </c>
      <c r="G2798" s="3" t="s">
        <v>17</v>
      </c>
      <c r="H2798" s="5">
        <v>-165288</v>
      </c>
      <c r="I2798" s="3" t="s">
        <v>18</v>
      </c>
      <c r="J2798" s="3" t="s">
        <v>14</v>
      </c>
      <c r="K2798" s="3" t="s">
        <v>14</v>
      </c>
      <c r="L2798" s="3" t="s">
        <v>2874</v>
      </c>
      <c r="M2798" s="4">
        <v>46297</v>
      </c>
      <c r="N2798" s="3" t="s">
        <v>2875</v>
      </c>
      <c r="O2798" s="3" t="s">
        <v>138</v>
      </c>
      <c r="P2798" t="str">
        <f t="shared" si="43"/>
        <v>450013975990</v>
      </c>
      <c r="Q2798" s="7" cm="1">
        <f t="array" ref="Q2798:S2798">VLOOKUP(P2798,Hoja1!C:F,{2,3,4},FALSE)</f>
        <v>46301</v>
      </c>
      <c r="R2798" t="str">
        <v>374</v>
      </c>
      <c r="S2798" t="str">
        <v>1000011738 CHEN WENRONG</v>
      </c>
    </row>
    <row r="2799" spans="1:19" x14ac:dyDescent="0.3">
      <c r="A2799" s="2" t="s">
        <v>14</v>
      </c>
      <c r="B2799" s="3" t="s">
        <v>14</v>
      </c>
      <c r="C2799" s="3" t="s">
        <v>2951</v>
      </c>
      <c r="D2799" s="3" t="s">
        <v>32</v>
      </c>
      <c r="E2799" s="3" t="s">
        <v>466</v>
      </c>
      <c r="F2799" s="4">
        <v>46297</v>
      </c>
      <c r="G2799" s="3" t="s">
        <v>17</v>
      </c>
      <c r="H2799" s="5">
        <v>-19834.71</v>
      </c>
      <c r="I2799" s="3" t="s">
        <v>18</v>
      </c>
      <c r="J2799" s="3" t="s">
        <v>14</v>
      </c>
      <c r="K2799" s="3" t="s">
        <v>14</v>
      </c>
      <c r="L2799" s="3" t="s">
        <v>2874</v>
      </c>
      <c r="M2799" s="4">
        <v>46297</v>
      </c>
      <c r="N2799" s="3" t="s">
        <v>2875</v>
      </c>
      <c r="O2799" s="3" t="s">
        <v>45</v>
      </c>
      <c r="P2799" t="str">
        <f t="shared" si="43"/>
        <v>4500139759100</v>
      </c>
      <c r="Q2799" s="7" cm="1">
        <f t="array" ref="Q2799:S2799">VLOOKUP(P2799,Hoja1!C:F,{2,3,4},FALSE)</f>
        <v>46301</v>
      </c>
      <c r="R2799" t="str">
        <v>374</v>
      </c>
      <c r="S2799" t="str">
        <v>1000011738 CHEN WENRONG</v>
      </c>
    </row>
    <row r="2800" spans="1:19" x14ac:dyDescent="0.3">
      <c r="A2800" s="2" t="s">
        <v>14</v>
      </c>
      <c r="B2800" s="3" t="s">
        <v>14</v>
      </c>
      <c r="C2800" s="3" t="s">
        <v>2951</v>
      </c>
      <c r="D2800" s="3" t="s">
        <v>32</v>
      </c>
      <c r="E2800" s="3" t="s">
        <v>466</v>
      </c>
      <c r="F2800" s="4">
        <v>46297</v>
      </c>
      <c r="G2800" s="3" t="s">
        <v>17</v>
      </c>
      <c r="H2800" s="5">
        <v>-10115.34</v>
      </c>
      <c r="I2800" s="3" t="s">
        <v>18</v>
      </c>
      <c r="J2800" s="3" t="s">
        <v>14</v>
      </c>
      <c r="K2800" s="3" t="s">
        <v>14</v>
      </c>
      <c r="L2800" s="3" t="s">
        <v>2874</v>
      </c>
      <c r="M2800" s="4">
        <v>46297</v>
      </c>
      <c r="N2800" s="3" t="s">
        <v>2875</v>
      </c>
      <c r="O2800" s="3" t="s">
        <v>156</v>
      </c>
      <c r="P2800" t="str">
        <f t="shared" si="43"/>
        <v>4500139759110</v>
      </c>
      <c r="Q2800" s="7" cm="1">
        <f t="array" ref="Q2800:S2800">VLOOKUP(P2800,Hoja1!C:F,{2,3,4},FALSE)</f>
        <v>46301</v>
      </c>
      <c r="R2800" t="str">
        <v>374</v>
      </c>
      <c r="S2800" t="str">
        <v>1000011738 CHEN WENRONG</v>
      </c>
    </row>
    <row r="2801" spans="1:19" x14ac:dyDescent="0.3">
      <c r="A2801" s="2" t="s">
        <v>14</v>
      </c>
      <c r="B2801" s="3" t="s">
        <v>14</v>
      </c>
      <c r="C2801" s="3" t="s">
        <v>2951</v>
      </c>
      <c r="D2801" s="3" t="s">
        <v>32</v>
      </c>
      <c r="E2801" s="3" t="s">
        <v>466</v>
      </c>
      <c r="F2801" s="4">
        <v>46297</v>
      </c>
      <c r="G2801" s="3" t="s">
        <v>17</v>
      </c>
      <c r="H2801" s="5">
        <v>-5371.9</v>
      </c>
      <c r="I2801" s="3" t="s">
        <v>18</v>
      </c>
      <c r="J2801" s="3" t="s">
        <v>14</v>
      </c>
      <c r="K2801" s="3" t="s">
        <v>14</v>
      </c>
      <c r="L2801" s="3" t="s">
        <v>2874</v>
      </c>
      <c r="M2801" s="4">
        <v>46297</v>
      </c>
      <c r="N2801" s="3" t="s">
        <v>2875</v>
      </c>
      <c r="O2801" s="3" t="s">
        <v>132</v>
      </c>
      <c r="P2801" t="str">
        <f t="shared" si="43"/>
        <v>4500139759120</v>
      </c>
      <c r="Q2801" s="7" cm="1">
        <f t="array" ref="Q2801:S2801">VLOOKUP(P2801,Hoja1!C:F,{2,3,4},FALSE)</f>
        <v>46301</v>
      </c>
      <c r="R2801" t="str">
        <v>374</v>
      </c>
      <c r="S2801" t="str">
        <v>1000011738 CHEN WENRONG</v>
      </c>
    </row>
    <row r="2802" spans="1:19" x14ac:dyDescent="0.3">
      <c r="A2802" s="2" t="s">
        <v>14</v>
      </c>
      <c r="B2802" s="3" t="s">
        <v>14</v>
      </c>
      <c r="C2802" s="3" t="s">
        <v>2951</v>
      </c>
      <c r="D2802" s="3" t="s">
        <v>32</v>
      </c>
      <c r="E2802" s="3" t="s">
        <v>466</v>
      </c>
      <c r="F2802" s="4">
        <v>46297</v>
      </c>
      <c r="G2802" s="3" t="s">
        <v>17</v>
      </c>
      <c r="H2802" s="5">
        <v>-198863</v>
      </c>
      <c r="I2802" s="3" t="s">
        <v>18</v>
      </c>
      <c r="J2802" s="3" t="s">
        <v>14</v>
      </c>
      <c r="K2802" s="3" t="s">
        <v>14</v>
      </c>
      <c r="L2802" s="3" t="s">
        <v>2874</v>
      </c>
      <c r="M2802" s="4">
        <v>46297</v>
      </c>
      <c r="N2802" s="3" t="s">
        <v>2875</v>
      </c>
      <c r="O2802" s="3" t="s">
        <v>142</v>
      </c>
      <c r="P2802" t="str">
        <f t="shared" si="43"/>
        <v>4500139759130</v>
      </c>
      <c r="Q2802" s="7" cm="1">
        <f t="array" ref="Q2802:S2802">VLOOKUP(P2802,Hoja1!C:F,{2,3,4},FALSE)</f>
        <v>46301</v>
      </c>
      <c r="R2802" t="str">
        <v>374</v>
      </c>
      <c r="S2802" t="str">
        <v>1000011738 CHEN WENRONG</v>
      </c>
    </row>
    <row r="2803" spans="1:19" x14ac:dyDescent="0.3">
      <c r="A2803" s="2" t="s">
        <v>14</v>
      </c>
      <c r="B2803" s="3" t="s">
        <v>14</v>
      </c>
      <c r="C2803" s="3" t="s">
        <v>2951</v>
      </c>
      <c r="D2803" s="3" t="s">
        <v>32</v>
      </c>
      <c r="E2803" s="3" t="s">
        <v>466</v>
      </c>
      <c r="F2803" s="4">
        <v>46297</v>
      </c>
      <c r="G2803" s="3" t="s">
        <v>17</v>
      </c>
      <c r="H2803" s="5">
        <v>-198347.1</v>
      </c>
      <c r="I2803" s="3" t="s">
        <v>18</v>
      </c>
      <c r="J2803" s="3" t="s">
        <v>14</v>
      </c>
      <c r="K2803" s="3" t="s">
        <v>14</v>
      </c>
      <c r="L2803" s="3" t="s">
        <v>2874</v>
      </c>
      <c r="M2803" s="4">
        <v>46297</v>
      </c>
      <c r="N2803" s="3" t="s">
        <v>2875</v>
      </c>
      <c r="O2803" s="3" t="s">
        <v>131</v>
      </c>
      <c r="P2803" t="str">
        <f t="shared" si="43"/>
        <v>4500139759140</v>
      </c>
      <c r="Q2803" s="7" cm="1">
        <f t="array" ref="Q2803:S2803">VLOOKUP(P2803,Hoja1!C:F,{2,3,4},FALSE)</f>
        <v>46301</v>
      </c>
      <c r="R2803" t="str">
        <v>374</v>
      </c>
      <c r="S2803" t="str">
        <v>1000011738 CHEN WENRONG</v>
      </c>
    </row>
    <row r="2804" spans="1:19" x14ac:dyDescent="0.3">
      <c r="A2804" s="2" t="s">
        <v>14</v>
      </c>
      <c r="B2804" s="3" t="s">
        <v>14</v>
      </c>
      <c r="C2804" s="3" t="s">
        <v>2952</v>
      </c>
      <c r="D2804" s="3" t="s">
        <v>14</v>
      </c>
      <c r="E2804" s="3" t="s">
        <v>466</v>
      </c>
      <c r="F2804" s="4">
        <v>46297</v>
      </c>
      <c r="G2804" s="3" t="s">
        <v>17</v>
      </c>
      <c r="H2804" s="5">
        <v>-168048.01</v>
      </c>
      <c r="I2804" s="3" t="s">
        <v>18</v>
      </c>
      <c r="J2804" s="3" t="s">
        <v>14</v>
      </c>
      <c r="K2804" s="3" t="s">
        <v>14</v>
      </c>
      <c r="L2804" s="3" t="s">
        <v>2944</v>
      </c>
      <c r="M2804" s="4">
        <v>46297</v>
      </c>
      <c r="N2804" s="3" t="s">
        <v>2953</v>
      </c>
      <c r="O2804" s="3" t="s">
        <v>30</v>
      </c>
      <c r="P2804" t="str">
        <f t="shared" si="43"/>
        <v>450013966210</v>
      </c>
      <c r="Q2804" s="7" cm="1">
        <f t="array" ref="Q2804:S2804">VLOOKUP(P2804,Hoja1!C:F,{2,3,4},FALSE)</f>
        <v>46297</v>
      </c>
      <c r="R2804" t="str">
        <v>C03</v>
      </c>
      <c r="S2804" t="str">
        <v>1000000581 GINZA S.A.</v>
      </c>
    </row>
    <row r="2805" spans="1:19" x14ac:dyDescent="0.3">
      <c r="A2805" s="2" t="s">
        <v>14</v>
      </c>
      <c r="B2805" s="3" t="s">
        <v>14</v>
      </c>
      <c r="C2805" s="3" t="s">
        <v>2952</v>
      </c>
      <c r="D2805" s="3" t="s">
        <v>14</v>
      </c>
      <c r="E2805" s="3" t="s">
        <v>466</v>
      </c>
      <c r="F2805" s="4">
        <v>46297</v>
      </c>
      <c r="G2805" s="3" t="s">
        <v>17</v>
      </c>
      <c r="H2805" s="5">
        <v>-171867.29</v>
      </c>
      <c r="I2805" s="3" t="s">
        <v>18</v>
      </c>
      <c r="J2805" s="3" t="s">
        <v>14</v>
      </c>
      <c r="K2805" s="3" t="s">
        <v>14</v>
      </c>
      <c r="L2805" s="3" t="s">
        <v>2944</v>
      </c>
      <c r="M2805" s="4">
        <v>46297</v>
      </c>
      <c r="N2805" s="3" t="s">
        <v>2953</v>
      </c>
      <c r="O2805" s="3" t="s">
        <v>22</v>
      </c>
      <c r="P2805" t="str">
        <f t="shared" si="43"/>
        <v>450013966220</v>
      </c>
      <c r="Q2805" s="7" cm="1">
        <f t="array" ref="Q2805:S2805">VLOOKUP(P2805,Hoja1!C:F,{2,3,4},FALSE)</f>
        <v>46297</v>
      </c>
      <c r="R2805" t="str">
        <v>C03</v>
      </c>
      <c r="S2805" t="str">
        <v>1000000581 GINZA S.A.</v>
      </c>
    </row>
    <row r="2806" spans="1:19" x14ac:dyDescent="0.3">
      <c r="A2806" s="2" t="s">
        <v>14</v>
      </c>
      <c r="B2806" s="3" t="s">
        <v>14</v>
      </c>
      <c r="C2806" s="3" t="s">
        <v>2952</v>
      </c>
      <c r="D2806" s="3" t="s">
        <v>14</v>
      </c>
      <c r="E2806" s="3" t="s">
        <v>466</v>
      </c>
      <c r="F2806" s="4">
        <v>46297</v>
      </c>
      <c r="G2806" s="3" t="s">
        <v>17</v>
      </c>
      <c r="H2806" s="5">
        <v>-454193.54</v>
      </c>
      <c r="I2806" s="3" t="s">
        <v>18</v>
      </c>
      <c r="J2806" s="3" t="s">
        <v>14</v>
      </c>
      <c r="K2806" s="3" t="s">
        <v>14</v>
      </c>
      <c r="L2806" s="3" t="s">
        <v>2944</v>
      </c>
      <c r="M2806" s="4">
        <v>46297</v>
      </c>
      <c r="N2806" s="3" t="s">
        <v>2953</v>
      </c>
      <c r="O2806" s="3" t="s">
        <v>35</v>
      </c>
      <c r="P2806" t="str">
        <f t="shared" si="43"/>
        <v>450013966230</v>
      </c>
      <c r="Q2806" s="7" cm="1">
        <f t="array" ref="Q2806:S2806">VLOOKUP(P2806,Hoja1!C:F,{2,3,4},FALSE)</f>
        <v>46297</v>
      </c>
      <c r="R2806" t="str">
        <v>C03</v>
      </c>
      <c r="S2806" t="str">
        <v>1000000581 GINZA S.A.</v>
      </c>
    </row>
    <row r="2807" spans="1:19" x14ac:dyDescent="0.3">
      <c r="A2807" s="2" t="s">
        <v>14</v>
      </c>
      <c r="B2807" s="3" t="s">
        <v>14</v>
      </c>
      <c r="C2807" s="3" t="s">
        <v>2952</v>
      </c>
      <c r="D2807" s="3" t="s">
        <v>14</v>
      </c>
      <c r="E2807" s="3" t="s">
        <v>466</v>
      </c>
      <c r="F2807" s="4">
        <v>46297</v>
      </c>
      <c r="G2807" s="3" t="s">
        <v>17</v>
      </c>
      <c r="H2807" s="5">
        <v>-271772.28000000003</v>
      </c>
      <c r="I2807" s="3" t="s">
        <v>18</v>
      </c>
      <c r="J2807" s="3" t="s">
        <v>14</v>
      </c>
      <c r="K2807" s="3" t="s">
        <v>14</v>
      </c>
      <c r="L2807" s="3" t="s">
        <v>2944</v>
      </c>
      <c r="M2807" s="4">
        <v>46297</v>
      </c>
      <c r="N2807" s="3" t="s">
        <v>2953</v>
      </c>
      <c r="O2807" s="3" t="s">
        <v>23</v>
      </c>
      <c r="P2807" t="str">
        <f t="shared" si="43"/>
        <v>450013966240</v>
      </c>
      <c r="Q2807" s="7" cm="1">
        <f t="array" ref="Q2807:S2807">VLOOKUP(P2807,Hoja1!C:F,{2,3,4},FALSE)</f>
        <v>46297</v>
      </c>
      <c r="R2807" t="str">
        <v>C03</v>
      </c>
      <c r="S2807" t="str">
        <v>1000000581 GINZA S.A.</v>
      </c>
    </row>
    <row r="2808" spans="1:19" x14ac:dyDescent="0.3">
      <c r="A2808" s="2" t="s">
        <v>14</v>
      </c>
      <c r="B2808" s="3" t="s">
        <v>14</v>
      </c>
      <c r="C2808" s="3" t="s">
        <v>2954</v>
      </c>
      <c r="D2808" s="3" t="s">
        <v>14</v>
      </c>
      <c r="E2808" s="3" t="s">
        <v>466</v>
      </c>
      <c r="F2808" s="4">
        <v>46297</v>
      </c>
      <c r="G2808" s="3" t="s">
        <v>17</v>
      </c>
      <c r="H2808" s="5">
        <v>-2652892.56</v>
      </c>
      <c r="I2808" s="3" t="s">
        <v>18</v>
      </c>
      <c r="J2808" s="3" t="s">
        <v>14</v>
      </c>
      <c r="K2808" s="3" t="s">
        <v>14</v>
      </c>
      <c r="L2808" s="3" t="s">
        <v>2955</v>
      </c>
      <c r="M2808" s="4">
        <v>46297</v>
      </c>
      <c r="N2808" s="3" t="s">
        <v>2956</v>
      </c>
      <c r="O2808" s="3" t="s">
        <v>30</v>
      </c>
      <c r="P2808" t="str">
        <f t="shared" si="43"/>
        <v>450013811910</v>
      </c>
      <c r="Q2808" s="7" cm="1">
        <f t="array" ref="Q2808:S2808">VLOOKUP(P2808,Hoja1!C:F,{2,3,4},FALSE)</f>
        <v>46290</v>
      </c>
      <c r="R2808" t="str">
        <v>C38</v>
      </c>
      <c r="S2808" t="str">
        <v>1000011901 CAVALLONE HERMANOS S. R. L.</v>
      </c>
    </row>
    <row r="2809" spans="1:19" x14ac:dyDescent="0.3">
      <c r="A2809" s="2" t="s">
        <v>14</v>
      </c>
      <c r="B2809" s="3" t="s">
        <v>14</v>
      </c>
      <c r="C2809" s="3" t="s">
        <v>2957</v>
      </c>
      <c r="D2809" s="3" t="s">
        <v>14</v>
      </c>
      <c r="E2809" s="3" t="s">
        <v>466</v>
      </c>
      <c r="F2809" s="4">
        <v>46297</v>
      </c>
      <c r="G2809" s="3" t="s">
        <v>17</v>
      </c>
      <c r="H2809" s="5">
        <v>-727000</v>
      </c>
      <c r="I2809" s="3" t="s">
        <v>18</v>
      </c>
      <c r="J2809" s="3" t="s">
        <v>14</v>
      </c>
      <c r="K2809" s="3" t="s">
        <v>14</v>
      </c>
      <c r="L2809" s="3" t="s">
        <v>1182</v>
      </c>
      <c r="M2809" s="4">
        <v>46297</v>
      </c>
      <c r="N2809" s="3" t="s">
        <v>2958</v>
      </c>
      <c r="O2809" s="3" t="s">
        <v>30</v>
      </c>
      <c r="P2809" t="str">
        <f t="shared" si="43"/>
        <v>450013951610</v>
      </c>
      <c r="Q2809" s="7" cm="1">
        <f t="array" ref="Q2809:S2809">VLOOKUP(P2809,Hoja1!C:F,{2,3,4},FALSE)</f>
        <v>46301</v>
      </c>
      <c r="R2809" t="str">
        <v>C38</v>
      </c>
      <c r="S2809" t="str">
        <v>1000001653 RIAL JOSE ANGEL</v>
      </c>
    </row>
    <row r="2810" spans="1:19" x14ac:dyDescent="0.3">
      <c r="A2810" s="2" t="s">
        <v>14</v>
      </c>
      <c r="B2810" s="3" t="s">
        <v>14</v>
      </c>
      <c r="C2810" s="3" t="s">
        <v>2959</v>
      </c>
      <c r="D2810" s="3" t="s">
        <v>14</v>
      </c>
      <c r="E2810" s="3" t="s">
        <v>466</v>
      </c>
      <c r="F2810" s="4">
        <v>46297</v>
      </c>
      <c r="G2810" s="3" t="s">
        <v>17</v>
      </c>
      <c r="H2810" s="5">
        <v>-510350</v>
      </c>
      <c r="I2810" s="3" t="s">
        <v>18</v>
      </c>
      <c r="J2810" s="3" t="s">
        <v>14</v>
      </c>
      <c r="K2810" s="3" t="s">
        <v>14</v>
      </c>
      <c r="L2810" s="3" t="s">
        <v>1182</v>
      </c>
      <c r="M2810" s="4">
        <v>46297</v>
      </c>
      <c r="N2810" s="3" t="s">
        <v>2960</v>
      </c>
      <c r="O2810" s="3" t="s">
        <v>30</v>
      </c>
      <c r="P2810" t="str">
        <f t="shared" si="43"/>
        <v>450013884110</v>
      </c>
      <c r="Q2810" s="7" cm="1">
        <f t="array" ref="Q2810:S2810">VLOOKUP(P2810,Hoja1!C:F,{2,3,4},FALSE)</f>
        <v>46298</v>
      </c>
      <c r="R2810" t="str">
        <v>C38</v>
      </c>
      <c r="S2810" t="str">
        <v>1000001653 RIAL JOSE ANGEL</v>
      </c>
    </row>
    <row r="2811" spans="1:19" x14ac:dyDescent="0.3">
      <c r="A2811" s="2" t="s">
        <v>14</v>
      </c>
      <c r="B2811" s="3" t="s">
        <v>14</v>
      </c>
      <c r="C2811" s="3" t="s">
        <v>2961</v>
      </c>
      <c r="D2811" s="3" t="s">
        <v>14</v>
      </c>
      <c r="E2811" s="3" t="s">
        <v>466</v>
      </c>
      <c r="F2811" s="4">
        <v>46297</v>
      </c>
      <c r="G2811" s="3" t="s">
        <v>17</v>
      </c>
      <c r="H2811" s="5">
        <v>-1197988</v>
      </c>
      <c r="I2811" s="3" t="s">
        <v>18</v>
      </c>
      <c r="J2811" s="3" t="s">
        <v>14</v>
      </c>
      <c r="K2811" s="3" t="s">
        <v>14</v>
      </c>
      <c r="L2811" s="3" t="s">
        <v>125</v>
      </c>
      <c r="M2811" s="4">
        <v>46297</v>
      </c>
      <c r="N2811" s="3" t="s">
        <v>2962</v>
      </c>
      <c r="O2811" s="3" t="s">
        <v>30</v>
      </c>
      <c r="P2811" t="str">
        <f t="shared" si="43"/>
        <v>450013965610</v>
      </c>
      <c r="Q2811" s="7" cm="1">
        <f t="array" ref="Q2811:S2811">VLOOKUP(P2811,Hoja1!C:F,{2,3,4},FALSE)</f>
        <v>46304</v>
      </c>
      <c r="R2811" t="str">
        <v>C03</v>
      </c>
      <c r="S2811" t="str">
        <v>1000001470 SUDAMERICANA CAMIONES SA</v>
      </c>
    </row>
    <row r="2812" spans="1:19" x14ac:dyDescent="0.3">
      <c r="A2812" s="2" t="s">
        <v>14</v>
      </c>
      <c r="B2812" s="3" t="s">
        <v>14</v>
      </c>
      <c r="C2812" s="3" t="s">
        <v>2961</v>
      </c>
      <c r="D2812" s="3" t="s">
        <v>14</v>
      </c>
      <c r="E2812" s="3" t="s">
        <v>466</v>
      </c>
      <c r="F2812" s="4">
        <v>46297</v>
      </c>
      <c r="G2812" s="3" t="s">
        <v>17</v>
      </c>
      <c r="H2812" s="5">
        <v>-386140.8</v>
      </c>
      <c r="I2812" s="3" t="s">
        <v>18</v>
      </c>
      <c r="J2812" s="3" t="s">
        <v>14</v>
      </c>
      <c r="K2812" s="3" t="s">
        <v>14</v>
      </c>
      <c r="L2812" s="3" t="s">
        <v>125</v>
      </c>
      <c r="M2812" s="4">
        <v>46297</v>
      </c>
      <c r="N2812" s="3" t="s">
        <v>2962</v>
      </c>
      <c r="O2812" s="3" t="s">
        <v>22</v>
      </c>
      <c r="P2812" t="str">
        <f t="shared" si="43"/>
        <v>450013965620</v>
      </c>
      <c r="Q2812" s="7" cm="1">
        <f t="array" ref="Q2812:S2812">VLOOKUP(P2812,Hoja1!C:F,{2,3,4},FALSE)</f>
        <v>46304</v>
      </c>
      <c r="R2812" t="str">
        <v>C03</v>
      </c>
      <c r="S2812" t="str">
        <v>1000001470 SUDAMERICANA CAMIONES SA</v>
      </c>
    </row>
    <row r="2813" spans="1:19" x14ac:dyDescent="0.3">
      <c r="A2813" s="2" t="s">
        <v>14</v>
      </c>
      <c r="B2813" s="3" t="s">
        <v>14</v>
      </c>
      <c r="C2813" s="3" t="s">
        <v>2961</v>
      </c>
      <c r="D2813" s="3" t="s">
        <v>14</v>
      </c>
      <c r="E2813" s="3" t="s">
        <v>466</v>
      </c>
      <c r="F2813" s="4">
        <v>46297</v>
      </c>
      <c r="G2813" s="3" t="s">
        <v>17</v>
      </c>
      <c r="H2813" s="5">
        <v>-308605.59999999998</v>
      </c>
      <c r="I2813" s="3" t="s">
        <v>18</v>
      </c>
      <c r="J2813" s="3" t="s">
        <v>14</v>
      </c>
      <c r="K2813" s="3" t="s">
        <v>14</v>
      </c>
      <c r="L2813" s="3" t="s">
        <v>125</v>
      </c>
      <c r="M2813" s="4">
        <v>46297</v>
      </c>
      <c r="N2813" s="3" t="s">
        <v>2962</v>
      </c>
      <c r="O2813" s="3" t="s">
        <v>35</v>
      </c>
      <c r="P2813" t="str">
        <f t="shared" si="43"/>
        <v>450013965630</v>
      </c>
      <c r="Q2813" s="7" cm="1">
        <f t="array" ref="Q2813:S2813">VLOOKUP(P2813,Hoja1!C:F,{2,3,4},FALSE)</f>
        <v>46304</v>
      </c>
      <c r="R2813" t="str">
        <v>C03</v>
      </c>
      <c r="S2813" t="str">
        <v>1000001470 SUDAMERICANA CAMIONES SA</v>
      </c>
    </row>
    <row r="2814" spans="1:19" x14ac:dyDescent="0.3">
      <c r="A2814" s="2" t="s">
        <v>14</v>
      </c>
      <c r="B2814" s="3" t="s">
        <v>14</v>
      </c>
      <c r="C2814" s="3" t="s">
        <v>2961</v>
      </c>
      <c r="D2814" s="3" t="s">
        <v>14</v>
      </c>
      <c r="E2814" s="3" t="s">
        <v>466</v>
      </c>
      <c r="F2814" s="4">
        <v>46297</v>
      </c>
      <c r="G2814" s="3" t="s">
        <v>17</v>
      </c>
      <c r="H2814" s="5">
        <v>-67974.399999999994</v>
      </c>
      <c r="I2814" s="3" t="s">
        <v>18</v>
      </c>
      <c r="J2814" s="3" t="s">
        <v>14</v>
      </c>
      <c r="K2814" s="3" t="s">
        <v>14</v>
      </c>
      <c r="L2814" s="3" t="s">
        <v>125</v>
      </c>
      <c r="M2814" s="4">
        <v>46297</v>
      </c>
      <c r="N2814" s="3" t="s">
        <v>2962</v>
      </c>
      <c r="O2814" s="3" t="s">
        <v>23</v>
      </c>
      <c r="P2814" t="str">
        <f t="shared" si="43"/>
        <v>450013965640</v>
      </c>
      <c r="Q2814" s="7" cm="1">
        <f t="array" ref="Q2814:S2814">VLOOKUP(P2814,Hoja1!C:F,{2,3,4},FALSE)</f>
        <v>46304</v>
      </c>
      <c r="R2814" t="str">
        <v>C03</v>
      </c>
      <c r="S2814" t="str">
        <v>1000001470 SUDAMERICANA CAMIONES SA</v>
      </c>
    </row>
    <row r="2815" spans="1:19" x14ac:dyDescent="0.3">
      <c r="A2815" s="2" t="s">
        <v>14</v>
      </c>
      <c r="B2815" s="3" t="s">
        <v>14</v>
      </c>
      <c r="C2815" s="3" t="s">
        <v>2961</v>
      </c>
      <c r="D2815" s="3" t="s">
        <v>14</v>
      </c>
      <c r="E2815" s="3" t="s">
        <v>466</v>
      </c>
      <c r="F2815" s="4">
        <v>46297</v>
      </c>
      <c r="G2815" s="3" t="s">
        <v>17</v>
      </c>
      <c r="H2815" s="5">
        <v>-1318296</v>
      </c>
      <c r="I2815" s="3" t="s">
        <v>18</v>
      </c>
      <c r="J2815" s="3" t="s">
        <v>14</v>
      </c>
      <c r="K2815" s="3" t="s">
        <v>14</v>
      </c>
      <c r="L2815" s="3" t="s">
        <v>125</v>
      </c>
      <c r="M2815" s="4">
        <v>46297</v>
      </c>
      <c r="N2815" s="3" t="s">
        <v>2962</v>
      </c>
      <c r="O2815" s="3" t="s">
        <v>144</v>
      </c>
      <c r="P2815" t="str">
        <f t="shared" si="43"/>
        <v>450013965650</v>
      </c>
      <c r="Q2815" s="7" cm="1">
        <f t="array" ref="Q2815:S2815">VLOOKUP(P2815,Hoja1!C:F,{2,3,4},FALSE)</f>
        <v>46304</v>
      </c>
      <c r="R2815" t="str">
        <v>C03</v>
      </c>
      <c r="S2815" t="str">
        <v>1000001470 SUDAMERICANA CAMIONES SA</v>
      </c>
    </row>
    <row r="2816" spans="1:19" x14ac:dyDescent="0.3">
      <c r="A2816" s="2" t="s">
        <v>14</v>
      </c>
      <c r="B2816" s="3" t="s">
        <v>14</v>
      </c>
      <c r="C2816" s="3" t="s">
        <v>2961</v>
      </c>
      <c r="D2816" s="3" t="s">
        <v>14</v>
      </c>
      <c r="E2816" s="3" t="s">
        <v>466</v>
      </c>
      <c r="F2816" s="4">
        <v>46297</v>
      </c>
      <c r="G2816" s="3" t="s">
        <v>17</v>
      </c>
      <c r="H2816" s="5">
        <v>-359191.2</v>
      </c>
      <c r="I2816" s="3" t="s">
        <v>18</v>
      </c>
      <c r="J2816" s="3" t="s">
        <v>14</v>
      </c>
      <c r="K2816" s="3" t="s">
        <v>14</v>
      </c>
      <c r="L2816" s="3" t="s">
        <v>125</v>
      </c>
      <c r="M2816" s="4">
        <v>46297</v>
      </c>
      <c r="N2816" s="3" t="s">
        <v>2962</v>
      </c>
      <c r="O2816" s="3" t="s">
        <v>141</v>
      </c>
      <c r="P2816" t="str">
        <f t="shared" si="43"/>
        <v>450013965660</v>
      </c>
      <c r="Q2816" s="7" cm="1">
        <f t="array" ref="Q2816:S2816">VLOOKUP(P2816,Hoja1!C:F,{2,3,4},FALSE)</f>
        <v>46304</v>
      </c>
      <c r="R2816" t="str">
        <v>C03</v>
      </c>
      <c r="S2816" t="str">
        <v>1000001470 SUDAMERICANA CAMIONES SA</v>
      </c>
    </row>
    <row r="2817" spans="1:19" x14ac:dyDescent="0.3">
      <c r="A2817" s="2" t="s">
        <v>14</v>
      </c>
      <c r="B2817" s="3" t="s">
        <v>14</v>
      </c>
      <c r="C2817" s="3" t="s">
        <v>2961</v>
      </c>
      <c r="D2817" s="3" t="s">
        <v>14</v>
      </c>
      <c r="E2817" s="3" t="s">
        <v>466</v>
      </c>
      <c r="F2817" s="4">
        <v>46297</v>
      </c>
      <c r="G2817" s="3" t="s">
        <v>17</v>
      </c>
      <c r="H2817" s="5">
        <v>-226966.39999999999</v>
      </c>
      <c r="I2817" s="3" t="s">
        <v>18</v>
      </c>
      <c r="J2817" s="3" t="s">
        <v>14</v>
      </c>
      <c r="K2817" s="3" t="s">
        <v>14</v>
      </c>
      <c r="L2817" s="3" t="s">
        <v>125</v>
      </c>
      <c r="M2817" s="4">
        <v>46297</v>
      </c>
      <c r="N2817" s="3" t="s">
        <v>2962</v>
      </c>
      <c r="O2817" s="3" t="s">
        <v>134</v>
      </c>
      <c r="P2817" t="str">
        <f t="shared" si="43"/>
        <v>450013965670</v>
      </c>
      <c r="Q2817" s="7" cm="1">
        <f t="array" ref="Q2817:S2817">VLOOKUP(P2817,Hoja1!C:F,{2,3,4},FALSE)</f>
        <v>46304</v>
      </c>
      <c r="R2817" t="str">
        <v>C03</v>
      </c>
      <c r="S2817" t="str">
        <v>1000001470 SUDAMERICANA CAMIONES SA</v>
      </c>
    </row>
    <row r="2818" spans="1:19" x14ac:dyDescent="0.3">
      <c r="A2818" s="2" t="s">
        <v>14</v>
      </c>
      <c r="B2818" s="3" t="s">
        <v>14</v>
      </c>
      <c r="C2818" s="3" t="s">
        <v>2961</v>
      </c>
      <c r="D2818" s="3" t="s">
        <v>14</v>
      </c>
      <c r="E2818" s="3" t="s">
        <v>466</v>
      </c>
      <c r="F2818" s="4">
        <v>46297</v>
      </c>
      <c r="G2818" s="3" t="s">
        <v>17</v>
      </c>
      <c r="H2818" s="5">
        <v>-13056.8</v>
      </c>
      <c r="I2818" s="3" t="s">
        <v>18</v>
      </c>
      <c r="J2818" s="3" t="s">
        <v>14</v>
      </c>
      <c r="K2818" s="3" t="s">
        <v>14</v>
      </c>
      <c r="L2818" s="3" t="s">
        <v>125</v>
      </c>
      <c r="M2818" s="4">
        <v>46297</v>
      </c>
      <c r="N2818" s="3" t="s">
        <v>2962</v>
      </c>
      <c r="O2818" s="3" t="s">
        <v>52</v>
      </c>
      <c r="P2818" t="str">
        <f t="shared" si="43"/>
        <v>450013965680</v>
      </c>
      <c r="Q2818" s="7" cm="1">
        <f t="array" ref="Q2818:S2818">VLOOKUP(P2818,Hoja1!C:F,{2,3,4},FALSE)</f>
        <v>46304</v>
      </c>
      <c r="R2818" t="str">
        <v>C03</v>
      </c>
      <c r="S2818" t="str">
        <v>1000001470 SUDAMERICANA CAMIONES SA</v>
      </c>
    </row>
    <row r="2819" spans="1:19" x14ac:dyDescent="0.3">
      <c r="A2819" s="2" t="s">
        <v>14</v>
      </c>
      <c r="B2819" s="3" t="s">
        <v>14</v>
      </c>
      <c r="C2819" s="3" t="s">
        <v>2963</v>
      </c>
      <c r="D2819" s="3" t="s">
        <v>14</v>
      </c>
      <c r="E2819" s="3" t="s">
        <v>466</v>
      </c>
      <c r="F2819" s="4">
        <v>46297</v>
      </c>
      <c r="G2819" s="3" t="s">
        <v>17</v>
      </c>
      <c r="H2819" s="5">
        <v>-1317885.0900000001</v>
      </c>
      <c r="I2819" s="3" t="s">
        <v>18</v>
      </c>
      <c r="J2819" s="3" t="s">
        <v>14</v>
      </c>
      <c r="K2819" s="3" t="s">
        <v>14</v>
      </c>
      <c r="L2819" s="3" t="s">
        <v>2964</v>
      </c>
      <c r="M2819" s="4">
        <v>46297</v>
      </c>
      <c r="N2819" s="3" t="s">
        <v>2965</v>
      </c>
      <c r="O2819" s="3" t="s">
        <v>30</v>
      </c>
      <c r="P2819" t="str">
        <f t="shared" ref="P2819:P2882" si="44">_xlfn.CONCAT(N2819:O2819)</f>
        <v>450013884210</v>
      </c>
      <c r="Q2819" s="7" cm="1">
        <f t="array" ref="Q2819:S2819">VLOOKUP(P2819,Hoja1!C:F,{2,3,4},FALSE)</f>
        <v>46290</v>
      </c>
      <c r="R2819" t="str">
        <v>C38</v>
      </c>
      <c r="S2819" t="str">
        <v>1000000753 FACORSA S.A.</v>
      </c>
    </row>
    <row r="2820" spans="1:19" x14ac:dyDescent="0.3">
      <c r="A2820" s="2" t="s">
        <v>14</v>
      </c>
      <c r="B2820" s="3" t="s">
        <v>14</v>
      </c>
      <c r="C2820" s="3" t="s">
        <v>2966</v>
      </c>
      <c r="D2820" s="3" t="s">
        <v>14</v>
      </c>
      <c r="E2820" s="3" t="s">
        <v>466</v>
      </c>
      <c r="F2820" s="4">
        <v>46297</v>
      </c>
      <c r="G2820" s="3" t="s">
        <v>17</v>
      </c>
      <c r="H2820" s="5">
        <v>-547200</v>
      </c>
      <c r="I2820" s="3" t="s">
        <v>18</v>
      </c>
      <c r="J2820" s="3" t="s">
        <v>14</v>
      </c>
      <c r="K2820" s="3" t="s">
        <v>14</v>
      </c>
      <c r="L2820" s="3" t="s">
        <v>2967</v>
      </c>
      <c r="M2820" s="4">
        <v>46297</v>
      </c>
      <c r="N2820" s="3" t="s">
        <v>2968</v>
      </c>
      <c r="O2820" s="3" t="s">
        <v>30</v>
      </c>
      <c r="P2820" t="str">
        <f t="shared" si="44"/>
        <v>450013983310</v>
      </c>
      <c r="Q2820" s="7" cm="1">
        <f t="array" ref="Q2820:S2820">VLOOKUP(P2820,Hoja1!C:F,{2,3,4},FALSE)</f>
        <v>46305</v>
      </c>
      <c r="R2820" t="str">
        <v>C24</v>
      </c>
      <c r="S2820" t="str">
        <v>1000007233 NEXSYS ARGENTINA SA</v>
      </c>
    </row>
    <row r="2821" spans="1:19" x14ac:dyDescent="0.3">
      <c r="A2821" s="2" t="s">
        <v>14</v>
      </c>
      <c r="B2821" s="3" t="s">
        <v>14</v>
      </c>
      <c r="C2821" s="3" t="s">
        <v>2969</v>
      </c>
      <c r="D2821" s="3" t="s">
        <v>84</v>
      </c>
      <c r="E2821" s="3" t="s">
        <v>466</v>
      </c>
      <c r="F2821" s="4">
        <v>46297</v>
      </c>
      <c r="G2821" s="3" t="s">
        <v>17</v>
      </c>
      <c r="H2821" s="5">
        <v>-254982.89</v>
      </c>
      <c r="I2821" s="3" t="s">
        <v>18</v>
      </c>
      <c r="J2821" s="3" t="s">
        <v>14</v>
      </c>
      <c r="K2821" s="3" t="s">
        <v>14</v>
      </c>
      <c r="L2821" s="3" t="s">
        <v>94</v>
      </c>
      <c r="M2821" s="4">
        <v>46297</v>
      </c>
      <c r="N2821" s="3" t="s">
        <v>394</v>
      </c>
      <c r="O2821" s="3" t="s">
        <v>30</v>
      </c>
      <c r="P2821" t="str">
        <f t="shared" si="44"/>
        <v>450013829910</v>
      </c>
      <c r="Q2821" s="7" cm="1">
        <f t="array" ref="Q2821:S2821">VLOOKUP(P2821,Hoja1!C:F,{2,3,4},FALSE)</f>
        <v>46309</v>
      </c>
      <c r="R2821" t="str">
        <v>C19</v>
      </c>
      <c r="S2821" t="str">
        <v>1000003158 EMILIA MASSARELLI SRL</v>
      </c>
    </row>
    <row r="2822" spans="1:19" x14ac:dyDescent="0.3">
      <c r="A2822" s="2" t="s">
        <v>14</v>
      </c>
      <c r="B2822" s="3" t="s">
        <v>14</v>
      </c>
      <c r="C2822" s="3" t="s">
        <v>2969</v>
      </c>
      <c r="D2822" s="3" t="s">
        <v>84</v>
      </c>
      <c r="E2822" s="3" t="s">
        <v>466</v>
      </c>
      <c r="F2822" s="4">
        <v>46297</v>
      </c>
      <c r="G2822" s="3" t="s">
        <v>17</v>
      </c>
      <c r="H2822" s="5">
        <v>-254991.89</v>
      </c>
      <c r="I2822" s="3" t="s">
        <v>18</v>
      </c>
      <c r="J2822" s="3" t="s">
        <v>14</v>
      </c>
      <c r="K2822" s="3" t="s">
        <v>14</v>
      </c>
      <c r="L2822" s="3" t="s">
        <v>94</v>
      </c>
      <c r="M2822" s="4">
        <v>46297</v>
      </c>
      <c r="N2822" s="3" t="s">
        <v>394</v>
      </c>
      <c r="O2822" s="3" t="s">
        <v>22</v>
      </c>
      <c r="P2822" t="str">
        <f t="shared" si="44"/>
        <v>450013829920</v>
      </c>
      <c r="Q2822" s="7" cm="1">
        <f t="array" ref="Q2822:S2822">VLOOKUP(P2822,Hoja1!C:F,{2,3,4},FALSE)</f>
        <v>46309</v>
      </c>
      <c r="R2822" t="str">
        <v>C19</v>
      </c>
      <c r="S2822" t="str">
        <v>1000003158 EMILIA MASSARELLI SRL</v>
      </c>
    </row>
    <row r="2823" spans="1:19" x14ac:dyDescent="0.3">
      <c r="A2823" s="2" t="s">
        <v>14</v>
      </c>
      <c r="B2823" s="3" t="s">
        <v>14</v>
      </c>
      <c r="C2823" s="3" t="s">
        <v>2969</v>
      </c>
      <c r="D2823" s="3" t="s">
        <v>84</v>
      </c>
      <c r="E2823" s="3" t="s">
        <v>466</v>
      </c>
      <c r="F2823" s="4">
        <v>46297</v>
      </c>
      <c r="G2823" s="3" t="s">
        <v>17</v>
      </c>
      <c r="H2823" s="5">
        <v>-254993.89</v>
      </c>
      <c r="I2823" s="3" t="s">
        <v>18</v>
      </c>
      <c r="J2823" s="3" t="s">
        <v>14</v>
      </c>
      <c r="K2823" s="3" t="s">
        <v>14</v>
      </c>
      <c r="L2823" s="3" t="s">
        <v>94</v>
      </c>
      <c r="M2823" s="4">
        <v>46297</v>
      </c>
      <c r="N2823" s="3" t="s">
        <v>394</v>
      </c>
      <c r="O2823" s="3" t="s">
        <v>35</v>
      </c>
      <c r="P2823" t="str">
        <f t="shared" si="44"/>
        <v>450013829930</v>
      </c>
      <c r="Q2823" s="7" cm="1">
        <f t="array" ref="Q2823:S2823">VLOOKUP(P2823,Hoja1!C:F,{2,3,4},FALSE)</f>
        <v>46309</v>
      </c>
      <c r="R2823" t="str">
        <v>C19</v>
      </c>
      <c r="S2823" t="str">
        <v>1000003158 EMILIA MASSARELLI SRL</v>
      </c>
    </row>
    <row r="2824" spans="1:19" x14ac:dyDescent="0.3">
      <c r="A2824" s="2" t="s">
        <v>14</v>
      </c>
      <c r="B2824" s="3" t="s">
        <v>14</v>
      </c>
      <c r="C2824" s="3" t="s">
        <v>2969</v>
      </c>
      <c r="D2824" s="3" t="s">
        <v>84</v>
      </c>
      <c r="E2824" s="3" t="s">
        <v>466</v>
      </c>
      <c r="F2824" s="4">
        <v>46297</v>
      </c>
      <c r="G2824" s="3" t="s">
        <v>17</v>
      </c>
      <c r="H2824" s="5">
        <v>-254993.89</v>
      </c>
      <c r="I2824" s="3" t="s">
        <v>18</v>
      </c>
      <c r="J2824" s="3" t="s">
        <v>14</v>
      </c>
      <c r="K2824" s="3" t="s">
        <v>14</v>
      </c>
      <c r="L2824" s="3" t="s">
        <v>94</v>
      </c>
      <c r="M2824" s="4">
        <v>46297</v>
      </c>
      <c r="N2824" s="3" t="s">
        <v>394</v>
      </c>
      <c r="O2824" s="3" t="s">
        <v>23</v>
      </c>
      <c r="P2824" t="str">
        <f t="shared" si="44"/>
        <v>450013829940</v>
      </c>
      <c r="Q2824" s="7" cm="1">
        <f t="array" ref="Q2824:S2824">VLOOKUP(P2824,Hoja1!C:F,{2,3,4},FALSE)</f>
        <v>46309</v>
      </c>
      <c r="R2824" t="str">
        <v>C19</v>
      </c>
      <c r="S2824" t="str">
        <v>1000003158 EMILIA MASSARELLI SRL</v>
      </c>
    </row>
    <row r="2825" spans="1:19" x14ac:dyDescent="0.3">
      <c r="A2825" s="2" t="s">
        <v>14</v>
      </c>
      <c r="B2825" s="3" t="s">
        <v>14</v>
      </c>
      <c r="C2825" s="3" t="s">
        <v>2969</v>
      </c>
      <c r="D2825" s="3" t="s">
        <v>84</v>
      </c>
      <c r="E2825" s="3" t="s">
        <v>466</v>
      </c>
      <c r="F2825" s="4">
        <v>46297</v>
      </c>
      <c r="G2825" s="3" t="s">
        <v>17</v>
      </c>
      <c r="H2825" s="5">
        <v>-254993.89</v>
      </c>
      <c r="I2825" s="3" t="s">
        <v>18</v>
      </c>
      <c r="J2825" s="3" t="s">
        <v>14</v>
      </c>
      <c r="K2825" s="3" t="s">
        <v>14</v>
      </c>
      <c r="L2825" s="3" t="s">
        <v>94</v>
      </c>
      <c r="M2825" s="4">
        <v>46297</v>
      </c>
      <c r="N2825" s="3" t="s">
        <v>394</v>
      </c>
      <c r="O2825" s="3" t="s">
        <v>141</v>
      </c>
      <c r="P2825" t="str">
        <f t="shared" si="44"/>
        <v>450013829960</v>
      </c>
      <c r="Q2825" s="7" cm="1">
        <f t="array" ref="Q2825:S2825">VLOOKUP(P2825,Hoja1!C:F,{2,3,4},FALSE)</f>
        <v>46309</v>
      </c>
      <c r="R2825" t="str">
        <v>C19</v>
      </c>
      <c r="S2825" t="str">
        <v>1000003158 EMILIA MASSARELLI SRL</v>
      </c>
    </row>
    <row r="2826" spans="1:19" x14ac:dyDescent="0.3">
      <c r="A2826" s="2" t="s">
        <v>14</v>
      </c>
      <c r="B2826" s="3" t="s">
        <v>14</v>
      </c>
      <c r="C2826" s="3" t="s">
        <v>2970</v>
      </c>
      <c r="D2826" s="3" t="s">
        <v>84</v>
      </c>
      <c r="E2826" s="3" t="s">
        <v>466</v>
      </c>
      <c r="F2826" s="4">
        <v>46297</v>
      </c>
      <c r="G2826" s="3" t="s">
        <v>17</v>
      </c>
      <c r="H2826" s="5">
        <v>-11580075.65</v>
      </c>
      <c r="I2826" s="3" t="s">
        <v>18</v>
      </c>
      <c r="J2826" s="3" t="s">
        <v>14</v>
      </c>
      <c r="K2826" s="3" t="s">
        <v>14</v>
      </c>
      <c r="L2826" s="3" t="s">
        <v>91</v>
      </c>
      <c r="M2826" s="4">
        <v>46297</v>
      </c>
      <c r="N2826" s="3" t="s">
        <v>92</v>
      </c>
      <c r="O2826" s="3" t="s">
        <v>30</v>
      </c>
      <c r="P2826" t="str">
        <f t="shared" si="44"/>
        <v>450013262610</v>
      </c>
      <c r="Q2826" s="7" cm="1">
        <f t="array" ref="Q2826:S2826">VLOOKUP(P2826,Hoja1!C:F,{2,3,4},FALSE)</f>
        <v>46317</v>
      </c>
      <c r="R2826" t="str">
        <v>C19</v>
      </c>
      <c r="S2826" t="str">
        <v>1000000015 MADETEC S.A.</v>
      </c>
    </row>
    <row r="2827" spans="1:19" x14ac:dyDescent="0.3">
      <c r="A2827" s="2" t="s">
        <v>14</v>
      </c>
      <c r="B2827" s="3" t="s">
        <v>14</v>
      </c>
      <c r="C2827" s="3" t="s">
        <v>2971</v>
      </c>
      <c r="D2827" s="3" t="s">
        <v>14</v>
      </c>
      <c r="E2827" s="3" t="s">
        <v>466</v>
      </c>
      <c r="F2827" s="4">
        <v>46297</v>
      </c>
      <c r="G2827" s="3" t="s">
        <v>17</v>
      </c>
      <c r="H2827" s="5">
        <v>-2894080</v>
      </c>
      <c r="I2827" s="3" t="s">
        <v>18</v>
      </c>
      <c r="J2827" s="3" t="s">
        <v>14</v>
      </c>
      <c r="K2827" s="3" t="s">
        <v>14</v>
      </c>
      <c r="L2827" s="3" t="s">
        <v>830</v>
      </c>
      <c r="M2827" s="4">
        <v>46297</v>
      </c>
      <c r="N2827" s="3" t="s">
        <v>2972</v>
      </c>
      <c r="O2827" s="3" t="s">
        <v>30</v>
      </c>
      <c r="P2827" t="str">
        <f t="shared" si="44"/>
        <v>450013672310</v>
      </c>
      <c r="Q2827" s="7" cm="1">
        <f t="array" ref="Q2827:S2827">VLOOKUP(P2827,Hoja1!C:F,{2,3,4},FALSE)</f>
        <v>46275</v>
      </c>
      <c r="R2827" t="str">
        <v>C38</v>
      </c>
      <c r="S2827" t="str">
        <v>1000000756 HYDRASER SA</v>
      </c>
    </row>
    <row r="2828" spans="1:19" x14ac:dyDescent="0.3">
      <c r="A2828" s="2" t="s">
        <v>14</v>
      </c>
      <c r="B2828" s="3" t="s">
        <v>14</v>
      </c>
      <c r="C2828" s="3" t="s">
        <v>2973</v>
      </c>
      <c r="D2828" s="3" t="s">
        <v>14</v>
      </c>
      <c r="E2828" s="3" t="s">
        <v>466</v>
      </c>
      <c r="F2828" s="4">
        <v>46297</v>
      </c>
      <c r="G2828" s="3" t="s">
        <v>17</v>
      </c>
      <c r="H2828" s="5">
        <v>-34200</v>
      </c>
      <c r="I2828" s="3" t="s">
        <v>18</v>
      </c>
      <c r="J2828" s="3" t="s">
        <v>14</v>
      </c>
      <c r="K2828" s="3" t="s">
        <v>14</v>
      </c>
      <c r="L2828" s="3" t="s">
        <v>912</v>
      </c>
      <c r="M2828" s="4">
        <v>46297</v>
      </c>
      <c r="N2828" s="3" t="s">
        <v>2974</v>
      </c>
      <c r="O2828" s="3" t="s">
        <v>30</v>
      </c>
      <c r="P2828" t="str">
        <f t="shared" si="44"/>
        <v>450013813410</v>
      </c>
      <c r="Q2828" s="7" cm="1">
        <f t="array" ref="Q2828:S2828">VLOOKUP(P2828,Hoja1!C:F,{2,3,4},FALSE)</f>
        <v>46280</v>
      </c>
      <c r="R2828" t="str">
        <v>C38</v>
      </c>
      <c r="S2828" t="str">
        <v>1000009217 PITTACOLO WALTER Y PITTACOLO JUAN</v>
      </c>
    </row>
    <row r="2829" spans="1:19" x14ac:dyDescent="0.3">
      <c r="A2829" s="2" t="s">
        <v>14</v>
      </c>
      <c r="B2829" s="3" t="s">
        <v>14</v>
      </c>
      <c r="C2829" s="3" t="s">
        <v>2975</v>
      </c>
      <c r="D2829" s="3" t="s">
        <v>14</v>
      </c>
      <c r="E2829" s="3" t="s">
        <v>466</v>
      </c>
      <c r="F2829" s="4">
        <v>46297</v>
      </c>
      <c r="G2829" s="3" t="s">
        <v>17</v>
      </c>
      <c r="H2829" s="5">
        <v>-3400000</v>
      </c>
      <c r="I2829" s="3" t="s">
        <v>18</v>
      </c>
      <c r="J2829" s="3" t="s">
        <v>14</v>
      </c>
      <c r="K2829" s="3" t="s">
        <v>14</v>
      </c>
      <c r="L2829" s="3" t="s">
        <v>2976</v>
      </c>
      <c r="M2829" s="4">
        <v>46297</v>
      </c>
      <c r="N2829" s="3" t="s">
        <v>2977</v>
      </c>
      <c r="O2829" s="3" t="s">
        <v>30</v>
      </c>
      <c r="P2829" t="str">
        <f t="shared" si="44"/>
        <v>450013966810</v>
      </c>
      <c r="Q2829" s="7" cm="1">
        <f t="array" ref="Q2829:S2829">VLOOKUP(P2829,Hoja1!C:F,{2,3,4},FALSE)</f>
        <v>46297</v>
      </c>
      <c r="R2829" t="str">
        <v>C15</v>
      </c>
      <c r="S2829" t="str">
        <v>1000006833 SANTIA LUCAS EZEQUIEL</v>
      </c>
    </row>
    <row r="2830" spans="1:19" x14ac:dyDescent="0.3">
      <c r="A2830" s="2" t="s">
        <v>14</v>
      </c>
      <c r="B2830" s="3" t="s">
        <v>14</v>
      </c>
      <c r="C2830" s="3" t="s">
        <v>2975</v>
      </c>
      <c r="D2830" s="3" t="s">
        <v>14</v>
      </c>
      <c r="E2830" s="3" t="s">
        <v>466</v>
      </c>
      <c r="F2830" s="4">
        <v>46297</v>
      </c>
      <c r="G2830" s="3" t="s">
        <v>17</v>
      </c>
      <c r="H2830" s="5">
        <v>-2100000</v>
      </c>
      <c r="I2830" s="3" t="s">
        <v>18</v>
      </c>
      <c r="J2830" s="3" t="s">
        <v>14</v>
      </c>
      <c r="K2830" s="3" t="s">
        <v>14</v>
      </c>
      <c r="L2830" s="3" t="s">
        <v>2976</v>
      </c>
      <c r="M2830" s="4">
        <v>46297</v>
      </c>
      <c r="N2830" s="3" t="s">
        <v>2977</v>
      </c>
      <c r="O2830" s="3" t="s">
        <v>22</v>
      </c>
      <c r="P2830" t="str">
        <f t="shared" si="44"/>
        <v>450013966820</v>
      </c>
      <c r="Q2830" s="7" cm="1">
        <f t="array" ref="Q2830:S2830">VLOOKUP(P2830,Hoja1!C:F,{2,3,4},FALSE)</f>
        <v>46297</v>
      </c>
      <c r="R2830" t="str">
        <v>C15</v>
      </c>
      <c r="S2830" t="str">
        <v>1000006833 SANTIA LUCAS EZEQUIEL</v>
      </c>
    </row>
    <row r="2831" spans="1:19" x14ac:dyDescent="0.3">
      <c r="A2831" s="2" t="s">
        <v>14</v>
      </c>
      <c r="B2831" s="3" t="s">
        <v>14</v>
      </c>
      <c r="C2831" s="3" t="s">
        <v>2975</v>
      </c>
      <c r="D2831" s="3" t="s">
        <v>14</v>
      </c>
      <c r="E2831" s="3" t="s">
        <v>466</v>
      </c>
      <c r="F2831" s="4">
        <v>46297</v>
      </c>
      <c r="G2831" s="3" t="s">
        <v>17</v>
      </c>
      <c r="H2831" s="5">
        <v>-4200000</v>
      </c>
      <c r="I2831" s="3" t="s">
        <v>18</v>
      </c>
      <c r="J2831" s="3" t="s">
        <v>14</v>
      </c>
      <c r="K2831" s="3" t="s">
        <v>14</v>
      </c>
      <c r="L2831" s="3" t="s">
        <v>2976</v>
      </c>
      <c r="M2831" s="4">
        <v>46297</v>
      </c>
      <c r="N2831" s="3" t="s">
        <v>2977</v>
      </c>
      <c r="O2831" s="3" t="s">
        <v>35</v>
      </c>
      <c r="P2831" t="str">
        <f t="shared" si="44"/>
        <v>450013966830</v>
      </c>
      <c r="Q2831" s="7" cm="1">
        <f t="array" ref="Q2831:S2831">VLOOKUP(P2831,Hoja1!C:F,{2,3,4},FALSE)</f>
        <v>46297</v>
      </c>
      <c r="R2831" t="str">
        <v>C15</v>
      </c>
      <c r="S2831" t="str">
        <v>1000006833 SANTIA LUCAS EZEQUIEL</v>
      </c>
    </row>
    <row r="2832" spans="1:19" x14ac:dyDescent="0.3">
      <c r="A2832" s="2" t="s">
        <v>14</v>
      </c>
      <c r="B2832" s="3" t="s">
        <v>14</v>
      </c>
      <c r="C2832" s="3" t="s">
        <v>2978</v>
      </c>
      <c r="D2832" s="3" t="s">
        <v>14</v>
      </c>
      <c r="E2832" s="3" t="s">
        <v>466</v>
      </c>
      <c r="F2832" s="4">
        <v>46297</v>
      </c>
      <c r="G2832" s="3" t="s">
        <v>17</v>
      </c>
      <c r="H2832" s="5">
        <v>-3400000</v>
      </c>
      <c r="I2832" s="3" t="s">
        <v>18</v>
      </c>
      <c r="J2832" s="3" t="s">
        <v>14</v>
      </c>
      <c r="K2832" s="3" t="s">
        <v>14</v>
      </c>
      <c r="L2832" s="3" t="s">
        <v>2979</v>
      </c>
      <c r="M2832" s="4">
        <v>46297</v>
      </c>
      <c r="N2832" s="3" t="s">
        <v>2980</v>
      </c>
      <c r="O2832" s="3" t="s">
        <v>30</v>
      </c>
      <c r="P2832" t="str">
        <f t="shared" si="44"/>
        <v>450013966310</v>
      </c>
      <c r="Q2832" s="7" cm="1">
        <f t="array" ref="Q2832:S2832">VLOOKUP(P2832,Hoja1!C:F,{2,3,4},FALSE)</f>
        <v>46297</v>
      </c>
      <c r="R2832" t="str">
        <v>C15</v>
      </c>
      <c r="S2832" t="str">
        <v>1000009284 TRANSPORTE ANA S.R.L.</v>
      </c>
    </row>
    <row r="2833" spans="1:19" x14ac:dyDescent="0.3">
      <c r="A2833" s="2" t="s">
        <v>14</v>
      </c>
      <c r="B2833" s="3" t="s">
        <v>14</v>
      </c>
      <c r="C2833" s="3" t="s">
        <v>2981</v>
      </c>
      <c r="D2833" s="3" t="s">
        <v>14</v>
      </c>
      <c r="E2833" s="3" t="s">
        <v>466</v>
      </c>
      <c r="F2833" s="4">
        <v>46297</v>
      </c>
      <c r="G2833" s="3" t="s">
        <v>17</v>
      </c>
      <c r="H2833" s="5">
        <v>-6800000</v>
      </c>
      <c r="I2833" s="3" t="s">
        <v>18</v>
      </c>
      <c r="J2833" s="3" t="s">
        <v>14</v>
      </c>
      <c r="K2833" s="3" t="s">
        <v>14</v>
      </c>
      <c r="L2833" s="3" t="s">
        <v>2982</v>
      </c>
      <c r="M2833" s="4">
        <v>46297</v>
      </c>
      <c r="N2833" s="3" t="s">
        <v>2983</v>
      </c>
      <c r="O2833" s="3" t="s">
        <v>30</v>
      </c>
      <c r="P2833" t="str">
        <f t="shared" si="44"/>
        <v>450013966510</v>
      </c>
      <c r="Q2833" s="7" cm="1">
        <f t="array" ref="Q2833:S2833">VLOOKUP(P2833,Hoja1!C:F,{2,3,4},FALSE)</f>
        <v>46297</v>
      </c>
      <c r="R2833" t="str">
        <v>C15</v>
      </c>
      <c r="S2833" t="str">
        <v>1000012940 TRANSLOGISTICA VESPRINI S. R. L.</v>
      </c>
    </row>
    <row r="2834" spans="1:19" x14ac:dyDescent="0.3">
      <c r="A2834" s="2" t="s">
        <v>14</v>
      </c>
      <c r="B2834" s="3" t="s">
        <v>14</v>
      </c>
      <c r="C2834" s="3" t="s">
        <v>2984</v>
      </c>
      <c r="D2834" s="3" t="s">
        <v>84</v>
      </c>
      <c r="E2834" s="3" t="s">
        <v>466</v>
      </c>
      <c r="F2834" s="4">
        <v>46297</v>
      </c>
      <c r="G2834" s="3" t="s">
        <v>17</v>
      </c>
      <c r="H2834" s="5">
        <v>-1862083.29</v>
      </c>
      <c r="I2834" s="3" t="s">
        <v>18</v>
      </c>
      <c r="J2834" s="3" t="s">
        <v>14</v>
      </c>
      <c r="K2834" s="3" t="s">
        <v>14</v>
      </c>
      <c r="L2834" s="3" t="s">
        <v>94</v>
      </c>
      <c r="M2834" s="4">
        <v>46297</v>
      </c>
      <c r="N2834" s="3" t="s">
        <v>1363</v>
      </c>
      <c r="O2834" s="3" t="s">
        <v>30</v>
      </c>
      <c r="P2834" t="str">
        <f t="shared" si="44"/>
        <v>450013476110</v>
      </c>
      <c r="Q2834" s="7" cm="1">
        <f t="array" ref="Q2834:S2834">VLOOKUP(P2834,Hoja1!C:F,{2,3,4},FALSE)</f>
        <v>46305</v>
      </c>
      <c r="R2834" t="str">
        <v>C26</v>
      </c>
      <c r="S2834" t="str">
        <v>1000003158 EMILIA MASSARELLI SRL</v>
      </c>
    </row>
    <row r="2835" spans="1:19" x14ac:dyDescent="0.3">
      <c r="A2835" s="2" t="s">
        <v>14</v>
      </c>
      <c r="B2835" s="3" t="s">
        <v>14</v>
      </c>
      <c r="C2835" s="3" t="s">
        <v>2985</v>
      </c>
      <c r="D2835" s="3" t="s">
        <v>14</v>
      </c>
      <c r="E2835" s="3" t="s">
        <v>466</v>
      </c>
      <c r="F2835" s="4">
        <v>46297</v>
      </c>
      <c r="G2835" s="3" t="s">
        <v>17</v>
      </c>
      <c r="H2835" s="5">
        <v>-905220.8</v>
      </c>
      <c r="I2835" s="3" t="s">
        <v>18</v>
      </c>
      <c r="J2835" s="3" t="s">
        <v>14</v>
      </c>
      <c r="K2835" s="3" t="s">
        <v>14</v>
      </c>
      <c r="L2835" s="3" t="s">
        <v>125</v>
      </c>
      <c r="M2835" s="4">
        <v>46297</v>
      </c>
      <c r="N2835" s="3" t="s">
        <v>2986</v>
      </c>
      <c r="O2835" s="3" t="s">
        <v>30</v>
      </c>
      <c r="P2835" t="str">
        <f t="shared" si="44"/>
        <v>450013988710</v>
      </c>
      <c r="Q2835" s="7" cm="1">
        <f t="array" ref="Q2835:S2835">VLOOKUP(P2835,Hoja1!C:F,{2,3,4},FALSE)</f>
        <v>46309</v>
      </c>
      <c r="R2835" t="str">
        <v>F13</v>
      </c>
      <c r="S2835" t="str">
        <v>1000001470 SUDAMERICANA CAMIONES SA</v>
      </c>
    </row>
    <row r="2836" spans="1:19" x14ac:dyDescent="0.3">
      <c r="A2836" s="2" t="s">
        <v>14</v>
      </c>
      <c r="B2836" s="3" t="s">
        <v>14</v>
      </c>
      <c r="C2836" s="3" t="s">
        <v>2985</v>
      </c>
      <c r="D2836" s="3" t="s">
        <v>14</v>
      </c>
      <c r="E2836" s="3" t="s">
        <v>466</v>
      </c>
      <c r="F2836" s="4">
        <v>46297</v>
      </c>
      <c r="G2836" s="3" t="s">
        <v>17</v>
      </c>
      <c r="H2836" s="5">
        <v>-2720131.2</v>
      </c>
      <c r="I2836" s="3" t="s">
        <v>18</v>
      </c>
      <c r="J2836" s="3" t="s">
        <v>14</v>
      </c>
      <c r="K2836" s="3" t="s">
        <v>14</v>
      </c>
      <c r="L2836" s="3" t="s">
        <v>125</v>
      </c>
      <c r="M2836" s="4">
        <v>46297</v>
      </c>
      <c r="N2836" s="3" t="s">
        <v>2986</v>
      </c>
      <c r="O2836" s="3" t="s">
        <v>22</v>
      </c>
      <c r="P2836" t="str">
        <f t="shared" si="44"/>
        <v>450013988720</v>
      </c>
      <c r="Q2836" s="7" cm="1">
        <f t="array" ref="Q2836:S2836">VLOOKUP(P2836,Hoja1!C:F,{2,3,4},FALSE)</f>
        <v>46318</v>
      </c>
      <c r="R2836" t="str">
        <v>F13</v>
      </c>
      <c r="S2836" t="str">
        <v>1000001470 SUDAMERICANA CAMIONES SA</v>
      </c>
    </row>
    <row r="2837" spans="1:19" x14ac:dyDescent="0.3">
      <c r="A2837" s="2" t="s">
        <v>14</v>
      </c>
      <c r="B2837" s="3" t="s">
        <v>14</v>
      </c>
      <c r="C2837" s="3" t="s">
        <v>2987</v>
      </c>
      <c r="D2837" s="3" t="s">
        <v>14</v>
      </c>
      <c r="E2837" s="3" t="s">
        <v>466</v>
      </c>
      <c r="F2837" s="4">
        <v>46297</v>
      </c>
      <c r="G2837" s="3" t="s">
        <v>17</v>
      </c>
      <c r="H2837" s="5">
        <v>-35212226.969999999</v>
      </c>
      <c r="I2837" s="3" t="s">
        <v>18</v>
      </c>
      <c r="J2837" s="3" t="s">
        <v>14</v>
      </c>
      <c r="K2837" s="3" t="s">
        <v>14</v>
      </c>
      <c r="L2837" s="3" t="s">
        <v>279</v>
      </c>
      <c r="M2837" s="4">
        <v>46297</v>
      </c>
      <c r="N2837" s="3" t="s">
        <v>2988</v>
      </c>
      <c r="O2837" s="3" t="s">
        <v>30</v>
      </c>
      <c r="P2837" t="str">
        <f t="shared" si="44"/>
        <v>450013757110</v>
      </c>
      <c r="Q2837" s="7" cm="1">
        <f t="array" ref="Q2837:S2837">VLOOKUP(P2837,Hoja1!C:F,{2,3,4},FALSE)</f>
        <v>46387</v>
      </c>
      <c r="R2837" t="str">
        <v>C15</v>
      </c>
      <c r="S2837" t="str">
        <v>1000010190 ANDREANI LOGISTICA SA</v>
      </c>
    </row>
    <row r="2838" spans="1:19" x14ac:dyDescent="0.3">
      <c r="A2838" s="2" t="s">
        <v>14</v>
      </c>
      <c r="B2838" s="3" t="s">
        <v>14</v>
      </c>
      <c r="C2838" s="3" t="s">
        <v>2989</v>
      </c>
      <c r="D2838" s="3" t="s">
        <v>32</v>
      </c>
      <c r="E2838" s="3" t="s">
        <v>466</v>
      </c>
      <c r="F2838" s="4">
        <v>46297</v>
      </c>
      <c r="G2838" s="3" t="s">
        <v>17</v>
      </c>
      <c r="H2838" s="5">
        <v>-3067785.6</v>
      </c>
      <c r="I2838" s="3" t="s">
        <v>18</v>
      </c>
      <c r="J2838" s="3" t="s">
        <v>14</v>
      </c>
      <c r="K2838" s="3" t="s">
        <v>14</v>
      </c>
      <c r="L2838" s="3" t="s">
        <v>976</v>
      </c>
      <c r="M2838" s="4">
        <v>46297</v>
      </c>
      <c r="N2838" s="3" t="s">
        <v>2990</v>
      </c>
      <c r="O2838" s="3" t="s">
        <v>30</v>
      </c>
      <c r="P2838" t="str">
        <f t="shared" si="44"/>
        <v>450012997010</v>
      </c>
      <c r="Q2838" s="7" cm="1">
        <f t="array" ref="Q2838:S2838">VLOOKUP(P2838,Hoja1!C:F,{2,3,4},FALSE)</f>
        <v>46419</v>
      </c>
      <c r="R2838" t="str">
        <v>C25</v>
      </c>
      <c r="S2838" t="str">
        <v>1000007795 JAWIT S.A.</v>
      </c>
    </row>
    <row r="2839" spans="1:19" x14ac:dyDescent="0.3">
      <c r="A2839" s="2" t="s">
        <v>14</v>
      </c>
      <c r="B2839" s="3" t="s">
        <v>14</v>
      </c>
      <c r="C2839" s="3" t="s">
        <v>2989</v>
      </c>
      <c r="D2839" s="3" t="s">
        <v>32</v>
      </c>
      <c r="E2839" s="3" t="s">
        <v>466</v>
      </c>
      <c r="F2839" s="4">
        <v>46297</v>
      </c>
      <c r="G2839" s="3" t="s">
        <v>17</v>
      </c>
      <c r="H2839" s="5">
        <v>-695369.6</v>
      </c>
      <c r="I2839" s="3" t="s">
        <v>18</v>
      </c>
      <c r="J2839" s="3" t="s">
        <v>14</v>
      </c>
      <c r="K2839" s="3" t="s">
        <v>14</v>
      </c>
      <c r="L2839" s="3" t="s">
        <v>976</v>
      </c>
      <c r="M2839" s="4">
        <v>46297</v>
      </c>
      <c r="N2839" s="3" t="s">
        <v>2991</v>
      </c>
      <c r="O2839" s="3" t="s">
        <v>30</v>
      </c>
      <c r="P2839" t="str">
        <f t="shared" si="44"/>
        <v>450013019110</v>
      </c>
      <c r="Q2839" s="7" cm="1">
        <f t="array" ref="Q2839:S2839">VLOOKUP(P2839,Hoja1!C:F,{2,3,4},FALSE)</f>
        <v>46371</v>
      </c>
      <c r="R2839" t="str">
        <v>C25</v>
      </c>
      <c r="S2839" t="str">
        <v>1000007795 JAWIT S.A.</v>
      </c>
    </row>
    <row r="2840" spans="1:19" x14ac:dyDescent="0.3">
      <c r="A2840" s="2" t="s">
        <v>14</v>
      </c>
      <c r="B2840" s="3" t="s">
        <v>14</v>
      </c>
      <c r="C2840" s="3" t="s">
        <v>2989</v>
      </c>
      <c r="D2840" s="3" t="s">
        <v>32</v>
      </c>
      <c r="E2840" s="3" t="s">
        <v>466</v>
      </c>
      <c r="F2840" s="4">
        <v>46297</v>
      </c>
      <c r="G2840" s="3" t="s">
        <v>17</v>
      </c>
      <c r="H2840" s="5">
        <v>-167716.79999999999</v>
      </c>
      <c r="I2840" s="3" t="s">
        <v>18</v>
      </c>
      <c r="J2840" s="3" t="s">
        <v>14</v>
      </c>
      <c r="K2840" s="3" t="s">
        <v>14</v>
      </c>
      <c r="L2840" s="3" t="s">
        <v>976</v>
      </c>
      <c r="M2840" s="4">
        <v>46297</v>
      </c>
      <c r="N2840" s="3" t="s">
        <v>2992</v>
      </c>
      <c r="O2840" s="3" t="s">
        <v>30</v>
      </c>
      <c r="P2840" t="str">
        <f t="shared" si="44"/>
        <v>450011074610</v>
      </c>
      <c r="Q2840" s="7" cm="1">
        <f t="array" ref="Q2840:S2840">VLOOKUP(P2840,Hoja1!C:F,{2,3,4},FALSE)</f>
        <v>46417</v>
      </c>
      <c r="R2840" t="str">
        <v>C25</v>
      </c>
      <c r="S2840" t="str">
        <v>1000007795 JAWIT S.A.</v>
      </c>
    </row>
    <row r="2841" spans="1:19" x14ac:dyDescent="0.3">
      <c r="A2841" s="2" t="s">
        <v>14</v>
      </c>
      <c r="B2841" s="3" t="s">
        <v>14</v>
      </c>
      <c r="C2841" s="3" t="s">
        <v>2989</v>
      </c>
      <c r="D2841" s="3" t="s">
        <v>32</v>
      </c>
      <c r="E2841" s="3" t="s">
        <v>466</v>
      </c>
      <c r="F2841" s="4">
        <v>46297</v>
      </c>
      <c r="G2841" s="3" t="s">
        <v>17</v>
      </c>
      <c r="H2841" s="5">
        <v>-167716.79999999999</v>
      </c>
      <c r="I2841" s="3" t="s">
        <v>18</v>
      </c>
      <c r="J2841" s="3" t="s">
        <v>14</v>
      </c>
      <c r="K2841" s="3" t="s">
        <v>14</v>
      </c>
      <c r="L2841" s="3" t="s">
        <v>976</v>
      </c>
      <c r="M2841" s="4">
        <v>46297</v>
      </c>
      <c r="N2841" s="3" t="s">
        <v>2992</v>
      </c>
      <c r="O2841" s="3" t="s">
        <v>22</v>
      </c>
      <c r="P2841" t="str">
        <f t="shared" si="44"/>
        <v>450011074620</v>
      </c>
      <c r="Q2841" s="7" cm="1">
        <f t="array" ref="Q2841:S2841">VLOOKUP(P2841,Hoja1!C:F,{2,3,4},FALSE)</f>
        <v>46417</v>
      </c>
      <c r="R2841" t="str">
        <v>C25</v>
      </c>
      <c r="S2841" t="str">
        <v>1000007795 JAWIT S.A.</v>
      </c>
    </row>
    <row r="2842" spans="1:19" x14ac:dyDescent="0.3">
      <c r="A2842" s="2" t="s">
        <v>14</v>
      </c>
      <c r="B2842" s="3" t="s">
        <v>14</v>
      </c>
      <c r="C2842" s="3" t="s">
        <v>2993</v>
      </c>
      <c r="D2842" s="3" t="s">
        <v>32</v>
      </c>
      <c r="E2842" s="3" t="s">
        <v>466</v>
      </c>
      <c r="F2842" s="4">
        <v>46297</v>
      </c>
      <c r="G2842" s="3" t="s">
        <v>17</v>
      </c>
      <c r="H2842" s="5">
        <v>-1366815</v>
      </c>
      <c r="I2842" s="3" t="s">
        <v>18</v>
      </c>
      <c r="J2842" s="3" t="s">
        <v>14</v>
      </c>
      <c r="K2842" s="3" t="s">
        <v>14</v>
      </c>
      <c r="L2842" s="3" t="s">
        <v>1171</v>
      </c>
      <c r="M2842" s="4">
        <v>46297</v>
      </c>
      <c r="N2842" s="3" t="s">
        <v>2994</v>
      </c>
      <c r="O2842" s="3" t="s">
        <v>30</v>
      </c>
      <c r="P2842" t="str">
        <f t="shared" si="44"/>
        <v>450013186410</v>
      </c>
      <c r="Q2842" s="7" cm="1">
        <f t="array" ref="Q2842:S2842">VLOOKUP(P2842,Hoja1!C:F,{2,3,4},FALSE)</f>
        <v>46326</v>
      </c>
      <c r="R2842" t="str">
        <v>C25</v>
      </c>
      <c r="S2842" t="str">
        <v>1000009474 JORGE ALBERTO SOTO S.A.S.</v>
      </c>
    </row>
    <row r="2843" spans="1:19" x14ac:dyDescent="0.3">
      <c r="A2843" s="2" t="s">
        <v>14</v>
      </c>
      <c r="B2843" s="3" t="s">
        <v>14</v>
      </c>
      <c r="C2843" s="3" t="s">
        <v>2995</v>
      </c>
      <c r="D2843" s="3" t="s">
        <v>32</v>
      </c>
      <c r="E2843" s="3" t="s">
        <v>466</v>
      </c>
      <c r="F2843" s="4">
        <v>46297</v>
      </c>
      <c r="G2843" s="3" t="s">
        <v>17</v>
      </c>
      <c r="H2843" s="5">
        <v>-16899598.68</v>
      </c>
      <c r="I2843" s="3" t="s">
        <v>18</v>
      </c>
      <c r="J2843" s="3" t="s">
        <v>14</v>
      </c>
      <c r="K2843" s="3" t="s">
        <v>14</v>
      </c>
      <c r="L2843" s="3" t="s">
        <v>2996</v>
      </c>
      <c r="M2843" s="4">
        <v>46297</v>
      </c>
      <c r="N2843" s="3" t="s">
        <v>2997</v>
      </c>
      <c r="O2843" s="3" t="s">
        <v>30</v>
      </c>
      <c r="P2843" t="str">
        <f t="shared" si="44"/>
        <v>450013513210</v>
      </c>
      <c r="Q2843" s="7" cm="1">
        <f t="array" ref="Q2843:S2843">VLOOKUP(P2843,Hoja1!C:F,{2,3,4},FALSE)</f>
        <v>46310</v>
      </c>
      <c r="R2843" t="str">
        <v>C25</v>
      </c>
      <c r="S2843" t="str">
        <v>1000002961 DASH SRL</v>
      </c>
    </row>
    <row r="2844" spans="1:19" x14ac:dyDescent="0.3">
      <c r="A2844" s="2" t="s">
        <v>14</v>
      </c>
      <c r="B2844" s="3" t="s">
        <v>14</v>
      </c>
      <c r="C2844" s="3" t="s">
        <v>2998</v>
      </c>
      <c r="D2844" s="3" t="s">
        <v>14</v>
      </c>
      <c r="E2844" s="3" t="s">
        <v>466</v>
      </c>
      <c r="F2844" s="4">
        <v>46297</v>
      </c>
      <c r="G2844" s="3" t="s">
        <v>17</v>
      </c>
      <c r="H2844" s="5">
        <v>-134261.6</v>
      </c>
      <c r="I2844" s="3" t="s">
        <v>18</v>
      </c>
      <c r="J2844" s="3" t="s">
        <v>14</v>
      </c>
      <c r="K2844" s="3" t="s">
        <v>14</v>
      </c>
      <c r="L2844" s="3" t="s">
        <v>399</v>
      </c>
      <c r="M2844" s="4">
        <v>46297</v>
      </c>
      <c r="N2844" s="3" t="s">
        <v>2999</v>
      </c>
      <c r="O2844" s="3" t="s">
        <v>30</v>
      </c>
      <c r="P2844" t="str">
        <f t="shared" si="44"/>
        <v>450013731810</v>
      </c>
      <c r="Q2844" s="7" cm="1">
        <f t="array" ref="Q2844:S2844">VLOOKUP(P2844,Hoja1!C:F,{2,3,4},FALSE)</f>
        <v>46290</v>
      </c>
      <c r="R2844" t="str">
        <v>F03</v>
      </c>
      <c r="S2844" t="str">
        <v>1000000561 ESCANDINAVIA DEL PLATA SA</v>
      </c>
    </row>
    <row r="2845" spans="1:19" x14ac:dyDescent="0.3">
      <c r="A2845" s="2" t="s">
        <v>14</v>
      </c>
      <c r="B2845" s="3" t="s">
        <v>14</v>
      </c>
      <c r="C2845" s="3" t="s">
        <v>2998</v>
      </c>
      <c r="D2845" s="3" t="s">
        <v>14</v>
      </c>
      <c r="E2845" s="3" t="s">
        <v>466</v>
      </c>
      <c r="F2845" s="4">
        <v>46297</v>
      </c>
      <c r="G2845" s="3" t="s">
        <v>17</v>
      </c>
      <c r="H2845" s="5">
        <v>-181868</v>
      </c>
      <c r="I2845" s="3" t="s">
        <v>18</v>
      </c>
      <c r="J2845" s="3" t="s">
        <v>14</v>
      </c>
      <c r="K2845" s="3" t="s">
        <v>14</v>
      </c>
      <c r="L2845" s="3" t="s">
        <v>399</v>
      </c>
      <c r="M2845" s="4">
        <v>46297</v>
      </c>
      <c r="N2845" s="3" t="s">
        <v>2999</v>
      </c>
      <c r="O2845" s="3" t="s">
        <v>22</v>
      </c>
      <c r="P2845" t="str">
        <f t="shared" si="44"/>
        <v>450013731820</v>
      </c>
      <c r="Q2845" s="7" cm="1">
        <f t="array" ref="Q2845:S2845">VLOOKUP(P2845,Hoja1!C:F,{2,3,4},FALSE)</f>
        <v>46290</v>
      </c>
      <c r="R2845" t="str">
        <v>F03</v>
      </c>
      <c r="S2845" t="str">
        <v>1000000561 ESCANDINAVIA DEL PLATA SA</v>
      </c>
    </row>
    <row r="2846" spans="1:19" x14ac:dyDescent="0.3">
      <c r="A2846" s="2" t="s">
        <v>14</v>
      </c>
      <c r="B2846" s="3" t="s">
        <v>14</v>
      </c>
      <c r="C2846" s="3" t="s">
        <v>3000</v>
      </c>
      <c r="D2846" s="3" t="s">
        <v>14</v>
      </c>
      <c r="E2846" s="3" t="s">
        <v>466</v>
      </c>
      <c r="F2846" s="4">
        <v>46276</v>
      </c>
      <c r="G2846" s="3" t="s">
        <v>17</v>
      </c>
      <c r="H2846" s="5">
        <v>-1826404.92</v>
      </c>
      <c r="I2846" s="3" t="s">
        <v>18</v>
      </c>
      <c r="J2846" s="3" t="s">
        <v>14</v>
      </c>
      <c r="K2846" s="3" t="s">
        <v>14</v>
      </c>
      <c r="L2846" s="3" t="s">
        <v>3001</v>
      </c>
      <c r="M2846" s="4">
        <v>46297</v>
      </c>
      <c r="N2846" s="3" t="s">
        <v>3002</v>
      </c>
      <c r="O2846" s="3" t="s">
        <v>30</v>
      </c>
      <c r="P2846" t="str">
        <f t="shared" si="44"/>
        <v>450013794010</v>
      </c>
      <c r="Q2846" s="7" cm="1">
        <f t="array" ref="Q2846:S2846">VLOOKUP(P2846,Hoja1!C:F,{2,3,4},FALSE)</f>
        <v>46290</v>
      </c>
      <c r="R2846" t="str">
        <v>C38</v>
      </c>
      <c r="S2846" t="str">
        <v>1000002663 RECONSTRUCTORA UNION SA</v>
      </c>
    </row>
    <row r="2847" spans="1:19" x14ac:dyDescent="0.3">
      <c r="A2847" s="2" t="s">
        <v>14</v>
      </c>
      <c r="B2847" s="3" t="s">
        <v>14</v>
      </c>
      <c r="C2847" s="3" t="s">
        <v>3003</v>
      </c>
      <c r="D2847" s="3" t="s">
        <v>32</v>
      </c>
      <c r="E2847" s="3" t="s">
        <v>466</v>
      </c>
      <c r="F2847" s="4">
        <v>46297</v>
      </c>
      <c r="G2847" s="3" t="s">
        <v>17</v>
      </c>
      <c r="H2847" s="5">
        <v>-24000000</v>
      </c>
      <c r="I2847" s="3" t="s">
        <v>18</v>
      </c>
      <c r="J2847" s="3" t="s">
        <v>14</v>
      </c>
      <c r="K2847" s="3" t="s">
        <v>14</v>
      </c>
      <c r="L2847" s="3" t="s">
        <v>3004</v>
      </c>
      <c r="M2847" s="4">
        <v>46297</v>
      </c>
      <c r="N2847" s="3" t="s">
        <v>3005</v>
      </c>
      <c r="O2847" s="3" t="s">
        <v>30</v>
      </c>
      <c r="P2847" t="str">
        <f t="shared" si="44"/>
        <v>450013679810</v>
      </c>
      <c r="Q2847" s="7" cm="1">
        <f t="array" ref="Q2847:S2847">VLOOKUP(P2847,Hoja1!C:F,{2,3,4},FALSE)</f>
        <v>46326</v>
      </c>
      <c r="R2847" t="str">
        <v>C26</v>
      </c>
      <c r="S2847" t="str">
        <v>1000008446 GIANNELLI OSCAR RUBEN</v>
      </c>
    </row>
    <row r="2848" spans="1:19" x14ac:dyDescent="0.3">
      <c r="A2848" s="2" t="s">
        <v>14</v>
      </c>
      <c r="B2848" s="3" t="s">
        <v>14</v>
      </c>
      <c r="C2848" s="3" t="s">
        <v>3006</v>
      </c>
      <c r="D2848" s="3" t="s">
        <v>32</v>
      </c>
      <c r="E2848" s="3" t="s">
        <v>466</v>
      </c>
      <c r="F2848" s="4">
        <v>46296</v>
      </c>
      <c r="G2848" s="3" t="s">
        <v>17</v>
      </c>
      <c r="H2848" s="5">
        <v>-32231.4</v>
      </c>
      <c r="I2848" s="3" t="s">
        <v>18</v>
      </c>
      <c r="J2848" s="3" t="s">
        <v>14</v>
      </c>
      <c r="K2848" s="3" t="s">
        <v>14</v>
      </c>
      <c r="L2848" s="3" t="s">
        <v>2878</v>
      </c>
      <c r="M2848" s="4">
        <v>46297</v>
      </c>
      <c r="N2848" s="3" t="s">
        <v>2879</v>
      </c>
      <c r="O2848" s="3" t="s">
        <v>30</v>
      </c>
      <c r="P2848" t="str">
        <f t="shared" si="44"/>
        <v>450014005310</v>
      </c>
      <c r="Q2848" s="7" cm="1">
        <f t="array" ref="Q2848:S2848">VLOOKUP(P2848,Hoja1!C:F,{2,3,4},FALSE)</f>
        <v>46301</v>
      </c>
      <c r="R2848" t="str">
        <v>374</v>
      </c>
      <c r="S2848" t="str">
        <v>1000012175 SINELLI MAURICIO ALEJANDRO</v>
      </c>
    </row>
    <row r="2849" spans="1:19" x14ac:dyDescent="0.3">
      <c r="A2849" s="2" t="s">
        <v>14</v>
      </c>
      <c r="B2849" s="3" t="s">
        <v>14</v>
      </c>
      <c r="C2849" s="3" t="s">
        <v>3007</v>
      </c>
      <c r="D2849" s="3" t="s">
        <v>32</v>
      </c>
      <c r="E2849" s="3" t="s">
        <v>466</v>
      </c>
      <c r="F2849" s="4">
        <v>46297</v>
      </c>
      <c r="G2849" s="3" t="s">
        <v>17</v>
      </c>
      <c r="H2849" s="5">
        <v>-195000</v>
      </c>
      <c r="I2849" s="3" t="s">
        <v>18</v>
      </c>
      <c r="J2849" s="3" t="s">
        <v>14</v>
      </c>
      <c r="K2849" s="3" t="s">
        <v>14</v>
      </c>
      <c r="L2849" s="3" t="s">
        <v>663</v>
      </c>
      <c r="M2849" s="4">
        <v>46297</v>
      </c>
      <c r="N2849" s="3" t="s">
        <v>3008</v>
      </c>
      <c r="O2849" s="3" t="s">
        <v>30</v>
      </c>
      <c r="P2849" t="str">
        <f t="shared" si="44"/>
        <v>450014003210</v>
      </c>
      <c r="Q2849" s="7" cm="1">
        <f t="array" ref="Q2849:S2849">VLOOKUP(P2849,Hoja1!C:F,{2,3,4},FALSE)</f>
        <v>46316</v>
      </c>
      <c r="R2849" t="str">
        <v>374</v>
      </c>
      <c r="S2849" t="str">
        <v>1000001250 KUHN MATIAS DANIEL</v>
      </c>
    </row>
    <row r="2850" spans="1:19" x14ac:dyDescent="0.3">
      <c r="A2850" s="2" t="s">
        <v>14</v>
      </c>
      <c r="B2850" s="3" t="s">
        <v>14</v>
      </c>
      <c r="C2850" s="3" t="s">
        <v>3009</v>
      </c>
      <c r="D2850" s="3" t="s">
        <v>14</v>
      </c>
      <c r="E2850" s="3" t="s">
        <v>466</v>
      </c>
      <c r="F2850" s="4">
        <v>46297</v>
      </c>
      <c r="G2850" s="3" t="s">
        <v>17</v>
      </c>
      <c r="H2850" s="5">
        <v>-1930442.53</v>
      </c>
      <c r="I2850" s="3" t="s">
        <v>18</v>
      </c>
      <c r="J2850" s="3" t="s">
        <v>14</v>
      </c>
      <c r="K2850" s="3" t="s">
        <v>14</v>
      </c>
      <c r="L2850" s="3" t="s">
        <v>965</v>
      </c>
      <c r="M2850" s="4">
        <v>46297</v>
      </c>
      <c r="N2850" s="3" t="s">
        <v>3010</v>
      </c>
      <c r="O2850" s="3" t="s">
        <v>30</v>
      </c>
      <c r="P2850" t="str">
        <f t="shared" si="44"/>
        <v>450013941410</v>
      </c>
      <c r="Q2850" s="7" cm="1">
        <f t="array" ref="Q2850:S2850">VLOOKUP(P2850,Hoja1!C:F,{2,3,4},FALSE)</f>
        <v>46301</v>
      </c>
      <c r="R2850" t="str">
        <v>C38</v>
      </c>
      <c r="S2850" t="str">
        <v>1000001060 PIRLES GUSTAVO JOSE</v>
      </c>
    </row>
    <row r="2851" spans="1:19" x14ac:dyDescent="0.3">
      <c r="A2851" s="2" t="s">
        <v>14</v>
      </c>
      <c r="B2851" s="3" t="s">
        <v>14</v>
      </c>
      <c r="C2851" s="3" t="s">
        <v>3011</v>
      </c>
      <c r="D2851" s="3" t="s">
        <v>14</v>
      </c>
      <c r="E2851" s="3" t="s">
        <v>466</v>
      </c>
      <c r="F2851" s="4">
        <v>46297</v>
      </c>
      <c r="G2851" s="3" t="s">
        <v>17</v>
      </c>
      <c r="H2851" s="5">
        <v>-170000</v>
      </c>
      <c r="I2851" s="3" t="s">
        <v>18</v>
      </c>
      <c r="J2851" s="3" t="s">
        <v>14</v>
      </c>
      <c r="K2851" s="3" t="s">
        <v>14</v>
      </c>
      <c r="L2851" s="3" t="s">
        <v>2898</v>
      </c>
      <c r="M2851" s="4">
        <v>46297</v>
      </c>
      <c r="N2851" s="3" t="s">
        <v>2899</v>
      </c>
      <c r="O2851" s="3" t="s">
        <v>30</v>
      </c>
      <c r="P2851" t="str">
        <f t="shared" si="44"/>
        <v>450013441010</v>
      </c>
      <c r="Q2851" s="7" cm="1">
        <f t="array" ref="Q2851:S2851">VLOOKUP(P2851,Hoja1!C:F,{2,3,4},FALSE)</f>
        <v>46783</v>
      </c>
      <c r="R2851" t="str">
        <v>C24</v>
      </c>
      <c r="S2851" t="str">
        <v>1000013418 SEVA FLAVIA SUSANA</v>
      </c>
    </row>
    <row r="2852" spans="1:19" x14ac:dyDescent="0.3">
      <c r="A2852" s="2" t="s">
        <v>14</v>
      </c>
      <c r="B2852" s="3" t="s">
        <v>14</v>
      </c>
      <c r="C2852" s="3" t="s">
        <v>3012</v>
      </c>
      <c r="D2852" s="3" t="s">
        <v>14</v>
      </c>
      <c r="E2852" s="3" t="s">
        <v>466</v>
      </c>
      <c r="F2852" s="4">
        <v>46297</v>
      </c>
      <c r="G2852" s="3" t="s">
        <v>17</v>
      </c>
      <c r="H2852" s="5">
        <v>-370000</v>
      </c>
      <c r="I2852" s="3" t="s">
        <v>18</v>
      </c>
      <c r="J2852" s="3" t="s">
        <v>14</v>
      </c>
      <c r="K2852" s="3" t="s">
        <v>14</v>
      </c>
      <c r="L2852" s="3" t="s">
        <v>3013</v>
      </c>
      <c r="M2852" s="4">
        <v>46297</v>
      </c>
      <c r="N2852" s="3" t="s">
        <v>3014</v>
      </c>
      <c r="O2852" s="3" t="s">
        <v>30</v>
      </c>
      <c r="P2852" t="str">
        <f t="shared" si="44"/>
        <v>450012645110</v>
      </c>
      <c r="Q2852" s="7" cm="1">
        <f t="array" ref="Q2852:S2852">VLOOKUP(P2852,Hoja1!C:F,{2,3,4},FALSE)</f>
        <v>46537</v>
      </c>
      <c r="R2852" t="str">
        <v>C24</v>
      </c>
      <c r="S2852" t="str">
        <v>1000011773 SILVA MENA JOSE MARIA</v>
      </c>
    </row>
    <row r="2853" spans="1:19" x14ac:dyDescent="0.3">
      <c r="A2853" s="2" t="s">
        <v>14</v>
      </c>
      <c r="B2853" s="3" t="s">
        <v>14</v>
      </c>
      <c r="C2853" s="3" t="s">
        <v>3015</v>
      </c>
      <c r="D2853" s="3" t="s">
        <v>14</v>
      </c>
      <c r="E2853" s="3" t="s">
        <v>466</v>
      </c>
      <c r="F2853" s="4">
        <v>46297</v>
      </c>
      <c r="G2853" s="3" t="s">
        <v>17</v>
      </c>
      <c r="H2853" s="5">
        <v>-100000</v>
      </c>
      <c r="I2853" s="3" t="s">
        <v>18</v>
      </c>
      <c r="J2853" s="3" t="s">
        <v>14</v>
      </c>
      <c r="K2853" s="3" t="s">
        <v>14</v>
      </c>
      <c r="L2853" s="3" t="s">
        <v>3016</v>
      </c>
      <c r="M2853" s="4">
        <v>46297</v>
      </c>
      <c r="N2853" s="3" t="s">
        <v>3017</v>
      </c>
      <c r="O2853" s="3" t="s">
        <v>30</v>
      </c>
      <c r="P2853" t="str">
        <f t="shared" si="44"/>
        <v>450011675610</v>
      </c>
      <c r="Q2853" s="7" cm="1">
        <f t="array" ref="Q2853:S2853">VLOOKUP(P2853,Hoja1!C:F,{2,3,4},FALSE)</f>
        <v>46386</v>
      </c>
      <c r="R2853" t="str">
        <v>C24</v>
      </c>
      <c r="S2853" t="str">
        <v>1000004571 ASOCIACION CIVIL LA HIGUERA</v>
      </c>
    </row>
    <row r="2854" spans="1:19" x14ac:dyDescent="0.3">
      <c r="A2854" s="2" t="s">
        <v>14</v>
      </c>
      <c r="B2854" s="3" t="s">
        <v>14</v>
      </c>
      <c r="C2854" s="3" t="s">
        <v>3018</v>
      </c>
      <c r="D2854" s="3" t="s">
        <v>14</v>
      </c>
      <c r="E2854" s="3" t="s">
        <v>466</v>
      </c>
      <c r="F2854" s="4">
        <v>46297</v>
      </c>
      <c r="G2854" s="3" t="s">
        <v>17</v>
      </c>
      <c r="H2854" s="5">
        <v>-493700</v>
      </c>
      <c r="I2854" s="3" t="s">
        <v>18</v>
      </c>
      <c r="J2854" s="3" t="s">
        <v>14</v>
      </c>
      <c r="K2854" s="3" t="s">
        <v>14</v>
      </c>
      <c r="L2854" s="3" t="s">
        <v>3019</v>
      </c>
      <c r="M2854" s="4">
        <v>46297</v>
      </c>
      <c r="N2854" s="3" t="s">
        <v>3020</v>
      </c>
      <c r="O2854" s="3" t="s">
        <v>30</v>
      </c>
      <c r="P2854" t="str">
        <f t="shared" si="44"/>
        <v>450011965910</v>
      </c>
      <c r="Q2854" s="7" cm="1">
        <f t="array" ref="Q2854:S2854">VLOOKUP(P2854,Hoja1!C:F,{2,3,4},FALSE)</f>
        <v>46446</v>
      </c>
      <c r="R2854" t="str">
        <v>C24</v>
      </c>
      <c r="S2854" t="str">
        <v>1000000860 GRAFIKARE SRL</v>
      </c>
    </row>
    <row r="2855" spans="1:19" x14ac:dyDescent="0.3">
      <c r="A2855" s="2" t="s">
        <v>14</v>
      </c>
      <c r="B2855" s="3" t="s">
        <v>14</v>
      </c>
      <c r="C2855" s="3" t="s">
        <v>3021</v>
      </c>
      <c r="D2855" s="3" t="s">
        <v>14</v>
      </c>
      <c r="E2855" s="3" t="s">
        <v>466</v>
      </c>
      <c r="F2855" s="4">
        <v>46297</v>
      </c>
      <c r="G2855" s="3" t="s">
        <v>17</v>
      </c>
      <c r="H2855" s="5">
        <v>-325000</v>
      </c>
      <c r="I2855" s="3" t="s">
        <v>18</v>
      </c>
      <c r="J2855" s="3" t="s">
        <v>14</v>
      </c>
      <c r="K2855" s="3" t="s">
        <v>14</v>
      </c>
      <c r="L2855" s="3" t="s">
        <v>2902</v>
      </c>
      <c r="M2855" s="4">
        <v>46297</v>
      </c>
      <c r="N2855" s="3" t="s">
        <v>2903</v>
      </c>
      <c r="O2855" s="3" t="s">
        <v>30</v>
      </c>
      <c r="P2855" t="str">
        <f t="shared" si="44"/>
        <v>450013308810</v>
      </c>
      <c r="Q2855" s="7" cm="1">
        <f t="array" ref="Q2855:S2855">VLOOKUP(P2855,Hoja1!C:F,{2,3,4},FALSE)</f>
        <v>46397</v>
      </c>
      <c r="R2855" t="str">
        <v>C24</v>
      </c>
      <c r="S2855" t="str">
        <v>1000013382 PROPUNA SAS</v>
      </c>
    </row>
    <row r="2856" spans="1:19" x14ac:dyDescent="0.3">
      <c r="A2856" s="2" t="s">
        <v>14</v>
      </c>
      <c r="B2856" s="3" t="s">
        <v>14</v>
      </c>
      <c r="C2856" s="3" t="s">
        <v>3022</v>
      </c>
      <c r="D2856" s="3" t="s">
        <v>14</v>
      </c>
      <c r="E2856" s="3" t="s">
        <v>466</v>
      </c>
      <c r="F2856" s="4">
        <v>46297</v>
      </c>
      <c r="G2856" s="3" t="s">
        <v>17</v>
      </c>
      <c r="H2856" s="5">
        <v>-1500000</v>
      </c>
      <c r="I2856" s="3" t="s">
        <v>18</v>
      </c>
      <c r="J2856" s="3" t="s">
        <v>14</v>
      </c>
      <c r="K2856" s="3" t="s">
        <v>14</v>
      </c>
      <c r="L2856" s="3" t="s">
        <v>3023</v>
      </c>
      <c r="M2856" s="4">
        <v>46297</v>
      </c>
      <c r="N2856" s="3" t="s">
        <v>3024</v>
      </c>
      <c r="O2856" s="3" t="s">
        <v>30</v>
      </c>
      <c r="P2856" t="str">
        <f t="shared" si="44"/>
        <v>450013211810</v>
      </c>
      <c r="Q2856" s="7" cm="1">
        <f t="array" ref="Q2856:S2856">VLOOKUP(P2856,Hoja1!C:F,{2,3,4},FALSE)</f>
        <v>46387</v>
      </c>
      <c r="R2856" t="str">
        <v>C24</v>
      </c>
      <c r="S2856" t="str">
        <v>1000003096 GLOBAL VM SRL</v>
      </c>
    </row>
    <row r="2857" spans="1:19" x14ac:dyDescent="0.3">
      <c r="A2857" s="2" t="s">
        <v>14</v>
      </c>
      <c r="B2857" s="3" t="s">
        <v>14</v>
      </c>
      <c r="C2857" s="3" t="s">
        <v>3025</v>
      </c>
      <c r="D2857" s="3" t="s">
        <v>32</v>
      </c>
      <c r="E2857" s="3" t="s">
        <v>466</v>
      </c>
      <c r="F2857" s="4">
        <v>46297</v>
      </c>
      <c r="G2857" s="3" t="s">
        <v>17</v>
      </c>
      <c r="H2857" s="5">
        <v>-155371.9</v>
      </c>
      <c r="I2857" s="3" t="s">
        <v>18</v>
      </c>
      <c r="J2857" s="3" t="s">
        <v>14</v>
      </c>
      <c r="K2857" s="3" t="s">
        <v>14</v>
      </c>
      <c r="L2857" s="3" t="s">
        <v>3026</v>
      </c>
      <c r="M2857" s="4">
        <v>46297</v>
      </c>
      <c r="N2857" s="3" t="s">
        <v>3027</v>
      </c>
      <c r="O2857" s="3" t="s">
        <v>30</v>
      </c>
      <c r="P2857" t="str">
        <f t="shared" si="44"/>
        <v>450014009710</v>
      </c>
      <c r="Q2857" s="7" cm="1">
        <f t="array" ref="Q2857:S2857">VLOOKUP(P2857,Hoja1!C:F,{2,3,4},FALSE)</f>
        <v>46298</v>
      </c>
      <c r="R2857" t="str">
        <v>378</v>
      </c>
      <c r="S2857" t="str">
        <v>1000013179 CORRALON GUEMES S.R.L.</v>
      </c>
    </row>
    <row r="2858" spans="1:19" x14ac:dyDescent="0.3">
      <c r="A2858" s="2" t="s">
        <v>14</v>
      </c>
      <c r="B2858" s="3" t="s">
        <v>14</v>
      </c>
      <c r="C2858" s="3" t="s">
        <v>3028</v>
      </c>
      <c r="D2858" s="3" t="s">
        <v>32</v>
      </c>
      <c r="E2858" s="3" t="s">
        <v>466</v>
      </c>
      <c r="F2858" s="4">
        <v>46298</v>
      </c>
      <c r="G2858" s="3" t="s">
        <v>17</v>
      </c>
      <c r="H2858" s="5">
        <v>-22000000</v>
      </c>
      <c r="I2858" s="3" t="s">
        <v>18</v>
      </c>
      <c r="J2858" s="3" t="s">
        <v>14</v>
      </c>
      <c r="K2858" s="3" t="s">
        <v>14</v>
      </c>
      <c r="L2858" s="3" t="s">
        <v>3029</v>
      </c>
      <c r="M2858" s="4">
        <v>46298</v>
      </c>
      <c r="N2858" s="3" t="s">
        <v>3030</v>
      </c>
      <c r="O2858" s="3" t="s">
        <v>30</v>
      </c>
      <c r="P2858" t="str">
        <f t="shared" si="44"/>
        <v>450012074510</v>
      </c>
      <c r="Q2858" s="7" cm="1">
        <f t="array" ref="Q2858:S2858">VLOOKUP(P2858,Hoja1!C:F,{2,3,4},FALSE)</f>
        <v>46387</v>
      </c>
      <c r="R2858" t="str">
        <v>C25</v>
      </c>
      <c r="S2858" t="str">
        <v>1000011933 PAZ DIEGO ADRIAN</v>
      </c>
    </row>
    <row r="2859" spans="1:19" x14ac:dyDescent="0.3">
      <c r="A2859" s="2" t="s">
        <v>14</v>
      </c>
      <c r="B2859" s="3" t="s">
        <v>14</v>
      </c>
      <c r="C2859" s="3" t="s">
        <v>3031</v>
      </c>
      <c r="D2859" s="3" t="s">
        <v>32</v>
      </c>
      <c r="E2859" s="3" t="s">
        <v>466</v>
      </c>
      <c r="F2859" s="4">
        <v>46298</v>
      </c>
      <c r="G2859" s="3" t="s">
        <v>17</v>
      </c>
      <c r="H2859" s="5">
        <v>-6953912.4199999999</v>
      </c>
      <c r="I2859" s="3" t="s">
        <v>18</v>
      </c>
      <c r="J2859" s="3" t="s">
        <v>14</v>
      </c>
      <c r="K2859" s="3" t="s">
        <v>14</v>
      </c>
      <c r="L2859" s="3" t="s">
        <v>2793</v>
      </c>
      <c r="M2859" s="4">
        <v>46298</v>
      </c>
      <c r="N2859" s="3" t="s">
        <v>3032</v>
      </c>
      <c r="O2859" s="3" t="s">
        <v>30</v>
      </c>
      <c r="P2859" t="str">
        <f t="shared" si="44"/>
        <v>450013968410</v>
      </c>
      <c r="Q2859" s="7" cm="1">
        <f t="array" ref="Q2859:S2859">VLOOKUP(P2859,Hoja1!C:F,{2,3,4},FALSE)</f>
        <v>46341</v>
      </c>
      <c r="R2859" t="str">
        <v>C18</v>
      </c>
      <c r="S2859" t="str">
        <v>1000001737 BETONSUR SRL</v>
      </c>
    </row>
    <row r="2860" spans="1:19" x14ac:dyDescent="0.3">
      <c r="A2860" s="2" t="s">
        <v>14</v>
      </c>
      <c r="B2860" s="3" t="s">
        <v>14</v>
      </c>
      <c r="C2860" s="3" t="s">
        <v>3033</v>
      </c>
      <c r="D2860" s="3" t="s">
        <v>14</v>
      </c>
      <c r="E2860" s="3" t="s">
        <v>466</v>
      </c>
      <c r="F2860" s="4">
        <v>46297</v>
      </c>
      <c r="G2860" s="3" t="s">
        <v>17</v>
      </c>
      <c r="H2860" s="5">
        <v>-519528.56</v>
      </c>
      <c r="I2860" s="3" t="s">
        <v>18</v>
      </c>
      <c r="J2860" s="3" t="s">
        <v>14</v>
      </c>
      <c r="K2860" s="3" t="s">
        <v>14</v>
      </c>
      <c r="L2860" s="3" t="s">
        <v>125</v>
      </c>
      <c r="M2860" s="4">
        <v>46298</v>
      </c>
      <c r="N2860" s="3" t="s">
        <v>3034</v>
      </c>
      <c r="O2860" s="3" t="s">
        <v>30</v>
      </c>
      <c r="P2860" t="str">
        <f t="shared" si="44"/>
        <v>450013965710</v>
      </c>
      <c r="Q2860" s="7" cm="1">
        <f t="array" ref="Q2860:S2860">VLOOKUP(P2860,Hoja1!C:F,{2,3,4},FALSE)</f>
        <v>46311</v>
      </c>
      <c r="R2860" t="str">
        <v>C29</v>
      </c>
      <c r="S2860" t="str">
        <v>1000001470 SUDAMERICANA CAMIONES SA</v>
      </c>
    </row>
    <row r="2861" spans="1:19" x14ac:dyDescent="0.3">
      <c r="A2861" s="2" t="s">
        <v>14</v>
      </c>
      <c r="B2861" s="3" t="s">
        <v>14</v>
      </c>
      <c r="C2861" s="3" t="s">
        <v>3033</v>
      </c>
      <c r="D2861" s="3" t="s">
        <v>14</v>
      </c>
      <c r="E2861" s="3" t="s">
        <v>466</v>
      </c>
      <c r="F2861" s="4">
        <v>46297</v>
      </c>
      <c r="G2861" s="3" t="s">
        <v>17</v>
      </c>
      <c r="H2861" s="5">
        <v>-519528.56</v>
      </c>
      <c r="I2861" s="3" t="s">
        <v>18</v>
      </c>
      <c r="J2861" s="3" t="s">
        <v>14</v>
      </c>
      <c r="K2861" s="3" t="s">
        <v>14</v>
      </c>
      <c r="L2861" s="3" t="s">
        <v>125</v>
      </c>
      <c r="M2861" s="4">
        <v>46298</v>
      </c>
      <c r="N2861" s="3" t="s">
        <v>3034</v>
      </c>
      <c r="O2861" s="3" t="s">
        <v>22</v>
      </c>
      <c r="P2861" t="str">
        <f t="shared" si="44"/>
        <v>450013965720</v>
      </c>
      <c r="Q2861" s="7" cm="1">
        <f t="array" ref="Q2861:S2861">VLOOKUP(P2861,Hoja1!C:F,{2,3,4},FALSE)</f>
        <v>46311</v>
      </c>
      <c r="R2861" t="str">
        <v>C29</v>
      </c>
      <c r="S2861" t="str">
        <v>1000001470 SUDAMERICANA CAMIONES SA</v>
      </c>
    </row>
    <row r="2862" spans="1:19" x14ac:dyDescent="0.3">
      <c r="A2862" s="2" t="s">
        <v>14</v>
      </c>
      <c r="B2862" s="3" t="s">
        <v>14</v>
      </c>
      <c r="C2862" s="3" t="s">
        <v>3033</v>
      </c>
      <c r="D2862" s="3" t="s">
        <v>14</v>
      </c>
      <c r="E2862" s="3" t="s">
        <v>466</v>
      </c>
      <c r="F2862" s="4">
        <v>46297</v>
      </c>
      <c r="G2862" s="3" t="s">
        <v>17</v>
      </c>
      <c r="H2862" s="5">
        <v>-655741.69999999995</v>
      </c>
      <c r="I2862" s="3" t="s">
        <v>18</v>
      </c>
      <c r="J2862" s="3" t="s">
        <v>14</v>
      </c>
      <c r="K2862" s="3" t="s">
        <v>14</v>
      </c>
      <c r="L2862" s="3" t="s">
        <v>125</v>
      </c>
      <c r="M2862" s="4">
        <v>46298</v>
      </c>
      <c r="N2862" s="3" t="s">
        <v>3034</v>
      </c>
      <c r="O2862" s="3" t="s">
        <v>35</v>
      </c>
      <c r="P2862" t="str">
        <f t="shared" si="44"/>
        <v>450013965730</v>
      </c>
      <c r="Q2862" s="7" cm="1">
        <f t="array" ref="Q2862:S2862">VLOOKUP(P2862,Hoja1!C:F,{2,3,4},FALSE)</f>
        <v>46311</v>
      </c>
      <c r="R2862" t="str">
        <v>C29</v>
      </c>
      <c r="S2862" t="str">
        <v>1000001470 SUDAMERICANA CAMIONES SA</v>
      </c>
    </row>
    <row r="2863" spans="1:19" x14ac:dyDescent="0.3">
      <c r="A2863" s="2" t="s">
        <v>14</v>
      </c>
      <c r="B2863" s="3" t="s">
        <v>14</v>
      </c>
      <c r="C2863" s="3" t="s">
        <v>3035</v>
      </c>
      <c r="D2863" s="3" t="s">
        <v>14</v>
      </c>
      <c r="E2863" s="3" t="s">
        <v>466</v>
      </c>
      <c r="F2863" s="4">
        <v>46298</v>
      </c>
      <c r="G2863" s="3" t="s">
        <v>17</v>
      </c>
      <c r="H2863" s="5">
        <v>-2716992.51</v>
      </c>
      <c r="I2863" s="3" t="s">
        <v>18</v>
      </c>
      <c r="J2863" s="3" t="s">
        <v>14</v>
      </c>
      <c r="K2863" s="3" t="s">
        <v>14</v>
      </c>
      <c r="L2863" s="3" t="s">
        <v>446</v>
      </c>
      <c r="M2863" s="4">
        <v>46298</v>
      </c>
      <c r="N2863" s="3" t="s">
        <v>447</v>
      </c>
      <c r="O2863" s="3" t="s">
        <v>30</v>
      </c>
      <c r="P2863" t="str">
        <f t="shared" si="44"/>
        <v>450013985610</v>
      </c>
      <c r="Q2863" s="7" cm="1">
        <f t="array" ref="Q2863:S2863">VLOOKUP(P2863,Hoja1!C:F,{2,3,4},FALSE)</f>
        <v>46298</v>
      </c>
      <c r="R2863" t="str">
        <v>378</v>
      </c>
      <c r="S2863" t="str">
        <v>1000012797 INGENIERIA Y REPRESENTACIONES BAHIE</v>
      </c>
    </row>
    <row r="2864" spans="1:19" x14ac:dyDescent="0.3">
      <c r="A2864" s="2" t="s">
        <v>14</v>
      </c>
      <c r="B2864" s="3" t="s">
        <v>14</v>
      </c>
      <c r="C2864" s="3" t="s">
        <v>3036</v>
      </c>
      <c r="D2864" s="3" t="s">
        <v>32</v>
      </c>
      <c r="E2864" s="3" t="s">
        <v>466</v>
      </c>
      <c r="F2864" s="4">
        <v>46298</v>
      </c>
      <c r="G2864" s="3" t="s">
        <v>17</v>
      </c>
      <c r="H2864" s="5">
        <v>-74000</v>
      </c>
      <c r="I2864" s="3" t="s">
        <v>18</v>
      </c>
      <c r="J2864" s="3" t="s">
        <v>14</v>
      </c>
      <c r="K2864" s="3" t="s">
        <v>14</v>
      </c>
      <c r="L2864" s="3" t="s">
        <v>3037</v>
      </c>
      <c r="M2864" s="4">
        <v>46298</v>
      </c>
      <c r="N2864" s="3" t="s">
        <v>3038</v>
      </c>
      <c r="O2864" s="3" t="s">
        <v>22</v>
      </c>
      <c r="P2864" t="str">
        <f t="shared" si="44"/>
        <v>450013991220</v>
      </c>
      <c r="Q2864" s="7" cm="1">
        <f t="array" ref="Q2864:S2864">VLOOKUP(P2864,Hoja1!C:F,{2,3,4},FALSE)</f>
        <v>46304</v>
      </c>
      <c r="R2864" t="str">
        <v>374</v>
      </c>
      <c r="S2864" t="str">
        <v>1000011505 GALVAN ADELA GLADYS</v>
      </c>
    </row>
    <row r="2865" spans="1:19" x14ac:dyDescent="0.3">
      <c r="A2865" s="2" t="s">
        <v>14</v>
      </c>
      <c r="B2865" s="3" t="s">
        <v>14</v>
      </c>
      <c r="C2865" s="3" t="s">
        <v>3039</v>
      </c>
      <c r="D2865" s="3" t="s">
        <v>14</v>
      </c>
      <c r="E2865" s="3" t="s">
        <v>466</v>
      </c>
      <c r="F2865" s="4">
        <v>46298</v>
      </c>
      <c r="G2865" s="3" t="s">
        <v>17</v>
      </c>
      <c r="H2865" s="5">
        <v>-111570.25</v>
      </c>
      <c r="I2865" s="3" t="s">
        <v>18</v>
      </c>
      <c r="J2865" s="3" t="s">
        <v>14</v>
      </c>
      <c r="K2865" s="3" t="s">
        <v>14</v>
      </c>
      <c r="L2865" s="3" t="s">
        <v>915</v>
      </c>
      <c r="M2865" s="4">
        <v>46298</v>
      </c>
      <c r="N2865" s="3" t="s">
        <v>3040</v>
      </c>
      <c r="O2865" s="3" t="s">
        <v>30</v>
      </c>
      <c r="P2865" t="str">
        <f t="shared" si="44"/>
        <v>450013380810</v>
      </c>
      <c r="Q2865" s="7" cm="1">
        <f t="array" ref="Q2865:S2865">VLOOKUP(P2865,Hoja1!C:F,{2,3,4},FALSE)</f>
        <v>46247</v>
      </c>
      <c r="R2865" t="str">
        <v>EFO</v>
      </c>
      <c r="S2865" t="str">
        <v>1000013162 MADRYN REPUESTOS Y SERVICIOS SAS</v>
      </c>
    </row>
    <row r="2866" spans="1:19" x14ac:dyDescent="0.3">
      <c r="A2866" s="2" t="s">
        <v>14</v>
      </c>
      <c r="B2866" s="3" t="s">
        <v>14</v>
      </c>
      <c r="C2866" s="3" t="s">
        <v>3041</v>
      </c>
      <c r="D2866" s="3" t="s">
        <v>32</v>
      </c>
      <c r="E2866" s="3" t="s">
        <v>466</v>
      </c>
      <c r="F2866" s="4">
        <v>46298</v>
      </c>
      <c r="G2866" s="3" t="s">
        <v>17</v>
      </c>
      <c r="H2866" s="5">
        <v>-12027000</v>
      </c>
      <c r="I2866" s="3" t="s">
        <v>18</v>
      </c>
      <c r="J2866" s="3" t="s">
        <v>14</v>
      </c>
      <c r="K2866" s="3" t="s">
        <v>14</v>
      </c>
      <c r="L2866" s="3" t="s">
        <v>3042</v>
      </c>
      <c r="M2866" s="4">
        <v>46298</v>
      </c>
      <c r="N2866" s="3" t="s">
        <v>3043</v>
      </c>
      <c r="O2866" s="3" t="s">
        <v>30</v>
      </c>
      <c r="P2866" t="str">
        <f t="shared" si="44"/>
        <v>450013156410</v>
      </c>
      <c r="Q2866" s="7" cm="1">
        <f t="array" ref="Q2866:S2866">VLOOKUP(P2866,Hoja1!C:F,{2,3,4},FALSE)</f>
        <v>46433</v>
      </c>
      <c r="R2866" t="str">
        <v>C25</v>
      </c>
      <c r="S2866" t="str">
        <v>1000013326 COLONNA OMAR RODOLFO</v>
      </c>
    </row>
    <row r="2867" spans="1:19" x14ac:dyDescent="0.3">
      <c r="A2867" s="2" t="s">
        <v>14</v>
      </c>
      <c r="B2867" s="3" t="s">
        <v>14</v>
      </c>
      <c r="C2867" s="3" t="s">
        <v>3044</v>
      </c>
      <c r="D2867" s="3" t="s">
        <v>14</v>
      </c>
      <c r="E2867" s="3" t="s">
        <v>466</v>
      </c>
      <c r="F2867" s="4">
        <v>46298</v>
      </c>
      <c r="G2867" s="3" t="s">
        <v>17</v>
      </c>
      <c r="H2867" s="5">
        <v>-281956.74</v>
      </c>
      <c r="I2867" s="3" t="s">
        <v>18</v>
      </c>
      <c r="J2867" s="3" t="s">
        <v>14</v>
      </c>
      <c r="K2867" s="3" t="s">
        <v>14</v>
      </c>
      <c r="L2867" s="3" t="s">
        <v>892</v>
      </c>
      <c r="M2867" s="4">
        <v>46298</v>
      </c>
      <c r="N2867" s="3" t="s">
        <v>3045</v>
      </c>
      <c r="O2867" s="3" t="s">
        <v>30</v>
      </c>
      <c r="P2867" t="str">
        <f t="shared" si="44"/>
        <v>450013970710</v>
      </c>
      <c r="Q2867" s="7" cm="1">
        <f t="array" ref="Q2867:S2867">VLOOKUP(P2867,Hoja1!C:F,{2,3,4},FALSE)</f>
        <v>46307</v>
      </c>
      <c r="R2867" t="str">
        <v>C27</v>
      </c>
      <c r="S2867" t="str">
        <v>1000000894 FORTIN REPUBLICA SA</v>
      </c>
    </row>
    <row r="2868" spans="1:19" x14ac:dyDescent="0.3">
      <c r="A2868" s="2" t="s">
        <v>14</v>
      </c>
      <c r="B2868" s="3" t="s">
        <v>14</v>
      </c>
      <c r="C2868" s="3" t="s">
        <v>3044</v>
      </c>
      <c r="D2868" s="3" t="s">
        <v>14</v>
      </c>
      <c r="E2868" s="3" t="s">
        <v>466</v>
      </c>
      <c r="F2868" s="4">
        <v>46298</v>
      </c>
      <c r="G2868" s="3" t="s">
        <v>17</v>
      </c>
      <c r="H2868" s="5">
        <v>-28027.95</v>
      </c>
      <c r="I2868" s="3" t="s">
        <v>18</v>
      </c>
      <c r="J2868" s="3" t="s">
        <v>14</v>
      </c>
      <c r="K2868" s="3" t="s">
        <v>14</v>
      </c>
      <c r="L2868" s="3" t="s">
        <v>892</v>
      </c>
      <c r="M2868" s="4">
        <v>46298</v>
      </c>
      <c r="N2868" s="3" t="s">
        <v>3045</v>
      </c>
      <c r="O2868" s="3" t="s">
        <v>22</v>
      </c>
      <c r="P2868" t="str">
        <f t="shared" si="44"/>
        <v>450013970720</v>
      </c>
      <c r="Q2868" s="7" cm="1">
        <f t="array" ref="Q2868:S2868">VLOOKUP(P2868,Hoja1!C:F,{2,3,4},FALSE)</f>
        <v>46307</v>
      </c>
      <c r="R2868" t="str">
        <v>C27</v>
      </c>
      <c r="S2868" t="str">
        <v>1000000894 FORTIN REPUBLICA SA</v>
      </c>
    </row>
    <row r="2869" spans="1:19" x14ac:dyDescent="0.3">
      <c r="A2869" s="2" t="s">
        <v>14</v>
      </c>
      <c r="B2869" s="3" t="s">
        <v>14</v>
      </c>
      <c r="C2869" s="3" t="s">
        <v>3044</v>
      </c>
      <c r="D2869" s="3" t="s">
        <v>14</v>
      </c>
      <c r="E2869" s="3" t="s">
        <v>466</v>
      </c>
      <c r="F2869" s="4">
        <v>46298</v>
      </c>
      <c r="G2869" s="3" t="s">
        <v>17</v>
      </c>
      <c r="H2869" s="5">
        <v>-21032.25</v>
      </c>
      <c r="I2869" s="3" t="s">
        <v>18</v>
      </c>
      <c r="J2869" s="3" t="s">
        <v>14</v>
      </c>
      <c r="K2869" s="3" t="s">
        <v>14</v>
      </c>
      <c r="L2869" s="3" t="s">
        <v>892</v>
      </c>
      <c r="M2869" s="4">
        <v>46298</v>
      </c>
      <c r="N2869" s="3" t="s">
        <v>3045</v>
      </c>
      <c r="O2869" s="3" t="s">
        <v>35</v>
      </c>
      <c r="P2869" t="str">
        <f t="shared" si="44"/>
        <v>450013970730</v>
      </c>
      <c r="Q2869" s="7" cm="1">
        <f t="array" ref="Q2869:S2869">VLOOKUP(P2869,Hoja1!C:F,{2,3,4},FALSE)</f>
        <v>46307</v>
      </c>
      <c r="R2869" t="str">
        <v>C27</v>
      </c>
      <c r="S2869" t="str">
        <v>1000000894 FORTIN REPUBLICA SA</v>
      </c>
    </row>
    <row r="2870" spans="1:19" x14ac:dyDescent="0.3">
      <c r="A2870" s="2" t="s">
        <v>14</v>
      </c>
      <c r="B2870" s="3" t="s">
        <v>14</v>
      </c>
      <c r="C2870" s="3" t="s">
        <v>3044</v>
      </c>
      <c r="D2870" s="3" t="s">
        <v>14</v>
      </c>
      <c r="E2870" s="3" t="s">
        <v>466</v>
      </c>
      <c r="F2870" s="4">
        <v>46298</v>
      </c>
      <c r="G2870" s="3" t="s">
        <v>17</v>
      </c>
      <c r="H2870" s="5">
        <v>-4279.4399999999996</v>
      </c>
      <c r="I2870" s="3" t="s">
        <v>18</v>
      </c>
      <c r="J2870" s="3" t="s">
        <v>14</v>
      </c>
      <c r="K2870" s="3" t="s">
        <v>14</v>
      </c>
      <c r="L2870" s="3" t="s">
        <v>892</v>
      </c>
      <c r="M2870" s="4">
        <v>46298</v>
      </c>
      <c r="N2870" s="3" t="s">
        <v>3045</v>
      </c>
      <c r="O2870" s="3" t="s">
        <v>23</v>
      </c>
      <c r="P2870" t="str">
        <f t="shared" si="44"/>
        <v>450013970740</v>
      </c>
      <c r="Q2870" s="7" cm="1">
        <f t="array" ref="Q2870:S2870">VLOOKUP(P2870,Hoja1!C:F,{2,3,4},FALSE)</f>
        <v>46307</v>
      </c>
      <c r="R2870" t="str">
        <v>C27</v>
      </c>
      <c r="S2870" t="str">
        <v>1000000894 FORTIN REPUBLICA SA</v>
      </c>
    </row>
    <row r="2871" spans="1:19" x14ac:dyDescent="0.3">
      <c r="A2871" s="2" t="s">
        <v>14</v>
      </c>
      <c r="B2871" s="3" t="s">
        <v>14</v>
      </c>
      <c r="C2871" s="3" t="s">
        <v>3046</v>
      </c>
      <c r="D2871" s="3" t="s">
        <v>32</v>
      </c>
      <c r="E2871" s="3" t="s">
        <v>466</v>
      </c>
      <c r="F2871" s="4">
        <v>46298</v>
      </c>
      <c r="G2871" s="3" t="s">
        <v>17</v>
      </c>
      <c r="H2871" s="5">
        <v>-1589125.82</v>
      </c>
      <c r="I2871" s="3" t="s">
        <v>18</v>
      </c>
      <c r="J2871" s="3" t="s">
        <v>14</v>
      </c>
      <c r="K2871" s="3" t="s">
        <v>14</v>
      </c>
      <c r="L2871" s="3" t="s">
        <v>892</v>
      </c>
      <c r="M2871" s="4">
        <v>46298</v>
      </c>
      <c r="N2871" s="3" t="s">
        <v>3047</v>
      </c>
      <c r="O2871" s="3" t="s">
        <v>30</v>
      </c>
      <c r="P2871" t="str">
        <f t="shared" si="44"/>
        <v>450013994210</v>
      </c>
      <c r="Q2871" s="7" cm="1">
        <f t="array" ref="Q2871:S2871">VLOOKUP(P2871,Hoja1!C:F,{2,3,4},FALSE)</f>
        <v>46301</v>
      </c>
      <c r="R2871" t="str">
        <v>374</v>
      </c>
      <c r="S2871" t="str">
        <v>1000000894 FORTIN REPUBLICA SA</v>
      </c>
    </row>
    <row r="2872" spans="1:19" x14ac:dyDescent="0.3">
      <c r="A2872" s="2" t="s">
        <v>14</v>
      </c>
      <c r="B2872" s="3" t="s">
        <v>14</v>
      </c>
      <c r="C2872" s="3" t="s">
        <v>3048</v>
      </c>
      <c r="D2872" s="3" t="s">
        <v>84</v>
      </c>
      <c r="E2872" s="3" t="s">
        <v>466</v>
      </c>
      <c r="F2872" s="4">
        <v>46298</v>
      </c>
      <c r="G2872" s="3" t="s">
        <v>17</v>
      </c>
      <c r="H2872" s="5">
        <v>-19638576.440000001</v>
      </c>
      <c r="I2872" s="3" t="s">
        <v>18</v>
      </c>
      <c r="J2872" s="3" t="s">
        <v>14</v>
      </c>
      <c r="K2872" s="3" t="s">
        <v>14</v>
      </c>
      <c r="L2872" s="3" t="s">
        <v>568</v>
      </c>
      <c r="M2872" s="4">
        <v>46298</v>
      </c>
      <c r="N2872" s="3" t="s">
        <v>1823</v>
      </c>
      <c r="O2872" s="3" t="s">
        <v>52</v>
      </c>
      <c r="P2872" t="str">
        <f t="shared" si="44"/>
        <v>450012889480</v>
      </c>
      <c r="Q2872" s="7" cm="1">
        <f t="array" ref="Q2872:S2872">VLOOKUP(P2872,Hoja1!C:F,{2,3,4},FALSE)</f>
        <v>46269</v>
      </c>
      <c r="R2872" t="str">
        <v>C11</v>
      </c>
      <c r="S2872" t="str">
        <v>1000000301 CASA MAGNANI S.R.L.</v>
      </c>
    </row>
    <row r="2873" spans="1:19" x14ac:dyDescent="0.3">
      <c r="A2873" s="2" t="s">
        <v>14</v>
      </c>
      <c r="B2873" s="3" t="s">
        <v>14</v>
      </c>
      <c r="C2873" s="3" t="s">
        <v>3049</v>
      </c>
      <c r="D2873" s="3" t="s">
        <v>14</v>
      </c>
      <c r="E2873" s="3" t="s">
        <v>466</v>
      </c>
      <c r="F2873" s="4">
        <v>46298</v>
      </c>
      <c r="G2873" s="3" t="s">
        <v>17</v>
      </c>
      <c r="H2873" s="5">
        <v>-955800</v>
      </c>
      <c r="I2873" s="3" t="s">
        <v>18</v>
      </c>
      <c r="J2873" s="3" t="s">
        <v>14</v>
      </c>
      <c r="K2873" s="3" t="s">
        <v>14</v>
      </c>
      <c r="L2873" s="3" t="s">
        <v>892</v>
      </c>
      <c r="M2873" s="4">
        <v>46298</v>
      </c>
      <c r="N2873" s="3" t="s">
        <v>3050</v>
      </c>
      <c r="O2873" s="3" t="s">
        <v>30</v>
      </c>
      <c r="P2873" t="str">
        <f t="shared" si="44"/>
        <v>450013982110</v>
      </c>
      <c r="Q2873" s="7" cm="1">
        <f t="array" ref="Q2873:S2873">VLOOKUP(P2873,Hoja1!C:F,{2,3,4},FALSE)</f>
        <v>46311</v>
      </c>
      <c r="R2873" t="str">
        <v>C22</v>
      </c>
      <c r="S2873" t="str">
        <v>1000000894 FORTIN REPUBLICA SA</v>
      </c>
    </row>
    <row r="2874" spans="1:19" x14ac:dyDescent="0.3">
      <c r="A2874" s="2" t="s">
        <v>14</v>
      </c>
      <c r="B2874" s="3" t="s">
        <v>14</v>
      </c>
      <c r="C2874" s="3" t="s">
        <v>3051</v>
      </c>
      <c r="D2874" s="3" t="s">
        <v>192</v>
      </c>
      <c r="E2874" s="3" t="s">
        <v>466</v>
      </c>
      <c r="F2874" s="4">
        <v>46297</v>
      </c>
      <c r="G2874" s="3" t="s">
        <v>17</v>
      </c>
      <c r="H2874" s="5">
        <v>-56156.85</v>
      </c>
      <c r="I2874" s="3" t="s">
        <v>18</v>
      </c>
      <c r="J2874" s="3" t="s">
        <v>14</v>
      </c>
      <c r="K2874" s="3" t="s">
        <v>14</v>
      </c>
      <c r="L2874" s="3" t="s">
        <v>3052</v>
      </c>
      <c r="M2874" s="4">
        <v>46298</v>
      </c>
      <c r="N2874" s="3" t="s">
        <v>3053</v>
      </c>
      <c r="O2874" s="3" t="s">
        <v>30</v>
      </c>
      <c r="P2874" t="str">
        <f t="shared" si="44"/>
        <v>450013998010</v>
      </c>
      <c r="Q2874" s="7" cm="1">
        <f t="array" ref="Q2874:S2874">VLOOKUP(P2874,Hoja1!C:F,{2,3,4},FALSE)</f>
        <v>46316</v>
      </c>
      <c r="R2874" t="str">
        <v>C01</v>
      </c>
      <c r="S2874" t="str">
        <v>1000003828 DISTRIBUIDORA ALVEAR S.R.L</v>
      </c>
    </row>
    <row r="2875" spans="1:19" x14ac:dyDescent="0.3">
      <c r="A2875" s="2" t="s">
        <v>14</v>
      </c>
      <c r="B2875" s="3" t="s">
        <v>14</v>
      </c>
      <c r="C2875" s="3" t="s">
        <v>3051</v>
      </c>
      <c r="D2875" s="3" t="s">
        <v>192</v>
      </c>
      <c r="E2875" s="3" t="s">
        <v>466</v>
      </c>
      <c r="F2875" s="4">
        <v>46297</v>
      </c>
      <c r="G2875" s="3" t="s">
        <v>17</v>
      </c>
      <c r="H2875" s="5">
        <v>-31405.200000000001</v>
      </c>
      <c r="I2875" s="3" t="s">
        <v>18</v>
      </c>
      <c r="J2875" s="3" t="s">
        <v>14</v>
      </c>
      <c r="K2875" s="3" t="s">
        <v>14</v>
      </c>
      <c r="L2875" s="3" t="s">
        <v>3052</v>
      </c>
      <c r="M2875" s="4">
        <v>46298</v>
      </c>
      <c r="N2875" s="3" t="s">
        <v>3053</v>
      </c>
      <c r="O2875" s="3" t="s">
        <v>22</v>
      </c>
      <c r="P2875" t="str">
        <f t="shared" si="44"/>
        <v>450013998020</v>
      </c>
      <c r="Q2875" s="7" cm="1">
        <f t="array" ref="Q2875:S2875">VLOOKUP(P2875,Hoja1!C:F,{2,3,4},FALSE)</f>
        <v>46316</v>
      </c>
      <c r="R2875" t="str">
        <v>C01</v>
      </c>
      <c r="S2875" t="str">
        <v>1000003828 DISTRIBUIDORA ALVEAR S.R.L</v>
      </c>
    </row>
    <row r="2876" spans="1:19" x14ac:dyDescent="0.3">
      <c r="A2876" s="2" t="s">
        <v>14</v>
      </c>
      <c r="B2876" s="3" t="s">
        <v>14</v>
      </c>
      <c r="C2876" s="3" t="s">
        <v>3051</v>
      </c>
      <c r="D2876" s="3" t="s">
        <v>192</v>
      </c>
      <c r="E2876" s="3" t="s">
        <v>466</v>
      </c>
      <c r="F2876" s="4">
        <v>46297</v>
      </c>
      <c r="G2876" s="3" t="s">
        <v>17</v>
      </c>
      <c r="H2876" s="5">
        <v>-110082.48</v>
      </c>
      <c r="I2876" s="3" t="s">
        <v>18</v>
      </c>
      <c r="J2876" s="3" t="s">
        <v>14</v>
      </c>
      <c r="K2876" s="3" t="s">
        <v>14</v>
      </c>
      <c r="L2876" s="3" t="s">
        <v>3052</v>
      </c>
      <c r="M2876" s="4">
        <v>46298</v>
      </c>
      <c r="N2876" s="3" t="s">
        <v>3053</v>
      </c>
      <c r="O2876" s="3" t="s">
        <v>35</v>
      </c>
      <c r="P2876" t="str">
        <f t="shared" si="44"/>
        <v>450013998030</v>
      </c>
      <c r="Q2876" s="7" cm="1">
        <f t="array" ref="Q2876:S2876">VLOOKUP(P2876,Hoja1!C:F,{2,3,4},FALSE)</f>
        <v>46316</v>
      </c>
      <c r="R2876" t="str">
        <v>C01</v>
      </c>
      <c r="S2876" t="str">
        <v>1000003828 DISTRIBUIDORA ALVEAR S.R.L</v>
      </c>
    </row>
    <row r="2877" spans="1:19" x14ac:dyDescent="0.3">
      <c r="A2877" s="2" t="s">
        <v>14</v>
      </c>
      <c r="B2877" s="3" t="s">
        <v>14</v>
      </c>
      <c r="C2877" s="3" t="s">
        <v>3051</v>
      </c>
      <c r="D2877" s="3" t="s">
        <v>192</v>
      </c>
      <c r="E2877" s="3" t="s">
        <v>466</v>
      </c>
      <c r="F2877" s="4">
        <v>46297</v>
      </c>
      <c r="G2877" s="3" t="s">
        <v>17</v>
      </c>
      <c r="H2877" s="5">
        <v>-38016.559999999998</v>
      </c>
      <c r="I2877" s="3" t="s">
        <v>18</v>
      </c>
      <c r="J2877" s="3" t="s">
        <v>14</v>
      </c>
      <c r="K2877" s="3" t="s">
        <v>14</v>
      </c>
      <c r="L2877" s="3" t="s">
        <v>3052</v>
      </c>
      <c r="M2877" s="4">
        <v>46298</v>
      </c>
      <c r="N2877" s="3" t="s">
        <v>3053</v>
      </c>
      <c r="O2877" s="3" t="s">
        <v>23</v>
      </c>
      <c r="P2877" t="str">
        <f t="shared" si="44"/>
        <v>450013998040</v>
      </c>
      <c r="Q2877" s="7" cm="1">
        <f t="array" ref="Q2877:S2877">VLOOKUP(P2877,Hoja1!C:F,{2,3,4},FALSE)</f>
        <v>46316</v>
      </c>
      <c r="R2877" t="str">
        <v>C01</v>
      </c>
      <c r="S2877" t="str">
        <v>1000003828 DISTRIBUIDORA ALVEAR S.R.L</v>
      </c>
    </row>
    <row r="2878" spans="1:19" x14ac:dyDescent="0.3">
      <c r="A2878" s="2" t="s">
        <v>14</v>
      </c>
      <c r="B2878" s="3" t="s">
        <v>14</v>
      </c>
      <c r="C2878" s="3" t="s">
        <v>3051</v>
      </c>
      <c r="D2878" s="3" t="s">
        <v>192</v>
      </c>
      <c r="E2878" s="3" t="s">
        <v>466</v>
      </c>
      <c r="F2878" s="4">
        <v>46297</v>
      </c>
      <c r="G2878" s="3" t="s">
        <v>17</v>
      </c>
      <c r="H2878" s="5">
        <v>-10413.36</v>
      </c>
      <c r="I2878" s="3" t="s">
        <v>18</v>
      </c>
      <c r="J2878" s="3" t="s">
        <v>14</v>
      </c>
      <c r="K2878" s="3" t="s">
        <v>14</v>
      </c>
      <c r="L2878" s="3" t="s">
        <v>3052</v>
      </c>
      <c r="M2878" s="4">
        <v>46298</v>
      </c>
      <c r="N2878" s="3" t="s">
        <v>3053</v>
      </c>
      <c r="O2878" s="3" t="s">
        <v>144</v>
      </c>
      <c r="P2878" t="str">
        <f t="shared" si="44"/>
        <v>450013998050</v>
      </c>
      <c r="Q2878" s="7" cm="1">
        <f t="array" ref="Q2878:S2878">VLOOKUP(P2878,Hoja1!C:F,{2,3,4},FALSE)</f>
        <v>46316</v>
      </c>
      <c r="R2878" t="str">
        <v>C01</v>
      </c>
      <c r="S2878" t="str">
        <v>1000003828 DISTRIBUIDORA ALVEAR S.R.L</v>
      </c>
    </row>
    <row r="2879" spans="1:19" x14ac:dyDescent="0.3">
      <c r="A2879" s="2" t="s">
        <v>14</v>
      </c>
      <c r="B2879" s="3" t="s">
        <v>14</v>
      </c>
      <c r="C2879" s="3" t="s">
        <v>3051</v>
      </c>
      <c r="D2879" s="3" t="s">
        <v>192</v>
      </c>
      <c r="E2879" s="3" t="s">
        <v>466</v>
      </c>
      <c r="F2879" s="4">
        <v>46297</v>
      </c>
      <c r="G2879" s="3" t="s">
        <v>17</v>
      </c>
      <c r="H2879" s="5">
        <v>-41322.400000000001</v>
      </c>
      <c r="I2879" s="3" t="s">
        <v>18</v>
      </c>
      <c r="J2879" s="3" t="s">
        <v>14</v>
      </c>
      <c r="K2879" s="3" t="s">
        <v>14</v>
      </c>
      <c r="L2879" s="3" t="s">
        <v>3052</v>
      </c>
      <c r="M2879" s="4">
        <v>46298</v>
      </c>
      <c r="N2879" s="3" t="s">
        <v>3053</v>
      </c>
      <c r="O2879" s="3" t="s">
        <v>141</v>
      </c>
      <c r="P2879" t="str">
        <f t="shared" si="44"/>
        <v>450013998060</v>
      </c>
      <c r="Q2879" s="7" cm="1">
        <f t="array" ref="Q2879:S2879">VLOOKUP(P2879,Hoja1!C:F,{2,3,4},FALSE)</f>
        <v>46316</v>
      </c>
      <c r="R2879" t="str">
        <v>C01</v>
      </c>
      <c r="S2879" t="str">
        <v>1000003828 DISTRIBUIDORA ALVEAR S.R.L</v>
      </c>
    </row>
    <row r="2880" spans="1:19" x14ac:dyDescent="0.3">
      <c r="A2880" s="2" t="s">
        <v>14</v>
      </c>
      <c r="B2880" s="3" t="s">
        <v>14</v>
      </c>
      <c r="C2880" s="3" t="s">
        <v>3051</v>
      </c>
      <c r="D2880" s="3" t="s">
        <v>192</v>
      </c>
      <c r="E2880" s="3" t="s">
        <v>466</v>
      </c>
      <c r="F2880" s="4">
        <v>46297</v>
      </c>
      <c r="G2880" s="3" t="s">
        <v>17</v>
      </c>
      <c r="H2880" s="5">
        <v>-2049.6</v>
      </c>
      <c r="I2880" s="3" t="s">
        <v>18</v>
      </c>
      <c r="J2880" s="3" t="s">
        <v>14</v>
      </c>
      <c r="K2880" s="3" t="s">
        <v>14</v>
      </c>
      <c r="L2880" s="3" t="s">
        <v>3052</v>
      </c>
      <c r="M2880" s="4">
        <v>46298</v>
      </c>
      <c r="N2880" s="3" t="s">
        <v>3053</v>
      </c>
      <c r="O2880" s="3" t="s">
        <v>134</v>
      </c>
      <c r="P2880" t="str">
        <f t="shared" si="44"/>
        <v>450013998070</v>
      </c>
      <c r="Q2880" s="7" cm="1">
        <f t="array" ref="Q2880:S2880">VLOOKUP(P2880,Hoja1!C:F,{2,3,4},FALSE)</f>
        <v>46316</v>
      </c>
      <c r="R2880" t="str">
        <v>C01</v>
      </c>
      <c r="S2880" t="str">
        <v>1000003828 DISTRIBUIDORA ALVEAR S.R.L</v>
      </c>
    </row>
    <row r="2881" spans="1:19" x14ac:dyDescent="0.3">
      <c r="A2881" s="2" t="s">
        <v>14</v>
      </c>
      <c r="B2881" s="3" t="s">
        <v>14</v>
      </c>
      <c r="C2881" s="3" t="s">
        <v>3051</v>
      </c>
      <c r="D2881" s="3" t="s">
        <v>192</v>
      </c>
      <c r="E2881" s="3" t="s">
        <v>466</v>
      </c>
      <c r="F2881" s="4">
        <v>46297</v>
      </c>
      <c r="G2881" s="3" t="s">
        <v>17</v>
      </c>
      <c r="H2881" s="5">
        <v>-40991.74</v>
      </c>
      <c r="I2881" s="3" t="s">
        <v>18</v>
      </c>
      <c r="J2881" s="3" t="s">
        <v>14</v>
      </c>
      <c r="K2881" s="3" t="s">
        <v>14</v>
      </c>
      <c r="L2881" s="3" t="s">
        <v>3052</v>
      </c>
      <c r="M2881" s="4">
        <v>46298</v>
      </c>
      <c r="N2881" s="3" t="s">
        <v>3053</v>
      </c>
      <c r="O2881" s="3" t="s">
        <v>52</v>
      </c>
      <c r="P2881" t="str">
        <f t="shared" si="44"/>
        <v>450013998080</v>
      </c>
      <c r="Q2881" s="7" cm="1">
        <f t="array" ref="Q2881:S2881">VLOOKUP(P2881,Hoja1!C:F,{2,3,4},FALSE)</f>
        <v>46316</v>
      </c>
      <c r="R2881" t="str">
        <v>C01</v>
      </c>
      <c r="S2881" t="str">
        <v>1000003828 DISTRIBUIDORA ALVEAR S.R.L</v>
      </c>
    </row>
    <row r="2882" spans="1:19" x14ac:dyDescent="0.3">
      <c r="A2882" s="2" t="s">
        <v>14</v>
      </c>
      <c r="B2882" s="3" t="s">
        <v>14</v>
      </c>
      <c r="C2882" s="3" t="s">
        <v>3051</v>
      </c>
      <c r="D2882" s="3" t="s">
        <v>192</v>
      </c>
      <c r="E2882" s="3" t="s">
        <v>466</v>
      </c>
      <c r="F2882" s="4">
        <v>46297</v>
      </c>
      <c r="G2882" s="3" t="s">
        <v>17</v>
      </c>
      <c r="H2882" s="5">
        <v>-4793.38</v>
      </c>
      <c r="I2882" s="3" t="s">
        <v>18</v>
      </c>
      <c r="J2882" s="3" t="s">
        <v>14</v>
      </c>
      <c r="K2882" s="3" t="s">
        <v>14</v>
      </c>
      <c r="L2882" s="3" t="s">
        <v>3052</v>
      </c>
      <c r="M2882" s="4">
        <v>46298</v>
      </c>
      <c r="N2882" s="3" t="s">
        <v>3053</v>
      </c>
      <c r="O2882" s="3" t="s">
        <v>138</v>
      </c>
      <c r="P2882" t="str">
        <f t="shared" si="44"/>
        <v>450013998090</v>
      </c>
      <c r="Q2882" s="7" cm="1">
        <f t="array" ref="Q2882:S2882">VLOOKUP(P2882,Hoja1!C:F,{2,3,4},FALSE)</f>
        <v>46316</v>
      </c>
      <c r="R2882" t="str">
        <v>C01</v>
      </c>
      <c r="S2882" t="str">
        <v>1000003828 DISTRIBUIDORA ALVEAR S.R.L</v>
      </c>
    </row>
    <row r="2883" spans="1:19" x14ac:dyDescent="0.3">
      <c r="A2883" s="2" t="s">
        <v>14</v>
      </c>
      <c r="B2883" s="3" t="s">
        <v>14</v>
      </c>
      <c r="C2883" s="3" t="s">
        <v>3051</v>
      </c>
      <c r="D2883" s="3" t="s">
        <v>14</v>
      </c>
      <c r="E2883" s="3" t="s">
        <v>466</v>
      </c>
      <c r="F2883" s="4">
        <v>46297</v>
      </c>
      <c r="G2883" s="3" t="s">
        <v>17</v>
      </c>
      <c r="H2883" s="5">
        <v>-32727.200000000001</v>
      </c>
      <c r="I2883" s="3" t="s">
        <v>18</v>
      </c>
      <c r="J2883" s="3" t="s">
        <v>14</v>
      </c>
      <c r="K2883" s="3" t="s">
        <v>14</v>
      </c>
      <c r="L2883" s="3" t="s">
        <v>3052</v>
      </c>
      <c r="M2883" s="4">
        <v>46298</v>
      </c>
      <c r="N2883" s="3" t="s">
        <v>3053</v>
      </c>
      <c r="O2883" s="3" t="s">
        <v>45</v>
      </c>
      <c r="P2883" t="str">
        <f t="shared" ref="P2883:P2946" si="45">_xlfn.CONCAT(N2883:O2883)</f>
        <v>4500139980100</v>
      </c>
      <c r="Q2883" s="7" cm="1">
        <f t="array" ref="Q2883:S2883">VLOOKUP(P2883,Hoja1!C:F,{2,3,4},FALSE)</f>
        <v>46316</v>
      </c>
      <c r="R2883" t="str">
        <v>C01</v>
      </c>
      <c r="S2883" t="str">
        <v>1000003828 DISTRIBUIDORA ALVEAR S.R.L</v>
      </c>
    </row>
    <row r="2884" spans="1:19" x14ac:dyDescent="0.3">
      <c r="A2884" s="2" t="s">
        <v>14</v>
      </c>
      <c r="B2884" s="3" t="s">
        <v>14</v>
      </c>
      <c r="C2884" s="3" t="s">
        <v>3054</v>
      </c>
      <c r="D2884" s="3" t="s">
        <v>32</v>
      </c>
      <c r="E2884" s="3" t="s">
        <v>466</v>
      </c>
      <c r="F2884" s="4">
        <v>46297</v>
      </c>
      <c r="G2884" s="3" t="s">
        <v>17</v>
      </c>
      <c r="H2884" s="5">
        <v>-3381868</v>
      </c>
      <c r="I2884" s="3" t="s">
        <v>18</v>
      </c>
      <c r="J2884" s="3" t="s">
        <v>14</v>
      </c>
      <c r="K2884" s="3" t="s">
        <v>14</v>
      </c>
      <c r="L2884" s="3" t="s">
        <v>1818</v>
      </c>
      <c r="M2884" s="4">
        <v>46298</v>
      </c>
      <c r="N2884" s="3" t="s">
        <v>3055</v>
      </c>
      <c r="O2884" s="3" t="s">
        <v>30</v>
      </c>
      <c r="P2884" t="str">
        <f t="shared" si="45"/>
        <v>450013992210</v>
      </c>
      <c r="Q2884" s="7" cm="1">
        <f t="array" ref="Q2884:S2884">VLOOKUP(P2884,Hoja1!C:F,{2,3,4},FALSE)</f>
        <v>46298</v>
      </c>
      <c r="R2884" t="str">
        <v>377</v>
      </c>
      <c r="S2884" t="str">
        <v>1000003121 BLANCO GRUP SA</v>
      </c>
    </row>
    <row r="2885" spans="1:19" x14ac:dyDescent="0.3">
      <c r="A2885" s="2" t="s">
        <v>14</v>
      </c>
      <c r="B2885" s="3" t="s">
        <v>14</v>
      </c>
      <c r="C2885" s="3" t="s">
        <v>3056</v>
      </c>
      <c r="D2885" s="3" t="s">
        <v>14</v>
      </c>
      <c r="E2885" s="3" t="s">
        <v>466</v>
      </c>
      <c r="F2885" s="4">
        <v>46298</v>
      </c>
      <c r="G2885" s="3" t="s">
        <v>17</v>
      </c>
      <c r="H2885" s="5">
        <v>-6376428.2999999998</v>
      </c>
      <c r="I2885" s="3" t="s">
        <v>18</v>
      </c>
      <c r="J2885" s="3" t="s">
        <v>14</v>
      </c>
      <c r="K2885" s="3" t="s">
        <v>14</v>
      </c>
      <c r="L2885" s="3" t="s">
        <v>320</v>
      </c>
      <c r="M2885" s="4">
        <v>46298</v>
      </c>
      <c r="N2885" s="3" t="s">
        <v>3057</v>
      </c>
      <c r="O2885" s="3" t="s">
        <v>30</v>
      </c>
      <c r="P2885" t="str">
        <f t="shared" si="45"/>
        <v>450012921510</v>
      </c>
      <c r="Q2885" s="7" cm="1">
        <f t="array" ref="Q2885:S2885">VLOOKUP(P2885,Hoja1!C:F,{2,3,4},FALSE)</f>
        <v>46388</v>
      </c>
      <c r="R2885" t="str">
        <v>C21</v>
      </c>
      <c r="S2885" t="str">
        <v>1000000038 YPF S.A.</v>
      </c>
    </row>
    <row r="2886" spans="1:19" x14ac:dyDescent="0.3">
      <c r="A2886" s="2" t="s">
        <v>14</v>
      </c>
      <c r="B2886" s="3" t="s">
        <v>14</v>
      </c>
      <c r="C2886" s="3" t="s">
        <v>3056</v>
      </c>
      <c r="D2886" s="3" t="s">
        <v>14</v>
      </c>
      <c r="E2886" s="3" t="s">
        <v>466</v>
      </c>
      <c r="F2886" s="4">
        <v>46298</v>
      </c>
      <c r="G2886" s="3" t="s">
        <v>17</v>
      </c>
      <c r="H2886" s="5">
        <v>-999062.9</v>
      </c>
      <c r="I2886" s="3" t="s">
        <v>18</v>
      </c>
      <c r="J2886" s="3" t="s">
        <v>14</v>
      </c>
      <c r="K2886" s="3" t="s">
        <v>14</v>
      </c>
      <c r="L2886" s="3" t="s">
        <v>320</v>
      </c>
      <c r="M2886" s="4">
        <v>46298</v>
      </c>
      <c r="N2886" s="3" t="s">
        <v>3057</v>
      </c>
      <c r="O2886" s="3" t="s">
        <v>30</v>
      </c>
      <c r="P2886" t="str">
        <f t="shared" si="45"/>
        <v>450012921510</v>
      </c>
      <c r="Q2886" s="7" cm="1">
        <f t="array" ref="Q2886:S2886">VLOOKUP(P2886,Hoja1!C:F,{2,3,4},FALSE)</f>
        <v>46388</v>
      </c>
      <c r="R2886" t="str">
        <v>C21</v>
      </c>
      <c r="S2886" t="str">
        <v>1000000038 YPF S.A.</v>
      </c>
    </row>
    <row r="2887" spans="1:19" x14ac:dyDescent="0.3">
      <c r="A2887" s="2" t="s">
        <v>14</v>
      </c>
      <c r="B2887" s="3" t="s">
        <v>14</v>
      </c>
      <c r="C2887" s="3" t="s">
        <v>3056</v>
      </c>
      <c r="D2887" s="3" t="s">
        <v>14</v>
      </c>
      <c r="E2887" s="3" t="s">
        <v>466</v>
      </c>
      <c r="F2887" s="4">
        <v>46298</v>
      </c>
      <c r="G2887" s="3" t="s">
        <v>17</v>
      </c>
      <c r="H2887" s="5">
        <v>-113878.6</v>
      </c>
      <c r="I2887" s="3" t="s">
        <v>18</v>
      </c>
      <c r="J2887" s="3" t="s">
        <v>14</v>
      </c>
      <c r="K2887" s="3" t="s">
        <v>14</v>
      </c>
      <c r="L2887" s="3" t="s">
        <v>320</v>
      </c>
      <c r="M2887" s="4">
        <v>46298</v>
      </c>
      <c r="N2887" s="3" t="s">
        <v>3057</v>
      </c>
      <c r="O2887" s="3" t="s">
        <v>30</v>
      </c>
      <c r="P2887" t="str">
        <f t="shared" si="45"/>
        <v>450012921510</v>
      </c>
      <c r="Q2887" s="7" cm="1">
        <f t="array" ref="Q2887:S2887">VLOOKUP(P2887,Hoja1!C:F,{2,3,4},FALSE)</f>
        <v>46388</v>
      </c>
      <c r="R2887" t="str">
        <v>C21</v>
      </c>
      <c r="S2887" t="str">
        <v>1000000038 YPF S.A.</v>
      </c>
    </row>
    <row r="2888" spans="1:19" x14ac:dyDescent="0.3">
      <c r="A2888" s="2" t="s">
        <v>14</v>
      </c>
      <c r="B2888" s="3" t="s">
        <v>14</v>
      </c>
      <c r="C2888" s="3" t="s">
        <v>3058</v>
      </c>
      <c r="D2888" s="3" t="s">
        <v>32</v>
      </c>
      <c r="E2888" s="3" t="s">
        <v>466</v>
      </c>
      <c r="F2888" s="4">
        <v>46298</v>
      </c>
      <c r="G2888" s="3" t="s">
        <v>17</v>
      </c>
      <c r="H2888" s="5">
        <v>-77851.240000000005</v>
      </c>
      <c r="I2888" s="3" t="s">
        <v>18</v>
      </c>
      <c r="J2888" s="3" t="s">
        <v>14</v>
      </c>
      <c r="K2888" s="3" t="s">
        <v>14</v>
      </c>
      <c r="L2888" s="3" t="s">
        <v>3059</v>
      </c>
      <c r="M2888" s="4">
        <v>46298</v>
      </c>
      <c r="N2888" s="3" t="s">
        <v>3060</v>
      </c>
      <c r="O2888" s="3" t="s">
        <v>30</v>
      </c>
      <c r="P2888" t="str">
        <f t="shared" si="45"/>
        <v>450013994710</v>
      </c>
      <c r="Q2888" s="7" cm="1">
        <f t="array" ref="Q2888:S2888">VLOOKUP(P2888,Hoja1!C:F,{2,3,4},FALSE)</f>
        <v>46300</v>
      </c>
      <c r="R2888" t="str">
        <v>377</v>
      </c>
      <c r="S2888" t="str">
        <v>1000009235 ESTRELLA LUIS ALBERTO</v>
      </c>
    </row>
    <row r="2889" spans="1:19" x14ac:dyDescent="0.3">
      <c r="A2889" s="2" t="s">
        <v>14</v>
      </c>
      <c r="B2889" s="3" t="s">
        <v>14</v>
      </c>
      <c r="C2889" s="3" t="s">
        <v>3061</v>
      </c>
      <c r="D2889" s="3" t="s">
        <v>14</v>
      </c>
      <c r="E2889" s="3" t="s">
        <v>466</v>
      </c>
      <c r="F2889" s="4">
        <v>46298</v>
      </c>
      <c r="G2889" s="3" t="s">
        <v>17</v>
      </c>
      <c r="H2889" s="5">
        <v>-76800</v>
      </c>
      <c r="I2889" s="3" t="s">
        <v>18</v>
      </c>
      <c r="J2889" s="3" t="s">
        <v>14</v>
      </c>
      <c r="K2889" s="3" t="s">
        <v>14</v>
      </c>
      <c r="L2889" s="3" t="s">
        <v>1670</v>
      </c>
      <c r="M2889" s="4">
        <v>46298</v>
      </c>
      <c r="N2889" s="3" t="s">
        <v>3062</v>
      </c>
      <c r="O2889" s="3" t="s">
        <v>30</v>
      </c>
      <c r="P2889" t="str">
        <f t="shared" si="45"/>
        <v>450013863510</v>
      </c>
      <c r="Q2889" s="7" cm="1">
        <f t="array" ref="Q2889:S2889">VLOOKUP(P2889,Hoja1!C:F,{2,3,4},FALSE)</f>
        <v>46286</v>
      </c>
      <c r="R2889" t="str">
        <v>C17</v>
      </c>
      <c r="S2889" t="str">
        <v>1000012006 MORALES MIGUEL ALBERTO</v>
      </c>
    </row>
    <row r="2890" spans="1:19" x14ac:dyDescent="0.3">
      <c r="A2890" s="2" t="s">
        <v>14</v>
      </c>
      <c r="B2890" s="3" t="s">
        <v>14</v>
      </c>
      <c r="C2890" s="3" t="s">
        <v>3061</v>
      </c>
      <c r="D2890" s="3" t="s">
        <v>14</v>
      </c>
      <c r="E2890" s="3" t="s">
        <v>466</v>
      </c>
      <c r="F2890" s="4">
        <v>46298</v>
      </c>
      <c r="G2890" s="3" t="s">
        <v>17</v>
      </c>
      <c r="H2890" s="5">
        <v>-512000</v>
      </c>
      <c r="I2890" s="3" t="s">
        <v>18</v>
      </c>
      <c r="J2890" s="3" t="s">
        <v>14</v>
      </c>
      <c r="K2890" s="3" t="s">
        <v>14</v>
      </c>
      <c r="L2890" s="3" t="s">
        <v>1670</v>
      </c>
      <c r="M2890" s="4">
        <v>46298</v>
      </c>
      <c r="N2890" s="3" t="s">
        <v>3062</v>
      </c>
      <c r="O2890" s="3" t="s">
        <v>35</v>
      </c>
      <c r="P2890" t="str">
        <f t="shared" si="45"/>
        <v>450013863530</v>
      </c>
      <c r="Q2890" s="7" cm="1">
        <f t="array" ref="Q2890:S2890">VLOOKUP(P2890,Hoja1!C:F,{2,3,4},FALSE)</f>
        <v>46286</v>
      </c>
      <c r="R2890" t="str">
        <v>C17</v>
      </c>
      <c r="S2890" t="str">
        <v>1000012006 MORALES MIGUEL ALBERTO</v>
      </c>
    </row>
    <row r="2891" spans="1:19" x14ac:dyDescent="0.3">
      <c r="A2891" s="2" t="s">
        <v>14</v>
      </c>
      <c r="B2891" s="3" t="s">
        <v>14</v>
      </c>
      <c r="C2891" s="3" t="s">
        <v>3063</v>
      </c>
      <c r="D2891" s="3" t="s">
        <v>32</v>
      </c>
      <c r="E2891" s="3" t="s">
        <v>466</v>
      </c>
      <c r="F2891" s="4">
        <v>46298</v>
      </c>
      <c r="G2891" s="3" t="s">
        <v>17</v>
      </c>
      <c r="H2891" s="5">
        <v>-1578990</v>
      </c>
      <c r="I2891" s="3" t="s">
        <v>18</v>
      </c>
      <c r="J2891" s="3" t="s">
        <v>14</v>
      </c>
      <c r="K2891" s="3" t="s">
        <v>14</v>
      </c>
      <c r="L2891" s="3" t="s">
        <v>1643</v>
      </c>
      <c r="M2891" s="4">
        <v>46298</v>
      </c>
      <c r="N2891" s="3" t="s">
        <v>1644</v>
      </c>
      <c r="O2891" s="3" t="s">
        <v>30</v>
      </c>
      <c r="P2891" t="str">
        <f t="shared" si="45"/>
        <v>450013674710</v>
      </c>
      <c r="Q2891" s="7" cm="1">
        <f t="array" ref="Q2891:S2891">VLOOKUP(P2891,Hoja1!C:F,{2,3,4},FALSE)</f>
        <v>46310</v>
      </c>
      <c r="R2891" t="str">
        <v>C18</v>
      </c>
      <c r="S2891" t="str">
        <v>1000012967 PATAGONIA MAXIM SAS</v>
      </c>
    </row>
    <row r="2892" spans="1:19" x14ac:dyDescent="0.3">
      <c r="A2892" s="2" t="s">
        <v>14</v>
      </c>
      <c r="B2892" s="3" t="s">
        <v>14</v>
      </c>
      <c r="C2892" s="3" t="s">
        <v>3063</v>
      </c>
      <c r="D2892" s="3" t="s">
        <v>32</v>
      </c>
      <c r="E2892" s="3" t="s">
        <v>466</v>
      </c>
      <c r="F2892" s="4">
        <v>46298</v>
      </c>
      <c r="G2892" s="3" t="s">
        <v>17</v>
      </c>
      <c r="H2892" s="5">
        <v>-147206</v>
      </c>
      <c r="I2892" s="3" t="s">
        <v>18</v>
      </c>
      <c r="J2892" s="3" t="s">
        <v>14</v>
      </c>
      <c r="K2892" s="3" t="s">
        <v>14</v>
      </c>
      <c r="L2892" s="3" t="s">
        <v>1643</v>
      </c>
      <c r="M2892" s="4">
        <v>46298</v>
      </c>
      <c r="N2892" s="3" t="s">
        <v>1644</v>
      </c>
      <c r="O2892" s="3" t="s">
        <v>22</v>
      </c>
      <c r="P2892" t="str">
        <f t="shared" si="45"/>
        <v>450013674720</v>
      </c>
      <c r="Q2892" s="7" cm="1">
        <f t="array" ref="Q2892:S2892">VLOOKUP(P2892,Hoja1!C:F,{2,3,4},FALSE)</f>
        <v>46310</v>
      </c>
      <c r="R2892" t="str">
        <v>C18</v>
      </c>
      <c r="S2892" t="str">
        <v>1000012967 PATAGONIA MAXIM SAS</v>
      </c>
    </row>
    <row r="2893" spans="1:19" x14ac:dyDescent="0.3">
      <c r="A2893" s="2" t="s">
        <v>14</v>
      </c>
      <c r="B2893" s="3" t="s">
        <v>14</v>
      </c>
      <c r="C2893" s="3" t="s">
        <v>3063</v>
      </c>
      <c r="D2893" s="3" t="s">
        <v>32</v>
      </c>
      <c r="E2893" s="3" t="s">
        <v>466</v>
      </c>
      <c r="F2893" s="4">
        <v>46298</v>
      </c>
      <c r="G2893" s="3" t="s">
        <v>17</v>
      </c>
      <c r="H2893" s="5">
        <v>-715945</v>
      </c>
      <c r="I2893" s="3" t="s">
        <v>18</v>
      </c>
      <c r="J2893" s="3" t="s">
        <v>14</v>
      </c>
      <c r="K2893" s="3" t="s">
        <v>14</v>
      </c>
      <c r="L2893" s="3" t="s">
        <v>1643</v>
      </c>
      <c r="M2893" s="4">
        <v>46298</v>
      </c>
      <c r="N2893" s="3" t="s">
        <v>1644</v>
      </c>
      <c r="O2893" s="3" t="s">
        <v>35</v>
      </c>
      <c r="P2893" t="str">
        <f t="shared" si="45"/>
        <v>450013674730</v>
      </c>
      <c r="Q2893" s="7" cm="1">
        <f t="array" ref="Q2893:S2893">VLOOKUP(P2893,Hoja1!C:F,{2,3,4},FALSE)</f>
        <v>46310</v>
      </c>
      <c r="R2893" t="str">
        <v>C18</v>
      </c>
      <c r="S2893" t="str">
        <v>1000012967 PATAGONIA MAXIM SAS</v>
      </c>
    </row>
    <row r="2894" spans="1:19" x14ac:dyDescent="0.3">
      <c r="A2894" s="2" t="s">
        <v>14</v>
      </c>
      <c r="B2894" s="3" t="s">
        <v>14</v>
      </c>
      <c r="C2894" s="3" t="s">
        <v>3063</v>
      </c>
      <c r="D2894" s="3" t="s">
        <v>32</v>
      </c>
      <c r="E2894" s="3" t="s">
        <v>466</v>
      </c>
      <c r="F2894" s="4">
        <v>46298</v>
      </c>
      <c r="G2894" s="3" t="s">
        <v>17</v>
      </c>
      <c r="H2894" s="5">
        <v>-374278</v>
      </c>
      <c r="I2894" s="3" t="s">
        <v>18</v>
      </c>
      <c r="J2894" s="3" t="s">
        <v>14</v>
      </c>
      <c r="K2894" s="3" t="s">
        <v>14</v>
      </c>
      <c r="L2894" s="3" t="s">
        <v>1643</v>
      </c>
      <c r="M2894" s="4">
        <v>46298</v>
      </c>
      <c r="N2894" s="3" t="s">
        <v>1644</v>
      </c>
      <c r="O2894" s="3" t="s">
        <v>144</v>
      </c>
      <c r="P2894" t="str">
        <f t="shared" si="45"/>
        <v>450013674750</v>
      </c>
      <c r="Q2894" s="7" cm="1">
        <f t="array" ref="Q2894:S2894">VLOOKUP(P2894,Hoja1!C:F,{2,3,4},FALSE)</f>
        <v>46310</v>
      </c>
      <c r="R2894" t="str">
        <v>C18</v>
      </c>
      <c r="S2894" t="str">
        <v>1000012967 PATAGONIA MAXIM SAS</v>
      </c>
    </row>
    <row r="2895" spans="1:19" x14ac:dyDescent="0.3">
      <c r="A2895" s="2" t="s">
        <v>14</v>
      </c>
      <c r="B2895" s="3" t="s">
        <v>14</v>
      </c>
      <c r="C2895" s="3" t="s">
        <v>3063</v>
      </c>
      <c r="D2895" s="3" t="s">
        <v>32</v>
      </c>
      <c r="E2895" s="3" t="s">
        <v>466</v>
      </c>
      <c r="F2895" s="4">
        <v>46298</v>
      </c>
      <c r="G2895" s="3" t="s">
        <v>17</v>
      </c>
      <c r="H2895" s="5">
        <v>-4610256</v>
      </c>
      <c r="I2895" s="3" t="s">
        <v>18</v>
      </c>
      <c r="J2895" s="3" t="s">
        <v>14</v>
      </c>
      <c r="K2895" s="3" t="s">
        <v>14</v>
      </c>
      <c r="L2895" s="3" t="s">
        <v>1643</v>
      </c>
      <c r="M2895" s="4">
        <v>46298</v>
      </c>
      <c r="N2895" s="3" t="s">
        <v>1644</v>
      </c>
      <c r="O2895" s="3" t="s">
        <v>141</v>
      </c>
      <c r="P2895" t="str">
        <f t="shared" si="45"/>
        <v>450013674760</v>
      </c>
      <c r="Q2895" s="7" cm="1">
        <f t="array" ref="Q2895:S2895">VLOOKUP(P2895,Hoja1!C:F,{2,3,4},FALSE)</f>
        <v>46310</v>
      </c>
      <c r="R2895" t="str">
        <v>C18</v>
      </c>
      <c r="S2895" t="str">
        <v>1000012967 PATAGONIA MAXIM SAS</v>
      </c>
    </row>
    <row r="2896" spans="1:19" x14ac:dyDescent="0.3">
      <c r="A2896" s="2" t="s">
        <v>14</v>
      </c>
      <c r="B2896" s="3" t="s">
        <v>14</v>
      </c>
      <c r="C2896" s="3" t="s">
        <v>3063</v>
      </c>
      <c r="D2896" s="3" t="s">
        <v>32</v>
      </c>
      <c r="E2896" s="3" t="s">
        <v>466</v>
      </c>
      <c r="F2896" s="4">
        <v>46298</v>
      </c>
      <c r="G2896" s="3" t="s">
        <v>17</v>
      </c>
      <c r="H2896" s="5">
        <v>-2189538</v>
      </c>
      <c r="I2896" s="3" t="s">
        <v>18</v>
      </c>
      <c r="J2896" s="3" t="s">
        <v>14</v>
      </c>
      <c r="K2896" s="3" t="s">
        <v>14</v>
      </c>
      <c r="L2896" s="3" t="s">
        <v>1643</v>
      </c>
      <c r="M2896" s="4">
        <v>46298</v>
      </c>
      <c r="N2896" s="3" t="s">
        <v>1644</v>
      </c>
      <c r="O2896" s="3" t="s">
        <v>134</v>
      </c>
      <c r="P2896" t="str">
        <f t="shared" si="45"/>
        <v>450013674770</v>
      </c>
      <c r="Q2896" s="7" cm="1">
        <f t="array" ref="Q2896:S2896">VLOOKUP(P2896,Hoja1!C:F,{2,3,4},FALSE)</f>
        <v>46310</v>
      </c>
      <c r="R2896" t="str">
        <v>C18</v>
      </c>
      <c r="S2896" t="str">
        <v>1000012967 PATAGONIA MAXIM SAS</v>
      </c>
    </row>
    <row r="2897" spans="1:19" x14ac:dyDescent="0.3">
      <c r="A2897" s="2" t="s">
        <v>14</v>
      </c>
      <c r="B2897" s="3" t="s">
        <v>14</v>
      </c>
      <c r="C2897" s="3" t="s">
        <v>3063</v>
      </c>
      <c r="D2897" s="3" t="s">
        <v>32</v>
      </c>
      <c r="E2897" s="3" t="s">
        <v>466</v>
      </c>
      <c r="F2897" s="4">
        <v>46298</v>
      </c>
      <c r="G2897" s="3" t="s">
        <v>17</v>
      </c>
      <c r="H2897" s="5">
        <v>-1499280</v>
      </c>
      <c r="I2897" s="3" t="s">
        <v>18</v>
      </c>
      <c r="J2897" s="3" t="s">
        <v>14</v>
      </c>
      <c r="K2897" s="3" t="s">
        <v>14</v>
      </c>
      <c r="L2897" s="3" t="s">
        <v>1643</v>
      </c>
      <c r="M2897" s="4">
        <v>46298</v>
      </c>
      <c r="N2897" s="3" t="s">
        <v>1644</v>
      </c>
      <c r="O2897" s="3" t="s">
        <v>52</v>
      </c>
      <c r="P2897" t="str">
        <f t="shared" si="45"/>
        <v>450013674780</v>
      </c>
      <c r="Q2897" s="7" cm="1">
        <f t="array" ref="Q2897:S2897">VLOOKUP(P2897,Hoja1!C:F,{2,3,4},FALSE)</f>
        <v>46310</v>
      </c>
      <c r="R2897" t="str">
        <v>C18</v>
      </c>
      <c r="S2897" t="str">
        <v>1000012967 PATAGONIA MAXIM SAS</v>
      </c>
    </row>
    <row r="2898" spans="1:19" x14ac:dyDescent="0.3">
      <c r="A2898" s="2" t="s">
        <v>14</v>
      </c>
      <c r="B2898" s="3" t="s">
        <v>14</v>
      </c>
      <c r="C2898" s="3" t="s">
        <v>3063</v>
      </c>
      <c r="D2898" s="3" t="s">
        <v>32</v>
      </c>
      <c r="E2898" s="3" t="s">
        <v>466</v>
      </c>
      <c r="F2898" s="4">
        <v>46298</v>
      </c>
      <c r="G2898" s="3" t="s">
        <v>17</v>
      </c>
      <c r="H2898" s="5">
        <v>-1275956</v>
      </c>
      <c r="I2898" s="3" t="s">
        <v>18</v>
      </c>
      <c r="J2898" s="3" t="s">
        <v>14</v>
      </c>
      <c r="K2898" s="3" t="s">
        <v>14</v>
      </c>
      <c r="L2898" s="3" t="s">
        <v>1643</v>
      </c>
      <c r="M2898" s="4">
        <v>46298</v>
      </c>
      <c r="N2898" s="3" t="s">
        <v>1644</v>
      </c>
      <c r="O2898" s="3" t="s">
        <v>132</v>
      </c>
      <c r="P2898" t="str">
        <f t="shared" si="45"/>
        <v>4500136747120</v>
      </c>
      <c r="Q2898" s="7" cm="1">
        <f t="array" ref="Q2898:S2898">VLOOKUP(P2898,Hoja1!C:F,{2,3,4},FALSE)</f>
        <v>46310</v>
      </c>
      <c r="R2898" t="str">
        <v>C18</v>
      </c>
      <c r="S2898" t="str">
        <v>1000012967 PATAGONIA MAXIM SAS</v>
      </c>
    </row>
    <row r="2899" spans="1:19" x14ac:dyDescent="0.3">
      <c r="A2899" s="2" t="s">
        <v>14</v>
      </c>
      <c r="B2899" s="3" t="s">
        <v>14</v>
      </c>
      <c r="C2899" s="3" t="s">
        <v>3063</v>
      </c>
      <c r="D2899" s="3" t="s">
        <v>32</v>
      </c>
      <c r="E2899" s="3" t="s">
        <v>466</v>
      </c>
      <c r="F2899" s="4">
        <v>46298</v>
      </c>
      <c r="G2899" s="3" t="s">
        <v>17</v>
      </c>
      <c r="H2899" s="5">
        <v>-143330</v>
      </c>
      <c r="I2899" s="3" t="s">
        <v>18</v>
      </c>
      <c r="J2899" s="3" t="s">
        <v>14</v>
      </c>
      <c r="K2899" s="3" t="s">
        <v>14</v>
      </c>
      <c r="L2899" s="3" t="s">
        <v>1643</v>
      </c>
      <c r="M2899" s="4">
        <v>46298</v>
      </c>
      <c r="N2899" s="3" t="s">
        <v>1644</v>
      </c>
      <c r="O2899" s="3" t="s">
        <v>142</v>
      </c>
      <c r="P2899" t="str">
        <f t="shared" si="45"/>
        <v>4500136747130</v>
      </c>
      <c r="Q2899" s="7" cm="1">
        <f t="array" ref="Q2899:S2899">VLOOKUP(P2899,Hoja1!C:F,{2,3,4},FALSE)</f>
        <v>46310</v>
      </c>
      <c r="R2899" t="str">
        <v>C18</v>
      </c>
      <c r="S2899" t="str">
        <v>1000012967 PATAGONIA MAXIM SAS</v>
      </c>
    </row>
    <row r="2900" spans="1:19" x14ac:dyDescent="0.3">
      <c r="A2900" s="2" t="s">
        <v>14</v>
      </c>
      <c r="B2900" s="3" t="s">
        <v>14</v>
      </c>
      <c r="C2900" s="3" t="s">
        <v>3063</v>
      </c>
      <c r="D2900" s="3" t="s">
        <v>32</v>
      </c>
      <c r="E2900" s="3" t="s">
        <v>466</v>
      </c>
      <c r="F2900" s="4">
        <v>46298</v>
      </c>
      <c r="G2900" s="3" t="s">
        <v>17</v>
      </c>
      <c r="H2900" s="5">
        <v>-1614085</v>
      </c>
      <c r="I2900" s="3" t="s">
        <v>18</v>
      </c>
      <c r="J2900" s="3" t="s">
        <v>14</v>
      </c>
      <c r="K2900" s="3" t="s">
        <v>14</v>
      </c>
      <c r="L2900" s="3" t="s">
        <v>1643</v>
      </c>
      <c r="M2900" s="4">
        <v>46298</v>
      </c>
      <c r="N2900" s="3" t="s">
        <v>1644</v>
      </c>
      <c r="O2900" s="3" t="s">
        <v>131</v>
      </c>
      <c r="P2900" t="str">
        <f t="shared" si="45"/>
        <v>4500136747140</v>
      </c>
      <c r="Q2900" s="7" cm="1">
        <f t="array" ref="Q2900:S2900">VLOOKUP(P2900,Hoja1!C:F,{2,3,4},FALSE)</f>
        <v>46310</v>
      </c>
      <c r="R2900" t="str">
        <v>C18</v>
      </c>
      <c r="S2900" t="str">
        <v>1000012967 PATAGONIA MAXIM SAS</v>
      </c>
    </row>
    <row r="2901" spans="1:19" x14ac:dyDescent="0.3">
      <c r="A2901" s="2" t="s">
        <v>14</v>
      </c>
      <c r="B2901" s="3" t="s">
        <v>14</v>
      </c>
      <c r="C2901" s="3" t="s">
        <v>3064</v>
      </c>
      <c r="D2901" s="3" t="s">
        <v>32</v>
      </c>
      <c r="E2901" s="3" t="s">
        <v>466</v>
      </c>
      <c r="F2901" s="4">
        <v>46298</v>
      </c>
      <c r="G2901" s="3" t="s">
        <v>17</v>
      </c>
      <c r="H2901" s="5">
        <v>-842128</v>
      </c>
      <c r="I2901" s="3" t="s">
        <v>18</v>
      </c>
      <c r="J2901" s="3" t="s">
        <v>14</v>
      </c>
      <c r="K2901" s="3" t="s">
        <v>14</v>
      </c>
      <c r="L2901" s="3" t="s">
        <v>1643</v>
      </c>
      <c r="M2901" s="4">
        <v>46298</v>
      </c>
      <c r="N2901" s="3" t="s">
        <v>1644</v>
      </c>
      <c r="O2901" s="3" t="s">
        <v>30</v>
      </c>
      <c r="P2901" t="str">
        <f t="shared" si="45"/>
        <v>450013674710</v>
      </c>
      <c r="Q2901" s="7" cm="1">
        <f t="array" ref="Q2901:S2901">VLOOKUP(P2901,Hoja1!C:F,{2,3,4},FALSE)</f>
        <v>46310</v>
      </c>
      <c r="R2901" t="str">
        <v>C18</v>
      </c>
      <c r="S2901" t="str">
        <v>1000012967 PATAGONIA MAXIM SAS</v>
      </c>
    </row>
    <row r="2902" spans="1:19" x14ac:dyDescent="0.3">
      <c r="A2902" s="2" t="s">
        <v>14</v>
      </c>
      <c r="B2902" s="3" t="s">
        <v>14</v>
      </c>
      <c r="C2902" s="3" t="s">
        <v>3064</v>
      </c>
      <c r="D2902" s="3" t="s">
        <v>32</v>
      </c>
      <c r="E2902" s="3" t="s">
        <v>466</v>
      </c>
      <c r="F2902" s="4">
        <v>46298</v>
      </c>
      <c r="G2902" s="3" t="s">
        <v>17</v>
      </c>
      <c r="H2902" s="5">
        <v>-147206</v>
      </c>
      <c r="I2902" s="3" t="s">
        <v>18</v>
      </c>
      <c r="J2902" s="3" t="s">
        <v>14</v>
      </c>
      <c r="K2902" s="3" t="s">
        <v>14</v>
      </c>
      <c r="L2902" s="3" t="s">
        <v>1643</v>
      </c>
      <c r="M2902" s="4">
        <v>46298</v>
      </c>
      <c r="N2902" s="3" t="s">
        <v>1644</v>
      </c>
      <c r="O2902" s="3" t="s">
        <v>22</v>
      </c>
      <c r="P2902" t="str">
        <f t="shared" si="45"/>
        <v>450013674720</v>
      </c>
      <c r="Q2902" s="7" cm="1">
        <f t="array" ref="Q2902:S2902">VLOOKUP(P2902,Hoja1!C:F,{2,3,4},FALSE)</f>
        <v>46310</v>
      </c>
      <c r="R2902" t="str">
        <v>C18</v>
      </c>
      <c r="S2902" t="str">
        <v>1000012967 PATAGONIA MAXIM SAS</v>
      </c>
    </row>
    <row r="2903" spans="1:19" x14ac:dyDescent="0.3">
      <c r="A2903" s="2" t="s">
        <v>14</v>
      </c>
      <c r="B2903" s="3" t="s">
        <v>14</v>
      </c>
      <c r="C2903" s="3" t="s">
        <v>3064</v>
      </c>
      <c r="D2903" s="3" t="s">
        <v>32</v>
      </c>
      <c r="E2903" s="3" t="s">
        <v>466</v>
      </c>
      <c r="F2903" s="4">
        <v>46298</v>
      </c>
      <c r="G2903" s="3" t="s">
        <v>17</v>
      </c>
      <c r="H2903" s="5">
        <v>-859134</v>
      </c>
      <c r="I2903" s="3" t="s">
        <v>18</v>
      </c>
      <c r="J2903" s="3" t="s">
        <v>14</v>
      </c>
      <c r="K2903" s="3" t="s">
        <v>14</v>
      </c>
      <c r="L2903" s="3" t="s">
        <v>1643</v>
      </c>
      <c r="M2903" s="4">
        <v>46298</v>
      </c>
      <c r="N2903" s="3" t="s">
        <v>1644</v>
      </c>
      <c r="O2903" s="3" t="s">
        <v>35</v>
      </c>
      <c r="P2903" t="str">
        <f t="shared" si="45"/>
        <v>450013674730</v>
      </c>
      <c r="Q2903" s="7" cm="1">
        <f t="array" ref="Q2903:S2903">VLOOKUP(P2903,Hoja1!C:F,{2,3,4},FALSE)</f>
        <v>46310</v>
      </c>
      <c r="R2903" t="str">
        <v>C18</v>
      </c>
      <c r="S2903" t="str">
        <v>1000012967 PATAGONIA MAXIM SAS</v>
      </c>
    </row>
    <row r="2904" spans="1:19" x14ac:dyDescent="0.3">
      <c r="A2904" s="2" t="s">
        <v>14</v>
      </c>
      <c r="B2904" s="3" t="s">
        <v>14</v>
      </c>
      <c r="C2904" s="3" t="s">
        <v>3064</v>
      </c>
      <c r="D2904" s="3" t="s">
        <v>32</v>
      </c>
      <c r="E2904" s="3" t="s">
        <v>466</v>
      </c>
      <c r="F2904" s="4">
        <v>46298</v>
      </c>
      <c r="G2904" s="3" t="s">
        <v>17</v>
      </c>
      <c r="H2904" s="5">
        <v>-935695</v>
      </c>
      <c r="I2904" s="3" t="s">
        <v>18</v>
      </c>
      <c r="J2904" s="3" t="s">
        <v>14</v>
      </c>
      <c r="K2904" s="3" t="s">
        <v>14</v>
      </c>
      <c r="L2904" s="3" t="s">
        <v>1643</v>
      </c>
      <c r="M2904" s="4">
        <v>46298</v>
      </c>
      <c r="N2904" s="3" t="s">
        <v>1644</v>
      </c>
      <c r="O2904" s="3" t="s">
        <v>144</v>
      </c>
      <c r="P2904" t="str">
        <f t="shared" si="45"/>
        <v>450013674750</v>
      </c>
      <c r="Q2904" s="7" cm="1">
        <f t="array" ref="Q2904:S2904">VLOOKUP(P2904,Hoja1!C:F,{2,3,4},FALSE)</f>
        <v>46310</v>
      </c>
      <c r="R2904" t="str">
        <v>C18</v>
      </c>
      <c r="S2904" t="str">
        <v>1000012967 PATAGONIA MAXIM SAS</v>
      </c>
    </row>
    <row r="2905" spans="1:19" x14ac:dyDescent="0.3">
      <c r="A2905" s="2" t="s">
        <v>14</v>
      </c>
      <c r="B2905" s="3" t="s">
        <v>14</v>
      </c>
      <c r="C2905" s="3" t="s">
        <v>3064</v>
      </c>
      <c r="D2905" s="3" t="s">
        <v>32</v>
      </c>
      <c r="E2905" s="3" t="s">
        <v>466</v>
      </c>
      <c r="F2905" s="4">
        <v>46298</v>
      </c>
      <c r="G2905" s="3" t="s">
        <v>17</v>
      </c>
      <c r="H2905" s="5">
        <v>-1920940</v>
      </c>
      <c r="I2905" s="3" t="s">
        <v>18</v>
      </c>
      <c r="J2905" s="3" t="s">
        <v>14</v>
      </c>
      <c r="K2905" s="3" t="s">
        <v>14</v>
      </c>
      <c r="L2905" s="3" t="s">
        <v>1643</v>
      </c>
      <c r="M2905" s="4">
        <v>46298</v>
      </c>
      <c r="N2905" s="3" t="s">
        <v>1644</v>
      </c>
      <c r="O2905" s="3" t="s">
        <v>141</v>
      </c>
      <c r="P2905" t="str">
        <f t="shared" si="45"/>
        <v>450013674760</v>
      </c>
      <c r="Q2905" s="7" cm="1">
        <f t="array" ref="Q2905:S2905">VLOOKUP(P2905,Hoja1!C:F,{2,3,4},FALSE)</f>
        <v>46310</v>
      </c>
      <c r="R2905" t="str">
        <v>C18</v>
      </c>
      <c r="S2905" t="str">
        <v>1000012967 PATAGONIA MAXIM SAS</v>
      </c>
    </row>
    <row r="2906" spans="1:19" x14ac:dyDescent="0.3">
      <c r="A2906" s="2" t="s">
        <v>14</v>
      </c>
      <c r="B2906" s="3" t="s">
        <v>14</v>
      </c>
      <c r="C2906" s="3" t="s">
        <v>3064</v>
      </c>
      <c r="D2906" s="3" t="s">
        <v>32</v>
      </c>
      <c r="E2906" s="3" t="s">
        <v>466</v>
      </c>
      <c r="F2906" s="4">
        <v>46298</v>
      </c>
      <c r="G2906" s="3" t="s">
        <v>17</v>
      </c>
      <c r="H2906" s="5">
        <v>-486564</v>
      </c>
      <c r="I2906" s="3" t="s">
        <v>18</v>
      </c>
      <c r="J2906" s="3" t="s">
        <v>14</v>
      </c>
      <c r="K2906" s="3" t="s">
        <v>14</v>
      </c>
      <c r="L2906" s="3" t="s">
        <v>1643</v>
      </c>
      <c r="M2906" s="4">
        <v>46298</v>
      </c>
      <c r="N2906" s="3" t="s">
        <v>1644</v>
      </c>
      <c r="O2906" s="3" t="s">
        <v>134</v>
      </c>
      <c r="P2906" t="str">
        <f t="shared" si="45"/>
        <v>450013674770</v>
      </c>
      <c r="Q2906" s="7" cm="1">
        <f t="array" ref="Q2906:S2906">VLOOKUP(P2906,Hoja1!C:F,{2,3,4},FALSE)</f>
        <v>46310</v>
      </c>
      <c r="R2906" t="str">
        <v>C18</v>
      </c>
      <c r="S2906" t="str">
        <v>1000012967 PATAGONIA MAXIM SAS</v>
      </c>
    </row>
    <row r="2907" spans="1:19" x14ac:dyDescent="0.3">
      <c r="A2907" s="2" t="s">
        <v>14</v>
      </c>
      <c r="B2907" s="3" t="s">
        <v>14</v>
      </c>
      <c r="C2907" s="3" t="s">
        <v>3064</v>
      </c>
      <c r="D2907" s="3" t="s">
        <v>32</v>
      </c>
      <c r="E2907" s="3" t="s">
        <v>466</v>
      </c>
      <c r="F2907" s="4">
        <v>46298</v>
      </c>
      <c r="G2907" s="3" t="s">
        <v>17</v>
      </c>
      <c r="H2907" s="5">
        <v>-2398848</v>
      </c>
      <c r="I2907" s="3" t="s">
        <v>18</v>
      </c>
      <c r="J2907" s="3" t="s">
        <v>14</v>
      </c>
      <c r="K2907" s="3" t="s">
        <v>14</v>
      </c>
      <c r="L2907" s="3" t="s">
        <v>1643</v>
      </c>
      <c r="M2907" s="4">
        <v>46298</v>
      </c>
      <c r="N2907" s="3" t="s">
        <v>1644</v>
      </c>
      <c r="O2907" s="3" t="s">
        <v>52</v>
      </c>
      <c r="P2907" t="str">
        <f t="shared" si="45"/>
        <v>450013674780</v>
      </c>
      <c r="Q2907" s="7" cm="1">
        <f t="array" ref="Q2907:S2907">VLOOKUP(P2907,Hoja1!C:F,{2,3,4},FALSE)</f>
        <v>46310</v>
      </c>
      <c r="R2907" t="str">
        <v>C18</v>
      </c>
      <c r="S2907" t="str">
        <v>1000012967 PATAGONIA MAXIM SAS</v>
      </c>
    </row>
    <row r="2908" spans="1:19" x14ac:dyDescent="0.3">
      <c r="A2908" s="2" t="s">
        <v>14</v>
      </c>
      <c r="B2908" s="3" t="s">
        <v>14</v>
      </c>
      <c r="C2908" s="3" t="s">
        <v>3064</v>
      </c>
      <c r="D2908" s="3" t="s">
        <v>32</v>
      </c>
      <c r="E2908" s="3" t="s">
        <v>466</v>
      </c>
      <c r="F2908" s="4">
        <v>46298</v>
      </c>
      <c r="G2908" s="3" t="s">
        <v>17</v>
      </c>
      <c r="H2908" s="5">
        <v>-299850</v>
      </c>
      <c r="I2908" s="3" t="s">
        <v>18</v>
      </c>
      <c r="J2908" s="3" t="s">
        <v>14</v>
      </c>
      <c r="K2908" s="3" t="s">
        <v>14</v>
      </c>
      <c r="L2908" s="3" t="s">
        <v>1643</v>
      </c>
      <c r="M2908" s="4">
        <v>46298</v>
      </c>
      <c r="N2908" s="3" t="s">
        <v>1644</v>
      </c>
      <c r="O2908" s="3" t="s">
        <v>138</v>
      </c>
      <c r="P2908" t="str">
        <f t="shared" si="45"/>
        <v>450013674790</v>
      </c>
      <c r="Q2908" s="7" cm="1">
        <f t="array" ref="Q2908:S2908">VLOOKUP(P2908,Hoja1!C:F,{2,3,4},FALSE)</f>
        <v>46310</v>
      </c>
      <c r="R2908" t="str">
        <v>C18</v>
      </c>
      <c r="S2908" t="str">
        <v>1000012967 PATAGONIA MAXIM SAS</v>
      </c>
    </row>
    <row r="2909" spans="1:19" x14ac:dyDescent="0.3">
      <c r="A2909" s="2" t="s">
        <v>14</v>
      </c>
      <c r="B2909" s="3" t="s">
        <v>14</v>
      </c>
      <c r="C2909" s="3" t="s">
        <v>3064</v>
      </c>
      <c r="D2909" s="3" t="s">
        <v>32</v>
      </c>
      <c r="E2909" s="3" t="s">
        <v>466</v>
      </c>
      <c r="F2909" s="4">
        <v>46298</v>
      </c>
      <c r="G2909" s="3" t="s">
        <v>17</v>
      </c>
      <c r="H2909" s="5">
        <v>-1153386</v>
      </c>
      <c r="I2909" s="3" t="s">
        <v>18</v>
      </c>
      <c r="J2909" s="3" t="s">
        <v>14</v>
      </c>
      <c r="K2909" s="3" t="s">
        <v>14</v>
      </c>
      <c r="L2909" s="3" t="s">
        <v>1643</v>
      </c>
      <c r="M2909" s="4">
        <v>46298</v>
      </c>
      <c r="N2909" s="3" t="s">
        <v>1644</v>
      </c>
      <c r="O2909" s="3" t="s">
        <v>68</v>
      </c>
      <c r="P2909" t="str">
        <f t="shared" si="45"/>
        <v>4500136747150</v>
      </c>
      <c r="Q2909" s="7" cm="1">
        <f t="array" ref="Q2909:S2909">VLOOKUP(P2909,Hoja1!C:F,{2,3,4},FALSE)</f>
        <v>46310</v>
      </c>
      <c r="R2909" t="str">
        <v>C18</v>
      </c>
      <c r="S2909" t="str">
        <v>1000012967 PATAGONIA MAXIM SAS</v>
      </c>
    </row>
    <row r="2910" spans="1:19" x14ac:dyDescent="0.3">
      <c r="A2910" s="2" t="s">
        <v>14</v>
      </c>
      <c r="B2910" s="3" t="s">
        <v>14</v>
      </c>
      <c r="C2910" s="3" t="s">
        <v>3065</v>
      </c>
      <c r="D2910" s="3" t="s">
        <v>14</v>
      </c>
      <c r="E2910" s="3" t="s">
        <v>466</v>
      </c>
      <c r="F2910" s="4">
        <v>46298</v>
      </c>
      <c r="G2910" s="3" t="s">
        <v>17</v>
      </c>
      <c r="H2910" s="5">
        <v>-1041603.15</v>
      </c>
      <c r="I2910" s="3" t="s">
        <v>18</v>
      </c>
      <c r="J2910" s="3" t="s">
        <v>14</v>
      </c>
      <c r="K2910" s="3" t="s">
        <v>14</v>
      </c>
      <c r="L2910" s="3" t="s">
        <v>125</v>
      </c>
      <c r="M2910" s="4">
        <v>46298</v>
      </c>
      <c r="N2910" s="3" t="s">
        <v>3066</v>
      </c>
      <c r="O2910" s="3" t="s">
        <v>30</v>
      </c>
      <c r="P2910" t="str">
        <f t="shared" si="45"/>
        <v>450013505810</v>
      </c>
      <c r="Q2910" s="7" cm="1">
        <f t="array" ref="Q2910:S2910">VLOOKUP(P2910,Hoja1!C:F,{2,3,4},FALSE)</f>
        <v>46259</v>
      </c>
      <c r="R2910" t="str">
        <v>EFO</v>
      </c>
      <c r="S2910" t="str">
        <v>1000001470 SUDAMERICANA CAMIONES SA</v>
      </c>
    </row>
    <row r="2911" spans="1:19" x14ac:dyDescent="0.3">
      <c r="A2911" s="2" t="s">
        <v>14</v>
      </c>
      <c r="B2911" s="3" t="s">
        <v>14</v>
      </c>
      <c r="C2911" s="3" t="s">
        <v>3065</v>
      </c>
      <c r="D2911" s="3" t="s">
        <v>14</v>
      </c>
      <c r="E2911" s="3" t="s">
        <v>466</v>
      </c>
      <c r="F2911" s="4">
        <v>46298</v>
      </c>
      <c r="G2911" s="3" t="s">
        <v>17</v>
      </c>
      <c r="H2911" s="5">
        <v>-519528.56</v>
      </c>
      <c r="I2911" s="3" t="s">
        <v>18</v>
      </c>
      <c r="J2911" s="3" t="s">
        <v>14</v>
      </c>
      <c r="K2911" s="3" t="s">
        <v>14</v>
      </c>
      <c r="L2911" s="3" t="s">
        <v>125</v>
      </c>
      <c r="M2911" s="4">
        <v>46298</v>
      </c>
      <c r="N2911" s="3" t="s">
        <v>3066</v>
      </c>
      <c r="O2911" s="3" t="s">
        <v>22</v>
      </c>
      <c r="P2911" t="str">
        <f t="shared" si="45"/>
        <v>450013505820</v>
      </c>
      <c r="Q2911" s="7" cm="1">
        <f t="array" ref="Q2911:S2911">VLOOKUP(P2911,Hoja1!C:F,{2,3,4},FALSE)</f>
        <v>46259</v>
      </c>
      <c r="R2911" t="str">
        <v>EFO</v>
      </c>
      <c r="S2911" t="str">
        <v>1000001470 SUDAMERICANA CAMIONES SA</v>
      </c>
    </row>
    <row r="2912" spans="1:19" x14ac:dyDescent="0.3">
      <c r="A2912" s="2" t="s">
        <v>14</v>
      </c>
      <c r="B2912" s="3" t="s">
        <v>14</v>
      </c>
      <c r="C2912" s="3" t="s">
        <v>3065</v>
      </c>
      <c r="D2912" s="3" t="s">
        <v>14</v>
      </c>
      <c r="E2912" s="3" t="s">
        <v>466</v>
      </c>
      <c r="F2912" s="4">
        <v>46298</v>
      </c>
      <c r="G2912" s="3" t="s">
        <v>17</v>
      </c>
      <c r="H2912" s="5">
        <v>-519528.56</v>
      </c>
      <c r="I2912" s="3" t="s">
        <v>18</v>
      </c>
      <c r="J2912" s="3" t="s">
        <v>14</v>
      </c>
      <c r="K2912" s="3" t="s">
        <v>14</v>
      </c>
      <c r="L2912" s="3" t="s">
        <v>125</v>
      </c>
      <c r="M2912" s="4">
        <v>46298</v>
      </c>
      <c r="N2912" s="3" t="s">
        <v>3066</v>
      </c>
      <c r="O2912" s="3" t="s">
        <v>35</v>
      </c>
      <c r="P2912" t="str">
        <f t="shared" si="45"/>
        <v>450013505830</v>
      </c>
      <c r="Q2912" s="7" cm="1">
        <f t="array" ref="Q2912:S2912">VLOOKUP(P2912,Hoja1!C:F,{2,3,4},FALSE)</f>
        <v>46259</v>
      </c>
      <c r="R2912" t="str">
        <v>EFO</v>
      </c>
      <c r="S2912" t="str">
        <v>1000001470 SUDAMERICANA CAMIONES SA</v>
      </c>
    </row>
    <row r="2913" spans="1:19" x14ac:dyDescent="0.3">
      <c r="A2913" s="2" t="s">
        <v>14</v>
      </c>
      <c r="B2913" s="3" t="s">
        <v>14</v>
      </c>
      <c r="C2913" s="3" t="s">
        <v>3065</v>
      </c>
      <c r="D2913" s="3" t="s">
        <v>14</v>
      </c>
      <c r="E2913" s="3" t="s">
        <v>466</v>
      </c>
      <c r="F2913" s="4">
        <v>46298</v>
      </c>
      <c r="G2913" s="3" t="s">
        <v>17</v>
      </c>
      <c r="H2913" s="5">
        <v>-426719.34</v>
      </c>
      <c r="I2913" s="3" t="s">
        <v>18</v>
      </c>
      <c r="J2913" s="3" t="s">
        <v>14</v>
      </c>
      <c r="K2913" s="3" t="s">
        <v>14</v>
      </c>
      <c r="L2913" s="3" t="s">
        <v>125</v>
      </c>
      <c r="M2913" s="4">
        <v>46298</v>
      </c>
      <c r="N2913" s="3" t="s">
        <v>3066</v>
      </c>
      <c r="O2913" s="3" t="s">
        <v>23</v>
      </c>
      <c r="P2913" t="str">
        <f t="shared" si="45"/>
        <v>450013505840</v>
      </c>
      <c r="Q2913" s="7" cm="1">
        <f t="array" ref="Q2913:S2913">VLOOKUP(P2913,Hoja1!C:F,{2,3,4},FALSE)</f>
        <v>46259</v>
      </c>
      <c r="R2913" t="str">
        <v>EFO</v>
      </c>
      <c r="S2913" t="str">
        <v>1000001470 SUDAMERICANA CAMIONES SA</v>
      </c>
    </row>
    <row r="2914" spans="1:19" x14ac:dyDescent="0.3">
      <c r="A2914" s="2" t="s">
        <v>14</v>
      </c>
      <c r="B2914" s="3" t="s">
        <v>14</v>
      </c>
      <c r="C2914" s="3" t="s">
        <v>3067</v>
      </c>
      <c r="D2914" s="3" t="s">
        <v>14</v>
      </c>
      <c r="E2914" s="3" t="s">
        <v>466</v>
      </c>
      <c r="F2914" s="4">
        <v>46298</v>
      </c>
      <c r="G2914" s="3" t="s">
        <v>17</v>
      </c>
      <c r="H2914" s="5">
        <v>-155886</v>
      </c>
      <c r="I2914" s="3" t="s">
        <v>18</v>
      </c>
      <c r="J2914" s="3" t="s">
        <v>14</v>
      </c>
      <c r="K2914" s="3" t="s">
        <v>14</v>
      </c>
      <c r="L2914" s="3" t="s">
        <v>1944</v>
      </c>
      <c r="M2914" s="4">
        <v>46298</v>
      </c>
      <c r="N2914" s="3" t="s">
        <v>1945</v>
      </c>
      <c r="O2914" s="3" t="s">
        <v>141</v>
      </c>
      <c r="P2914" t="str">
        <f t="shared" si="45"/>
        <v>450013974060</v>
      </c>
      <c r="Q2914" s="7" cm="1">
        <f t="array" ref="Q2914:S2914">VLOOKUP(P2914,Hoja1!C:F,{2,3,4},FALSE)</f>
        <v>46303</v>
      </c>
      <c r="R2914" t="str">
        <v>374</v>
      </c>
      <c r="S2914" t="str">
        <v>1000011427 NICOSIA ORLANDO</v>
      </c>
    </row>
    <row r="2915" spans="1:19" x14ac:dyDescent="0.3">
      <c r="A2915" s="2" t="s">
        <v>14</v>
      </c>
      <c r="B2915" s="3" t="s">
        <v>14</v>
      </c>
      <c r="C2915" s="3" t="s">
        <v>3068</v>
      </c>
      <c r="D2915" s="3" t="s">
        <v>32</v>
      </c>
      <c r="E2915" s="3" t="s">
        <v>466</v>
      </c>
      <c r="F2915" s="4">
        <v>46298</v>
      </c>
      <c r="G2915" s="3" t="s">
        <v>17</v>
      </c>
      <c r="H2915" s="5">
        <v>-54000</v>
      </c>
      <c r="I2915" s="3" t="s">
        <v>18</v>
      </c>
      <c r="J2915" s="3" t="s">
        <v>14</v>
      </c>
      <c r="K2915" s="3" t="s">
        <v>14</v>
      </c>
      <c r="L2915" s="3" t="s">
        <v>1386</v>
      </c>
      <c r="M2915" s="4">
        <v>46298</v>
      </c>
      <c r="N2915" s="3" t="s">
        <v>2885</v>
      </c>
      <c r="O2915" s="3" t="s">
        <v>30</v>
      </c>
      <c r="P2915" t="str">
        <f t="shared" si="45"/>
        <v>450013959410</v>
      </c>
      <c r="Q2915" s="7" cm="1">
        <f t="array" ref="Q2915:S2915">VLOOKUP(P2915,Hoja1!C:F,{2,3,4},FALSE)</f>
        <v>46303</v>
      </c>
      <c r="R2915" t="str">
        <v>374</v>
      </c>
      <c r="S2915" t="str">
        <v>1000011491 OLIVERA NOELIA ELISABETH</v>
      </c>
    </row>
    <row r="2916" spans="1:19" x14ac:dyDescent="0.3">
      <c r="A2916" s="2" t="s">
        <v>14</v>
      </c>
      <c r="B2916" s="3" t="s">
        <v>14</v>
      </c>
      <c r="C2916" s="3" t="s">
        <v>3068</v>
      </c>
      <c r="D2916" s="3" t="s">
        <v>32</v>
      </c>
      <c r="E2916" s="3" t="s">
        <v>466</v>
      </c>
      <c r="F2916" s="4">
        <v>46298</v>
      </c>
      <c r="G2916" s="3" t="s">
        <v>17</v>
      </c>
      <c r="H2916" s="5">
        <v>-6000</v>
      </c>
      <c r="I2916" s="3" t="s">
        <v>18</v>
      </c>
      <c r="J2916" s="3" t="s">
        <v>14</v>
      </c>
      <c r="K2916" s="3" t="s">
        <v>14</v>
      </c>
      <c r="L2916" s="3" t="s">
        <v>1386</v>
      </c>
      <c r="M2916" s="4">
        <v>46298</v>
      </c>
      <c r="N2916" s="3" t="s">
        <v>2885</v>
      </c>
      <c r="O2916" s="3" t="s">
        <v>22</v>
      </c>
      <c r="P2916" t="str">
        <f t="shared" si="45"/>
        <v>450013959420</v>
      </c>
      <c r="Q2916" s="7" cm="1">
        <f t="array" ref="Q2916:S2916">VLOOKUP(P2916,Hoja1!C:F,{2,3,4},FALSE)</f>
        <v>46303</v>
      </c>
      <c r="R2916" t="str">
        <v>374</v>
      </c>
      <c r="S2916" t="str">
        <v>1000011491 OLIVERA NOELIA ELISABETH</v>
      </c>
    </row>
    <row r="2917" spans="1:19" x14ac:dyDescent="0.3">
      <c r="A2917" s="2" t="s">
        <v>14</v>
      </c>
      <c r="B2917" s="3" t="s">
        <v>14</v>
      </c>
      <c r="C2917" s="3" t="s">
        <v>3068</v>
      </c>
      <c r="D2917" s="3" t="s">
        <v>32</v>
      </c>
      <c r="E2917" s="3" t="s">
        <v>466</v>
      </c>
      <c r="F2917" s="4">
        <v>46298</v>
      </c>
      <c r="G2917" s="3" t="s">
        <v>17</v>
      </c>
      <c r="H2917" s="5">
        <v>-36400</v>
      </c>
      <c r="I2917" s="3" t="s">
        <v>18</v>
      </c>
      <c r="J2917" s="3" t="s">
        <v>14</v>
      </c>
      <c r="K2917" s="3" t="s">
        <v>14</v>
      </c>
      <c r="L2917" s="3" t="s">
        <v>1386</v>
      </c>
      <c r="M2917" s="4">
        <v>46298</v>
      </c>
      <c r="N2917" s="3" t="s">
        <v>2885</v>
      </c>
      <c r="O2917" s="3" t="s">
        <v>35</v>
      </c>
      <c r="P2917" t="str">
        <f t="shared" si="45"/>
        <v>450013959430</v>
      </c>
      <c r="Q2917" s="7" cm="1">
        <f t="array" ref="Q2917:S2917">VLOOKUP(P2917,Hoja1!C:F,{2,3,4},FALSE)</f>
        <v>46303</v>
      </c>
      <c r="R2917" t="str">
        <v>374</v>
      </c>
      <c r="S2917" t="str">
        <v>1000011491 OLIVERA NOELIA ELISABETH</v>
      </c>
    </row>
    <row r="2918" spans="1:19" x14ac:dyDescent="0.3">
      <c r="A2918" s="2" t="s">
        <v>14</v>
      </c>
      <c r="B2918" s="3" t="s">
        <v>14</v>
      </c>
      <c r="C2918" s="3" t="s">
        <v>3069</v>
      </c>
      <c r="D2918" s="3" t="s">
        <v>32</v>
      </c>
      <c r="E2918" s="3" t="s">
        <v>466</v>
      </c>
      <c r="F2918" s="4">
        <v>46298</v>
      </c>
      <c r="G2918" s="3" t="s">
        <v>17</v>
      </c>
      <c r="H2918" s="5">
        <v>-94553500</v>
      </c>
      <c r="I2918" s="3" t="s">
        <v>18</v>
      </c>
      <c r="J2918" s="3" t="s">
        <v>14</v>
      </c>
      <c r="K2918" s="3" t="s">
        <v>14</v>
      </c>
      <c r="L2918" s="3" t="s">
        <v>3070</v>
      </c>
      <c r="M2918" s="4">
        <v>46298</v>
      </c>
      <c r="N2918" s="3" t="s">
        <v>3071</v>
      </c>
      <c r="O2918" s="3" t="s">
        <v>30</v>
      </c>
      <c r="P2918" t="str">
        <f t="shared" si="45"/>
        <v>450013594210</v>
      </c>
      <c r="Q2918" s="7" cm="1">
        <f t="array" ref="Q2918:S2918">VLOOKUP(P2918,Hoja1!C:F,{2,3,4},FALSE)</f>
        <v>46295</v>
      </c>
      <c r="R2918" t="str">
        <v>C26</v>
      </c>
      <c r="S2918" t="str">
        <v>1000002939 CATEX SRL</v>
      </c>
    </row>
    <row r="2919" spans="1:19" x14ac:dyDescent="0.3">
      <c r="A2919" s="2" t="s">
        <v>14</v>
      </c>
      <c r="B2919" s="3" t="s">
        <v>14</v>
      </c>
      <c r="C2919" s="3" t="s">
        <v>3072</v>
      </c>
      <c r="D2919" s="3" t="s">
        <v>32</v>
      </c>
      <c r="E2919" s="3" t="s">
        <v>466</v>
      </c>
      <c r="F2919" s="4">
        <v>46297</v>
      </c>
      <c r="G2919" s="3" t="s">
        <v>17</v>
      </c>
      <c r="H2919" s="5">
        <v>-225021.44</v>
      </c>
      <c r="I2919" s="3" t="s">
        <v>18</v>
      </c>
      <c r="J2919" s="3" t="s">
        <v>14</v>
      </c>
      <c r="K2919" s="3" t="s">
        <v>14</v>
      </c>
      <c r="L2919" s="3" t="s">
        <v>597</v>
      </c>
      <c r="M2919" s="4">
        <v>46298</v>
      </c>
      <c r="N2919" s="3" t="s">
        <v>2306</v>
      </c>
      <c r="O2919" s="3" t="s">
        <v>23</v>
      </c>
      <c r="P2919" t="str">
        <f t="shared" si="45"/>
        <v>450013982840</v>
      </c>
      <c r="Q2919" s="7" cm="1">
        <f t="array" ref="Q2919:S2919">VLOOKUP(P2919,Hoja1!C:F,{2,3,4},FALSE)</f>
        <v>46295</v>
      </c>
      <c r="R2919" t="str">
        <v>377</v>
      </c>
      <c r="S2919" t="str">
        <v>1000009527 ELECTRICIDAD PANAMERICANA S.A.</v>
      </c>
    </row>
    <row r="2920" spans="1:19" x14ac:dyDescent="0.3">
      <c r="A2920" s="2" t="s">
        <v>14</v>
      </c>
      <c r="B2920" s="3" t="s">
        <v>14</v>
      </c>
      <c r="C2920" s="3" t="s">
        <v>3072</v>
      </c>
      <c r="D2920" s="3" t="s">
        <v>32</v>
      </c>
      <c r="E2920" s="3" t="s">
        <v>466</v>
      </c>
      <c r="F2920" s="4">
        <v>46297</v>
      </c>
      <c r="G2920" s="3" t="s">
        <v>17</v>
      </c>
      <c r="H2920" s="5">
        <v>-831706.4</v>
      </c>
      <c r="I2920" s="3" t="s">
        <v>18</v>
      </c>
      <c r="J2920" s="3" t="s">
        <v>14</v>
      </c>
      <c r="K2920" s="3" t="s">
        <v>14</v>
      </c>
      <c r="L2920" s="3" t="s">
        <v>597</v>
      </c>
      <c r="M2920" s="4">
        <v>46298</v>
      </c>
      <c r="N2920" s="3" t="s">
        <v>2306</v>
      </c>
      <c r="O2920" s="3" t="s">
        <v>45</v>
      </c>
      <c r="P2920" t="str">
        <f t="shared" si="45"/>
        <v>4500139828100</v>
      </c>
      <c r="Q2920" s="7" cm="1">
        <f t="array" ref="Q2920:S2920">VLOOKUP(P2920,Hoja1!C:F,{2,3,4},FALSE)</f>
        <v>46295</v>
      </c>
      <c r="R2920" t="str">
        <v>377</v>
      </c>
      <c r="S2920" t="str">
        <v>1000009527 ELECTRICIDAD PANAMERICANA S.A.</v>
      </c>
    </row>
    <row r="2921" spans="1:19" x14ac:dyDescent="0.3">
      <c r="A2921" s="2" t="s">
        <v>14</v>
      </c>
      <c r="B2921" s="3" t="s">
        <v>14</v>
      </c>
      <c r="C2921" s="3" t="s">
        <v>3073</v>
      </c>
      <c r="D2921" s="3" t="s">
        <v>32</v>
      </c>
      <c r="E2921" s="3" t="s">
        <v>466</v>
      </c>
      <c r="F2921" s="4">
        <v>46298</v>
      </c>
      <c r="G2921" s="3" t="s">
        <v>17</v>
      </c>
      <c r="H2921" s="5">
        <v>-384000</v>
      </c>
      <c r="I2921" s="3" t="s">
        <v>18</v>
      </c>
      <c r="J2921" s="3" t="s">
        <v>14</v>
      </c>
      <c r="K2921" s="3" t="s">
        <v>14</v>
      </c>
      <c r="L2921" s="3" t="s">
        <v>3037</v>
      </c>
      <c r="M2921" s="4">
        <v>46298</v>
      </c>
      <c r="N2921" s="3" t="s">
        <v>3038</v>
      </c>
      <c r="O2921" s="3" t="s">
        <v>35</v>
      </c>
      <c r="P2921" t="str">
        <f t="shared" si="45"/>
        <v>450013991230</v>
      </c>
      <c r="Q2921" s="7" cm="1">
        <f t="array" ref="Q2921:S2921">VLOOKUP(P2921,Hoja1!C:F,{2,3,4},FALSE)</f>
        <v>46304</v>
      </c>
      <c r="R2921" t="str">
        <v>374</v>
      </c>
      <c r="S2921" t="str">
        <v>1000011505 GALVAN ADELA GLADYS</v>
      </c>
    </row>
    <row r="2922" spans="1:19" x14ac:dyDescent="0.3">
      <c r="A2922" s="2" t="s">
        <v>14</v>
      </c>
      <c r="B2922" s="3" t="s">
        <v>14</v>
      </c>
      <c r="C2922" s="3" t="s">
        <v>3074</v>
      </c>
      <c r="D2922" s="3" t="s">
        <v>32</v>
      </c>
      <c r="E2922" s="3" t="s">
        <v>466</v>
      </c>
      <c r="F2922" s="4">
        <v>46294</v>
      </c>
      <c r="G2922" s="3" t="s">
        <v>17</v>
      </c>
      <c r="H2922" s="5">
        <v>-192000</v>
      </c>
      <c r="I2922" s="3" t="s">
        <v>18</v>
      </c>
      <c r="J2922" s="3" t="s">
        <v>14</v>
      </c>
      <c r="K2922" s="3" t="s">
        <v>14</v>
      </c>
      <c r="L2922" s="3" t="s">
        <v>3037</v>
      </c>
      <c r="M2922" s="4">
        <v>46298</v>
      </c>
      <c r="N2922" s="3" t="s">
        <v>3038</v>
      </c>
      <c r="O2922" s="3" t="s">
        <v>35</v>
      </c>
      <c r="P2922" t="str">
        <f t="shared" si="45"/>
        <v>450013991230</v>
      </c>
      <c r="Q2922" s="7" cm="1">
        <f t="array" ref="Q2922:S2922">VLOOKUP(P2922,Hoja1!C:F,{2,3,4},FALSE)</f>
        <v>46304</v>
      </c>
      <c r="R2922" t="str">
        <v>374</v>
      </c>
      <c r="S2922" t="str">
        <v>1000011505 GALVAN ADELA GLADYS</v>
      </c>
    </row>
    <row r="2923" spans="1:19" x14ac:dyDescent="0.3">
      <c r="A2923" s="2" t="s">
        <v>14</v>
      </c>
      <c r="B2923" s="3" t="s">
        <v>14</v>
      </c>
      <c r="C2923" s="3" t="s">
        <v>3075</v>
      </c>
      <c r="D2923" s="3" t="s">
        <v>32</v>
      </c>
      <c r="E2923" s="3" t="s">
        <v>466</v>
      </c>
      <c r="F2923" s="4">
        <v>46298</v>
      </c>
      <c r="G2923" s="3" t="s">
        <v>17</v>
      </c>
      <c r="H2923" s="5">
        <v>-185800.3</v>
      </c>
      <c r="I2923" s="3" t="s">
        <v>18</v>
      </c>
      <c r="J2923" s="3" t="s">
        <v>14</v>
      </c>
      <c r="K2923" s="3" t="s">
        <v>14</v>
      </c>
      <c r="L2923" s="3" t="s">
        <v>597</v>
      </c>
      <c r="M2923" s="4">
        <v>46298</v>
      </c>
      <c r="N2923" s="3" t="s">
        <v>3076</v>
      </c>
      <c r="O2923" s="3" t="s">
        <v>30</v>
      </c>
      <c r="P2923" t="str">
        <f t="shared" si="45"/>
        <v>450014013510</v>
      </c>
      <c r="Q2923" s="7" cm="1">
        <f t="array" ref="Q2923:S2923">VLOOKUP(P2923,Hoja1!C:F,{2,3,4},FALSE)</f>
        <v>46300</v>
      </c>
      <c r="R2923" t="str">
        <v>377</v>
      </c>
      <c r="S2923" t="str">
        <v>1000009527 ELECTRICIDAD PANAMERICANA S.A.</v>
      </c>
    </row>
    <row r="2924" spans="1:19" x14ac:dyDescent="0.3">
      <c r="A2924" s="2" t="s">
        <v>14</v>
      </c>
      <c r="B2924" s="3" t="s">
        <v>14</v>
      </c>
      <c r="C2924" s="3" t="s">
        <v>3075</v>
      </c>
      <c r="D2924" s="3" t="s">
        <v>32</v>
      </c>
      <c r="E2924" s="3" t="s">
        <v>466</v>
      </c>
      <c r="F2924" s="4">
        <v>46298</v>
      </c>
      <c r="G2924" s="3" t="s">
        <v>17</v>
      </c>
      <c r="H2924" s="5">
        <v>-566721.23</v>
      </c>
      <c r="I2924" s="3" t="s">
        <v>18</v>
      </c>
      <c r="J2924" s="3" t="s">
        <v>14</v>
      </c>
      <c r="K2924" s="3" t="s">
        <v>14</v>
      </c>
      <c r="L2924" s="3" t="s">
        <v>597</v>
      </c>
      <c r="M2924" s="4">
        <v>46298</v>
      </c>
      <c r="N2924" s="3" t="s">
        <v>3076</v>
      </c>
      <c r="O2924" s="3" t="s">
        <v>22</v>
      </c>
      <c r="P2924" t="str">
        <f t="shared" si="45"/>
        <v>450014013520</v>
      </c>
      <c r="Q2924" s="7" cm="1">
        <f t="array" ref="Q2924:S2924">VLOOKUP(P2924,Hoja1!C:F,{2,3,4},FALSE)</f>
        <v>46300</v>
      </c>
      <c r="R2924" t="str">
        <v>377</v>
      </c>
      <c r="S2924" t="str">
        <v>1000009527 ELECTRICIDAD PANAMERICANA S.A.</v>
      </c>
    </row>
    <row r="2925" spans="1:19" x14ac:dyDescent="0.3">
      <c r="A2925" s="2" t="s">
        <v>14</v>
      </c>
      <c r="B2925" s="3" t="s">
        <v>14</v>
      </c>
      <c r="C2925" s="3" t="s">
        <v>3075</v>
      </c>
      <c r="D2925" s="3" t="s">
        <v>32</v>
      </c>
      <c r="E2925" s="3" t="s">
        <v>466</v>
      </c>
      <c r="F2925" s="4">
        <v>46298</v>
      </c>
      <c r="G2925" s="3" t="s">
        <v>17</v>
      </c>
      <c r="H2925" s="5">
        <v>-257635</v>
      </c>
      <c r="I2925" s="3" t="s">
        <v>18</v>
      </c>
      <c r="J2925" s="3" t="s">
        <v>14</v>
      </c>
      <c r="K2925" s="3" t="s">
        <v>14</v>
      </c>
      <c r="L2925" s="3" t="s">
        <v>597</v>
      </c>
      <c r="M2925" s="4">
        <v>46298</v>
      </c>
      <c r="N2925" s="3" t="s">
        <v>3076</v>
      </c>
      <c r="O2925" s="3" t="s">
        <v>35</v>
      </c>
      <c r="P2925" t="str">
        <f t="shared" si="45"/>
        <v>450014013530</v>
      </c>
      <c r="Q2925" s="7" cm="1">
        <f t="array" ref="Q2925:S2925">VLOOKUP(P2925,Hoja1!C:F,{2,3,4},FALSE)</f>
        <v>46300</v>
      </c>
      <c r="R2925" t="str">
        <v>377</v>
      </c>
      <c r="S2925" t="str">
        <v>1000009527 ELECTRICIDAD PANAMERICANA S.A.</v>
      </c>
    </row>
    <row r="2926" spans="1:19" x14ac:dyDescent="0.3">
      <c r="A2926" s="2" t="s">
        <v>14</v>
      </c>
      <c r="B2926" s="3" t="s">
        <v>14</v>
      </c>
      <c r="C2926" s="3" t="s">
        <v>3075</v>
      </c>
      <c r="D2926" s="3" t="s">
        <v>32</v>
      </c>
      <c r="E2926" s="3" t="s">
        <v>466</v>
      </c>
      <c r="F2926" s="4">
        <v>46298</v>
      </c>
      <c r="G2926" s="3" t="s">
        <v>17</v>
      </c>
      <c r="H2926" s="5">
        <v>-27733.65</v>
      </c>
      <c r="I2926" s="3" t="s">
        <v>18</v>
      </c>
      <c r="J2926" s="3" t="s">
        <v>14</v>
      </c>
      <c r="K2926" s="3" t="s">
        <v>14</v>
      </c>
      <c r="L2926" s="3" t="s">
        <v>597</v>
      </c>
      <c r="M2926" s="4">
        <v>46298</v>
      </c>
      <c r="N2926" s="3" t="s">
        <v>3076</v>
      </c>
      <c r="O2926" s="3" t="s">
        <v>141</v>
      </c>
      <c r="P2926" t="str">
        <f t="shared" si="45"/>
        <v>450014013560</v>
      </c>
      <c r="Q2926" s="7" cm="1">
        <f t="array" ref="Q2926:S2926">VLOOKUP(P2926,Hoja1!C:F,{2,3,4},FALSE)</f>
        <v>46300</v>
      </c>
      <c r="R2926" t="str">
        <v>377</v>
      </c>
      <c r="S2926" t="str">
        <v>1000009527 ELECTRICIDAD PANAMERICANA S.A.</v>
      </c>
    </row>
    <row r="2927" spans="1:19" x14ac:dyDescent="0.3">
      <c r="A2927" s="2" t="s">
        <v>14</v>
      </c>
      <c r="B2927" s="3" t="s">
        <v>14</v>
      </c>
      <c r="C2927" s="3" t="s">
        <v>3077</v>
      </c>
      <c r="D2927" s="3" t="s">
        <v>32</v>
      </c>
      <c r="E2927" s="3" t="s">
        <v>466</v>
      </c>
      <c r="F2927" s="4">
        <v>46298</v>
      </c>
      <c r="G2927" s="3" t="s">
        <v>17</v>
      </c>
      <c r="H2927" s="5">
        <v>-1660.2</v>
      </c>
      <c r="I2927" s="3" t="s">
        <v>18</v>
      </c>
      <c r="J2927" s="3" t="s">
        <v>14</v>
      </c>
      <c r="K2927" s="3" t="s">
        <v>14</v>
      </c>
      <c r="L2927" s="3" t="s">
        <v>2891</v>
      </c>
      <c r="M2927" s="4">
        <v>46298</v>
      </c>
      <c r="N2927" s="3" t="s">
        <v>2892</v>
      </c>
      <c r="O2927" s="3" t="s">
        <v>134</v>
      </c>
      <c r="P2927" t="str">
        <f t="shared" si="45"/>
        <v>450013778270</v>
      </c>
      <c r="Q2927" s="7" cm="1">
        <f t="array" ref="Q2927:S2927">VLOOKUP(P2927,Hoja1!C:F,{2,3,4},FALSE)</f>
        <v>46303</v>
      </c>
      <c r="R2927" t="str">
        <v>374</v>
      </c>
      <c r="S2927" t="str">
        <v>1000011436 CUYUL LUIS FRANCISCO</v>
      </c>
    </row>
    <row r="2928" spans="1:19" x14ac:dyDescent="0.3">
      <c r="A2928" s="2" t="s">
        <v>14</v>
      </c>
      <c r="B2928" s="3" t="s">
        <v>14</v>
      </c>
      <c r="C2928" s="3" t="s">
        <v>3078</v>
      </c>
      <c r="D2928" s="3" t="s">
        <v>32</v>
      </c>
      <c r="E2928" s="3" t="s">
        <v>466</v>
      </c>
      <c r="F2928" s="4">
        <v>46298</v>
      </c>
      <c r="G2928" s="3" t="s">
        <v>17</v>
      </c>
      <c r="H2928" s="5">
        <v>-11900000</v>
      </c>
      <c r="I2928" s="3" t="s">
        <v>18</v>
      </c>
      <c r="J2928" s="3" t="s">
        <v>14</v>
      </c>
      <c r="K2928" s="3" t="s">
        <v>14</v>
      </c>
      <c r="L2928" s="3" t="s">
        <v>2062</v>
      </c>
      <c r="M2928" s="4">
        <v>46298</v>
      </c>
      <c r="N2928" s="3" t="s">
        <v>3079</v>
      </c>
      <c r="O2928" s="3" t="s">
        <v>30</v>
      </c>
      <c r="P2928" t="str">
        <f t="shared" si="45"/>
        <v>450013995910</v>
      </c>
      <c r="Q2928" s="7" cm="1">
        <f t="array" ref="Q2928:S2928">VLOOKUP(P2928,Hoja1!C:F,{2,3,4},FALSE)</f>
        <v>46310</v>
      </c>
      <c r="R2928" t="str">
        <v>C26</v>
      </c>
      <c r="S2928" t="str">
        <v>1000008171 CAEFE S.A.</v>
      </c>
    </row>
    <row r="2929" spans="1:19" x14ac:dyDescent="0.3">
      <c r="A2929" s="2" t="s">
        <v>14</v>
      </c>
      <c r="B2929" s="3" t="s">
        <v>14</v>
      </c>
      <c r="C2929" s="3" t="s">
        <v>3078</v>
      </c>
      <c r="D2929" s="3" t="s">
        <v>32</v>
      </c>
      <c r="E2929" s="3" t="s">
        <v>466</v>
      </c>
      <c r="F2929" s="4">
        <v>46298</v>
      </c>
      <c r="G2929" s="3" t="s">
        <v>17</v>
      </c>
      <c r="H2929" s="5">
        <v>-76000</v>
      </c>
      <c r="I2929" s="3" t="s">
        <v>18</v>
      </c>
      <c r="J2929" s="3" t="s">
        <v>14</v>
      </c>
      <c r="K2929" s="3" t="s">
        <v>14</v>
      </c>
      <c r="L2929" s="3" t="s">
        <v>2062</v>
      </c>
      <c r="M2929" s="4">
        <v>46298</v>
      </c>
      <c r="N2929" s="3" t="s">
        <v>3079</v>
      </c>
      <c r="O2929" s="3" t="s">
        <v>22</v>
      </c>
      <c r="P2929" t="str">
        <f t="shared" si="45"/>
        <v>450013995920</v>
      </c>
      <c r="Q2929" s="7" cm="1">
        <f t="array" ref="Q2929:S2929">VLOOKUP(P2929,Hoja1!C:F,{2,3,4},FALSE)</f>
        <v>46310</v>
      </c>
      <c r="R2929" t="str">
        <v>C26</v>
      </c>
      <c r="S2929" t="str">
        <v>1000008171 CAEFE S.A.</v>
      </c>
    </row>
    <row r="2930" spans="1:19" x14ac:dyDescent="0.3">
      <c r="A2930" s="2" t="s">
        <v>14</v>
      </c>
      <c r="B2930" s="3" t="s">
        <v>14</v>
      </c>
      <c r="C2930" s="3" t="s">
        <v>3078</v>
      </c>
      <c r="D2930" s="3" t="s">
        <v>32</v>
      </c>
      <c r="E2930" s="3" t="s">
        <v>466</v>
      </c>
      <c r="F2930" s="4">
        <v>46298</v>
      </c>
      <c r="G2930" s="3" t="s">
        <v>17</v>
      </c>
      <c r="H2930" s="5">
        <v>-580000</v>
      </c>
      <c r="I2930" s="3" t="s">
        <v>18</v>
      </c>
      <c r="J2930" s="3" t="s">
        <v>14</v>
      </c>
      <c r="K2930" s="3" t="s">
        <v>14</v>
      </c>
      <c r="L2930" s="3" t="s">
        <v>2062</v>
      </c>
      <c r="M2930" s="4">
        <v>46298</v>
      </c>
      <c r="N2930" s="3" t="s">
        <v>3079</v>
      </c>
      <c r="O2930" s="3" t="s">
        <v>35</v>
      </c>
      <c r="P2930" t="str">
        <f t="shared" si="45"/>
        <v>450013995930</v>
      </c>
      <c r="Q2930" s="7" cm="1">
        <f t="array" ref="Q2930:S2930">VLOOKUP(P2930,Hoja1!C:F,{2,3,4},FALSE)</f>
        <v>46310</v>
      </c>
      <c r="R2930" t="str">
        <v>C26</v>
      </c>
      <c r="S2930" t="str">
        <v>1000008171 CAEFE S.A.</v>
      </c>
    </row>
    <row r="2931" spans="1:19" x14ac:dyDescent="0.3">
      <c r="A2931" s="2" t="s">
        <v>14</v>
      </c>
      <c r="B2931" s="3" t="s">
        <v>14</v>
      </c>
      <c r="C2931" s="3" t="s">
        <v>3078</v>
      </c>
      <c r="D2931" s="3" t="s">
        <v>32</v>
      </c>
      <c r="E2931" s="3" t="s">
        <v>466</v>
      </c>
      <c r="F2931" s="4">
        <v>46298</v>
      </c>
      <c r="G2931" s="3" t="s">
        <v>17</v>
      </c>
      <c r="H2931" s="5">
        <v>-7000000</v>
      </c>
      <c r="I2931" s="3" t="s">
        <v>18</v>
      </c>
      <c r="J2931" s="3" t="s">
        <v>14</v>
      </c>
      <c r="K2931" s="3" t="s">
        <v>14</v>
      </c>
      <c r="L2931" s="3" t="s">
        <v>2062</v>
      </c>
      <c r="M2931" s="4">
        <v>46298</v>
      </c>
      <c r="N2931" s="3" t="s">
        <v>3079</v>
      </c>
      <c r="O2931" s="3" t="s">
        <v>23</v>
      </c>
      <c r="P2931" t="str">
        <f t="shared" si="45"/>
        <v>450013995940</v>
      </c>
      <c r="Q2931" s="7" cm="1">
        <f t="array" ref="Q2931:S2931">VLOOKUP(P2931,Hoja1!C:F,{2,3,4},FALSE)</f>
        <v>46310</v>
      </c>
      <c r="R2931" t="str">
        <v>C26</v>
      </c>
      <c r="S2931" t="str">
        <v>1000008171 CAEFE S.A.</v>
      </c>
    </row>
    <row r="2932" spans="1:19" x14ac:dyDescent="0.3">
      <c r="A2932" s="2" t="s">
        <v>14</v>
      </c>
      <c r="B2932" s="3" t="s">
        <v>14</v>
      </c>
      <c r="C2932" s="3" t="s">
        <v>3078</v>
      </c>
      <c r="D2932" s="3" t="s">
        <v>32</v>
      </c>
      <c r="E2932" s="3" t="s">
        <v>466</v>
      </c>
      <c r="F2932" s="4">
        <v>46298</v>
      </c>
      <c r="G2932" s="3" t="s">
        <v>17</v>
      </c>
      <c r="H2932" s="5">
        <v>-600000</v>
      </c>
      <c r="I2932" s="3" t="s">
        <v>18</v>
      </c>
      <c r="J2932" s="3" t="s">
        <v>14</v>
      </c>
      <c r="K2932" s="3" t="s">
        <v>14</v>
      </c>
      <c r="L2932" s="3" t="s">
        <v>2062</v>
      </c>
      <c r="M2932" s="4">
        <v>46298</v>
      </c>
      <c r="N2932" s="3" t="s">
        <v>3079</v>
      </c>
      <c r="O2932" s="3" t="s">
        <v>144</v>
      </c>
      <c r="P2932" t="str">
        <f t="shared" si="45"/>
        <v>450013995950</v>
      </c>
      <c r="Q2932" s="7" cm="1">
        <f t="array" ref="Q2932:S2932">VLOOKUP(P2932,Hoja1!C:F,{2,3,4},FALSE)</f>
        <v>46310</v>
      </c>
      <c r="R2932" t="str">
        <v>C26</v>
      </c>
      <c r="S2932" t="str">
        <v>1000008171 CAEFE S.A.</v>
      </c>
    </row>
    <row r="2933" spans="1:19" x14ac:dyDescent="0.3">
      <c r="A2933" s="2" t="s">
        <v>14</v>
      </c>
      <c r="B2933" s="3" t="s">
        <v>14</v>
      </c>
      <c r="C2933" s="3" t="s">
        <v>3080</v>
      </c>
      <c r="D2933" s="3" t="s">
        <v>32</v>
      </c>
      <c r="E2933" s="3" t="s">
        <v>466</v>
      </c>
      <c r="F2933" s="4">
        <v>46297</v>
      </c>
      <c r="G2933" s="3" t="s">
        <v>17</v>
      </c>
      <c r="H2933" s="5">
        <v>-70247.94</v>
      </c>
      <c r="I2933" s="3" t="s">
        <v>18</v>
      </c>
      <c r="J2933" s="3" t="s">
        <v>14</v>
      </c>
      <c r="K2933" s="3" t="s">
        <v>14</v>
      </c>
      <c r="L2933" s="3" t="s">
        <v>1100</v>
      </c>
      <c r="M2933" s="4">
        <v>46298</v>
      </c>
      <c r="N2933" s="3" t="s">
        <v>3081</v>
      </c>
      <c r="O2933" s="3" t="s">
        <v>30</v>
      </c>
      <c r="P2933" t="str">
        <f t="shared" si="45"/>
        <v>450013998310</v>
      </c>
      <c r="Q2933" s="7" cm="1">
        <f t="array" ref="Q2933:S2933">VLOOKUP(P2933,Hoja1!C:F,{2,3,4},FALSE)</f>
        <v>46297</v>
      </c>
      <c r="R2933" t="str">
        <v>377</v>
      </c>
      <c r="S2933" t="str">
        <v>1000000212 MAXIGOMA S.R.L.</v>
      </c>
    </row>
    <row r="2934" spans="1:19" x14ac:dyDescent="0.3">
      <c r="A2934" s="2" t="s">
        <v>14</v>
      </c>
      <c r="B2934" s="3" t="s">
        <v>14</v>
      </c>
      <c r="C2934" s="3" t="s">
        <v>3080</v>
      </c>
      <c r="D2934" s="3" t="s">
        <v>32</v>
      </c>
      <c r="E2934" s="3" t="s">
        <v>466</v>
      </c>
      <c r="F2934" s="4">
        <v>46297</v>
      </c>
      <c r="G2934" s="3" t="s">
        <v>17</v>
      </c>
      <c r="H2934" s="5">
        <v>-135867.76</v>
      </c>
      <c r="I2934" s="3" t="s">
        <v>18</v>
      </c>
      <c r="J2934" s="3" t="s">
        <v>14</v>
      </c>
      <c r="K2934" s="3" t="s">
        <v>14</v>
      </c>
      <c r="L2934" s="3" t="s">
        <v>1100</v>
      </c>
      <c r="M2934" s="4">
        <v>46298</v>
      </c>
      <c r="N2934" s="3" t="s">
        <v>3081</v>
      </c>
      <c r="O2934" s="3" t="s">
        <v>22</v>
      </c>
      <c r="P2934" t="str">
        <f t="shared" si="45"/>
        <v>450013998320</v>
      </c>
      <c r="Q2934" s="7" cm="1">
        <f t="array" ref="Q2934:S2934">VLOOKUP(P2934,Hoja1!C:F,{2,3,4},FALSE)</f>
        <v>46297</v>
      </c>
      <c r="R2934" t="str">
        <v>377</v>
      </c>
      <c r="S2934" t="str">
        <v>1000000212 MAXIGOMA S.R.L.</v>
      </c>
    </row>
    <row r="2935" spans="1:19" x14ac:dyDescent="0.3">
      <c r="A2935" s="2" t="s">
        <v>14</v>
      </c>
      <c r="B2935" s="3" t="s">
        <v>14</v>
      </c>
      <c r="C2935" s="3" t="s">
        <v>3082</v>
      </c>
      <c r="D2935" s="3" t="s">
        <v>32</v>
      </c>
      <c r="E2935" s="3" t="s">
        <v>466</v>
      </c>
      <c r="F2935" s="4">
        <v>46298</v>
      </c>
      <c r="G2935" s="3" t="s">
        <v>17</v>
      </c>
      <c r="H2935" s="5">
        <v>-179295.12</v>
      </c>
      <c r="I2935" s="3" t="s">
        <v>18</v>
      </c>
      <c r="J2935" s="3" t="s">
        <v>14</v>
      </c>
      <c r="K2935" s="3" t="s">
        <v>14</v>
      </c>
      <c r="L2935" s="3" t="s">
        <v>3083</v>
      </c>
      <c r="M2935" s="4">
        <v>46298</v>
      </c>
      <c r="N2935" s="3" t="s">
        <v>3084</v>
      </c>
      <c r="O2935" s="3" t="s">
        <v>35</v>
      </c>
      <c r="P2935" t="str">
        <f t="shared" si="45"/>
        <v>450013998830</v>
      </c>
      <c r="Q2935" s="7" cm="1">
        <f t="array" ref="Q2935:S2935">VLOOKUP(P2935,Hoja1!C:F,{2,3,4},FALSE)</f>
        <v>46297</v>
      </c>
      <c r="R2935" t="str">
        <v>377</v>
      </c>
      <c r="S2935" t="str">
        <v>1000004810 SOLUTION SERVICES SRL</v>
      </c>
    </row>
    <row r="2936" spans="1:19" x14ac:dyDescent="0.3">
      <c r="A2936" s="2" t="s">
        <v>14</v>
      </c>
      <c r="B2936" s="3" t="s">
        <v>14</v>
      </c>
      <c r="C2936" s="3" t="s">
        <v>3085</v>
      </c>
      <c r="D2936" s="3" t="s">
        <v>32</v>
      </c>
      <c r="E2936" s="3" t="s">
        <v>466</v>
      </c>
      <c r="F2936" s="4">
        <v>46298</v>
      </c>
      <c r="G2936" s="3" t="s">
        <v>17</v>
      </c>
      <c r="H2936" s="5">
        <v>-117451.25</v>
      </c>
      <c r="I2936" s="3" t="s">
        <v>18</v>
      </c>
      <c r="J2936" s="3" t="s">
        <v>14</v>
      </c>
      <c r="K2936" s="3" t="s">
        <v>14</v>
      </c>
      <c r="L2936" s="3" t="s">
        <v>597</v>
      </c>
      <c r="M2936" s="4">
        <v>46298</v>
      </c>
      <c r="N2936" s="3" t="s">
        <v>3086</v>
      </c>
      <c r="O2936" s="3" t="s">
        <v>30</v>
      </c>
      <c r="P2936" t="str">
        <f t="shared" si="45"/>
        <v>450013924110</v>
      </c>
      <c r="Q2936" s="7" cm="1">
        <f t="array" ref="Q2936:S2936">VLOOKUP(P2936,Hoja1!C:F,{2,3,4},FALSE)</f>
        <v>46289</v>
      </c>
      <c r="R2936" t="str">
        <v>C11</v>
      </c>
      <c r="S2936" t="str">
        <v>1000009527 ELECTRICIDAD PANAMERICANA S.A.</v>
      </c>
    </row>
    <row r="2937" spans="1:19" x14ac:dyDescent="0.3">
      <c r="A2937" s="2" t="s">
        <v>14</v>
      </c>
      <c r="B2937" s="3" t="s">
        <v>14</v>
      </c>
      <c r="C2937" s="3" t="s">
        <v>3087</v>
      </c>
      <c r="D2937" s="3" t="s">
        <v>32</v>
      </c>
      <c r="E2937" s="3" t="s">
        <v>466</v>
      </c>
      <c r="F2937" s="4">
        <v>46299</v>
      </c>
      <c r="G2937" s="3" t="s">
        <v>17</v>
      </c>
      <c r="H2937" s="5">
        <v>-5451136</v>
      </c>
      <c r="I2937" s="3" t="s">
        <v>18</v>
      </c>
      <c r="J2937" s="3" t="s">
        <v>14</v>
      </c>
      <c r="K2937" s="3" t="s">
        <v>14</v>
      </c>
      <c r="L2937" s="3" t="s">
        <v>73</v>
      </c>
      <c r="M2937" s="4">
        <v>46299</v>
      </c>
      <c r="N2937" s="3" t="s">
        <v>436</v>
      </c>
      <c r="O2937" s="3" t="s">
        <v>30</v>
      </c>
      <c r="P2937" t="str">
        <f t="shared" si="45"/>
        <v>450013922410</v>
      </c>
      <c r="Q2937" s="7" cm="1">
        <f t="array" ref="Q2937:S2937">VLOOKUP(P2937,Hoja1!C:F,{2,3,4},FALSE)</f>
        <v>46326</v>
      </c>
      <c r="R2937" t="str">
        <v>C21</v>
      </c>
      <c r="S2937" t="str">
        <v>1000000808 GLOBAL OIL S.R.L.</v>
      </c>
    </row>
    <row r="2938" spans="1:19" x14ac:dyDescent="0.3">
      <c r="A2938" s="2" t="s">
        <v>14</v>
      </c>
      <c r="B2938" s="3" t="s">
        <v>14</v>
      </c>
      <c r="C2938" s="3" t="s">
        <v>3087</v>
      </c>
      <c r="D2938" s="3" t="s">
        <v>32</v>
      </c>
      <c r="E2938" s="3" t="s">
        <v>466</v>
      </c>
      <c r="F2938" s="4">
        <v>46299</v>
      </c>
      <c r="G2938" s="3" t="s">
        <v>17</v>
      </c>
      <c r="H2938" s="5">
        <v>-509664</v>
      </c>
      <c r="I2938" s="3" t="s">
        <v>18</v>
      </c>
      <c r="J2938" s="3" t="s">
        <v>14</v>
      </c>
      <c r="K2938" s="3" t="s">
        <v>14</v>
      </c>
      <c r="L2938" s="3" t="s">
        <v>73</v>
      </c>
      <c r="M2938" s="4">
        <v>46299</v>
      </c>
      <c r="N2938" s="3" t="s">
        <v>436</v>
      </c>
      <c r="O2938" s="3" t="s">
        <v>30</v>
      </c>
      <c r="P2938" t="str">
        <f t="shared" si="45"/>
        <v>450013922410</v>
      </c>
      <c r="Q2938" s="7" cm="1">
        <f t="array" ref="Q2938:S2938">VLOOKUP(P2938,Hoja1!C:F,{2,3,4},FALSE)</f>
        <v>46326</v>
      </c>
      <c r="R2938" t="str">
        <v>C21</v>
      </c>
      <c r="S2938" t="str">
        <v>1000000808 GLOBAL OIL S.R.L.</v>
      </c>
    </row>
    <row r="2939" spans="1:19" x14ac:dyDescent="0.3">
      <c r="A2939" s="2" t="s">
        <v>14</v>
      </c>
      <c r="B2939" s="3" t="s">
        <v>14</v>
      </c>
      <c r="C2939" s="3" t="s">
        <v>3087</v>
      </c>
      <c r="D2939" s="3" t="s">
        <v>32</v>
      </c>
      <c r="E2939" s="3" t="s">
        <v>466</v>
      </c>
      <c r="F2939" s="4">
        <v>46299</v>
      </c>
      <c r="G2939" s="3" t="s">
        <v>17</v>
      </c>
      <c r="H2939" s="5">
        <v>-107276.8</v>
      </c>
      <c r="I2939" s="3" t="s">
        <v>18</v>
      </c>
      <c r="J2939" s="3" t="s">
        <v>14</v>
      </c>
      <c r="K2939" s="3" t="s">
        <v>14</v>
      </c>
      <c r="L2939" s="3" t="s">
        <v>73</v>
      </c>
      <c r="M2939" s="4">
        <v>46299</v>
      </c>
      <c r="N2939" s="3" t="s">
        <v>436</v>
      </c>
      <c r="O2939" s="3" t="s">
        <v>30</v>
      </c>
      <c r="P2939" t="str">
        <f t="shared" si="45"/>
        <v>450013922410</v>
      </c>
      <c r="Q2939" s="7" cm="1">
        <f t="array" ref="Q2939:S2939">VLOOKUP(P2939,Hoja1!C:F,{2,3,4},FALSE)</f>
        <v>46326</v>
      </c>
      <c r="R2939" t="str">
        <v>C21</v>
      </c>
      <c r="S2939" t="str">
        <v>1000000808 GLOBAL OIL S.R.L.</v>
      </c>
    </row>
    <row r="2940" spans="1:19" x14ac:dyDescent="0.3">
      <c r="A2940" s="2" t="s">
        <v>14</v>
      </c>
      <c r="B2940" s="3" t="s">
        <v>14</v>
      </c>
      <c r="C2940" s="3" t="s">
        <v>3088</v>
      </c>
      <c r="D2940" s="3" t="s">
        <v>32</v>
      </c>
      <c r="E2940" s="3" t="s">
        <v>466</v>
      </c>
      <c r="F2940" s="4">
        <v>46299</v>
      </c>
      <c r="G2940" s="3" t="s">
        <v>17</v>
      </c>
      <c r="H2940" s="5">
        <v>-3785132.56</v>
      </c>
      <c r="I2940" s="3" t="s">
        <v>18</v>
      </c>
      <c r="J2940" s="3" t="s">
        <v>14</v>
      </c>
      <c r="K2940" s="3" t="s">
        <v>14</v>
      </c>
      <c r="L2940" s="3" t="s">
        <v>73</v>
      </c>
      <c r="M2940" s="4">
        <v>46299</v>
      </c>
      <c r="N2940" s="3" t="s">
        <v>436</v>
      </c>
      <c r="O2940" s="3" t="s">
        <v>30</v>
      </c>
      <c r="P2940" t="str">
        <f t="shared" si="45"/>
        <v>450013922410</v>
      </c>
      <c r="Q2940" s="7" cm="1">
        <f t="array" ref="Q2940:S2940">VLOOKUP(P2940,Hoja1!C:F,{2,3,4},FALSE)</f>
        <v>46326</v>
      </c>
      <c r="R2940" t="str">
        <v>C21</v>
      </c>
      <c r="S2940" t="str">
        <v>1000000808 GLOBAL OIL S.R.L.</v>
      </c>
    </row>
    <row r="2941" spans="1:19" x14ac:dyDescent="0.3">
      <c r="A2941" s="2" t="s">
        <v>14</v>
      </c>
      <c r="B2941" s="3" t="s">
        <v>14</v>
      </c>
      <c r="C2941" s="3" t="s">
        <v>3088</v>
      </c>
      <c r="D2941" s="3" t="s">
        <v>32</v>
      </c>
      <c r="E2941" s="3" t="s">
        <v>466</v>
      </c>
      <c r="F2941" s="4">
        <v>46299</v>
      </c>
      <c r="G2941" s="3" t="s">
        <v>17</v>
      </c>
      <c r="H2941" s="5">
        <v>-353897.94</v>
      </c>
      <c r="I2941" s="3" t="s">
        <v>18</v>
      </c>
      <c r="J2941" s="3" t="s">
        <v>14</v>
      </c>
      <c r="K2941" s="3" t="s">
        <v>14</v>
      </c>
      <c r="L2941" s="3" t="s">
        <v>73</v>
      </c>
      <c r="M2941" s="4">
        <v>46299</v>
      </c>
      <c r="N2941" s="3" t="s">
        <v>436</v>
      </c>
      <c r="O2941" s="3" t="s">
        <v>30</v>
      </c>
      <c r="P2941" t="str">
        <f t="shared" si="45"/>
        <v>450013922410</v>
      </c>
      <c r="Q2941" s="7" cm="1">
        <f t="array" ref="Q2941:S2941">VLOOKUP(P2941,Hoja1!C:F,{2,3,4},FALSE)</f>
        <v>46326</v>
      </c>
      <c r="R2941" t="str">
        <v>C21</v>
      </c>
      <c r="S2941" t="str">
        <v>1000000808 GLOBAL OIL S.R.L.</v>
      </c>
    </row>
    <row r="2942" spans="1:19" x14ac:dyDescent="0.3">
      <c r="A2942" s="2" t="s">
        <v>14</v>
      </c>
      <c r="B2942" s="3" t="s">
        <v>14</v>
      </c>
      <c r="C2942" s="3" t="s">
        <v>3088</v>
      </c>
      <c r="D2942" s="3" t="s">
        <v>32</v>
      </c>
      <c r="E2942" s="3" t="s">
        <v>466</v>
      </c>
      <c r="F2942" s="4">
        <v>46299</v>
      </c>
      <c r="G2942" s="3" t="s">
        <v>17</v>
      </c>
      <c r="H2942" s="5">
        <v>-74490.33</v>
      </c>
      <c r="I2942" s="3" t="s">
        <v>18</v>
      </c>
      <c r="J2942" s="3" t="s">
        <v>14</v>
      </c>
      <c r="K2942" s="3" t="s">
        <v>14</v>
      </c>
      <c r="L2942" s="3" t="s">
        <v>73</v>
      </c>
      <c r="M2942" s="4">
        <v>46299</v>
      </c>
      <c r="N2942" s="3" t="s">
        <v>436</v>
      </c>
      <c r="O2942" s="3" t="s">
        <v>30</v>
      </c>
      <c r="P2942" t="str">
        <f t="shared" si="45"/>
        <v>450013922410</v>
      </c>
      <c r="Q2942" s="7" cm="1">
        <f t="array" ref="Q2942:S2942">VLOOKUP(P2942,Hoja1!C:F,{2,3,4},FALSE)</f>
        <v>46326</v>
      </c>
      <c r="R2942" t="str">
        <v>C21</v>
      </c>
      <c r="S2942" t="str">
        <v>1000000808 GLOBAL OIL S.R.L.</v>
      </c>
    </row>
    <row r="2943" spans="1:19" x14ac:dyDescent="0.3">
      <c r="A2943" s="2" t="s">
        <v>14</v>
      </c>
      <c r="B2943" s="3" t="s">
        <v>14</v>
      </c>
      <c r="C2943" s="3" t="s">
        <v>3089</v>
      </c>
      <c r="D2943" s="3" t="s">
        <v>14</v>
      </c>
      <c r="E2943" s="3" t="s">
        <v>466</v>
      </c>
      <c r="F2943" s="4">
        <v>46300</v>
      </c>
      <c r="G2943" s="3" t="s">
        <v>17</v>
      </c>
      <c r="H2943" s="5">
        <v>-2076235</v>
      </c>
      <c r="I2943" s="3" t="s">
        <v>18</v>
      </c>
      <c r="J2943" s="3" t="s">
        <v>14</v>
      </c>
      <c r="K2943" s="3" t="s">
        <v>14</v>
      </c>
      <c r="L2943" s="3" t="s">
        <v>3090</v>
      </c>
      <c r="M2943" s="4">
        <v>46300</v>
      </c>
      <c r="N2943" s="3" t="s">
        <v>3091</v>
      </c>
      <c r="O2943" s="3" t="s">
        <v>30</v>
      </c>
      <c r="P2943" t="str">
        <f t="shared" si="45"/>
        <v>450013968510</v>
      </c>
      <c r="Q2943" s="7" cm="1">
        <f t="array" ref="Q2943:S2943">VLOOKUP(P2943,Hoja1!C:F,{2,3,4},FALSE)</f>
        <v>46304</v>
      </c>
      <c r="R2943" t="str">
        <v>C38</v>
      </c>
      <c r="S2943" t="str">
        <v>1000013101 CORTESI MIGUEL ANGEL</v>
      </c>
    </row>
    <row r="2944" spans="1:19" x14ac:dyDescent="0.3">
      <c r="A2944" s="2" t="s">
        <v>14</v>
      </c>
      <c r="B2944" s="3" t="s">
        <v>14</v>
      </c>
      <c r="C2944" s="3" t="s">
        <v>3092</v>
      </c>
      <c r="D2944" s="3" t="s">
        <v>14</v>
      </c>
      <c r="E2944" s="3" t="s">
        <v>466</v>
      </c>
      <c r="F2944" s="4">
        <v>46300</v>
      </c>
      <c r="G2944" s="3" t="s">
        <v>17</v>
      </c>
      <c r="H2944" s="5">
        <v>-1224500</v>
      </c>
      <c r="I2944" s="3" t="s">
        <v>18</v>
      </c>
      <c r="J2944" s="3" t="s">
        <v>14</v>
      </c>
      <c r="K2944" s="3" t="s">
        <v>14</v>
      </c>
      <c r="L2944" s="3" t="s">
        <v>1087</v>
      </c>
      <c r="M2944" s="4">
        <v>46300</v>
      </c>
      <c r="N2944" s="3" t="s">
        <v>3093</v>
      </c>
      <c r="O2944" s="3" t="s">
        <v>30</v>
      </c>
      <c r="P2944" t="str">
        <f t="shared" si="45"/>
        <v>450014011610</v>
      </c>
      <c r="Q2944" s="7" cm="1">
        <f t="array" ref="Q2944:S2944">VLOOKUP(P2944,Hoja1!C:F,{2,3,4},FALSE)</f>
        <v>46300</v>
      </c>
      <c r="R2944" t="str">
        <v>C38</v>
      </c>
      <c r="S2944" t="str">
        <v>1000000326 CABRERA ADRIAN ALFREDO RAMON</v>
      </c>
    </row>
    <row r="2945" spans="1:19" x14ac:dyDescent="0.3">
      <c r="A2945" s="2" t="s">
        <v>14</v>
      </c>
      <c r="B2945" s="3" t="s">
        <v>14</v>
      </c>
      <c r="C2945" s="3" t="s">
        <v>3094</v>
      </c>
      <c r="D2945" s="3" t="s">
        <v>14</v>
      </c>
      <c r="E2945" s="3" t="s">
        <v>466</v>
      </c>
      <c r="F2945" s="4">
        <v>46300</v>
      </c>
      <c r="G2945" s="3" t="s">
        <v>17</v>
      </c>
      <c r="H2945" s="5">
        <v>-132053.79</v>
      </c>
      <c r="I2945" s="3" t="s">
        <v>18</v>
      </c>
      <c r="J2945" s="3" t="s">
        <v>14</v>
      </c>
      <c r="K2945" s="3" t="s">
        <v>14</v>
      </c>
      <c r="L2945" s="3" t="s">
        <v>1075</v>
      </c>
      <c r="M2945" s="4">
        <v>46300</v>
      </c>
      <c r="N2945" s="3" t="s">
        <v>3095</v>
      </c>
      <c r="O2945" s="3" t="s">
        <v>30</v>
      </c>
      <c r="P2945" t="str">
        <f t="shared" si="45"/>
        <v>450013996010</v>
      </c>
      <c r="Q2945" s="7" cm="1">
        <f t="array" ref="Q2945:S2945">VLOOKUP(P2945,Hoja1!C:F,{2,3,4},FALSE)</f>
        <v>46308</v>
      </c>
      <c r="R2945" t="str">
        <v>C17</v>
      </c>
      <c r="S2945" t="str">
        <v>1000000023 IND. QUIMICAS KAISER S.R.L.</v>
      </c>
    </row>
    <row r="2946" spans="1:19" x14ac:dyDescent="0.3">
      <c r="A2946" s="2" t="s">
        <v>14</v>
      </c>
      <c r="B2946" s="3" t="s">
        <v>14</v>
      </c>
      <c r="C2946" s="3" t="s">
        <v>3094</v>
      </c>
      <c r="D2946" s="3" t="s">
        <v>14</v>
      </c>
      <c r="E2946" s="3" t="s">
        <v>466</v>
      </c>
      <c r="F2946" s="4">
        <v>46300</v>
      </c>
      <c r="G2946" s="3" t="s">
        <v>17</v>
      </c>
      <c r="H2946" s="5">
        <v>-60000</v>
      </c>
      <c r="I2946" s="3" t="s">
        <v>18</v>
      </c>
      <c r="J2946" s="3" t="s">
        <v>14</v>
      </c>
      <c r="K2946" s="3" t="s">
        <v>14</v>
      </c>
      <c r="L2946" s="3" t="s">
        <v>1075</v>
      </c>
      <c r="M2946" s="4">
        <v>46300</v>
      </c>
      <c r="N2946" s="3" t="s">
        <v>3095</v>
      </c>
      <c r="O2946" s="3" t="s">
        <v>22</v>
      </c>
      <c r="P2946" t="str">
        <f t="shared" si="45"/>
        <v>450013996020</v>
      </c>
      <c r="Q2946" s="7" cm="1">
        <f t="array" ref="Q2946:S2946">VLOOKUP(P2946,Hoja1!C:F,{2,3,4},FALSE)</f>
        <v>46308</v>
      </c>
      <c r="R2946" t="str">
        <v>C17</v>
      </c>
      <c r="S2946" t="str">
        <v>1000000023 IND. QUIMICAS KAISER S.R.L.</v>
      </c>
    </row>
    <row r="2947" spans="1:19" x14ac:dyDescent="0.3">
      <c r="A2947" s="2" t="s">
        <v>14</v>
      </c>
      <c r="B2947" s="3" t="s">
        <v>14</v>
      </c>
      <c r="C2947" s="3" t="s">
        <v>3096</v>
      </c>
      <c r="D2947" s="3" t="s">
        <v>14</v>
      </c>
      <c r="E2947" s="3" t="s">
        <v>466</v>
      </c>
      <c r="F2947" s="4">
        <v>46300</v>
      </c>
      <c r="G2947" s="3" t="s">
        <v>17</v>
      </c>
      <c r="H2947" s="5">
        <v>-92600</v>
      </c>
      <c r="I2947" s="3" t="s">
        <v>18</v>
      </c>
      <c r="J2947" s="3" t="s">
        <v>14</v>
      </c>
      <c r="K2947" s="3" t="s">
        <v>14</v>
      </c>
      <c r="L2947" s="3" t="s">
        <v>221</v>
      </c>
      <c r="M2947" s="4">
        <v>46300</v>
      </c>
      <c r="N2947" s="3" t="s">
        <v>2894</v>
      </c>
      <c r="O2947" s="3" t="s">
        <v>30</v>
      </c>
      <c r="P2947" t="str">
        <f t="shared" ref="P2947:P3010" si="46">_xlfn.CONCAT(N2947:O2947)</f>
        <v>450014013910</v>
      </c>
      <c r="Q2947" s="7" cm="1">
        <f t="array" ref="Q2947:S2947">VLOOKUP(P2947,Hoja1!C:F,{2,3,4},FALSE)</f>
        <v>46387</v>
      </c>
      <c r="R2947" t="str">
        <v>C24</v>
      </c>
      <c r="S2947" t="str">
        <v>1000000026 NEURALSOFT S.R.L.</v>
      </c>
    </row>
    <row r="2948" spans="1:19" x14ac:dyDescent="0.3">
      <c r="A2948" s="2" t="s">
        <v>14</v>
      </c>
      <c r="B2948" s="3" t="s">
        <v>14</v>
      </c>
      <c r="C2948" s="3" t="s">
        <v>3097</v>
      </c>
      <c r="D2948" s="3" t="s">
        <v>84</v>
      </c>
      <c r="E2948" s="3" t="s">
        <v>466</v>
      </c>
      <c r="F2948" s="4">
        <v>46300</v>
      </c>
      <c r="G2948" s="3" t="s">
        <v>17</v>
      </c>
      <c r="H2948" s="5">
        <v>-876000</v>
      </c>
      <c r="I2948" s="3" t="s">
        <v>18</v>
      </c>
      <c r="J2948" s="3" t="s">
        <v>14</v>
      </c>
      <c r="K2948" s="3" t="s">
        <v>14</v>
      </c>
      <c r="L2948" s="3" t="s">
        <v>1164</v>
      </c>
      <c r="M2948" s="4">
        <v>46300</v>
      </c>
      <c r="N2948" s="3" t="s">
        <v>3098</v>
      </c>
      <c r="O2948" s="3" t="s">
        <v>30</v>
      </c>
      <c r="P2948" t="str">
        <f t="shared" si="46"/>
        <v>450013996910</v>
      </c>
      <c r="Q2948" s="7" cm="1">
        <f t="array" ref="Q2948:S2948">VLOOKUP(P2948,Hoja1!C:F,{2,3,4},FALSE)</f>
        <v>46315</v>
      </c>
      <c r="R2948" t="str">
        <v>C06</v>
      </c>
      <c r="S2948" t="str">
        <v>1000013253 PIAZZA MARCOS LUCIANO</v>
      </c>
    </row>
    <row r="2949" spans="1:19" x14ac:dyDescent="0.3">
      <c r="A2949" s="2" t="s">
        <v>14</v>
      </c>
      <c r="B2949" s="3" t="s">
        <v>14</v>
      </c>
      <c r="C2949" s="3" t="s">
        <v>3097</v>
      </c>
      <c r="D2949" s="3" t="s">
        <v>84</v>
      </c>
      <c r="E2949" s="3" t="s">
        <v>466</v>
      </c>
      <c r="F2949" s="4">
        <v>46300</v>
      </c>
      <c r="G2949" s="3" t="s">
        <v>17</v>
      </c>
      <c r="H2949" s="5">
        <v>-298000</v>
      </c>
      <c r="I2949" s="3" t="s">
        <v>18</v>
      </c>
      <c r="J2949" s="3" t="s">
        <v>14</v>
      </c>
      <c r="K2949" s="3" t="s">
        <v>14</v>
      </c>
      <c r="L2949" s="3" t="s">
        <v>1164</v>
      </c>
      <c r="M2949" s="4">
        <v>46300</v>
      </c>
      <c r="N2949" s="3" t="s">
        <v>3098</v>
      </c>
      <c r="O2949" s="3" t="s">
        <v>22</v>
      </c>
      <c r="P2949" t="str">
        <f t="shared" si="46"/>
        <v>450013996920</v>
      </c>
      <c r="Q2949" s="7" cm="1">
        <f t="array" ref="Q2949:S2949">VLOOKUP(P2949,Hoja1!C:F,{2,3,4},FALSE)</f>
        <v>46315</v>
      </c>
      <c r="R2949" t="str">
        <v>C06</v>
      </c>
      <c r="S2949" t="str">
        <v>1000013253 PIAZZA MARCOS LUCIANO</v>
      </c>
    </row>
    <row r="2950" spans="1:19" x14ac:dyDescent="0.3">
      <c r="A2950" s="2" t="s">
        <v>14</v>
      </c>
      <c r="B2950" s="3" t="s">
        <v>14</v>
      </c>
      <c r="C2950" s="3" t="s">
        <v>3099</v>
      </c>
      <c r="D2950" s="3" t="s">
        <v>14</v>
      </c>
      <c r="E2950" s="3" t="s">
        <v>466</v>
      </c>
      <c r="F2950" s="4">
        <v>46300</v>
      </c>
      <c r="G2950" s="3" t="s">
        <v>17</v>
      </c>
      <c r="H2950" s="5">
        <v>-2510077.19</v>
      </c>
      <c r="I2950" s="3" t="s">
        <v>18</v>
      </c>
      <c r="J2950" s="3" t="s">
        <v>14</v>
      </c>
      <c r="K2950" s="3" t="s">
        <v>14</v>
      </c>
      <c r="L2950" s="3" t="s">
        <v>1211</v>
      </c>
      <c r="M2950" s="4">
        <v>46300</v>
      </c>
      <c r="N2950" s="3" t="s">
        <v>3100</v>
      </c>
      <c r="O2950" s="3" t="s">
        <v>30</v>
      </c>
      <c r="P2950" t="str">
        <f t="shared" si="46"/>
        <v>450013976210</v>
      </c>
      <c r="Q2950" s="7" cm="1">
        <f t="array" ref="Q2950:S2950">VLOOKUP(P2950,Hoja1!C:F,{2,3,4},FALSE)</f>
        <v>46307</v>
      </c>
      <c r="R2950" t="str">
        <v>F04</v>
      </c>
      <c r="S2950" t="str">
        <v>1000000012 IGARRETA MAQUINAS S.A.</v>
      </c>
    </row>
    <row r="2951" spans="1:19" x14ac:dyDescent="0.3">
      <c r="A2951" s="2" t="s">
        <v>14</v>
      </c>
      <c r="B2951" s="3" t="s">
        <v>14</v>
      </c>
      <c r="C2951" s="3" t="s">
        <v>3101</v>
      </c>
      <c r="D2951" s="3" t="s">
        <v>14</v>
      </c>
      <c r="E2951" s="3" t="s">
        <v>466</v>
      </c>
      <c r="F2951" s="4">
        <v>46300</v>
      </c>
      <c r="G2951" s="3" t="s">
        <v>17</v>
      </c>
      <c r="H2951" s="5">
        <v>-268000</v>
      </c>
      <c r="I2951" s="3" t="s">
        <v>18</v>
      </c>
      <c r="J2951" s="3" t="s">
        <v>14</v>
      </c>
      <c r="K2951" s="3" t="s">
        <v>14</v>
      </c>
      <c r="L2951" s="3" t="s">
        <v>3102</v>
      </c>
      <c r="M2951" s="4">
        <v>46300</v>
      </c>
      <c r="N2951" s="3" t="s">
        <v>3103</v>
      </c>
      <c r="O2951" s="3" t="s">
        <v>30</v>
      </c>
      <c r="P2951" t="str">
        <f t="shared" si="46"/>
        <v>450014014210</v>
      </c>
      <c r="Q2951" s="7" cm="1">
        <f t="array" ref="Q2951:S2951">VLOOKUP(P2951,Hoja1!C:F,{2,3,4},FALSE)</f>
        <v>46296</v>
      </c>
      <c r="R2951" t="str">
        <v>EFO</v>
      </c>
      <c r="S2951" t="str">
        <v>1000004040 TABLADA OSCAR MAXIMO</v>
      </c>
    </row>
    <row r="2952" spans="1:19" x14ac:dyDescent="0.3">
      <c r="A2952" s="2" t="s">
        <v>14</v>
      </c>
      <c r="B2952" s="3" t="s">
        <v>14</v>
      </c>
      <c r="C2952" s="3" t="s">
        <v>3104</v>
      </c>
      <c r="D2952" s="3" t="s">
        <v>14</v>
      </c>
      <c r="E2952" s="3" t="s">
        <v>466</v>
      </c>
      <c r="F2952" s="4">
        <v>46300</v>
      </c>
      <c r="G2952" s="3" t="s">
        <v>17</v>
      </c>
      <c r="H2952" s="5">
        <v>-1894375</v>
      </c>
      <c r="I2952" s="3" t="s">
        <v>18</v>
      </c>
      <c r="J2952" s="3" t="s">
        <v>14</v>
      </c>
      <c r="K2952" s="3" t="s">
        <v>14</v>
      </c>
      <c r="L2952" s="3" t="s">
        <v>3105</v>
      </c>
      <c r="M2952" s="4">
        <v>46300</v>
      </c>
      <c r="N2952" s="3" t="s">
        <v>3106</v>
      </c>
      <c r="O2952" s="3" t="s">
        <v>30</v>
      </c>
      <c r="P2952" t="str">
        <f t="shared" si="46"/>
        <v>450013980410</v>
      </c>
      <c r="Q2952" s="7" cm="1">
        <f t="array" ref="Q2952:S2952">VLOOKUP(P2952,Hoja1!C:F,{2,3,4},FALSE)</f>
        <v>46296</v>
      </c>
      <c r="R2952" t="str">
        <v>C24</v>
      </c>
      <c r="S2952" t="str">
        <v>1000001326 HAY ARGENTINA SA</v>
      </c>
    </row>
    <row r="2953" spans="1:19" x14ac:dyDescent="0.3">
      <c r="A2953" s="2" t="s">
        <v>14</v>
      </c>
      <c r="B2953" s="3" t="s">
        <v>14</v>
      </c>
      <c r="C2953" s="3" t="s">
        <v>3104</v>
      </c>
      <c r="D2953" s="3" t="s">
        <v>14</v>
      </c>
      <c r="E2953" s="3" t="s">
        <v>466</v>
      </c>
      <c r="F2953" s="4">
        <v>46300</v>
      </c>
      <c r="G2953" s="3" t="s">
        <v>17</v>
      </c>
      <c r="H2953" s="5">
        <v>-1515500</v>
      </c>
      <c r="I2953" s="3" t="s">
        <v>18</v>
      </c>
      <c r="J2953" s="3" t="s">
        <v>14</v>
      </c>
      <c r="K2953" s="3" t="s">
        <v>14</v>
      </c>
      <c r="L2953" s="3" t="s">
        <v>3105</v>
      </c>
      <c r="M2953" s="4">
        <v>46300</v>
      </c>
      <c r="N2953" s="3" t="s">
        <v>3106</v>
      </c>
      <c r="O2953" s="3" t="s">
        <v>22</v>
      </c>
      <c r="P2953" t="str">
        <f t="shared" si="46"/>
        <v>450013980420</v>
      </c>
      <c r="Q2953" s="7" cm="1">
        <f t="array" ref="Q2953:S2953">VLOOKUP(P2953,Hoja1!C:F,{2,3,4},FALSE)</f>
        <v>46296</v>
      </c>
      <c r="R2953" t="str">
        <v>C24</v>
      </c>
      <c r="S2953" t="str">
        <v>1000001326 HAY ARGENTINA SA</v>
      </c>
    </row>
    <row r="2954" spans="1:19" x14ac:dyDescent="0.3">
      <c r="A2954" s="2" t="s">
        <v>14</v>
      </c>
      <c r="B2954" s="3" t="s">
        <v>14</v>
      </c>
      <c r="C2954" s="3" t="s">
        <v>3107</v>
      </c>
      <c r="D2954" s="3" t="s">
        <v>14</v>
      </c>
      <c r="E2954" s="3" t="s">
        <v>466</v>
      </c>
      <c r="F2954" s="4">
        <v>46300</v>
      </c>
      <c r="G2954" s="3" t="s">
        <v>17</v>
      </c>
      <c r="H2954" s="5">
        <v>-4673347.3499999996</v>
      </c>
      <c r="I2954" s="3" t="s">
        <v>18</v>
      </c>
      <c r="J2954" s="3" t="s">
        <v>14</v>
      </c>
      <c r="K2954" s="3" t="s">
        <v>14</v>
      </c>
      <c r="L2954" s="3" t="s">
        <v>3108</v>
      </c>
      <c r="M2954" s="4">
        <v>46300</v>
      </c>
      <c r="N2954" s="3" t="s">
        <v>3109</v>
      </c>
      <c r="O2954" s="3" t="s">
        <v>30</v>
      </c>
      <c r="P2954" t="str">
        <f t="shared" si="46"/>
        <v>450012245810</v>
      </c>
      <c r="Q2954" s="7" cm="1">
        <f t="array" ref="Q2954:S2954">VLOOKUP(P2954,Hoja1!C:F,{2,3,4},FALSE)</f>
        <v>46295</v>
      </c>
      <c r="R2954" t="str">
        <v>C18</v>
      </c>
      <c r="S2954" t="str">
        <v>1000000997 ARQUIMIA S A</v>
      </c>
    </row>
    <row r="2955" spans="1:19" x14ac:dyDescent="0.3">
      <c r="A2955" s="2" t="s">
        <v>14</v>
      </c>
      <c r="B2955" s="3" t="s">
        <v>14</v>
      </c>
      <c r="C2955" s="3" t="s">
        <v>3110</v>
      </c>
      <c r="D2955" s="3" t="s">
        <v>14</v>
      </c>
      <c r="E2955" s="3" t="s">
        <v>466</v>
      </c>
      <c r="F2955" s="4">
        <v>46300</v>
      </c>
      <c r="G2955" s="3" t="s">
        <v>17</v>
      </c>
      <c r="H2955" s="5">
        <v>-789547</v>
      </c>
      <c r="I2955" s="3" t="s">
        <v>18</v>
      </c>
      <c r="J2955" s="3" t="s">
        <v>14</v>
      </c>
      <c r="K2955" s="3" t="s">
        <v>14</v>
      </c>
      <c r="L2955" s="3" t="s">
        <v>3111</v>
      </c>
      <c r="M2955" s="4">
        <v>46300</v>
      </c>
      <c r="N2955" s="3" t="s">
        <v>3112</v>
      </c>
      <c r="O2955" s="3" t="s">
        <v>30</v>
      </c>
      <c r="P2955" t="str">
        <f t="shared" si="46"/>
        <v>450011810410</v>
      </c>
      <c r="Q2955" s="7" cm="1">
        <f t="array" ref="Q2955:S2955">VLOOKUP(P2955,Hoja1!C:F,{2,3,4},FALSE)</f>
        <v>46387</v>
      </c>
      <c r="R2955" t="str">
        <v>C24</v>
      </c>
      <c r="S2955" t="str">
        <v>1000002621 PEREZ MARZO SAS</v>
      </c>
    </row>
    <row r="2956" spans="1:19" x14ac:dyDescent="0.3">
      <c r="A2956" s="2" t="s">
        <v>14</v>
      </c>
      <c r="B2956" s="3" t="s">
        <v>14</v>
      </c>
      <c r="C2956" s="3" t="s">
        <v>3113</v>
      </c>
      <c r="D2956" s="3" t="s">
        <v>14</v>
      </c>
      <c r="E2956" s="3" t="s">
        <v>466</v>
      </c>
      <c r="F2956" s="4">
        <v>46300</v>
      </c>
      <c r="G2956" s="3" t="s">
        <v>17</v>
      </c>
      <c r="H2956" s="5">
        <v>-2061328.73</v>
      </c>
      <c r="I2956" s="3" t="s">
        <v>18</v>
      </c>
      <c r="J2956" s="3" t="s">
        <v>14</v>
      </c>
      <c r="K2956" s="3" t="s">
        <v>14</v>
      </c>
      <c r="L2956" s="3" t="s">
        <v>1211</v>
      </c>
      <c r="M2956" s="4">
        <v>46300</v>
      </c>
      <c r="N2956" s="3" t="s">
        <v>1451</v>
      </c>
      <c r="O2956" s="3" t="s">
        <v>30</v>
      </c>
      <c r="P2956" t="str">
        <f t="shared" si="46"/>
        <v>450013836610</v>
      </c>
      <c r="Q2956" s="7" cm="1">
        <f t="array" ref="Q2956:S2956">VLOOKUP(P2956,Hoja1!C:F,{2,3,4},FALSE)</f>
        <v>46295</v>
      </c>
      <c r="R2956" t="str">
        <v>C03</v>
      </c>
      <c r="S2956" t="str">
        <v>1000000012 IGARRETA MAQUINAS S.A.</v>
      </c>
    </row>
    <row r="2957" spans="1:19" x14ac:dyDescent="0.3">
      <c r="A2957" s="2" t="s">
        <v>14</v>
      </c>
      <c r="B2957" s="3" t="s">
        <v>14</v>
      </c>
      <c r="C2957" s="3" t="s">
        <v>3113</v>
      </c>
      <c r="D2957" s="3" t="s">
        <v>14</v>
      </c>
      <c r="E2957" s="3" t="s">
        <v>466</v>
      </c>
      <c r="F2957" s="4">
        <v>46300</v>
      </c>
      <c r="G2957" s="3" t="s">
        <v>17</v>
      </c>
      <c r="H2957" s="5">
        <v>-18985.29</v>
      </c>
      <c r="I2957" s="3" t="s">
        <v>18</v>
      </c>
      <c r="J2957" s="3" t="s">
        <v>14</v>
      </c>
      <c r="K2957" s="3" t="s">
        <v>14</v>
      </c>
      <c r="L2957" s="3" t="s">
        <v>1211</v>
      </c>
      <c r="M2957" s="4">
        <v>46300</v>
      </c>
      <c r="N2957" s="3" t="s">
        <v>1451</v>
      </c>
      <c r="O2957" s="3" t="s">
        <v>22</v>
      </c>
      <c r="P2957" t="str">
        <f t="shared" si="46"/>
        <v>450013836620</v>
      </c>
      <c r="Q2957" s="7" cm="1">
        <f t="array" ref="Q2957:S2957">VLOOKUP(P2957,Hoja1!C:F,{2,3,4},FALSE)</f>
        <v>46295</v>
      </c>
      <c r="R2957" t="str">
        <v>C03</v>
      </c>
      <c r="S2957" t="str">
        <v>1000000012 IGARRETA MAQUINAS S.A.</v>
      </c>
    </row>
    <row r="2958" spans="1:19" x14ac:dyDescent="0.3">
      <c r="A2958" s="2" t="s">
        <v>14</v>
      </c>
      <c r="B2958" s="3" t="s">
        <v>14</v>
      </c>
      <c r="C2958" s="3" t="s">
        <v>3113</v>
      </c>
      <c r="D2958" s="3" t="s">
        <v>14</v>
      </c>
      <c r="E2958" s="3" t="s">
        <v>466</v>
      </c>
      <c r="F2958" s="4">
        <v>46300</v>
      </c>
      <c r="G2958" s="3" t="s">
        <v>17</v>
      </c>
      <c r="H2958" s="5">
        <v>-141937.68</v>
      </c>
      <c r="I2958" s="3" t="s">
        <v>18</v>
      </c>
      <c r="J2958" s="3" t="s">
        <v>14</v>
      </c>
      <c r="K2958" s="3" t="s">
        <v>14</v>
      </c>
      <c r="L2958" s="3" t="s">
        <v>1211</v>
      </c>
      <c r="M2958" s="4">
        <v>46300</v>
      </c>
      <c r="N2958" s="3" t="s">
        <v>1451</v>
      </c>
      <c r="O2958" s="3" t="s">
        <v>35</v>
      </c>
      <c r="P2958" t="str">
        <f t="shared" si="46"/>
        <v>450013836630</v>
      </c>
      <c r="Q2958" s="7" cm="1">
        <f t="array" ref="Q2958:S2958">VLOOKUP(P2958,Hoja1!C:F,{2,3,4},FALSE)</f>
        <v>46295</v>
      </c>
      <c r="R2958" t="str">
        <v>C03</v>
      </c>
      <c r="S2958" t="str">
        <v>1000000012 IGARRETA MAQUINAS S.A.</v>
      </c>
    </row>
    <row r="2959" spans="1:19" x14ac:dyDescent="0.3">
      <c r="A2959" s="2" t="s">
        <v>14</v>
      </c>
      <c r="B2959" s="3" t="s">
        <v>14</v>
      </c>
      <c r="C2959" s="3" t="s">
        <v>3113</v>
      </c>
      <c r="D2959" s="3" t="s">
        <v>14</v>
      </c>
      <c r="E2959" s="3" t="s">
        <v>466</v>
      </c>
      <c r="F2959" s="4">
        <v>46300</v>
      </c>
      <c r="G2959" s="3" t="s">
        <v>17</v>
      </c>
      <c r="H2959" s="5">
        <v>-79693.89</v>
      </c>
      <c r="I2959" s="3" t="s">
        <v>18</v>
      </c>
      <c r="J2959" s="3" t="s">
        <v>14</v>
      </c>
      <c r="K2959" s="3" t="s">
        <v>14</v>
      </c>
      <c r="L2959" s="3" t="s">
        <v>1211</v>
      </c>
      <c r="M2959" s="4">
        <v>46300</v>
      </c>
      <c r="N2959" s="3" t="s">
        <v>1451</v>
      </c>
      <c r="O2959" s="3" t="s">
        <v>134</v>
      </c>
      <c r="P2959" t="str">
        <f t="shared" si="46"/>
        <v>450013836670</v>
      </c>
      <c r="Q2959" s="7" cm="1">
        <f t="array" ref="Q2959:S2959">VLOOKUP(P2959,Hoja1!C:F,{2,3,4},FALSE)</f>
        <v>46295</v>
      </c>
      <c r="R2959" t="str">
        <v>C03</v>
      </c>
      <c r="S2959" t="str">
        <v>1000000012 IGARRETA MAQUINAS S.A.</v>
      </c>
    </row>
    <row r="2960" spans="1:19" x14ac:dyDescent="0.3">
      <c r="A2960" s="2" t="s">
        <v>14</v>
      </c>
      <c r="B2960" s="3" t="s">
        <v>14</v>
      </c>
      <c r="C2960" s="3" t="s">
        <v>3113</v>
      </c>
      <c r="D2960" s="3" t="s">
        <v>14</v>
      </c>
      <c r="E2960" s="3" t="s">
        <v>466</v>
      </c>
      <c r="F2960" s="4">
        <v>46300</v>
      </c>
      <c r="G2960" s="3" t="s">
        <v>17</v>
      </c>
      <c r="H2960" s="5">
        <v>-2846344.21</v>
      </c>
      <c r="I2960" s="3" t="s">
        <v>18</v>
      </c>
      <c r="J2960" s="3" t="s">
        <v>14</v>
      </c>
      <c r="K2960" s="3" t="s">
        <v>14</v>
      </c>
      <c r="L2960" s="3" t="s">
        <v>1211</v>
      </c>
      <c r="M2960" s="4">
        <v>46300</v>
      </c>
      <c r="N2960" s="3" t="s">
        <v>1451</v>
      </c>
      <c r="O2960" s="3" t="s">
        <v>52</v>
      </c>
      <c r="P2960" t="str">
        <f t="shared" si="46"/>
        <v>450013836680</v>
      </c>
      <c r="Q2960" s="7" cm="1">
        <f t="array" ref="Q2960:S2960">VLOOKUP(P2960,Hoja1!C:F,{2,3,4},FALSE)</f>
        <v>46295</v>
      </c>
      <c r="R2960" t="str">
        <v>C03</v>
      </c>
      <c r="S2960" t="str">
        <v>1000000012 IGARRETA MAQUINAS S.A.</v>
      </c>
    </row>
    <row r="2961" spans="1:19" x14ac:dyDescent="0.3">
      <c r="A2961" s="2" t="s">
        <v>14</v>
      </c>
      <c r="B2961" s="3" t="s">
        <v>14</v>
      </c>
      <c r="C2961" s="3" t="s">
        <v>3114</v>
      </c>
      <c r="D2961" s="3" t="s">
        <v>14</v>
      </c>
      <c r="E2961" s="3" t="s">
        <v>466</v>
      </c>
      <c r="F2961" s="4">
        <v>46300</v>
      </c>
      <c r="G2961" s="3" t="s">
        <v>17</v>
      </c>
      <c r="H2961" s="5">
        <v>-379070.61</v>
      </c>
      <c r="I2961" s="3" t="s">
        <v>18</v>
      </c>
      <c r="J2961" s="3" t="s">
        <v>14</v>
      </c>
      <c r="K2961" s="3" t="s">
        <v>14</v>
      </c>
      <c r="L2961" s="3" t="s">
        <v>434</v>
      </c>
      <c r="M2961" s="4">
        <v>46300</v>
      </c>
      <c r="N2961" s="3" t="s">
        <v>3115</v>
      </c>
      <c r="O2961" s="3" t="s">
        <v>30</v>
      </c>
      <c r="P2961" t="str">
        <f t="shared" si="46"/>
        <v>450014007510</v>
      </c>
      <c r="Q2961" s="7" cm="1">
        <f t="array" ref="Q2961:S2961">VLOOKUP(P2961,Hoja1!C:F,{2,3,4},FALSE)</f>
        <v>46305</v>
      </c>
      <c r="R2961" t="str">
        <v>C03</v>
      </c>
      <c r="S2961" t="str">
        <v>1000000488 BETA S.A.</v>
      </c>
    </row>
    <row r="2962" spans="1:19" x14ac:dyDescent="0.3">
      <c r="A2962" s="2" t="s">
        <v>14</v>
      </c>
      <c r="B2962" s="3" t="s">
        <v>14</v>
      </c>
      <c r="C2962" s="3" t="s">
        <v>3114</v>
      </c>
      <c r="D2962" s="3" t="s">
        <v>14</v>
      </c>
      <c r="E2962" s="3" t="s">
        <v>466</v>
      </c>
      <c r="F2962" s="4">
        <v>46300</v>
      </c>
      <c r="G2962" s="3" t="s">
        <v>17</v>
      </c>
      <c r="H2962" s="5">
        <v>-379070.61</v>
      </c>
      <c r="I2962" s="3" t="s">
        <v>18</v>
      </c>
      <c r="J2962" s="3" t="s">
        <v>14</v>
      </c>
      <c r="K2962" s="3" t="s">
        <v>14</v>
      </c>
      <c r="L2962" s="3" t="s">
        <v>434</v>
      </c>
      <c r="M2962" s="4">
        <v>46300</v>
      </c>
      <c r="N2962" s="3" t="s">
        <v>3115</v>
      </c>
      <c r="O2962" s="3" t="s">
        <v>22</v>
      </c>
      <c r="P2962" t="str">
        <f t="shared" si="46"/>
        <v>450014007520</v>
      </c>
      <c r="Q2962" s="7" cm="1">
        <f t="array" ref="Q2962:S2962">VLOOKUP(P2962,Hoja1!C:F,{2,3,4},FALSE)</f>
        <v>46305</v>
      </c>
      <c r="R2962" t="str">
        <v>C03</v>
      </c>
      <c r="S2962" t="str">
        <v>1000000488 BETA S.A.</v>
      </c>
    </row>
    <row r="2963" spans="1:19" x14ac:dyDescent="0.3">
      <c r="A2963" s="2" t="s">
        <v>14</v>
      </c>
      <c r="B2963" s="3" t="s">
        <v>14</v>
      </c>
      <c r="C2963" s="3" t="s">
        <v>3116</v>
      </c>
      <c r="D2963" s="3" t="s">
        <v>14</v>
      </c>
      <c r="E2963" s="3" t="s">
        <v>466</v>
      </c>
      <c r="F2963" s="4">
        <v>46300</v>
      </c>
      <c r="G2963" s="3" t="s">
        <v>17</v>
      </c>
      <c r="H2963" s="5">
        <v>-81000</v>
      </c>
      <c r="I2963" s="3" t="s">
        <v>18</v>
      </c>
      <c r="J2963" s="3" t="s">
        <v>14</v>
      </c>
      <c r="K2963" s="3" t="s">
        <v>14</v>
      </c>
      <c r="L2963" s="3" t="s">
        <v>3019</v>
      </c>
      <c r="M2963" s="4">
        <v>46300</v>
      </c>
      <c r="N2963" s="3" t="s">
        <v>3117</v>
      </c>
      <c r="O2963" s="3" t="s">
        <v>30</v>
      </c>
      <c r="P2963" t="str">
        <f t="shared" si="46"/>
        <v>450014014510</v>
      </c>
      <c r="Q2963" s="7" cm="1">
        <f t="array" ref="Q2963:S2963">VLOOKUP(P2963,Hoja1!C:F,{2,3,4},FALSE)</f>
        <v>46446</v>
      </c>
      <c r="R2963" t="str">
        <v>C24</v>
      </c>
      <c r="S2963" t="str">
        <v>1000000860 GRAFIKARE SRL</v>
      </c>
    </row>
    <row r="2964" spans="1:19" x14ac:dyDescent="0.3">
      <c r="A2964" s="2" t="s">
        <v>14</v>
      </c>
      <c r="B2964" s="3" t="s">
        <v>14</v>
      </c>
      <c r="C2964" s="3" t="s">
        <v>3118</v>
      </c>
      <c r="D2964" s="3" t="s">
        <v>14</v>
      </c>
      <c r="E2964" s="3" t="s">
        <v>466</v>
      </c>
      <c r="F2964" s="4">
        <v>46300</v>
      </c>
      <c r="G2964" s="3" t="s">
        <v>17</v>
      </c>
      <c r="H2964" s="5">
        <v>-770495.36</v>
      </c>
      <c r="I2964" s="3" t="s">
        <v>18</v>
      </c>
      <c r="J2964" s="3" t="s">
        <v>14</v>
      </c>
      <c r="K2964" s="3" t="s">
        <v>14</v>
      </c>
      <c r="L2964" s="3" t="s">
        <v>1211</v>
      </c>
      <c r="M2964" s="4">
        <v>46300</v>
      </c>
      <c r="N2964" s="3" t="s">
        <v>3119</v>
      </c>
      <c r="O2964" s="3" t="s">
        <v>30</v>
      </c>
      <c r="P2964" t="str">
        <f t="shared" si="46"/>
        <v>450013999810</v>
      </c>
      <c r="Q2964" s="7" cm="1">
        <f t="array" ref="Q2964:S2964">VLOOKUP(P2964,Hoja1!C:F,{2,3,4},FALSE)</f>
        <v>46308</v>
      </c>
      <c r="R2964" t="str">
        <v>F13</v>
      </c>
      <c r="S2964" t="str">
        <v>1000000012 IGARRETA MAQUINAS S.A.</v>
      </c>
    </row>
    <row r="2965" spans="1:19" x14ac:dyDescent="0.3">
      <c r="A2965" s="2" t="s">
        <v>14</v>
      </c>
      <c r="B2965" s="3" t="s">
        <v>14</v>
      </c>
      <c r="C2965" s="3" t="s">
        <v>3118</v>
      </c>
      <c r="D2965" s="3" t="s">
        <v>14</v>
      </c>
      <c r="E2965" s="3" t="s">
        <v>466</v>
      </c>
      <c r="F2965" s="4">
        <v>46300</v>
      </c>
      <c r="G2965" s="3" t="s">
        <v>17</v>
      </c>
      <c r="H2965" s="5">
        <v>-83473.740000000005</v>
      </c>
      <c r="I2965" s="3" t="s">
        <v>18</v>
      </c>
      <c r="J2965" s="3" t="s">
        <v>14</v>
      </c>
      <c r="K2965" s="3" t="s">
        <v>14</v>
      </c>
      <c r="L2965" s="3" t="s">
        <v>1211</v>
      </c>
      <c r="M2965" s="4">
        <v>46300</v>
      </c>
      <c r="N2965" s="3" t="s">
        <v>3119</v>
      </c>
      <c r="O2965" s="3" t="s">
        <v>35</v>
      </c>
      <c r="P2965" t="str">
        <f t="shared" si="46"/>
        <v>450013999830</v>
      </c>
      <c r="Q2965" s="7" cm="1">
        <f t="array" ref="Q2965:S2965">VLOOKUP(P2965,Hoja1!C:F,{2,3,4},FALSE)</f>
        <v>46308</v>
      </c>
      <c r="R2965" t="str">
        <v>F13</v>
      </c>
      <c r="S2965" t="str">
        <v>1000000012 IGARRETA MAQUINAS S.A.</v>
      </c>
    </row>
    <row r="2966" spans="1:19" x14ac:dyDescent="0.3">
      <c r="A2966" s="2" t="s">
        <v>14</v>
      </c>
      <c r="B2966" s="3" t="s">
        <v>14</v>
      </c>
      <c r="C2966" s="3" t="s">
        <v>3120</v>
      </c>
      <c r="D2966" s="3" t="s">
        <v>14</v>
      </c>
      <c r="E2966" s="3" t="s">
        <v>466</v>
      </c>
      <c r="F2966" s="4">
        <v>46300</v>
      </c>
      <c r="G2966" s="3" t="s">
        <v>17</v>
      </c>
      <c r="H2966" s="5">
        <v>-300000</v>
      </c>
      <c r="I2966" s="3" t="s">
        <v>18</v>
      </c>
      <c r="J2966" s="3" t="s">
        <v>14</v>
      </c>
      <c r="K2966" s="3" t="s">
        <v>14</v>
      </c>
      <c r="L2966" s="3" t="s">
        <v>3016</v>
      </c>
      <c r="M2966" s="4">
        <v>46300</v>
      </c>
      <c r="N2966" s="3" t="s">
        <v>3121</v>
      </c>
      <c r="O2966" s="3" t="s">
        <v>30</v>
      </c>
      <c r="P2966" t="str">
        <f t="shared" si="46"/>
        <v>450014014710</v>
      </c>
      <c r="Q2966" s="7" cm="1">
        <f t="array" ref="Q2966:S2966">VLOOKUP(P2966,Hoja1!C:F,{2,3,4},FALSE)</f>
        <v>46386</v>
      </c>
      <c r="R2966" t="str">
        <v>C24</v>
      </c>
      <c r="S2966" t="str">
        <v>1000004571 ASOCIACION CIVIL LA HIGUERA</v>
      </c>
    </row>
    <row r="2967" spans="1:19" x14ac:dyDescent="0.3">
      <c r="A2967" s="2" t="s">
        <v>14</v>
      </c>
      <c r="B2967" s="3" t="s">
        <v>14</v>
      </c>
      <c r="C2967" s="3" t="s">
        <v>3122</v>
      </c>
      <c r="D2967" s="3" t="s">
        <v>84</v>
      </c>
      <c r="E2967" s="3" t="s">
        <v>466</v>
      </c>
      <c r="F2967" s="4">
        <v>46300</v>
      </c>
      <c r="G2967" s="3" t="s">
        <v>17</v>
      </c>
      <c r="H2967" s="5">
        <v>-90965.04</v>
      </c>
      <c r="I2967" s="3" t="s">
        <v>18</v>
      </c>
      <c r="J2967" s="3" t="s">
        <v>14</v>
      </c>
      <c r="K2967" s="3" t="s">
        <v>14</v>
      </c>
      <c r="L2967" s="3" t="s">
        <v>3123</v>
      </c>
      <c r="M2967" s="4">
        <v>46300</v>
      </c>
      <c r="N2967" s="3" t="s">
        <v>3124</v>
      </c>
      <c r="O2967" s="3" t="s">
        <v>30</v>
      </c>
      <c r="P2967" t="str">
        <f t="shared" si="46"/>
        <v>450011488510</v>
      </c>
      <c r="Q2967" s="7" cm="1">
        <f t="array" ref="Q2967:S2967">VLOOKUP(P2967,Hoja1!C:F,{2,3,4},FALSE)</f>
        <v>46396</v>
      </c>
      <c r="R2967" t="str">
        <v>C24</v>
      </c>
      <c r="S2967" t="str">
        <v>1000002651 AM OUTSOURCING PARTNER SRL</v>
      </c>
    </row>
    <row r="2968" spans="1:19" x14ac:dyDescent="0.3">
      <c r="A2968" s="2" t="s">
        <v>14</v>
      </c>
      <c r="B2968" s="3" t="s">
        <v>14</v>
      </c>
      <c r="C2968" s="3" t="s">
        <v>3125</v>
      </c>
      <c r="D2968" s="3" t="s">
        <v>14</v>
      </c>
      <c r="E2968" s="3" t="s">
        <v>466</v>
      </c>
      <c r="F2968" s="4">
        <v>46300</v>
      </c>
      <c r="G2968" s="3" t="s">
        <v>17</v>
      </c>
      <c r="H2968" s="5">
        <v>-236781.72</v>
      </c>
      <c r="I2968" s="3" t="s">
        <v>18</v>
      </c>
      <c r="J2968" s="3" t="s">
        <v>14</v>
      </c>
      <c r="K2968" s="3" t="s">
        <v>14</v>
      </c>
      <c r="L2968" s="3" t="s">
        <v>589</v>
      </c>
      <c r="M2968" s="4">
        <v>46300</v>
      </c>
      <c r="N2968" s="3" t="s">
        <v>3126</v>
      </c>
      <c r="O2968" s="3" t="s">
        <v>30</v>
      </c>
      <c r="P2968" t="str">
        <f t="shared" si="46"/>
        <v>450013920510</v>
      </c>
      <c r="Q2968" s="7" cm="1">
        <f t="array" ref="Q2968:S2968">VLOOKUP(P2968,Hoja1!C:F,{2,3,4},FALSE)</f>
        <v>46308</v>
      </c>
      <c r="R2968" t="str">
        <v>C04</v>
      </c>
      <c r="S2968" t="str">
        <v>1000001123 HAULOTTE ARGENTINA S.A.</v>
      </c>
    </row>
    <row r="2969" spans="1:19" x14ac:dyDescent="0.3">
      <c r="A2969" s="2" t="s">
        <v>14</v>
      </c>
      <c r="B2969" s="3" t="s">
        <v>14</v>
      </c>
      <c r="C2969" s="3" t="s">
        <v>3125</v>
      </c>
      <c r="D2969" s="3" t="s">
        <v>14</v>
      </c>
      <c r="E2969" s="3" t="s">
        <v>466</v>
      </c>
      <c r="F2969" s="4">
        <v>46300</v>
      </c>
      <c r="G2969" s="3" t="s">
        <v>17</v>
      </c>
      <c r="H2969" s="5">
        <v>-1423084.81</v>
      </c>
      <c r="I2969" s="3" t="s">
        <v>18</v>
      </c>
      <c r="J2969" s="3" t="s">
        <v>14</v>
      </c>
      <c r="K2969" s="3" t="s">
        <v>14</v>
      </c>
      <c r="L2969" s="3" t="s">
        <v>589</v>
      </c>
      <c r="M2969" s="4">
        <v>46300</v>
      </c>
      <c r="N2969" s="3" t="s">
        <v>3126</v>
      </c>
      <c r="O2969" s="3" t="s">
        <v>22</v>
      </c>
      <c r="P2969" t="str">
        <f t="shared" si="46"/>
        <v>450013920520</v>
      </c>
      <c r="Q2969" s="7" cm="1">
        <f t="array" ref="Q2969:S2969">VLOOKUP(P2969,Hoja1!C:F,{2,3,4},FALSE)</f>
        <v>46308</v>
      </c>
      <c r="R2969" t="str">
        <v>C04</v>
      </c>
      <c r="S2969" t="str">
        <v>1000001123 HAULOTTE ARGENTINA S.A.</v>
      </c>
    </row>
    <row r="2970" spans="1:19" x14ac:dyDescent="0.3">
      <c r="A2970" s="2" t="s">
        <v>14</v>
      </c>
      <c r="B2970" s="3" t="s">
        <v>14</v>
      </c>
      <c r="C2970" s="3" t="s">
        <v>3125</v>
      </c>
      <c r="D2970" s="3" t="s">
        <v>14</v>
      </c>
      <c r="E2970" s="3" t="s">
        <v>466</v>
      </c>
      <c r="F2970" s="4">
        <v>46300</v>
      </c>
      <c r="G2970" s="3" t="s">
        <v>17</v>
      </c>
      <c r="H2970" s="5">
        <v>-335592.32</v>
      </c>
      <c r="I2970" s="3" t="s">
        <v>18</v>
      </c>
      <c r="J2970" s="3" t="s">
        <v>14</v>
      </c>
      <c r="K2970" s="3" t="s">
        <v>14</v>
      </c>
      <c r="L2970" s="3" t="s">
        <v>589</v>
      </c>
      <c r="M2970" s="4">
        <v>46300</v>
      </c>
      <c r="N2970" s="3" t="s">
        <v>3126</v>
      </c>
      <c r="O2970" s="3" t="s">
        <v>35</v>
      </c>
      <c r="P2970" t="str">
        <f t="shared" si="46"/>
        <v>450013920530</v>
      </c>
      <c r="Q2970" s="7" cm="1">
        <f t="array" ref="Q2970:S2970">VLOOKUP(P2970,Hoja1!C:F,{2,3,4},FALSE)</f>
        <v>46308</v>
      </c>
      <c r="R2970" t="str">
        <v>C04</v>
      </c>
      <c r="S2970" t="str">
        <v>1000001123 HAULOTTE ARGENTINA S.A.</v>
      </c>
    </row>
    <row r="2971" spans="1:19" x14ac:dyDescent="0.3">
      <c r="A2971" s="2" t="s">
        <v>14</v>
      </c>
      <c r="B2971" s="3" t="s">
        <v>14</v>
      </c>
      <c r="C2971" s="3" t="s">
        <v>3125</v>
      </c>
      <c r="D2971" s="3" t="s">
        <v>14</v>
      </c>
      <c r="E2971" s="3" t="s">
        <v>466</v>
      </c>
      <c r="F2971" s="4">
        <v>46300</v>
      </c>
      <c r="G2971" s="3" t="s">
        <v>17</v>
      </c>
      <c r="H2971" s="5">
        <v>-267394.82</v>
      </c>
      <c r="I2971" s="3" t="s">
        <v>18</v>
      </c>
      <c r="J2971" s="3" t="s">
        <v>14</v>
      </c>
      <c r="K2971" s="3" t="s">
        <v>14</v>
      </c>
      <c r="L2971" s="3" t="s">
        <v>589</v>
      </c>
      <c r="M2971" s="4">
        <v>46300</v>
      </c>
      <c r="N2971" s="3" t="s">
        <v>3126</v>
      </c>
      <c r="O2971" s="3" t="s">
        <v>23</v>
      </c>
      <c r="P2971" t="str">
        <f t="shared" si="46"/>
        <v>450013920540</v>
      </c>
      <c r="Q2971" s="7" cm="1">
        <f t="array" ref="Q2971:S2971">VLOOKUP(P2971,Hoja1!C:F,{2,3,4},FALSE)</f>
        <v>46308</v>
      </c>
      <c r="R2971" t="str">
        <v>C04</v>
      </c>
      <c r="S2971" t="str">
        <v>1000001123 HAULOTTE ARGENTINA S.A.</v>
      </c>
    </row>
    <row r="2972" spans="1:19" x14ac:dyDescent="0.3">
      <c r="A2972" s="2" t="s">
        <v>14</v>
      </c>
      <c r="B2972" s="3" t="s">
        <v>14</v>
      </c>
      <c r="C2972" s="3" t="s">
        <v>3125</v>
      </c>
      <c r="D2972" s="3" t="s">
        <v>14</v>
      </c>
      <c r="E2972" s="3" t="s">
        <v>466</v>
      </c>
      <c r="F2972" s="4">
        <v>46300</v>
      </c>
      <c r="G2972" s="3" t="s">
        <v>17</v>
      </c>
      <c r="H2972" s="5">
        <v>-610746.5</v>
      </c>
      <c r="I2972" s="3" t="s">
        <v>18</v>
      </c>
      <c r="J2972" s="3" t="s">
        <v>14</v>
      </c>
      <c r="K2972" s="3" t="s">
        <v>14</v>
      </c>
      <c r="L2972" s="3" t="s">
        <v>589</v>
      </c>
      <c r="M2972" s="4">
        <v>46300</v>
      </c>
      <c r="N2972" s="3" t="s">
        <v>3126</v>
      </c>
      <c r="O2972" s="3" t="s">
        <v>144</v>
      </c>
      <c r="P2972" t="str">
        <f t="shared" si="46"/>
        <v>450013920550</v>
      </c>
      <c r="Q2972" s="7" cm="1">
        <f t="array" ref="Q2972:S2972">VLOOKUP(P2972,Hoja1!C:F,{2,3,4},FALSE)</f>
        <v>46308</v>
      </c>
      <c r="R2972" t="str">
        <v>C04</v>
      </c>
      <c r="S2972" t="str">
        <v>1000001123 HAULOTTE ARGENTINA S.A.</v>
      </c>
    </row>
    <row r="2973" spans="1:19" x14ac:dyDescent="0.3">
      <c r="A2973" s="2" t="s">
        <v>14</v>
      </c>
      <c r="B2973" s="3" t="s">
        <v>14</v>
      </c>
      <c r="C2973" s="3" t="s">
        <v>3125</v>
      </c>
      <c r="D2973" s="3" t="s">
        <v>14</v>
      </c>
      <c r="E2973" s="3" t="s">
        <v>466</v>
      </c>
      <c r="F2973" s="4">
        <v>46300</v>
      </c>
      <c r="G2973" s="3" t="s">
        <v>17</v>
      </c>
      <c r="H2973" s="5">
        <v>-441616.7</v>
      </c>
      <c r="I2973" s="3" t="s">
        <v>18</v>
      </c>
      <c r="J2973" s="3" t="s">
        <v>14</v>
      </c>
      <c r="K2973" s="3" t="s">
        <v>14</v>
      </c>
      <c r="L2973" s="3" t="s">
        <v>589</v>
      </c>
      <c r="M2973" s="4">
        <v>46300</v>
      </c>
      <c r="N2973" s="3" t="s">
        <v>3126</v>
      </c>
      <c r="O2973" s="3" t="s">
        <v>141</v>
      </c>
      <c r="P2973" t="str">
        <f t="shared" si="46"/>
        <v>450013920560</v>
      </c>
      <c r="Q2973" s="7" cm="1">
        <f t="array" ref="Q2973:S2973">VLOOKUP(P2973,Hoja1!C:F,{2,3,4},FALSE)</f>
        <v>46308</v>
      </c>
      <c r="R2973" t="str">
        <v>C04</v>
      </c>
      <c r="S2973" t="str">
        <v>1000001123 HAULOTTE ARGENTINA S.A.</v>
      </c>
    </row>
    <row r="2974" spans="1:19" x14ac:dyDescent="0.3">
      <c r="A2974" s="2" t="s">
        <v>14</v>
      </c>
      <c r="B2974" s="3" t="s">
        <v>14</v>
      </c>
      <c r="C2974" s="3" t="s">
        <v>3125</v>
      </c>
      <c r="D2974" s="3" t="s">
        <v>14</v>
      </c>
      <c r="E2974" s="3" t="s">
        <v>466</v>
      </c>
      <c r="F2974" s="4">
        <v>46300</v>
      </c>
      <c r="G2974" s="3" t="s">
        <v>17</v>
      </c>
      <c r="H2974" s="5">
        <v>-2034710.3</v>
      </c>
      <c r="I2974" s="3" t="s">
        <v>18</v>
      </c>
      <c r="J2974" s="3" t="s">
        <v>14</v>
      </c>
      <c r="K2974" s="3" t="s">
        <v>14</v>
      </c>
      <c r="L2974" s="3" t="s">
        <v>589</v>
      </c>
      <c r="M2974" s="4">
        <v>46300</v>
      </c>
      <c r="N2974" s="3" t="s">
        <v>3126</v>
      </c>
      <c r="O2974" s="3" t="s">
        <v>134</v>
      </c>
      <c r="P2974" t="str">
        <f t="shared" si="46"/>
        <v>450013920570</v>
      </c>
      <c r="Q2974" s="7" cm="1">
        <f t="array" ref="Q2974:S2974">VLOOKUP(P2974,Hoja1!C:F,{2,3,4},FALSE)</f>
        <v>46308</v>
      </c>
      <c r="R2974" t="str">
        <v>C04</v>
      </c>
      <c r="S2974" t="str">
        <v>1000001123 HAULOTTE ARGENTINA S.A.</v>
      </c>
    </row>
    <row r="2975" spans="1:19" x14ac:dyDescent="0.3">
      <c r="A2975" s="2" t="s">
        <v>14</v>
      </c>
      <c r="B2975" s="3" t="s">
        <v>14</v>
      </c>
      <c r="C2975" s="3" t="s">
        <v>3125</v>
      </c>
      <c r="D2975" s="3" t="s">
        <v>14</v>
      </c>
      <c r="E2975" s="3" t="s">
        <v>466</v>
      </c>
      <c r="F2975" s="4">
        <v>46300</v>
      </c>
      <c r="G2975" s="3" t="s">
        <v>17</v>
      </c>
      <c r="H2975" s="5">
        <v>-1894950.89</v>
      </c>
      <c r="I2975" s="3" t="s">
        <v>18</v>
      </c>
      <c r="J2975" s="3" t="s">
        <v>14</v>
      </c>
      <c r="K2975" s="3" t="s">
        <v>14</v>
      </c>
      <c r="L2975" s="3" t="s">
        <v>589</v>
      </c>
      <c r="M2975" s="4">
        <v>46300</v>
      </c>
      <c r="N2975" s="3" t="s">
        <v>3126</v>
      </c>
      <c r="O2975" s="3" t="s">
        <v>52</v>
      </c>
      <c r="P2975" t="str">
        <f t="shared" si="46"/>
        <v>450013920580</v>
      </c>
      <c r="Q2975" s="7" cm="1">
        <f t="array" ref="Q2975:S2975">VLOOKUP(P2975,Hoja1!C:F,{2,3,4},FALSE)</f>
        <v>46308</v>
      </c>
      <c r="R2975" t="str">
        <v>C04</v>
      </c>
      <c r="S2975" t="str">
        <v>1000001123 HAULOTTE ARGENTINA S.A.</v>
      </c>
    </row>
    <row r="2976" spans="1:19" x14ac:dyDescent="0.3">
      <c r="A2976" s="2" t="s">
        <v>14</v>
      </c>
      <c r="B2976" s="3" t="s">
        <v>14</v>
      </c>
      <c r="C2976" s="3" t="s">
        <v>3125</v>
      </c>
      <c r="D2976" s="3" t="s">
        <v>14</v>
      </c>
      <c r="E2976" s="3" t="s">
        <v>466</v>
      </c>
      <c r="F2976" s="4">
        <v>46300</v>
      </c>
      <c r="G2976" s="3" t="s">
        <v>17</v>
      </c>
      <c r="H2976" s="5">
        <v>-6144625.0599999996</v>
      </c>
      <c r="I2976" s="3" t="s">
        <v>18</v>
      </c>
      <c r="J2976" s="3" t="s">
        <v>14</v>
      </c>
      <c r="K2976" s="3" t="s">
        <v>14</v>
      </c>
      <c r="L2976" s="3" t="s">
        <v>589</v>
      </c>
      <c r="M2976" s="4">
        <v>46300</v>
      </c>
      <c r="N2976" s="3" t="s">
        <v>3126</v>
      </c>
      <c r="O2976" s="3" t="s">
        <v>138</v>
      </c>
      <c r="P2976" t="str">
        <f t="shared" si="46"/>
        <v>450013920590</v>
      </c>
      <c r="Q2976" s="7" cm="1">
        <f t="array" ref="Q2976:S2976">VLOOKUP(P2976,Hoja1!C:F,{2,3,4},FALSE)</f>
        <v>46308</v>
      </c>
      <c r="R2976" t="str">
        <v>C04</v>
      </c>
      <c r="S2976" t="str">
        <v>1000001123 HAULOTTE ARGENTINA S.A.</v>
      </c>
    </row>
    <row r="2977" spans="1:19" x14ac:dyDescent="0.3">
      <c r="A2977" s="2" t="s">
        <v>14</v>
      </c>
      <c r="B2977" s="3" t="s">
        <v>14</v>
      </c>
      <c r="C2977" s="3" t="s">
        <v>3125</v>
      </c>
      <c r="D2977" s="3" t="s">
        <v>14</v>
      </c>
      <c r="E2977" s="3" t="s">
        <v>466</v>
      </c>
      <c r="F2977" s="4">
        <v>46300</v>
      </c>
      <c r="G2977" s="3" t="s">
        <v>17</v>
      </c>
      <c r="H2977" s="5">
        <v>-240358.3</v>
      </c>
      <c r="I2977" s="3" t="s">
        <v>18</v>
      </c>
      <c r="J2977" s="3" t="s">
        <v>14</v>
      </c>
      <c r="K2977" s="3" t="s">
        <v>14</v>
      </c>
      <c r="L2977" s="3" t="s">
        <v>589</v>
      </c>
      <c r="M2977" s="4">
        <v>46300</v>
      </c>
      <c r="N2977" s="3" t="s">
        <v>3126</v>
      </c>
      <c r="O2977" s="3" t="s">
        <v>45</v>
      </c>
      <c r="P2977" t="str">
        <f t="shared" si="46"/>
        <v>4500139205100</v>
      </c>
      <c r="Q2977" s="7" cm="1">
        <f t="array" ref="Q2977:S2977">VLOOKUP(P2977,Hoja1!C:F,{2,3,4},FALSE)</f>
        <v>46308</v>
      </c>
      <c r="R2977" t="str">
        <v>C04</v>
      </c>
      <c r="S2977" t="str">
        <v>1000001123 HAULOTTE ARGENTINA S.A.</v>
      </c>
    </row>
    <row r="2978" spans="1:19" x14ac:dyDescent="0.3">
      <c r="A2978" s="2" t="s">
        <v>14</v>
      </c>
      <c r="B2978" s="3" t="s">
        <v>14</v>
      </c>
      <c r="C2978" s="3" t="s">
        <v>3125</v>
      </c>
      <c r="D2978" s="3" t="s">
        <v>14</v>
      </c>
      <c r="E2978" s="3" t="s">
        <v>466</v>
      </c>
      <c r="F2978" s="4">
        <v>46300</v>
      </c>
      <c r="G2978" s="3" t="s">
        <v>17</v>
      </c>
      <c r="H2978" s="5">
        <v>-4864997.4800000004</v>
      </c>
      <c r="I2978" s="3" t="s">
        <v>18</v>
      </c>
      <c r="J2978" s="3" t="s">
        <v>14</v>
      </c>
      <c r="K2978" s="3" t="s">
        <v>14</v>
      </c>
      <c r="L2978" s="3" t="s">
        <v>589</v>
      </c>
      <c r="M2978" s="4">
        <v>46300</v>
      </c>
      <c r="N2978" s="3" t="s">
        <v>3126</v>
      </c>
      <c r="O2978" s="3" t="s">
        <v>156</v>
      </c>
      <c r="P2978" t="str">
        <f t="shared" si="46"/>
        <v>4500139205110</v>
      </c>
      <c r="Q2978" s="7" cm="1">
        <f t="array" ref="Q2978:S2978">VLOOKUP(P2978,Hoja1!C:F,{2,3,4},FALSE)</f>
        <v>46308</v>
      </c>
      <c r="R2978" t="str">
        <v>C04</v>
      </c>
      <c r="S2978" t="str">
        <v>1000001123 HAULOTTE ARGENTINA S.A.</v>
      </c>
    </row>
    <row r="2979" spans="1:19" x14ac:dyDescent="0.3">
      <c r="A2979" s="2" t="s">
        <v>14</v>
      </c>
      <c r="B2979" s="3" t="s">
        <v>14</v>
      </c>
      <c r="C2979" s="3" t="s">
        <v>3125</v>
      </c>
      <c r="D2979" s="3" t="s">
        <v>14</v>
      </c>
      <c r="E2979" s="3" t="s">
        <v>466</v>
      </c>
      <c r="F2979" s="4">
        <v>46300</v>
      </c>
      <c r="G2979" s="3" t="s">
        <v>17</v>
      </c>
      <c r="H2979" s="5">
        <v>-4864997.4800000004</v>
      </c>
      <c r="I2979" s="3" t="s">
        <v>18</v>
      </c>
      <c r="J2979" s="3" t="s">
        <v>14</v>
      </c>
      <c r="K2979" s="3" t="s">
        <v>14</v>
      </c>
      <c r="L2979" s="3" t="s">
        <v>589</v>
      </c>
      <c r="M2979" s="4">
        <v>46300</v>
      </c>
      <c r="N2979" s="3" t="s">
        <v>3126</v>
      </c>
      <c r="O2979" s="3" t="s">
        <v>132</v>
      </c>
      <c r="P2979" t="str">
        <f t="shared" si="46"/>
        <v>4500139205120</v>
      </c>
      <c r="Q2979" s="7" cm="1">
        <f t="array" ref="Q2979:S2979">VLOOKUP(P2979,Hoja1!C:F,{2,3,4},FALSE)</f>
        <v>46308</v>
      </c>
      <c r="R2979" t="str">
        <v>C04</v>
      </c>
      <c r="S2979" t="str">
        <v>1000001123 HAULOTTE ARGENTINA S.A.</v>
      </c>
    </row>
    <row r="2980" spans="1:19" x14ac:dyDescent="0.3">
      <c r="A2980" s="2" t="s">
        <v>14</v>
      </c>
      <c r="B2980" s="3" t="s">
        <v>14</v>
      </c>
      <c r="C2980" s="3" t="s">
        <v>3125</v>
      </c>
      <c r="D2980" s="3" t="s">
        <v>14</v>
      </c>
      <c r="E2980" s="3" t="s">
        <v>466</v>
      </c>
      <c r="F2980" s="4">
        <v>46300</v>
      </c>
      <c r="G2980" s="3" t="s">
        <v>17</v>
      </c>
      <c r="H2980" s="5">
        <v>-996895.9</v>
      </c>
      <c r="I2980" s="3" t="s">
        <v>18</v>
      </c>
      <c r="J2980" s="3" t="s">
        <v>14</v>
      </c>
      <c r="K2980" s="3" t="s">
        <v>14</v>
      </c>
      <c r="L2980" s="3" t="s">
        <v>589</v>
      </c>
      <c r="M2980" s="4">
        <v>46300</v>
      </c>
      <c r="N2980" s="3" t="s">
        <v>3126</v>
      </c>
      <c r="O2980" s="3" t="s">
        <v>142</v>
      </c>
      <c r="P2980" t="str">
        <f t="shared" si="46"/>
        <v>4500139205130</v>
      </c>
      <c r="Q2980" s="7" cm="1">
        <f t="array" ref="Q2980:S2980">VLOOKUP(P2980,Hoja1!C:F,{2,3,4},FALSE)</f>
        <v>46308</v>
      </c>
      <c r="R2980" t="str">
        <v>C04</v>
      </c>
      <c r="S2980" t="str">
        <v>1000001123 HAULOTTE ARGENTINA S.A.</v>
      </c>
    </row>
    <row r="2981" spans="1:19" x14ac:dyDescent="0.3">
      <c r="A2981" s="2" t="s">
        <v>14</v>
      </c>
      <c r="B2981" s="3" t="s">
        <v>14</v>
      </c>
      <c r="C2981" s="3" t="s">
        <v>3127</v>
      </c>
      <c r="D2981" s="3" t="s">
        <v>14</v>
      </c>
      <c r="E2981" s="3" t="s">
        <v>466</v>
      </c>
      <c r="F2981" s="4">
        <v>46300</v>
      </c>
      <c r="G2981" s="3" t="s">
        <v>17</v>
      </c>
      <c r="H2981" s="5">
        <v>-334030.44</v>
      </c>
      <c r="I2981" s="3" t="s">
        <v>18</v>
      </c>
      <c r="J2981" s="3" t="s">
        <v>14</v>
      </c>
      <c r="K2981" s="3" t="s">
        <v>14</v>
      </c>
      <c r="L2981" s="3" t="s">
        <v>20</v>
      </c>
      <c r="M2981" s="4">
        <v>46300</v>
      </c>
      <c r="N2981" s="3" t="s">
        <v>2140</v>
      </c>
      <c r="O2981" s="3" t="s">
        <v>23</v>
      </c>
      <c r="P2981" t="str">
        <f t="shared" si="46"/>
        <v>450012836840</v>
      </c>
      <c r="Q2981" s="7" cm="1">
        <f t="array" ref="Q2981:S2981">VLOOKUP(P2981,Hoja1!C:F,{2,3,4},FALSE)</f>
        <v>46308</v>
      </c>
      <c r="R2981" t="str">
        <v>C03</v>
      </c>
      <c r="S2981" t="str">
        <v>1000000754 AURELIA SACIYF</v>
      </c>
    </row>
    <row r="2982" spans="1:19" x14ac:dyDescent="0.3">
      <c r="A2982" s="2" t="s">
        <v>14</v>
      </c>
      <c r="B2982" s="3" t="s">
        <v>14</v>
      </c>
      <c r="C2982" s="3" t="s">
        <v>3128</v>
      </c>
      <c r="D2982" s="3" t="s">
        <v>14</v>
      </c>
      <c r="E2982" s="3" t="s">
        <v>466</v>
      </c>
      <c r="F2982" s="4">
        <v>46300</v>
      </c>
      <c r="G2982" s="3" t="s">
        <v>17</v>
      </c>
      <c r="H2982" s="5">
        <v>-124804</v>
      </c>
      <c r="I2982" s="3" t="s">
        <v>18</v>
      </c>
      <c r="J2982" s="3" t="s">
        <v>14</v>
      </c>
      <c r="K2982" s="3" t="s">
        <v>14</v>
      </c>
      <c r="L2982" s="3" t="s">
        <v>3111</v>
      </c>
      <c r="M2982" s="4">
        <v>46300</v>
      </c>
      <c r="N2982" s="3" t="s">
        <v>3129</v>
      </c>
      <c r="O2982" s="3" t="s">
        <v>30</v>
      </c>
      <c r="P2982" t="str">
        <f t="shared" si="46"/>
        <v>450014015610</v>
      </c>
      <c r="Q2982" s="7" cm="1">
        <f t="array" ref="Q2982:S2982">VLOOKUP(P2982,Hoja1!C:F,{2,3,4},FALSE)</f>
        <v>46387</v>
      </c>
      <c r="R2982" t="str">
        <v>C24</v>
      </c>
      <c r="S2982" t="str">
        <v>1000002621 PEREZ MARZO SAS</v>
      </c>
    </row>
    <row r="2983" spans="1:19" x14ac:dyDescent="0.3">
      <c r="A2983" s="2" t="s">
        <v>14</v>
      </c>
      <c r="B2983" s="3" t="s">
        <v>14</v>
      </c>
      <c r="C2983" s="3" t="s">
        <v>3130</v>
      </c>
      <c r="D2983" s="3" t="s">
        <v>14</v>
      </c>
      <c r="E2983" s="3" t="s">
        <v>466</v>
      </c>
      <c r="F2983" s="4">
        <v>46300</v>
      </c>
      <c r="G2983" s="3" t="s">
        <v>17</v>
      </c>
      <c r="H2983" s="5">
        <v>-1212400</v>
      </c>
      <c r="I2983" s="3" t="s">
        <v>18</v>
      </c>
      <c r="J2983" s="3" t="s">
        <v>14</v>
      </c>
      <c r="K2983" s="3" t="s">
        <v>14</v>
      </c>
      <c r="L2983" s="3" t="s">
        <v>3131</v>
      </c>
      <c r="M2983" s="4">
        <v>46300</v>
      </c>
      <c r="N2983" s="3" t="s">
        <v>3132</v>
      </c>
      <c r="O2983" s="3" t="s">
        <v>30</v>
      </c>
      <c r="P2983" t="str">
        <f t="shared" si="46"/>
        <v>450014015510</v>
      </c>
      <c r="Q2983" s="7" cm="1">
        <f t="array" ref="Q2983:S2983">VLOOKUP(P2983,Hoja1!C:F,{2,3,4},FALSE)</f>
        <v>46296</v>
      </c>
      <c r="R2983" t="str">
        <v>EFO</v>
      </c>
      <c r="S2983" t="str">
        <v>1000011519 SALLAGO FEDERICO MIGUEL</v>
      </c>
    </row>
    <row r="2984" spans="1:19" x14ac:dyDescent="0.3">
      <c r="A2984" s="2" t="s">
        <v>14</v>
      </c>
      <c r="B2984" s="3" t="s">
        <v>14</v>
      </c>
      <c r="C2984" s="3" t="s">
        <v>3133</v>
      </c>
      <c r="D2984" s="3" t="s">
        <v>14</v>
      </c>
      <c r="E2984" s="3" t="s">
        <v>466</v>
      </c>
      <c r="F2984" s="4">
        <v>46300</v>
      </c>
      <c r="G2984" s="3" t="s">
        <v>17</v>
      </c>
      <c r="H2984" s="5">
        <v>-109116</v>
      </c>
      <c r="I2984" s="3" t="s">
        <v>18</v>
      </c>
      <c r="J2984" s="3" t="s">
        <v>14</v>
      </c>
      <c r="K2984" s="3" t="s">
        <v>14</v>
      </c>
      <c r="L2984" s="3" t="s">
        <v>3134</v>
      </c>
      <c r="M2984" s="4">
        <v>46300</v>
      </c>
      <c r="N2984" s="3" t="s">
        <v>3135</v>
      </c>
      <c r="O2984" s="3" t="s">
        <v>23</v>
      </c>
      <c r="P2984" t="str">
        <f t="shared" si="46"/>
        <v>450005647540</v>
      </c>
      <c r="Q2984" s="7" cm="1">
        <f t="array" ref="Q2984:S2984">VLOOKUP(P2984,Hoja1!C:F,{2,3,4},FALSE)</f>
        <v>46386</v>
      </c>
      <c r="R2984" t="str">
        <v>C24</v>
      </c>
      <c r="S2984" t="str">
        <v>1000002862 SAP ARGENTINA SA</v>
      </c>
    </row>
    <row r="2985" spans="1:19" x14ac:dyDescent="0.3">
      <c r="A2985" s="2" t="s">
        <v>14</v>
      </c>
      <c r="B2985" s="3" t="s">
        <v>14</v>
      </c>
      <c r="C2985" s="3" t="s">
        <v>3136</v>
      </c>
      <c r="D2985" s="3" t="s">
        <v>14</v>
      </c>
      <c r="E2985" s="3" t="s">
        <v>466</v>
      </c>
      <c r="F2985" s="4">
        <v>46300</v>
      </c>
      <c r="G2985" s="3" t="s">
        <v>17</v>
      </c>
      <c r="H2985" s="5">
        <v>-5114812.5</v>
      </c>
      <c r="I2985" s="3" t="s">
        <v>18</v>
      </c>
      <c r="J2985" s="3" t="s">
        <v>14</v>
      </c>
      <c r="K2985" s="3" t="s">
        <v>14</v>
      </c>
      <c r="L2985" s="3" t="s">
        <v>3134</v>
      </c>
      <c r="M2985" s="4">
        <v>46300</v>
      </c>
      <c r="N2985" s="3" t="s">
        <v>3137</v>
      </c>
      <c r="O2985" s="3" t="s">
        <v>35</v>
      </c>
      <c r="P2985" t="str">
        <f t="shared" si="46"/>
        <v>450008055930</v>
      </c>
      <c r="Q2985" s="7" cm="1">
        <f t="array" ref="Q2985:S2985">VLOOKUP(P2985,Hoja1!C:F,{2,3,4},FALSE)</f>
        <v>46386</v>
      </c>
      <c r="R2985" t="str">
        <v>C24</v>
      </c>
      <c r="S2985" t="str">
        <v>1000002862 SAP ARGENTINA SA</v>
      </c>
    </row>
    <row r="2986" spans="1:19" x14ac:dyDescent="0.3">
      <c r="A2986" s="2" t="s">
        <v>14</v>
      </c>
      <c r="B2986" s="3" t="s">
        <v>14</v>
      </c>
      <c r="C2986" s="3" t="s">
        <v>3138</v>
      </c>
      <c r="D2986" s="3" t="s">
        <v>14</v>
      </c>
      <c r="E2986" s="3" t="s">
        <v>466</v>
      </c>
      <c r="F2986" s="4">
        <v>46300</v>
      </c>
      <c r="G2986" s="3" t="s">
        <v>17</v>
      </c>
      <c r="H2986" s="5">
        <v>-27727224.280000001</v>
      </c>
      <c r="I2986" s="3" t="s">
        <v>18</v>
      </c>
      <c r="J2986" s="3" t="s">
        <v>14</v>
      </c>
      <c r="K2986" s="3" t="s">
        <v>14</v>
      </c>
      <c r="L2986" s="3" t="s">
        <v>3134</v>
      </c>
      <c r="M2986" s="4">
        <v>46300</v>
      </c>
      <c r="N2986" s="3" t="s">
        <v>3139</v>
      </c>
      <c r="O2986" s="3" t="s">
        <v>134</v>
      </c>
      <c r="P2986" t="str">
        <f t="shared" si="46"/>
        <v>450004103270</v>
      </c>
      <c r="Q2986" s="7" cm="1">
        <f t="array" ref="Q2986:S2986">VLOOKUP(P2986,Hoja1!C:F,{2,3,4},FALSE)</f>
        <v>46386</v>
      </c>
      <c r="R2986" t="str">
        <v>C24</v>
      </c>
      <c r="S2986" t="str">
        <v>1000002862 SAP ARGENTINA SA</v>
      </c>
    </row>
    <row r="2987" spans="1:19" x14ac:dyDescent="0.3">
      <c r="A2987" s="2" t="s">
        <v>14</v>
      </c>
      <c r="B2987" s="3" t="s">
        <v>14</v>
      </c>
      <c r="C2987" s="3" t="s">
        <v>3140</v>
      </c>
      <c r="D2987" s="3" t="s">
        <v>14</v>
      </c>
      <c r="E2987" s="3" t="s">
        <v>466</v>
      </c>
      <c r="F2987" s="4">
        <v>46300</v>
      </c>
      <c r="G2987" s="3" t="s">
        <v>17</v>
      </c>
      <c r="H2987" s="5">
        <v>-4508673.12</v>
      </c>
      <c r="I2987" s="3" t="s">
        <v>18</v>
      </c>
      <c r="J2987" s="3" t="s">
        <v>14</v>
      </c>
      <c r="K2987" s="3" t="s">
        <v>14</v>
      </c>
      <c r="L2987" s="3" t="s">
        <v>3134</v>
      </c>
      <c r="M2987" s="4">
        <v>46300</v>
      </c>
      <c r="N2987" s="3" t="s">
        <v>3141</v>
      </c>
      <c r="O2987" s="3" t="s">
        <v>30</v>
      </c>
      <c r="P2987" t="str">
        <f t="shared" si="46"/>
        <v>450012622610</v>
      </c>
      <c r="Q2987" s="7" cm="1">
        <f t="array" ref="Q2987:S2987">VLOOKUP(P2987,Hoja1!C:F,{2,3,4},FALSE)</f>
        <v>46477</v>
      </c>
      <c r="R2987" t="str">
        <v>C24</v>
      </c>
      <c r="S2987" t="str">
        <v>1000002862 SAP ARGENTINA SA</v>
      </c>
    </row>
    <row r="2988" spans="1:19" x14ac:dyDescent="0.3">
      <c r="A2988" s="2" t="s">
        <v>14</v>
      </c>
      <c r="B2988" s="3" t="s">
        <v>14</v>
      </c>
      <c r="C2988" s="3" t="s">
        <v>3142</v>
      </c>
      <c r="D2988" s="3" t="s">
        <v>14</v>
      </c>
      <c r="E2988" s="3" t="s">
        <v>466</v>
      </c>
      <c r="F2988" s="4">
        <v>46300</v>
      </c>
      <c r="G2988" s="3" t="s">
        <v>17</v>
      </c>
      <c r="H2988" s="5">
        <v>-516000</v>
      </c>
      <c r="I2988" s="3" t="s">
        <v>18</v>
      </c>
      <c r="J2988" s="3" t="s">
        <v>14</v>
      </c>
      <c r="K2988" s="3" t="s">
        <v>14</v>
      </c>
      <c r="L2988" s="3" t="s">
        <v>1078</v>
      </c>
      <c r="M2988" s="4">
        <v>46300</v>
      </c>
      <c r="N2988" s="3" t="s">
        <v>3143</v>
      </c>
      <c r="O2988" s="3" t="s">
        <v>30</v>
      </c>
      <c r="P2988" t="str">
        <f t="shared" si="46"/>
        <v>450013926310</v>
      </c>
      <c r="Q2988" s="7" cm="1">
        <f t="array" ref="Q2988:S2988">VLOOKUP(P2988,Hoja1!C:F,{2,3,4},FALSE)</f>
        <v>46295</v>
      </c>
      <c r="R2988" t="str">
        <v>C38</v>
      </c>
      <c r="S2988" t="str">
        <v>1000000931 GONZALEZ ROLANDO CLAUDIO</v>
      </c>
    </row>
    <row r="2989" spans="1:19" x14ac:dyDescent="0.3">
      <c r="A2989" s="2" t="s">
        <v>14</v>
      </c>
      <c r="B2989" s="3" t="s">
        <v>14</v>
      </c>
      <c r="C2989" s="3" t="s">
        <v>3144</v>
      </c>
      <c r="D2989" s="3" t="s">
        <v>14</v>
      </c>
      <c r="E2989" s="3" t="s">
        <v>466</v>
      </c>
      <c r="F2989" s="4">
        <v>46300</v>
      </c>
      <c r="G2989" s="3" t="s">
        <v>17</v>
      </c>
      <c r="H2989" s="5">
        <v>-130000</v>
      </c>
      <c r="I2989" s="3" t="s">
        <v>18</v>
      </c>
      <c r="J2989" s="3" t="s">
        <v>14</v>
      </c>
      <c r="K2989" s="3" t="s">
        <v>14</v>
      </c>
      <c r="L2989" s="3" t="s">
        <v>1078</v>
      </c>
      <c r="M2989" s="4">
        <v>46300</v>
      </c>
      <c r="N2989" s="3" t="s">
        <v>3145</v>
      </c>
      <c r="O2989" s="3" t="s">
        <v>30</v>
      </c>
      <c r="P2989" t="str">
        <f t="shared" si="46"/>
        <v>450013925610</v>
      </c>
      <c r="Q2989" s="7" cm="1">
        <f t="array" ref="Q2989:S2989">VLOOKUP(P2989,Hoja1!C:F,{2,3,4},FALSE)</f>
        <v>46289</v>
      </c>
      <c r="R2989" t="str">
        <v>C38</v>
      </c>
      <c r="S2989" t="str">
        <v>1000000931 GONZALEZ ROLANDO CLAUDIO</v>
      </c>
    </row>
    <row r="2990" spans="1:19" x14ac:dyDescent="0.3">
      <c r="A2990" s="2" t="s">
        <v>14</v>
      </c>
      <c r="B2990" s="3" t="s">
        <v>14</v>
      </c>
      <c r="C2990" s="3" t="s">
        <v>3146</v>
      </c>
      <c r="D2990" s="3" t="s">
        <v>14</v>
      </c>
      <c r="E2990" s="3" t="s">
        <v>466</v>
      </c>
      <c r="F2990" s="4">
        <v>46300</v>
      </c>
      <c r="G2990" s="3" t="s">
        <v>17</v>
      </c>
      <c r="H2990" s="5">
        <v>-4579128.72</v>
      </c>
      <c r="I2990" s="3" t="s">
        <v>18</v>
      </c>
      <c r="J2990" s="3" t="s">
        <v>14</v>
      </c>
      <c r="K2990" s="3" t="s">
        <v>14</v>
      </c>
      <c r="L2990" s="3" t="s">
        <v>3134</v>
      </c>
      <c r="M2990" s="4">
        <v>46300</v>
      </c>
      <c r="N2990" s="3" t="s">
        <v>3147</v>
      </c>
      <c r="O2990" s="3" t="s">
        <v>30</v>
      </c>
      <c r="P2990" t="str">
        <f t="shared" si="46"/>
        <v>450012622710</v>
      </c>
      <c r="Q2990" s="7" cm="1">
        <f t="array" ref="Q2990:S2990">VLOOKUP(P2990,Hoja1!C:F,{2,3,4},FALSE)</f>
        <v>46477</v>
      </c>
      <c r="R2990" t="str">
        <v>C24</v>
      </c>
      <c r="S2990" t="str">
        <v>1000002862 SAP ARGENTINA SA</v>
      </c>
    </row>
    <row r="2991" spans="1:19" x14ac:dyDescent="0.3">
      <c r="A2991" s="2" t="s">
        <v>14</v>
      </c>
      <c r="B2991" s="3" t="s">
        <v>14</v>
      </c>
      <c r="C2991" s="3" t="s">
        <v>3148</v>
      </c>
      <c r="D2991" s="3" t="s">
        <v>14</v>
      </c>
      <c r="E2991" s="3" t="s">
        <v>466</v>
      </c>
      <c r="F2991" s="4">
        <v>46300</v>
      </c>
      <c r="G2991" s="3" t="s">
        <v>17</v>
      </c>
      <c r="H2991" s="5">
        <v>-1073000</v>
      </c>
      <c r="I2991" s="3" t="s">
        <v>18</v>
      </c>
      <c r="J2991" s="3" t="s">
        <v>14</v>
      </c>
      <c r="K2991" s="3" t="s">
        <v>14</v>
      </c>
      <c r="L2991" s="3" t="s">
        <v>1078</v>
      </c>
      <c r="M2991" s="4">
        <v>46300</v>
      </c>
      <c r="N2991" s="3" t="s">
        <v>3149</v>
      </c>
      <c r="O2991" s="3" t="s">
        <v>30</v>
      </c>
      <c r="P2991" t="str">
        <f t="shared" si="46"/>
        <v>450013945810</v>
      </c>
      <c r="Q2991" s="7" cm="1">
        <f t="array" ref="Q2991:S2991">VLOOKUP(P2991,Hoja1!C:F,{2,3,4},FALSE)</f>
        <v>46289</v>
      </c>
      <c r="R2991" t="str">
        <v>C38</v>
      </c>
      <c r="S2991" t="str">
        <v>1000000931 GONZALEZ ROLANDO CLAUDIO</v>
      </c>
    </row>
    <row r="2992" spans="1:19" x14ac:dyDescent="0.3">
      <c r="A2992" s="2" t="s">
        <v>14</v>
      </c>
      <c r="B2992" s="3" t="s">
        <v>14</v>
      </c>
      <c r="C2992" s="3" t="s">
        <v>3150</v>
      </c>
      <c r="D2992" s="3" t="s">
        <v>14</v>
      </c>
      <c r="E2992" s="3" t="s">
        <v>466</v>
      </c>
      <c r="F2992" s="4">
        <v>46300</v>
      </c>
      <c r="G2992" s="3" t="s">
        <v>17</v>
      </c>
      <c r="H2992" s="5">
        <v>-2532964.5</v>
      </c>
      <c r="I2992" s="3" t="s">
        <v>18</v>
      </c>
      <c r="J2992" s="3" t="s">
        <v>14</v>
      </c>
      <c r="K2992" s="3" t="s">
        <v>14</v>
      </c>
      <c r="L2992" s="3" t="s">
        <v>3151</v>
      </c>
      <c r="M2992" s="4">
        <v>46300</v>
      </c>
      <c r="N2992" s="3" t="s">
        <v>3152</v>
      </c>
      <c r="O2992" s="3" t="s">
        <v>30</v>
      </c>
      <c r="P2992" t="str">
        <f t="shared" si="46"/>
        <v>450013990710</v>
      </c>
      <c r="Q2992" s="7" cm="1">
        <f t="array" ref="Q2992:S2992">VLOOKUP(P2992,Hoja1!C:F,{2,3,4},FALSE)</f>
        <v>46308</v>
      </c>
      <c r="R2992" t="str">
        <v>F07</v>
      </c>
      <c r="S2992" t="str">
        <v>1000001154 TRAVEL FILTERS SRL</v>
      </c>
    </row>
    <row r="2993" spans="1:19" x14ac:dyDescent="0.3">
      <c r="A2993" s="2" t="s">
        <v>14</v>
      </c>
      <c r="B2993" s="3" t="s">
        <v>14</v>
      </c>
      <c r="C2993" s="3" t="s">
        <v>3150</v>
      </c>
      <c r="D2993" s="3" t="s">
        <v>14</v>
      </c>
      <c r="E2993" s="3" t="s">
        <v>466</v>
      </c>
      <c r="F2993" s="4">
        <v>46300</v>
      </c>
      <c r="G2993" s="3" t="s">
        <v>17</v>
      </c>
      <c r="H2993" s="5">
        <v>-113151.6</v>
      </c>
      <c r="I2993" s="3" t="s">
        <v>18</v>
      </c>
      <c r="J2993" s="3" t="s">
        <v>14</v>
      </c>
      <c r="K2993" s="3" t="s">
        <v>14</v>
      </c>
      <c r="L2993" s="3" t="s">
        <v>3151</v>
      </c>
      <c r="M2993" s="4">
        <v>46300</v>
      </c>
      <c r="N2993" s="3" t="s">
        <v>3152</v>
      </c>
      <c r="O2993" s="3" t="s">
        <v>22</v>
      </c>
      <c r="P2993" t="str">
        <f t="shared" si="46"/>
        <v>450013990720</v>
      </c>
      <c r="Q2993" s="7" cm="1">
        <f t="array" ref="Q2993:S2993">VLOOKUP(P2993,Hoja1!C:F,{2,3,4},FALSE)</f>
        <v>46308</v>
      </c>
      <c r="R2993" t="str">
        <v>F07</v>
      </c>
      <c r="S2993" t="str">
        <v>1000001154 TRAVEL FILTERS SRL</v>
      </c>
    </row>
    <row r="2994" spans="1:19" x14ac:dyDescent="0.3">
      <c r="A2994" s="2" t="s">
        <v>14</v>
      </c>
      <c r="B2994" s="3" t="s">
        <v>14</v>
      </c>
      <c r="C2994" s="3" t="s">
        <v>3153</v>
      </c>
      <c r="D2994" s="3" t="s">
        <v>32</v>
      </c>
      <c r="E2994" s="3" t="s">
        <v>466</v>
      </c>
      <c r="F2994" s="4">
        <v>46300</v>
      </c>
      <c r="G2994" s="3" t="s">
        <v>17</v>
      </c>
      <c r="H2994" s="5">
        <v>-76557726</v>
      </c>
      <c r="I2994" s="3" t="s">
        <v>18</v>
      </c>
      <c r="J2994" s="3" t="s">
        <v>14</v>
      </c>
      <c r="K2994" s="3" t="s">
        <v>14</v>
      </c>
      <c r="L2994" s="3" t="s">
        <v>3154</v>
      </c>
      <c r="M2994" s="4">
        <v>46300</v>
      </c>
      <c r="N2994" s="3" t="s">
        <v>3155</v>
      </c>
      <c r="O2994" s="3" t="s">
        <v>144</v>
      </c>
      <c r="P2994" t="str">
        <f t="shared" si="46"/>
        <v>450011432350</v>
      </c>
      <c r="Q2994" s="7" cm="1">
        <f t="array" ref="Q2994:S2994">VLOOKUP(P2994,Hoja1!C:F,{2,3,4},FALSE)</f>
        <v>46387</v>
      </c>
      <c r="R2994" t="str">
        <v>C25</v>
      </c>
      <c r="S2994" t="str">
        <v>1000011470 LAS GRUTAS S A</v>
      </c>
    </row>
    <row r="2995" spans="1:19" x14ac:dyDescent="0.3">
      <c r="A2995" s="2" t="s">
        <v>14</v>
      </c>
      <c r="B2995" s="3" t="s">
        <v>14</v>
      </c>
      <c r="C2995" s="3" t="s">
        <v>3153</v>
      </c>
      <c r="D2995" s="3" t="s">
        <v>32</v>
      </c>
      <c r="E2995" s="3" t="s">
        <v>466</v>
      </c>
      <c r="F2995" s="4">
        <v>46300</v>
      </c>
      <c r="G2995" s="3" t="s">
        <v>17</v>
      </c>
      <c r="H2995" s="5">
        <v>-78583065.900000006</v>
      </c>
      <c r="I2995" s="3" t="s">
        <v>18</v>
      </c>
      <c r="J2995" s="3" t="s">
        <v>14</v>
      </c>
      <c r="K2995" s="3" t="s">
        <v>14</v>
      </c>
      <c r="L2995" s="3" t="s">
        <v>3154</v>
      </c>
      <c r="M2995" s="4">
        <v>46300</v>
      </c>
      <c r="N2995" s="3" t="s">
        <v>3156</v>
      </c>
      <c r="O2995" s="3" t="s">
        <v>30</v>
      </c>
      <c r="P2995" t="str">
        <f t="shared" si="46"/>
        <v>450011996310</v>
      </c>
      <c r="Q2995" s="7" cm="1">
        <f t="array" ref="Q2995:S2995">VLOOKUP(P2995,Hoja1!C:F,{2,3,4},FALSE)</f>
        <v>46387</v>
      </c>
      <c r="R2995" t="str">
        <v>C25</v>
      </c>
      <c r="S2995" t="str">
        <v>1000011470 LAS GRUTAS S A</v>
      </c>
    </row>
    <row r="2996" spans="1:19" x14ac:dyDescent="0.3">
      <c r="A2996" s="2" t="s">
        <v>14</v>
      </c>
      <c r="B2996" s="3" t="s">
        <v>14</v>
      </c>
      <c r="C2996" s="3" t="s">
        <v>3153</v>
      </c>
      <c r="D2996" s="3" t="s">
        <v>32</v>
      </c>
      <c r="E2996" s="3" t="s">
        <v>466</v>
      </c>
      <c r="F2996" s="4">
        <v>46300</v>
      </c>
      <c r="G2996" s="3" t="s">
        <v>17</v>
      </c>
      <c r="H2996" s="5">
        <v>-25924310.399999999</v>
      </c>
      <c r="I2996" s="3" t="s">
        <v>18</v>
      </c>
      <c r="J2996" s="3" t="s">
        <v>14</v>
      </c>
      <c r="K2996" s="3" t="s">
        <v>14</v>
      </c>
      <c r="L2996" s="3" t="s">
        <v>3154</v>
      </c>
      <c r="M2996" s="4">
        <v>46300</v>
      </c>
      <c r="N2996" s="3" t="s">
        <v>3156</v>
      </c>
      <c r="O2996" s="3" t="s">
        <v>22</v>
      </c>
      <c r="P2996" t="str">
        <f t="shared" si="46"/>
        <v>450011996320</v>
      </c>
      <c r="Q2996" s="7" cm="1">
        <f t="array" ref="Q2996:S2996">VLOOKUP(P2996,Hoja1!C:F,{2,3,4},FALSE)</f>
        <v>46387</v>
      </c>
      <c r="R2996" t="str">
        <v>C25</v>
      </c>
      <c r="S2996" t="str">
        <v>1000011470 LAS GRUTAS S A</v>
      </c>
    </row>
    <row r="2997" spans="1:19" x14ac:dyDescent="0.3">
      <c r="A2997" s="2" t="s">
        <v>14</v>
      </c>
      <c r="B2997" s="3" t="s">
        <v>14</v>
      </c>
      <c r="C2997" s="3" t="s">
        <v>3157</v>
      </c>
      <c r="D2997" s="3" t="s">
        <v>32</v>
      </c>
      <c r="E2997" s="3" t="s">
        <v>466</v>
      </c>
      <c r="F2997" s="4">
        <v>46300</v>
      </c>
      <c r="G2997" s="3" t="s">
        <v>17</v>
      </c>
      <c r="H2997" s="5">
        <v>-450240</v>
      </c>
      <c r="I2997" s="3" t="s">
        <v>18</v>
      </c>
      <c r="J2997" s="3" t="s">
        <v>14</v>
      </c>
      <c r="K2997" s="3" t="s">
        <v>14</v>
      </c>
      <c r="L2997" s="3" t="s">
        <v>427</v>
      </c>
      <c r="M2997" s="4">
        <v>46300</v>
      </c>
      <c r="N2997" s="3" t="s">
        <v>428</v>
      </c>
      <c r="O2997" s="3" t="s">
        <v>30</v>
      </c>
      <c r="P2997" t="str">
        <f t="shared" si="46"/>
        <v>450013971610</v>
      </c>
      <c r="Q2997" s="7" cm="1">
        <f t="array" ref="Q2997:S2997">VLOOKUP(P2997,Hoja1!C:F,{2,3,4},FALSE)</f>
        <v>46300</v>
      </c>
      <c r="R2997" t="str">
        <v>377</v>
      </c>
      <c r="S2997" t="str">
        <v>1000008956 PERIMETRAR S.A.S.</v>
      </c>
    </row>
    <row r="2998" spans="1:19" x14ac:dyDescent="0.3">
      <c r="A2998" s="2" t="s">
        <v>14</v>
      </c>
      <c r="B2998" s="3" t="s">
        <v>14</v>
      </c>
      <c r="C2998" s="3" t="s">
        <v>3157</v>
      </c>
      <c r="D2998" s="3" t="s">
        <v>32</v>
      </c>
      <c r="E2998" s="3" t="s">
        <v>466</v>
      </c>
      <c r="F2998" s="4">
        <v>46300</v>
      </c>
      <c r="G2998" s="3" t="s">
        <v>17</v>
      </c>
      <c r="H2998" s="5">
        <v>-225120</v>
      </c>
      <c r="I2998" s="3" t="s">
        <v>18</v>
      </c>
      <c r="J2998" s="3" t="s">
        <v>14</v>
      </c>
      <c r="K2998" s="3" t="s">
        <v>14</v>
      </c>
      <c r="L2998" s="3" t="s">
        <v>427</v>
      </c>
      <c r="M2998" s="4">
        <v>46300</v>
      </c>
      <c r="N2998" s="3" t="s">
        <v>428</v>
      </c>
      <c r="O2998" s="3" t="s">
        <v>22</v>
      </c>
      <c r="P2998" t="str">
        <f t="shared" si="46"/>
        <v>450013971620</v>
      </c>
      <c r="Q2998" s="7" cm="1">
        <f t="array" ref="Q2998:S2998">VLOOKUP(P2998,Hoja1!C:F,{2,3,4},FALSE)</f>
        <v>46300</v>
      </c>
      <c r="R2998" t="str">
        <v>377</v>
      </c>
      <c r="S2998" t="str">
        <v>1000008956 PERIMETRAR S.A.S.</v>
      </c>
    </row>
    <row r="2999" spans="1:19" x14ac:dyDescent="0.3">
      <c r="A2999" s="2" t="s">
        <v>14</v>
      </c>
      <c r="B2999" s="3" t="s">
        <v>14</v>
      </c>
      <c r="C2999" s="3" t="s">
        <v>3157</v>
      </c>
      <c r="D2999" s="3" t="s">
        <v>32</v>
      </c>
      <c r="E2999" s="3" t="s">
        <v>466</v>
      </c>
      <c r="F2999" s="4">
        <v>46300</v>
      </c>
      <c r="G2999" s="3" t="s">
        <v>17</v>
      </c>
      <c r="H2999" s="5">
        <v>-574933.53</v>
      </c>
      <c r="I2999" s="3" t="s">
        <v>18</v>
      </c>
      <c r="J2999" s="3" t="s">
        <v>14</v>
      </c>
      <c r="K2999" s="3" t="s">
        <v>14</v>
      </c>
      <c r="L2999" s="3" t="s">
        <v>427</v>
      </c>
      <c r="M2999" s="4">
        <v>46300</v>
      </c>
      <c r="N2999" s="3" t="s">
        <v>428</v>
      </c>
      <c r="O2999" s="3" t="s">
        <v>35</v>
      </c>
      <c r="P2999" t="str">
        <f t="shared" si="46"/>
        <v>450013971630</v>
      </c>
      <c r="Q2999" s="7" cm="1">
        <f t="array" ref="Q2999:S2999">VLOOKUP(P2999,Hoja1!C:F,{2,3,4},FALSE)</f>
        <v>46300</v>
      </c>
      <c r="R2999" t="str">
        <v>377</v>
      </c>
      <c r="S2999" t="str">
        <v>1000008956 PERIMETRAR S.A.S.</v>
      </c>
    </row>
    <row r="3000" spans="1:19" x14ac:dyDescent="0.3">
      <c r="A3000" s="2" t="s">
        <v>14</v>
      </c>
      <c r="B3000" s="3" t="s">
        <v>14</v>
      </c>
      <c r="C3000" s="3" t="s">
        <v>3157</v>
      </c>
      <c r="D3000" s="3" t="s">
        <v>32</v>
      </c>
      <c r="E3000" s="3" t="s">
        <v>466</v>
      </c>
      <c r="F3000" s="4">
        <v>46300</v>
      </c>
      <c r="G3000" s="3" t="s">
        <v>17</v>
      </c>
      <c r="H3000" s="5">
        <v>-383180</v>
      </c>
      <c r="I3000" s="3" t="s">
        <v>18</v>
      </c>
      <c r="J3000" s="3" t="s">
        <v>14</v>
      </c>
      <c r="K3000" s="3" t="s">
        <v>14</v>
      </c>
      <c r="L3000" s="3" t="s">
        <v>427</v>
      </c>
      <c r="M3000" s="4">
        <v>46300</v>
      </c>
      <c r="N3000" s="3" t="s">
        <v>428</v>
      </c>
      <c r="O3000" s="3" t="s">
        <v>23</v>
      </c>
      <c r="P3000" t="str">
        <f t="shared" si="46"/>
        <v>450013971640</v>
      </c>
      <c r="Q3000" s="7" cm="1">
        <f t="array" ref="Q3000:S3000">VLOOKUP(P3000,Hoja1!C:F,{2,3,4},FALSE)</f>
        <v>46300</v>
      </c>
      <c r="R3000" t="str">
        <v>377</v>
      </c>
      <c r="S3000" t="str">
        <v>1000008956 PERIMETRAR S.A.S.</v>
      </c>
    </row>
    <row r="3001" spans="1:19" x14ac:dyDescent="0.3">
      <c r="A3001" s="2" t="s">
        <v>14</v>
      </c>
      <c r="B3001" s="3" t="s">
        <v>14</v>
      </c>
      <c r="C3001" s="3" t="s">
        <v>3157</v>
      </c>
      <c r="D3001" s="3" t="s">
        <v>32</v>
      </c>
      <c r="E3001" s="3" t="s">
        <v>466</v>
      </c>
      <c r="F3001" s="4">
        <v>46300</v>
      </c>
      <c r="G3001" s="3" t="s">
        <v>17</v>
      </c>
      <c r="H3001" s="5">
        <v>-589260</v>
      </c>
      <c r="I3001" s="3" t="s">
        <v>18</v>
      </c>
      <c r="J3001" s="3" t="s">
        <v>14</v>
      </c>
      <c r="K3001" s="3" t="s">
        <v>14</v>
      </c>
      <c r="L3001" s="3" t="s">
        <v>427</v>
      </c>
      <c r="M3001" s="4">
        <v>46300</v>
      </c>
      <c r="N3001" s="3" t="s">
        <v>428</v>
      </c>
      <c r="O3001" s="3" t="s">
        <v>144</v>
      </c>
      <c r="P3001" t="str">
        <f t="shared" si="46"/>
        <v>450013971650</v>
      </c>
      <c r="Q3001" s="7" cm="1">
        <f t="array" ref="Q3001:S3001">VLOOKUP(P3001,Hoja1!C:F,{2,3,4},FALSE)</f>
        <v>46300</v>
      </c>
      <c r="R3001" t="str">
        <v>377</v>
      </c>
      <c r="S3001" t="str">
        <v>1000008956 PERIMETRAR S.A.S.</v>
      </c>
    </row>
    <row r="3002" spans="1:19" x14ac:dyDescent="0.3">
      <c r="A3002" s="2" t="s">
        <v>14</v>
      </c>
      <c r="B3002" s="3" t="s">
        <v>14</v>
      </c>
      <c r="C3002" s="3" t="s">
        <v>3157</v>
      </c>
      <c r="D3002" s="3" t="s">
        <v>32</v>
      </c>
      <c r="E3002" s="3" t="s">
        <v>466</v>
      </c>
      <c r="F3002" s="4">
        <v>46300</v>
      </c>
      <c r="G3002" s="3" t="s">
        <v>17</v>
      </c>
      <c r="H3002" s="5">
        <v>-55614</v>
      </c>
      <c r="I3002" s="3" t="s">
        <v>18</v>
      </c>
      <c r="J3002" s="3" t="s">
        <v>14</v>
      </c>
      <c r="K3002" s="3" t="s">
        <v>14</v>
      </c>
      <c r="L3002" s="3" t="s">
        <v>427</v>
      </c>
      <c r="M3002" s="4">
        <v>46300</v>
      </c>
      <c r="N3002" s="3" t="s">
        <v>428</v>
      </c>
      <c r="O3002" s="3" t="s">
        <v>141</v>
      </c>
      <c r="P3002" t="str">
        <f t="shared" si="46"/>
        <v>450013971660</v>
      </c>
      <c r="Q3002" s="7" cm="1">
        <f t="array" ref="Q3002:S3002">VLOOKUP(P3002,Hoja1!C:F,{2,3,4},FALSE)</f>
        <v>46300</v>
      </c>
      <c r="R3002" t="str">
        <v>377</v>
      </c>
      <c r="S3002" t="str">
        <v>1000008956 PERIMETRAR S.A.S.</v>
      </c>
    </row>
    <row r="3003" spans="1:19" x14ac:dyDescent="0.3">
      <c r="A3003" s="2" t="s">
        <v>14</v>
      </c>
      <c r="B3003" s="3" t="s">
        <v>14</v>
      </c>
      <c r="C3003" s="3" t="s">
        <v>3157</v>
      </c>
      <c r="D3003" s="3" t="s">
        <v>32</v>
      </c>
      <c r="E3003" s="3" t="s">
        <v>466</v>
      </c>
      <c r="F3003" s="4">
        <v>46300</v>
      </c>
      <c r="G3003" s="3" t="s">
        <v>17</v>
      </c>
      <c r="H3003" s="5">
        <v>-148783.32</v>
      </c>
      <c r="I3003" s="3" t="s">
        <v>18</v>
      </c>
      <c r="J3003" s="3" t="s">
        <v>14</v>
      </c>
      <c r="K3003" s="3" t="s">
        <v>14</v>
      </c>
      <c r="L3003" s="3" t="s">
        <v>427</v>
      </c>
      <c r="M3003" s="4">
        <v>46300</v>
      </c>
      <c r="N3003" s="3" t="s">
        <v>428</v>
      </c>
      <c r="O3003" s="3" t="s">
        <v>134</v>
      </c>
      <c r="P3003" t="str">
        <f t="shared" si="46"/>
        <v>450013971670</v>
      </c>
      <c r="Q3003" s="7" cm="1">
        <f t="array" ref="Q3003:S3003">VLOOKUP(P3003,Hoja1!C:F,{2,3,4},FALSE)</f>
        <v>46300</v>
      </c>
      <c r="R3003" t="str">
        <v>377</v>
      </c>
      <c r="S3003" t="str">
        <v>1000008956 PERIMETRAR S.A.S.</v>
      </c>
    </row>
    <row r="3004" spans="1:19" x14ac:dyDescent="0.3">
      <c r="A3004" s="2" t="s">
        <v>14</v>
      </c>
      <c r="B3004" s="3" t="s">
        <v>14</v>
      </c>
      <c r="C3004" s="3" t="s">
        <v>3157</v>
      </c>
      <c r="D3004" s="3" t="s">
        <v>32</v>
      </c>
      <c r="E3004" s="3" t="s">
        <v>466</v>
      </c>
      <c r="F3004" s="4">
        <v>46300</v>
      </c>
      <c r="G3004" s="3" t="s">
        <v>17</v>
      </c>
      <c r="H3004" s="5">
        <v>-172550</v>
      </c>
      <c r="I3004" s="3" t="s">
        <v>18</v>
      </c>
      <c r="J3004" s="3" t="s">
        <v>14</v>
      </c>
      <c r="K3004" s="3" t="s">
        <v>14</v>
      </c>
      <c r="L3004" s="3" t="s">
        <v>427</v>
      </c>
      <c r="M3004" s="4">
        <v>46300</v>
      </c>
      <c r="N3004" s="3" t="s">
        <v>428</v>
      </c>
      <c r="O3004" s="3" t="s">
        <v>52</v>
      </c>
      <c r="P3004" t="str">
        <f t="shared" si="46"/>
        <v>450013971680</v>
      </c>
      <c r="Q3004" s="7" cm="1">
        <f t="array" ref="Q3004:S3004">VLOOKUP(P3004,Hoja1!C:F,{2,3,4},FALSE)</f>
        <v>46300</v>
      </c>
      <c r="R3004" t="str">
        <v>377</v>
      </c>
      <c r="S3004" t="str">
        <v>1000008956 PERIMETRAR S.A.S.</v>
      </c>
    </row>
    <row r="3005" spans="1:19" x14ac:dyDescent="0.3">
      <c r="A3005" s="2" t="s">
        <v>14</v>
      </c>
      <c r="B3005" s="3" t="s">
        <v>14</v>
      </c>
      <c r="C3005" s="3" t="s">
        <v>3157</v>
      </c>
      <c r="D3005" s="3" t="s">
        <v>32</v>
      </c>
      <c r="E3005" s="3" t="s">
        <v>466</v>
      </c>
      <c r="F3005" s="4">
        <v>46300</v>
      </c>
      <c r="G3005" s="3" t="s">
        <v>17</v>
      </c>
      <c r="H3005" s="5">
        <v>-481040</v>
      </c>
      <c r="I3005" s="3" t="s">
        <v>18</v>
      </c>
      <c r="J3005" s="3" t="s">
        <v>14</v>
      </c>
      <c r="K3005" s="3" t="s">
        <v>14</v>
      </c>
      <c r="L3005" s="3" t="s">
        <v>427</v>
      </c>
      <c r="M3005" s="4">
        <v>46300</v>
      </c>
      <c r="N3005" s="3" t="s">
        <v>428</v>
      </c>
      <c r="O3005" s="3" t="s">
        <v>138</v>
      </c>
      <c r="P3005" t="str">
        <f t="shared" si="46"/>
        <v>450013971690</v>
      </c>
      <c r="Q3005" s="7" cm="1">
        <f t="array" ref="Q3005:S3005">VLOOKUP(P3005,Hoja1!C:F,{2,3,4},FALSE)</f>
        <v>46300</v>
      </c>
      <c r="R3005" t="str">
        <v>377</v>
      </c>
      <c r="S3005" t="str">
        <v>1000008956 PERIMETRAR S.A.S.</v>
      </c>
    </row>
    <row r="3006" spans="1:19" x14ac:dyDescent="0.3">
      <c r="A3006" s="2" t="s">
        <v>14</v>
      </c>
      <c r="B3006" s="3" t="s">
        <v>14</v>
      </c>
      <c r="C3006" s="3" t="s">
        <v>3157</v>
      </c>
      <c r="D3006" s="3" t="s">
        <v>32</v>
      </c>
      <c r="E3006" s="3" t="s">
        <v>466</v>
      </c>
      <c r="F3006" s="4">
        <v>46300</v>
      </c>
      <c r="G3006" s="3" t="s">
        <v>17</v>
      </c>
      <c r="H3006" s="5">
        <v>-6440</v>
      </c>
      <c r="I3006" s="3" t="s">
        <v>18</v>
      </c>
      <c r="J3006" s="3" t="s">
        <v>14</v>
      </c>
      <c r="K3006" s="3" t="s">
        <v>14</v>
      </c>
      <c r="L3006" s="3" t="s">
        <v>427</v>
      </c>
      <c r="M3006" s="4">
        <v>46300</v>
      </c>
      <c r="N3006" s="3" t="s">
        <v>428</v>
      </c>
      <c r="O3006" s="3" t="s">
        <v>142</v>
      </c>
      <c r="P3006" t="str">
        <f t="shared" si="46"/>
        <v>4500139716130</v>
      </c>
      <c r="Q3006" s="7" cm="1">
        <f t="array" ref="Q3006:S3006">VLOOKUP(P3006,Hoja1!C:F,{2,3,4},FALSE)</f>
        <v>46300</v>
      </c>
      <c r="R3006" t="str">
        <v>377</v>
      </c>
      <c r="S3006" t="str">
        <v>1000008956 PERIMETRAR S.A.S.</v>
      </c>
    </row>
    <row r="3007" spans="1:19" x14ac:dyDescent="0.3">
      <c r="A3007" s="2" t="s">
        <v>14</v>
      </c>
      <c r="B3007" s="3" t="s">
        <v>14</v>
      </c>
      <c r="C3007" s="3" t="s">
        <v>3157</v>
      </c>
      <c r="D3007" s="3" t="s">
        <v>32</v>
      </c>
      <c r="E3007" s="3" t="s">
        <v>466</v>
      </c>
      <c r="F3007" s="4">
        <v>46300</v>
      </c>
      <c r="G3007" s="3" t="s">
        <v>17</v>
      </c>
      <c r="H3007" s="5">
        <v>-5320</v>
      </c>
      <c r="I3007" s="3" t="s">
        <v>18</v>
      </c>
      <c r="J3007" s="3" t="s">
        <v>14</v>
      </c>
      <c r="K3007" s="3" t="s">
        <v>14</v>
      </c>
      <c r="L3007" s="3" t="s">
        <v>427</v>
      </c>
      <c r="M3007" s="4">
        <v>46300</v>
      </c>
      <c r="N3007" s="3" t="s">
        <v>428</v>
      </c>
      <c r="O3007" s="3" t="s">
        <v>131</v>
      </c>
      <c r="P3007" t="str">
        <f t="shared" si="46"/>
        <v>4500139716140</v>
      </c>
      <c r="Q3007" s="7" cm="1">
        <f t="array" ref="Q3007:S3007">VLOOKUP(P3007,Hoja1!C:F,{2,3,4},FALSE)</f>
        <v>46300</v>
      </c>
      <c r="R3007" t="str">
        <v>377</v>
      </c>
      <c r="S3007" t="str">
        <v>1000008956 PERIMETRAR S.A.S.</v>
      </c>
    </row>
    <row r="3008" spans="1:19" x14ac:dyDescent="0.3">
      <c r="A3008" s="2" t="s">
        <v>14</v>
      </c>
      <c r="B3008" s="3" t="s">
        <v>14</v>
      </c>
      <c r="C3008" s="3" t="s">
        <v>3158</v>
      </c>
      <c r="D3008" s="3" t="s">
        <v>14</v>
      </c>
      <c r="E3008" s="3" t="s">
        <v>466</v>
      </c>
      <c r="F3008" s="4">
        <v>46300</v>
      </c>
      <c r="G3008" s="3" t="s">
        <v>17</v>
      </c>
      <c r="H3008" s="5">
        <v>-681975</v>
      </c>
      <c r="I3008" s="3" t="s">
        <v>18</v>
      </c>
      <c r="J3008" s="3" t="s">
        <v>14</v>
      </c>
      <c r="K3008" s="3" t="s">
        <v>14</v>
      </c>
      <c r="L3008" s="3" t="s">
        <v>3131</v>
      </c>
      <c r="M3008" s="4">
        <v>46300</v>
      </c>
      <c r="N3008" s="3" t="s">
        <v>3159</v>
      </c>
      <c r="O3008" s="3" t="s">
        <v>30</v>
      </c>
      <c r="P3008" t="str">
        <f t="shared" si="46"/>
        <v>450014014410</v>
      </c>
      <c r="Q3008" s="7" cm="1">
        <f t="array" ref="Q3008:S3008">VLOOKUP(P3008,Hoja1!C:F,{2,3,4},FALSE)</f>
        <v>46296</v>
      </c>
      <c r="R3008" t="str">
        <v>EFO</v>
      </c>
      <c r="S3008" t="str">
        <v>1000011519 SALLAGO FEDERICO MIGUEL</v>
      </c>
    </row>
    <row r="3009" spans="1:19" x14ac:dyDescent="0.3">
      <c r="A3009" s="2" t="s">
        <v>14</v>
      </c>
      <c r="B3009" s="3" t="s">
        <v>14</v>
      </c>
      <c r="C3009" s="3" t="s">
        <v>3160</v>
      </c>
      <c r="D3009" s="3" t="s">
        <v>14</v>
      </c>
      <c r="E3009" s="3" t="s">
        <v>466</v>
      </c>
      <c r="F3009" s="4">
        <v>46300</v>
      </c>
      <c r="G3009" s="3" t="s">
        <v>17</v>
      </c>
      <c r="H3009" s="5">
        <v>-530425</v>
      </c>
      <c r="I3009" s="3" t="s">
        <v>18</v>
      </c>
      <c r="J3009" s="3" t="s">
        <v>14</v>
      </c>
      <c r="K3009" s="3" t="s">
        <v>14</v>
      </c>
      <c r="L3009" s="3" t="s">
        <v>3131</v>
      </c>
      <c r="M3009" s="4">
        <v>46300</v>
      </c>
      <c r="N3009" s="3" t="s">
        <v>3161</v>
      </c>
      <c r="O3009" s="3" t="s">
        <v>30</v>
      </c>
      <c r="P3009" t="str">
        <f t="shared" si="46"/>
        <v>450014014810</v>
      </c>
      <c r="Q3009" s="7" cm="1">
        <f t="array" ref="Q3009:S3009">VLOOKUP(P3009,Hoja1!C:F,{2,3,4},FALSE)</f>
        <v>46296</v>
      </c>
      <c r="R3009" t="str">
        <v>EFO</v>
      </c>
      <c r="S3009" t="str">
        <v>1000011519 SALLAGO FEDERICO MIGUEL</v>
      </c>
    </row>
    <row r="3010" spans="1:19" x14ac:dyDescent="0.3">
      <c r="A3010" s="2" t="s">
        <v>14</v>
      </c>
      <c r="B3010" s="3" t="s">
        <v>14</v>
      </c>
      <c r="C3010" s="3" t="s">
        <v>3162</v>
      </c>
      <c r="D3010" s="3" t="s">
        <v>14</v>
      </c>
      <c r="E3010" s="3" t="s">
        <v>466</v>
      </c>
      <c r="F3010" s="4">
        <v>46300</v>
      </c>
      <c r="G3010" s="3" t="s">
        <v>17</v>
      </c>
      <c r="H3010" s="5">
        <v>-5177.03</v>
      </c>
      <c r="I3010" s="3" t="s">
        <v>18</v>
      </c>
      <c r="J3010" s="3" t="s">
        <v>14</v>
      </c>
      <c r="K3010" s="3" t="s">
        <v>14</v>
      </c>
      <c r="L3010" s="3" t="s">
        <v>366</v>
      </c>
      <c r="M3010" s="4">
        <v>46300</v>
      </c>
      <c r="N3010" s="3" t="s">
        <v>3163</v>
      </c>
      <c r="O3010" s="3" t="s">
        <v>131</v>
      </c>
      <c r="P3010" t="str">
        <f t="shared" si="46"/>
        <v>4500139820140</v>
      </c>
      <c r="Q3010" s="7" cm="1">
        <f t="array" ref="Q3010:S3010">VLOOKUP(P3010,Hoja1!C:F,{2,3,4},FALSE)</f>
        <v>46304</v>
      </c>
      <c r="R3010" t="str">
        <v>C27</v>
      </c>
      <c r="S3010" t="str">
        <v>1000000014 LOPEZ - FORCINITI S.A.</v>
      </c>
    </row>
    <row r="3011" spans="1:19" x14ac:dyDescent="0.3">
      <c r="A3011" s="2" t="s">
        <v>14</v>
      </c>
      <c r="B3011" s="3" t="s">
        <v>14</v>
      </c>
      <c r="C3011" s="3" t="s">
        <v>3162</v>
      </c>
      <c r="D3011" s="3" t="s">
        <v>14</v>
      </c>
      <c r="E3011" s="3" t="s">
        <v>466</v>
      </c>
      <c r="F3011" s="4">
        <v>46300</v>
      </c>
      <c r="G3011" s="3" t="s">
        <v>17</v>
      </c>
      <c r="H3011" s="5">
        <v>-5264.94</v>
      </c>
      <c r="I3011" s="3" t="s">
        <v>18</v>
      </c>
      <c r="J3011" s="3" t="s">
        <v>14</v>
      </c>
      <c r="K3011" s="3" t="s">
        <v>14</v>
      </c>
      <c r="L3011" s="3" t="s">
        <v>366</v>
      </c>
      <c r="M3011" s="4">
        <v>46300</v>
      </c>
      <c r="N3011" s="3" t="s">
        <v>3163</v>
      </c>
      <c r="O3011" s="3" t="s">
        <v>68</v>
      </c>
      <c r="P3011" t="str">
        <f t="shared" ref="P3011:P3043" si="47">_xlfn.CONCAT(N3011:O3011)</f>
        <v>4500139820150</v>
      </c>
      <c r="Q3011" s="7" cm="1">
        <f t="array" ref="Q3011:S3011">VLOOKUP(P3011,Hoja1!C:F,{2,3,4},FALSE)</f>
        <v>46304</v>
      </c>
      <c r="R3011" t="str">
        <v>C27</v>
      </c>
      <c r="S3011" t="str">
        <v>1000000014 LOPEZ - FORCINITI S.A.</v>
      </c>
    </row>
    <row r="3012" spans="1:19" x14ac:dyDescent="0.3">
      <c r="A3012" s="2" t="s">
        <v>14</v>
      </c>
      <c r="B3012" s="3" t="s">
        <v>14</v>
      </c>
      <c r="C3012" s="3" t="s">
        <v>3162</v>
      </c>
      <c r="D3012" s="3" t="s">
        <v>14</v>
      </c>
      <c r="E3012" s="3" t="s">
        <v>466</v>
      </c>
      <c r="F3012" s="4">
        <v>46300</v>
      </c>
      <c r="G3012" s="3" t="s">
        <v>17</v>
      </c>
      <c r="H3012" s="5">
        <v>-7097.16</v>
      </c>
      <c r="I3012" s="3" t="s">
        <v>18</v>
      </c>
      <c r="J3012" s="3" t="s">
        <v>14</v>
      </c>
      <c r="K3012" s="3" t="s">
        <v>14</v>
      </c>
      <c r="L3012" s="3" t="s">
        <v>366</v>
      </c>
      <c r="M3012" s="4">
        <v>46300</v>
      </c>
      <c r="N3012" s="3" t="s">
        <v>3163</v>
      </c>
      <c r="O3012" s="3" t="s">
        <v>129</v>
      </c>
      <c r="P3012" t="str">
        <f t="shared" si="47"/>
        <v>4500139820160</v>
      </c>
      <c r="Q3012" s="7" cm="1">
        <f t="array" ref="Q3012:S3012">VLOOKUP(P3012,Hoja1!C:F,{2,3,4},FALSE)</f>
        <v>46304</v>
      </c>
      <c r="R3012" t="str">
        <v>C27</v>
      </c>
      <c r="S3012" t="str">
        <v>1000000014 LOPEZ - FORCINITI S.A.</v>
      </c>
    </row>
    <row r="3013" spans="1:19" x14ac:dyDescent="0.3">
      <c r="A3013" s="2" t="s">
        <v>14</v>
      </c>
      <c r="B3013" s="3" t="s">
        <v>14</v>
      </c>
      <c r="C3013" s="3" t="s">
        <v>3164</v>
      </c>
      <c r="D3013" s="3" t="s">
        <v>14</v>
      </c>
      <c r="E3013" s="3" t="s">
        <v>466</v>
      </c>
      <c r="F3013" s="4">
        <v>46300</v>
      </c>
      <c r="G3013" s="3" t="s">
        <v>17</v>
      </c>
      <c r="H3013" s="5">
        <v>-21939.119999999999</v>
      </c>
      <c r="I3013" s="3" t="s">
        <v>18</v>
      </c>
      <c r="J3013" s="3" t="s">
        <v>14</v>
      </c>
      <c r="K3013" s="3" t="s">
        <v>14</v>
      </c>
      <c r="L3013" s="3" t="s">
        <v>366</v>
      </c>
      <c r="M3013" s="4">
        <v>46300</v>
      </c>
      <c r="N3013" s="3" t="s">
        <v>3165</v>
      </c>
      <c r="O3013" s="3" t="s">
        <v>30</v>
      </c>
      <c r="P3013" t="str">
        <f t="shared" si="47"/>
        <v>450013984310</v>
      </c>
      <c r="Q3013" s="7" cm="1">
        <f t="array" ref="Q3013:S3013">VLOOKUP(P3013,Hoja1!C:F,{2,3,4},FALSE)</f>
        <v>46303</v>
      </c>
      <c r="R3013" t="str">
        <v>C27</v>
      </c>
      <c r="S3013" t="str">
        <v>1000000014 LOPEZ - FORCINITI S.A.</v>
      </c>
    </row>
    <row r="3014" spans="1:19" x14ac:dyDescent="0.3">
      <c r="A3014" s="2" t="s">
        <v>14</v>
      </c>
      <c r="B3014" s="3" t="s">
        <v>14</v>
      </c>
      <c r="C3014" s="3" t="s">
        <v>3166</v>
      </c>
      <c r="D3014" s="3" t="s">
        <v>14</v>
      </c>
      <c r="E3014" s="3" t="s">
        <v>466</v>
      </c>
      <c r="F3014" s="4">
        <v>46300</v>
      </c>
      <c r="G3014" s="3" t="s">
        <v>17</v>
      </c>
      <c r="H3014" s="5">
        <v>-4664.34</v>
      </c>
      <c r="I3014" s="3" t="s">
        <v>18</v>
      </c>
      <c r="J3014" s="3" t="s">
        <v>14</v>
      </c>
      <c r="K3014" s="3" t="s">
        <v>14</v>
      </c>
      <c r="L3014" s="3" t="s">
        <v>366</v>
      </c>
      <c r="M3014" s="4">
        <v>46300</v>
      </c>
      <c r="N3014" s="3" t="s">
        <v>3163</v>
      </c>
      <c r="O3014" s="3" t="s">
        <v>138</v>
      </c>
      <c r="P3014" t="str">
        <f t="shared" si="47"/>
        <v>450013982090</v>
      </c>
      <c r="Q3014" s="7" cm="1">
        <f t="array" ref="Q3014:S3014">VLOOKUP(P3014,Hoja1!C:F,{2,3,4},FALSE)</f>
        <v>46304</v>
      </c>
      <c r="R3014" t="str">
        <v>C27</v>
      </c>
      <c r="S3014" t="str">
        <v>1000000014 LOPEZ - FORCINITI S.A.</v>
      </c>
    </row>
    <row r="3015" spans="1:19" x14ac:dyDescent="0.3">
      <c r="A3015" s="2" t="s">
        <v>14</v>
      </c>
      <c r="B3015" s="3" t="s">
        <v>14</v>
      </c>
      <c r="C3015" s="3" t="s">
        <v>3167</v>
      </c>
      <c r="D3015" s="3" t="s">
        <v>32</v>
      </c>
      <c r="E3015" s="3" t="s">
        <v>466</v>
      </c>
      <c r="F3015" s="4">
        <v>46300</v>
      </c>
      <c r="G3015" s="3" t="s">
        <v>17</v>
      </c>
      <c r="H3015" s="5">
        <v>-488300</v>
      </c>
      <c r="I3015" s="3" t="s">
        <v>18</v>
      </c>
      <c r="J3015" s="3" t="s">
        <v>14</v>
      </c>
      <c r="K3015" s="3" t="s">
        <v>14</v>
      </c>
      <c r="L3015" s="3" t="s">
        <v>2370</v>
      </c>
      <c r="M3015" s="4">
        <v>46300</v>
      </c>
      <c r="N3015" s="3" t="s">
        <v>3168</v>
      </c>
      <c r="O3015" s="3" t="s">
        <v>30</v>
      </c>
      <c r="P3015" t="str">
        <f t="shared" si="47"/>
        <v>450014017010</v>
      </c>
      <c r="Q3015" s="7" cm="1">
        <f t="array" ref="Q3015:S3015">VLOOKUP(P3015,Hoja1!C:F,{2,3,4},FALSE)</f>
        <v>46359</v>
      </c>
      <c r="R3015" t="str">
        <v>C25</v>
      </c>
      <c r="S3015" t="str">
        <v>1000011590 NOALE CLAUDIA ELISABETH VIVIANA</v>
      </c>
    </row>
    <row r="3016" spans="1:19" x14ac:dyDescent="0.3">
      <c r="A3016" s="2" t="s">
        <v>14</v>
      </c>
      <c r="B3016" s="3" t="s">
        <v>14</v>
      </c>
      <c r="C3016" s="3" t="s">
        <v>3169</v>
      </c>
      <c r="D3016" s="3" t="s">
        <v>14</v>
      </c>
      <c r="E3016" s="3" t="s">
        <v>466</v>
      </c>
      <c r="F3016" s="4">
        <v>46300</v>
      </c>
      <c r="G3016" s="3" t="s">
        <v>17</v>
      </c>
      <c r="H3016" s="5">
        <v>-6918</v>
      </c>
      <c r="I3016" s="3" t="s">
        <v>18</v>
      </c>
      <c r="J3016" s="3" t="s">
        <v>14</v>
      </c>
      <c r="K3016" s="3" t="s">
        <v>14</v>
      </c>
      <c r="L3016" s="3" t="s">
        <v>1549</v>
      </c>
      <c r="M3016" s="4">
        <v>46300</v>
      </c>
      <c r="N3016" s="3" t="s">
        <v>3170</v>
      </c>
      <c r="O3016" s="3" t="s">
        <v>22</v>
      </c>
      <c r="P3016" t="str">
        <f t="shared" si="47"/>
        <v>450014006720</v>
      </c>
      <c r="Q3016" s="7" cm="1">
        <f t="array" ref="Q3016:S3016">VLOOKUP(P3016,Hoja1!C:F,{2,3,4},FALSE)</f>
        <v>46309</v>
      </c>
      <c r="R3016" t="str">
        <v>C27</v>
      </c>
      <c r="S3016" t="str">
        <v>1000000577 IMPERIAL MOTOR S.A.</v>
      </c>
    </row>
    <row r="3017" spans="1:19" x14ac:dyDescent="0.3">
      <c r="A3017" s="2" t="s">
        <v>14</v>
      </c>
      <c r="B3017" s="3" t="s">
        <v>14</v>
      </c>
      <c r="C3017" s="3" t="s">
        <v>3169</v>
      </c>
      <c r="D3017" s="3" t="s">
        <v>14</v>
      </c>
      <c r="E3017" s="3" t="s">
        <v>466</v>
      </c>
      <c r="F3017" s="4">
        <v>46300</v>
      </c>
      <c r="G3017" s="3" t="s">
        <v>17</v>
      </c>
      <c r="H3017" s="5">
        <v>-3438</v>
      </c>
      <c r="I3017" s="3" t="s">
        <v>18</v>
      </c>
      <c r="J3017" s="3" t="s">
        <v>14</v>
      </c>
      <c r="K3017" s="3" t="s">
        <v>14</v>
      </c>
      <c r="L3017" s="3" t="s">
        <v>1549</v>
      </c>
      <c r="M3017" s="4">
        <v>46300</v>
      </c>
      <c r="N3017" s="3" t="s">
        <v>3170</v>
      </c>
      <c r="O3017" s="3" t="s">
        <v>35</v>
      </c>
      <c r="P3017" t="str">
        <f t="shared" si="47"/>
        <v>450014006730</v>
      </c>
      <c r="Q3017" s="7" cm="1">
        <f t="array" ref="Q3017:S3017">VLOOKUP(P3017,Hoja1!C:F,{2,3,4},FALSE)</f>
        <v>46309</v>
      </c>
      <c r="R3017" t="str">
        <v>C27</v>
      </c>
      <c r="S3017" t="str">
        <v>1000000577 IMPERIAL MOTOR S.A.</v>
      </c>
    </row>
    <row r="3018" spans="1:19" x14ac:dyDescent="0.3">
      <c r="A3018" s="2" t="s">
        <v>14</v>
      </c>
      <c r="B3018" s="3" t="s">
        <v>14</v>
      </c>
      <c r="C3018" s="3" t="s">
        <v>3171</v>
      </c>
      <c r="D3018" s="3" t="s">
        <v>14</v>
      </c>
      <c r="E3018" s="3" t="s">
        <v>466</v>
      </c>
      <c r="F3018" s="4">
        <v>46300</v>
      </c>
      <c r="G3018" s="3" t="s">
        <v>17</v>
      </c>
      <c r="H3018" s="5">
        <v>-12003840</v>
      </c>
      <c r="I3018" s="3" t="s">
        <v>18</v>
      </c>
      <c r="J3018" s="3" t="s">
        <v>14</v>
      </c>
      <c r="K3018" s="3" t="s">
        <v>14</v>
      </c>
      <c r="L3018" s="3" t="s">
        <v>3172</v>
      </c>
      <c r="M3018" s="4">
        <v>46300</v>
      </c>
      <c r="N3018" s="3" t="s">
        <v>3173</v>
      </c>
      <c r="O3018" s="3" t="s">
        <v>30</v>
      </c>
      <c r="P3018" t="str">
        <f t="shared" si="47"/>
        <v>450012976110</v>
      </c>
      <c r="Q3018" s="7" cm="1">
        <f t="array" ref="Q3018:S3018">VLOOKUP(P3018,Hoja1!C:F,{2,3,4},FALSE)</f>
        <v>47299</v>
      </c>
      <c r="R3018" t="str">
        <v>C25</v>
      </c>
      <c r="S3018" t="str">
        <v>1000000527 SEGURIDAD Y RESGUARDO SRL</v>
      </c>
    </row>
    <row r="3019" spans="1:19" x14ac:dyDescent="0.3">
      <c r="A3019" s="2" t="s">
        <v>14</v>
      </c>
      <c r="B3019" s="3" t="s">
        <v>14</v>
      </c>
      <c r="C3019" s="3" t="s">
        <v>3174</v>
      </c>
      <c r="D3019" s="3" t="s">
        <v>14</v>
      </c>
      <c r="E3019" s="3" t="s">
        <v>466</v>
      </c>
      <c r="F3019" s="4">
        <v>46300</v>
      </c>
      <c r="G3019" s="3" t="s">
        <v>17</v>
      </c>
      <c r="H3019" s="5">
        <v>-963099.47</v>
      </c>
      <c r="I3019" s="3" t="s">
        <v>18</v>
      </c>
      <c r="J3019" s="3" t="s">
        <v>14</v>
      </c>
      <c r="K3019" s="3" t="s">
        <v>14</v>
      </c>
      <c r="L3019" s="3" t="s">
        <v>3175</v>
      </c>
      <c r="M3019" s="4">
        <v>46300</v>
      </c>
      <c r="N3019" s="3" t="s">
        <v>3176</v>
      </c>
      <c r="O3019" s="3" t="s">
        <v>30</v>
      </c>
      <c r="P3019" t="str">
        <f t="shared" si="47"/>
        <v>450012121410</v>
      </c>
      <c r="Q3019" s="7" cm="1">
        <f t="array" ref="Q3019:S3019">VLOOKUP(P3019,Hoja1!C:F,{2,3,4},FALSE)</f>
        <v>46387</v>
      </c>
      <c r="R3019" t="str">
        <v>C24</v>
      </c>
      <c r="S3019" t="str">
        <v>1000001448 CLEAN CITY S.A.</v>
      </c>
    </row>
    <row r="3020" spans="1:19" x14ac:dyDescent="0.3">
      <c r="A3020" s="2" t="s">
        <v>14</v>
      </c>
      <c r="B3020" s="3" t="s">
        <v>14</v>
      </c>
      <c r="C3020" s="3" t="s">
        <v>3177</v>
      </c>
      <c r="D3020" s="3" t="s">
        <v>14</v>
      </c>
      <c r="E3020" s="3" t="s">
        <v>466</v>
      </c>
      <c r="F3020" s="4">
        <v>46300</v>
      </c>
      <c r="G3020" s="3" t="s">
        <v>17</v>
      </c>
      <c r="H3020" s="5">
        <v>-178500</v>
      </c>
      <c r="I3020" s="3" t="s">
        <v>18</v>
      </c>
      <c r="J3020" s="3" t="s">
        <v>14</v>
      </c>
      <c r="K3020" s="3" t="s">
        <v>14</v>
      </c>
      <c r="L3020" s="3" t="s">
        <v>3178</v>
      </c>
      <c r="M3020" s="4">
        <v>46300</v>
      </c>
      <c r="N3020" s="3" t="s">
        <v>3179</v>
      </c>
      <c r="O3020" s="3" t="s">
        <v>30</v>
      </c>
      <c r="P3020" t="str">
        <f t="shared" si="47"/>
        <v>450011910610</v>
      </c>
      <c r="Q3020" s="7" cm="1">
        <f t="array" ref="Q3020:S3020">VLOOKUP(P3020,Hoja1!C:F,{2,3,4},FALSE)</f>
        <v>46387</v>
      </c>
      <c r="R3020" t="str">
        <v>C24</v>
      </c>
      <c r="S3020" t="str">
        <v>1000001485 SOMA SA</v>
      </c>
    </row>
    <row r="3021" spans="1:19" x14ac:dyDescent="0.3">
      <c r="A3021" s="2" t="s">
        <v>14</v>
      </c>
      <c r="B3021" s="3" t="s">
        <v>14</v>
      </c>
      <c r="C3021" s="3" t="s">
        <v>3180</v>
      </c>
      <c r="D3021" s="3" t="s">
        <v>14</v>
      </c>
      <c r="E3021" s="3" t="s">
        <v>466</v>
      </c>
      <c r="F3021" s="4">
        <v>46300</v>
      </c>
      <c r="G3021" s="3" t="s">
        <v>17</v>
      </c>
      <c r="H3021" s="5">
        <v>-160000</v>
      </c>
      <c r="I3021" s="3" t="s">
        <v>18</v>
      </c>
      <c r="J3021" s="3" t="s">
        <v>14</v>
      </c>
      <c r="K3021" s="3" t="s">
        <v>14</v>
      </c>
      <c r="L3021" s="3" t="s">
        <v>3181</v>
      </c>
      <c r="M3021" s="4">
        <v>46300</v>
      </c>
      <c r="N3021" s="3" t="s">
        <v>3182</v>
      </c>
      <c r="O3021" s="3" t="s">
        <v>30</v>
      </c>
      <c r="P3021" t="str">
        <f t="shared" si="47"/>
        <v>450013003010</v>
      </c>
      <c r="Q3021" s="7" cm="1">
        <f t="array" ref="Q3021:S3021">VLOOKUP(P3021,Hoja1!C:F,{2,3,4},FALSE)</f>
        <v>46568</v>
      </c>
      <c r="R3021" t="str">
        <v>C25</v>
      </c>
      <c r="S3021" t="str">
        <v>1000010024 CEPEDA LEANDRO ESTEBAN</v>
      </c>
    </row>
    <row r="3022" spans="1:19" x14ac:dyDescent="0.3">
      <c r="A3022" s="2" t="s">
        <v>14</v>
      </c>
      <c r="B3022" s="3" t="s">
        <v>14</v>
      </c>
      <c r="C3022" s="3" t="s">
        <v>3183</v>
      </c>
      <c r="D3022" s="3" t="s">
        <v>14</v>
      </c>
      <c r="E3022" s="3" t="s">
        <v>466</v>
      </c>
      <c r="F3022" s="4">
        <v>46300</v>
      </c>
      <c r="G3022" s="3" t="s">
        <v>17</v>
      </c>
      <c r="H3022" s="5">
        <v>-326612</v>
      </c>
      <c r="I3022" s="3" t="s">
        <v>18</v>
      </c>
      <c r="J3022" s="3" t="s">
        <v>14</v>
      </c>
      <c r="K3022" s="3" t="s">
        <v>14</v>
      </c>
      <c r="L3022" s="3" t="s">
        <v>3184</v>
      </c>
      <c r="M3022" s="4">
        <v>46300</v>
      </c>
      <c r="N3022" s="3" t="s">
        <v>3185</v>
      </c>
      <c r="O3022" s="3" t="s">
        <v>30</v>
      </c>
      <c r="P3022" t="str">
        <f t="shared" si="47"/>
        <v>450012645810</v>
      </c>
      <c r="Q3022" s="7" cm="1">
        <f t="array" ref="Q3022:S3022">VLOOKUP(P3022,Hoja1!C:F,{2,3,4},FALSE)</f>
        <v>46387</v>
      </c>
      <c r="R3022" t="str">
        <v>C24</v>
      </c>
      <c r="S3022" t="str">
        <v>1000004924 GEA ROSARIO SA</v>
      </c>
    </row>
    <row r="3023" spans="1:19" x14ac:dyDescent="0.3">
      <c r="A3023" s="2" t="s">
        <v>14</v>
      </c>
      <c r="B3023" s="3" t="s">
        <v>14</v>
      </c>
      <c r="C3023" s="3" t="s">
        <v>3186</v>
      </c>
      <c r="D3023" s="3" t="s">
        <v>32</v>
      </c>
      <c r="E3023" s="3" t="s">
        <v>466</v>
      </c>
      <c r="F3023" s="4">
        <v>46300</v>
      </c>
      <c r="G3023" s="3" t="s">
        <v>17</v>
      </c>
      <c r="H3023" s="5">
        <v>-11600000</v>
      </c>
      <c r="I3023" s="3" t="s">
        <v>18</v>
      </c>
      <c r="J3023" s="3" t="s">
        <v>14</v>
      </c>
      <c r="K3023" s="3" t="s">
        <v>14</v>
      </c>
      <c r="L3023" s="3" t="s">
        <v>2057</v>
      </c>
      <c r="M3023" s="4">
        <v>46300</v>
      </c>
      <c r="N3023" s="3" t="s">
        <v>3187</v>
      </c>
      <c r="O3023" s="3" t="s">
        <v>30</v>
      </c>
      <c r="P3023" t="str">
        <f t="shared" si="47"/>
        <v>450012769110</v>
      </c>
      <c r="Q3023" s="7" cm="1">
        <f t="array" ref="Q3023:S3023">VLOOKUP(P3023,Hoja1!C:F,{2,3,4},FALSE)</f>
        <v>46402</v>
      </c>
      <c r="R3023" t="str">
        <v>C26</v>
      </c>
      <c r="S3023" t="str">
        <v>1000002120 INGEAP S.A.S.</v>
      </c>
    </row>
    <row r="3024" spans="1:19" x14ac:dyDescent="0.3">
      <c r="A3024" s="2" t="s">
        <v>14</v>
      </c>
      <c r="B3024" s="3" t="s">
        <v>14</v>
      </c>
      <c r="C3024" s="3" t="s">
        <v>3186</v>
      </c>
      <c r="D3024" s="3" t="s">
        <v>32</v>
      </c>
      <c r="E3024" s="3" t="s">
        <v>466</v>
      </c>
      <c r="F3024" s="4">
        <v>46300</v>
      </c>
      <c r="G3024" s="3" t="s">
        <v>17</v>
      </c>
      <c r="H3024" s="5">
        <v>-1600000</v>
      </c>
      <c r="I3024" s="3" t="s">
        <v>18</v>
      </c>
      <c r="J3024" s="3" t="s">
        <v>14</v>
      </c>
      <c r="K3024" s="3" t="s">
        <v>14</v>
      </c>
      <c r="L3024" s="3" t="s">
        <v>2057</v>
      </c>
      <c r="M3024" s="4">
        <v>46300</v>
      </c>
      <c r="N3024" s="3" t="s">
        <v>3187</v>
      </c>
      <c r="O3024" s="3" t="s">
        <v>35</v>
      </c>
      <c r="P3024" t="str">
        <f t="shared" si="47"/>
        <v>450012769130</v>
      </c>
      <c r="Q3024" s="7" cm="1">
        <f t="array" ref="Q3024:S3024">VLOOKUP(P3024,Hoja1!C:F,{2,3,4},FALSE)</f>
        <v>46402</v>
      </c>
      <c r="R3024" t="str">
        <v>C26</v>
      </c>
      <c r="S3024" t="str">
        <v>1000002120 INGEAP S.A.S.</v>
      </c>
    </row>
    <row r="3025" spans="1:19" x14ac:dyDescent="0.3">
      <c r="A3025" s="2" t="s">
        <v>14</v>
      </c>
      <c r="B3025" s="3" t="s">
        <v>14</v>
      </c>
      <c r="C3025" s="3" t="s">
        <v>3186</v>
      </c>
      <c r="D3025" s="3" t="s">
        <v>32</v>
      </c>
      <c r="E3025" s="3" t="s">
        <v>466</v>
      </c>
      <c r="F3025" s="4">
        <v>46300</v>
      </c>
      <c r="G3025" s="3" t="s">
        <v>17</v>
      </c>
      <c r="H3025" s="5">
        <v>-1940000</v>
      </c>
      <c r="I3025" s="3" t="s">
        <v>18</v>
      </c>
      <c r="J3025" s="3" t="s">
        <v>14</v>
      </c>
      <c r="K3025" s="3" t="s">
        <v>14</v>
      </c>
      <c r="L3025" s="3" t="s">
        <v>2057</v>
      </c>
      <c r="M3025" s="4">
        <v>46300</v>
      </c>
      <c r="N3025" s="3" t="s">
        <v>3187</v>
      </c>
      <c r="O3025" s="3" t="s">
        <v>144</v>
      </c>
      <c r="P3025" t="str">
        <f t="shared" si="47"/>
        <v>450012769150</v>
      </c>
      <c r="Q3025" s="7" cm="1">
        <f t="array" ref="Q3025:S3025">VLOOKUP(P3025,Hoja1!C:F,{2,3,4},FALSE)</f>
        <v>46402</v>
      </c>
      <c r="R3025" t="str">
        <v>C26</v>
      </c>
      <c r="S3025" t="str">
        <v>1000002120 INGEAP S.A.S.</v>
      </c>
    </row>
    <row r="3026" spans="1:19" x14ac:dyDescent="0.3">
      <c r="A3026" s="2" t="s">
        <v>14</v>
      </c>
      <c r="B3026" s="3" t="s">
        <v>14</v>
      </c>
      <c r="C3026" s="3" t="s">
        <v>3188</v>
      </c>
      <c r="D3026" s="3" t="s">
        <v>14</v>
      </c>
      <c r="E3026" s="3" t="s">
        <v>466</v>
      </c>
      <c r="F3026" s="4">
        <v>46300</v>
      </c>
      <c r="G3026" s="3" t="s">
        <v>17</v>
      </c>
      <c r="H3026" s="5">
        <v>-363720</v>
      </c>
      <c r="I3026" s="3" t="s">
        <v>18</v>
      </c>
      <c r="J3026" s="3" t="s">
        <v>14</v>
      </c>
      <c r="K3026" s="3" t="s">
        <v>14</v>
      </c>
      <c r="L3026" s="3" t="s">
        <v>269</v>
      </c>
      <c r="M3026" s="4">
        <v>46300</v>
      </c>
      <c r="N3026" s="3" t="s">
        <v>3189</v>
      </c>
      <c r="O3026" s="3" t="s">
        <v>30</v>
      </c>
      <c r="P3026" t="str">
        <f t="shared" si="47"/>
        <v>450013988510</v>
      </c>
      <c r="Q3026" s="7" cm="1">
        <f t="array" ref="Q3026:S3026">VLOOKUP(P3026,Hoja1!C:F,{2,3,4},FALSE)</f>
        <v>46304</v>
      </c>
      <c r="R3026" t="str">
        <v>C03</v>
      </c>
      <c r="S3026" t="str">
        <v>1000000190 FERNANDEZ INSUA S.A.</v>
      </c>
    </row>
    <row r="3027" spans="1:19" x14ac:dyDescent="0.3">
      <c r="A3027" s="2" t="s">
        <v>14</v>
      </c>
      <c r="B3027" s="3" t="s">
        <v>14</v>
      </c>
      <c r="C3027" s="3" t="s">
        <v>3188</v>
      </c>
      <c r="D3027" s="3" t="s">
        <v>14</v>
      </c>
      <c r="E3027" s="3" t="s">
        <v>466</v>
      </c>
      <c r="F3027" s="4">
        <v>46300</v>
      </c>
      <c r="G3027" s="3" t="s">
        <v>17</v>
      </c>
      <c r="H3027" s="5">
        <v>-354627</v>
      </c>
      <c r="I3027" s="3" t="s">
        <v>18</v>
      </c>
      <c r="J3027" s="3" t="s">
        <v>14</v>
      </c>
      <c r="K3027" s="3" t="s">
        <v>14</v>
      </c>
      <c r="L3027" s="3" t="s">
        <v>269</v>
      </c>
      <c r="M3027" s="4">
        <v>46300</v>
      </c>
      <c r="N3027" s="3" t="s">
        <v>3189</v>
      </c>
      <c r="O3027" s="3" t="s">
        <v>22</v>
      </c>
      <c r="P3027" t="str">
        <f t="shared" si="47"/>
        <v>450013988520</v>
      </c>
      <c r="Q3027" s="7" cm="1">
        <f t="array" ref="Q3027:S3027">VLOOKUP(P3027,Hoja1!C:F,{2,3,4},FALSE)</f>
        <v>46304</v>
      </c>
      <c r="R3027" t="str">
        <v>C03</v>
      </c>
      <c r="S3027" t="str">
        <v>1000000190 FERNANDEZ INSUA S.A.</v>
      </c>
    </row>
    <row r="3028" spans="1:19" x14ac:dyDescent="0.3">
      <c r="A3028" s="2" t="s">
        <v>14</v>
      </c>
      <c r="B3028" s="3" t="s">
        <v>14</v>
      </c>
      <c r="C3028" s="3" t="s">
        <v>3188</v>
      </c>
      <c r="D3028" s="3" t="s">
        <v>14</v>
      </c>
      <c r="E3028" s="3" t="s">
        <v>466</v>
      </c>
      <c r="F3028" s="4">
        <v>46300</v>
      </c>
      <c r="G3028" s="3" t="s">
        <v>17</v>
      </c>
      <c r="H3028" s="5">
        <v>-204592.5</v>
      </c>
      <c r="I3028" s="3" t="s">
        <v>18</v>
      </c>
      <c r="J3028" s="3" t="s">
        <v>14</v>
      </c>
      <c r="K3028" s="3" t="s">
        <v>14</v>
      </c>
      <c r="L3028" s="3" t="s">
        <v>269</v>
      </c>
      <c r="M3028" s="4">
        <v>46300</v>
      </c>
      <c r="N3028" s="3" t="s">
        <v>3189</v>
      </c>
      <c r="O3028" s="3" t="s">
        <v>35</v>
      </c>
      <c r="P3028" t="str">
        <f t="shared" si="47"/>
        <v>450013988530</v>
      </c>
      <c r="Q3028" s="7" cm="1">
        <f t="array" ref="Q3028:S3028">VLOOKUP(P3028,Hoja1!C:F,{2,3,4},FALSE)</f>
        <v>46304</v>
      </c>
      <c r="R3028" t="str">
        <v>C03</v>
      </c>
      <c r="S3028" t="str">
        <v>1000000190 FERNANDEZ INSUA S.A.</v>
      </c>
    </row>
    <row r="3029" spans="1:19" x14ac:dyDescent="0.3">
      <c r="A3029" s="2" t="s">
        <v>14</v>
      </c>
      <c r="B3029" s="3" t="s">
        <v>14</v>
      </c>
      <c r="C3029" s="3" t="s">
        <v>3190</v>
      </c>
      <c r="D3029" s="3" t="s">
        <v>32</v>
      </c>
      <c r="E3029" s="3" t="s">
        <v>466</v>
      </c>
      <c r="F3029" s="4">
        <v>46300</v>
      </c>
      <c r="G3029" s="3" t="s">
        <v>17</v>
      </c>
      <c r="H3029" s="5">
        <v>-9285803</v>
      </c>
      <c r="I3029" s="3" t="s">
        <v>18</v>
      </c>
      <c r="J3029" s="3" t="s">
        <v>14</v>
      </c>
      <c r="K3029" s="3" t="s">
        <v>14</v>
      </c>
      <c r="L3029" s="3" t="s">
        <v>2057</v>
      </c>
      <c r="M3029" s="4">
        <v>46300</v>
      </c>
      <c r="N3029" s="3" t="s">
        <v>3191</v>
      </c>
      <c r="O3029" s="3" t="s">
        <v>30</v>
      </c>
      <c r="P3029" t="str">
        <f t="shared" si="47"/>
        <v>450013911510</v>
      </c>
      <c r="Q3029" s="7" cm="1">
        <f t="array" ref="Q3029:S3029">VLOOKUP(P3029,Hoja1!C:F,{2,3,4},FALSE)</f>
        <v>46397</v>
      </c>
      <c r="R3029" t="str">
        <v>C26</v>
      </c>
      <c r="S3029" t="str">
        <v>1000002120 INGEAP S.A.S.</v>
      </c>
    </row>
    <row r="3030" spans="1:19" x14ac:dyDescent="0.3">
      <c r="A3030" s="2" t="s">
        <v>14</v>
      </c>
      <c r="B3030" s="3" t="s">
        <v>14</v>
      </c>
      <c r="C3030" s="3" t="s">
        <v>3192</v>
      </c>
      <c r="D3030" s="3" t="s">
        <v>32</v>
      </c>
      <c r="E3030" s="3" t="s">
        <v>466</v>
      </c>
      <c r="F3030" s="4">
        <v>46300</v>
      </c>
      <c r="G3030" s="3" t="s">
        <v>17</v>
      </c>
      <c r="H3030" s="5">
        <v>-2495643.37</v>
      </c>
      <c r="I3030" s="3" t="s">
        <v>18</v>
      </c>
      <c r="J3030" s="3" t="s">
        <v>14</v>
      </c>
      <c r="K3030" s="3" t="s">
        <v>14</v>
      </c>
      <c r="L3030" s="3" t="s">
        <v>2057</v>
      </c>
      <c r="M3030" s="4">
        <v>46300</v>
      </c>
      <c r="N3030" s="3" t="s">
        <v>3193</v>
      </c>
      <c r="O3030" s="3" t="s">
        <v>30</v>
      </c>
      <c r="P3030" t="str">
        <f t="shared" si="47"/>
        <v>450013912510</v>
      </c>
      <c r="Q3030" s="7" cm="1">
        <f t="array" ref="Q3030:S3030">VLOOKUP(P3030,Hoja1!C:F,{2,3,4},FALSE)</f>
        <v>46350</v>
      </c>
      <c r="R3030" t="str">
        <v>C26</v>
      </c>
      <c r="S3030" t="str">
        <v>1000002120 INGEAP S.A.S.</v>
      </c>
    </row>
    <row r="3031" spans="1:19" x14ac:dyDescent="0.3">
      <c r="A3031" s="2" t="s">
        <v>14</v>
      </c>
      <c r="B3031" s="3" t="s">
        <v>14</v>
      </c>
      <c r="C3031" s="3" t="s">
        <v>3194</v>
      </c>
      <c r="D3031" s="3" t="s">
        <v>14</v>
      </c>
      <c r="E3031" s="3" t="s">
        <v>466</v>
      </c>
      <c r="F3031" s="4">
        <v>46300</v>
      </c>
      <c r="G3031" s="3" t="s">
        <v>17</v>
      </c>
      <c r="H3031" s="5">
        <v>-1234000</v>
      </c>
      <c r="I3031" s="3" t="s">
        <v>18</v>
      </c>
      <c r="J3031" s="3" t="s">
        <v>14</v>
      </c>
      <c r="K3031" s="3" t="s">
        <v>14</v>
      </c>
      <c r="L3031" s="3" t="s">
        <v>3195</v>
      </c>
      <c r="M3031" s="4">
        <v>46300</v>
      </c>
      <c r="N3031" s="3" t="s">
        <v>3196</v>
      </c>
      <c r="O3031" s="3" t="s">
        <v>30</v>
      </c>
      <c r="P3031" t="str">
        <f t="shared" si="47"/>
        <v>450013795110</v>
      </c>
      <c r="Q3031" s="7" cm="1">
        <f t="array" ref="Q3031:S3031">VLOOKUP(P3031,Hoja1!C:F,{2,3,4},FALSE)</f>
        <v>46387</v>
      </c>
      <c r="R3031" t="str">
        <v>C24</v>
      </c>
      <c r="S3031" t="str">
        <v>1000008157 CONSULDAR SRL</v>
      </c>
    </row>
    <row r="3032" spans="1:19" x14ac:dyDescent="0.3">
      <c r="A3032" s="2" t="s">
        <v>14</v>
      </c>
      <c r="B3032" s="3" t="s">
        <v>14</v>
      </c>
      <c r="C3032" s="3" t="s">
        <v>3197</v>
      </c>
      <c r="D3032" s="3" t="s">
        <v>32</v>
      </c>
      <c r="E3032" s="3" t="s">
        <v>466</v>
      </c>
      <c r="F3032" s="4">
        <v>46300</v>
      </c>
      <c r="G3032" s="3" t="s">
        <v>17</v>
      </c>
      <c r="H3032" s="5">
        <v>-2720137.74</v>
      </c>
      <c r="I3032" s="3" t="s">
        <v>18</v>
      </c>
      <c r="J3032" s="3" t="s">
        <v>14</v>
      </c>
      <c r="K3032" s="3" t="s">
        <v>14</v>
      </c>
      <c r="L3032" s="3" t="s">
        <v>2057</v>
      </c>
      <c r="M3032" s="4">
        <v>46300</v>
      </c>
      <c r="N3032" s="3" t="s">
        <v>3198</v>
      </c>
      <c r="O3032" s="3" t="s">
        <v>30</v>
      </c>
      <c r="P3032" t="str">
        <f t="shared" si="47"/>
        <v>450013915310</v>
      </c>
      <c r="Q3032" s="7" cm="1">
        <f t="array" ref="Q3032:S3032">VLOOKUP(P3032,Hoja1!C:F,{2,3,4},FALSE)</f>
        <v>46326</v>
      </c>
      <c r="R3032" t="str">
        <v>C26</v>
      </c>
      <c r="S3032" t="str">
        <v>1000002120 INGEAP S.A.S.</v>
      </c>
    </row>
    <row r="3033" spans="1:19" x14ac:dyDescent="0.3">
      <c r="A3033" s="2" t="s">
        <v>14</v>
      </c>
      <c r="B3033" s="3" t="s">
        <v>14</v>
      </c>
      <c r="C3033" s="3" t="s">
        <v>3199</v>
      </c>
      <c r="D3033" s="3" t="s">
        <v>14</v>
      </c>
      <c r="E3033" s="3" t="s">
        <v>466</v>
      </c>
      <c r="F3033" s="4">
        <v>46300</v>
      </c>
      <c r="G3033" s="3" t="s">
        <v>17</v>
      </c>
      <c r="H3033" s="5">
        <v>-213865</v>
      </c>
      <c r="I3033" s="3" t="s">
        <v>18</v>
      </c>
      <c r="J3033" s="3" t="s">
        <v>14</v>
      </c>
      <c r="K3033" s="3" t="s">
        <v>14</v>
      </c>
      <c r="L3033" s="3" t="s">
        <v>3200</v>
      </c>
      <c r="M3033" s="4">
        <v>46300</v>
      </c>
      <c r="N3033" s="3" t="s">
        <v>3201</v>
      </c>
      <c r="O3033" s="3" t="s">
        <v>30</v>
      </c>
      <c r="P3033" t="str">
        <f t="shared" si="47"/>
        <v>450013657910</v>
      </c>
      <c r="Q3033" s="7" cm="1">
        <f t="array" ref="Q3033:S3033">VLOOKUP(P3033,Hoja1!C:F,{2,3,4},FALSE)</f>
        <v>46302</v>
      </c>
      <c r="R3033" t="str">
        <v>374</v>
      </c>
      <c r="S3033" t="str">
        <v>1000013504 RD REPRESENTACIONES S. R. L.</v>
      </c>
    </row>
    <row r="3034" spans="1:19" x14ac:dyDescent="0.3">
      <c r="A3034" s="2" t="s">
        <v>14</v>
      </c>
      <c r="B3034" s="3" t="s">
        <v>14</v>
      </c>
      <c r="C3034" s="3" t="s">
        <v>3199</v>
      </c>
      <c r="D3034" s="3" t="s">
        <v>14</v>
      </c>
      <c r="E3034" s="3" t="s">
        <v>466</v>
      </c>
      <c r="F3034" s="4">
        <v>46300</v>
      </c>
      <c r="G3034" s="3" t="s">
        <v>17</v>
      </c>
      <c r="H3034" s="5">
        <v>-213865</v>
      </c>
      <c r="I3034" s="3" t="s">
        <v>18</v>
      </c>
      <c r="J3034" s="3" t="s">
        <v>14</v>
      </c>
      <c r="K3034" s="3" t="s">
        <v>14</v>
      </c>
      <c r="L3034" s="3" t="s">
        <v>3200</v>
      </c>
      <c r="M3034" s="4">
        <v>46300</v>
      </c>
      <c r="N3034" s="3" t="s">
        <v>3201</v>
      </c>
      <c r="O3034" s="3" t="s">
        <v>22</v>
      </c>
      <c r="P3034" t="str">
        <f t="shared" si="47"/>
        <v>450013657920</v>
      </c>
      <c r="Q3034" s="7" cm="1">
        <f t="array" ref="Q3034:S3034">VLOOKUP(P3034,Hoja1!C:F,{2,3,4},FALSE)</f>
        <v>46302</v>
      </c>
      <c r="R3034" t="str">
        <v>374</v>
      </c>
      <c r="S3034" t="str">
        <v>1000013504 RD REPRESENTACIONES S. R. L.</v>
      </c>
    </row>
    <row r="3035" spans="1:19" x14ac:dyDescent="0.3">
      <c r="A3035" s="2" t="s">
        <v>14</v>
      </c>
      <c r="B3035" s="3" t="s">
        <v>14</v>
      </c>
      <c r="C3035" s="3" t="s">
        <v>3202</v>
      </c>
      <c r="D3035" s="3" t="s">
        <v>32</v>
      </c>
      <c r="E3035" s="3" t="s">
        <v>466</v>
      </c>
      <c r="F3035" s="4">
        <v>46300</v>
      </c>
      <c r="G3035" s="3" t="s">
        <v>17</v>
      </c>
      <c r="H3035" s="5">
        <v>-3361335.31</v>
      </c>
      <c r="I3035" s="3" t="s">
        <v>18</v>
      </c>
      <c r="J3035" s="3" t="s">
        <v>14</v>
      </c>
      <c r="K3035" s="3" t="s">
        <v>14</v>
      </c>
      <c r="L3035" s="3" t="s">
        <v>2057</v>
      </c>
      <c r="M3035" s="4">
        <v>46300</v>
      </c>
      <c r="N3035" s="3" t="s">
        <v>3203</v>
      </c>
      <c r="O3035" s="3" t="s">
        <v>30</v>
      </c>
      <c r="P3035" t="str">
        <f t="shared" si="47"/>
        <v>450013937710</v>
      </c>
      <c r="Q3035" s="7" cm="1">
        <f t="array" ref="Q3035:S3035">VLOOKUP(P3035,Hoja1!C:F,{2,3,4},FALSE)</f>
        <v>46402</v>
      </c>
      <c r="R3035" t="str">
        <v>C26</v>
      </c>
      <c r="S3035" t="str">
        <v>1000002120 INGEAP S.A.S.</v>
      </c>
    </row>
    <row r="3036" spans="1:19" x14ac:dyDescent="0.3">
      <c r="A3036" s="2" t="s">
        <v>14</v>
      </c>
      <c r="B3036" s="3" t="s">
        <v>14</v>
      </c>
      <c r="C3036" s="3" t="s">
        <v>3204</v>
      </c>
      <c r="D3036" s="3" t="s">
        <v>14</v>
      </c>
      <c r="E3036" s="3" t="s">
        <v>466</v>
      </c>
      <c r="F3036" s="4">
        <v>46300</v>
      </c>
      <c r="G3036" s="3" t="s">
        <v>17</v>
      </c>
      <c r="H3036" s="5">
        <v>-14028883.18</v>
      </c>
      <c r="I3036" s="3" t="s">
        <v>18</v>
      </c>
      <c r="J3036" s="3" t="s">
        <v>14</v>
      </c>
      <c r="K3036" s="3" t="s">
        <v>14</v>
      </c>
      <c r="L3036" s="3" t="s">
        <v>3123</v>
      </c>
      <c r="M3036" s="4">
        <v>46300</v>
      </c>
      <c r="N3036" s="3" t="s">
        <v>3205</v>
      </c>
      <c r="O3036" s="3" t="s">
        <v>30</v>
      </c>
      <c r="P3036" t="str">
        <f t="shared" si="47"/>
        <v>450013865710</v>
      </c>
      <c r="Q3036" s="7" cm="1">
        <f t="array" ref="Q3036:S3036">VLOOKUP(P3036,Hoja1!C:F,{2,3,4},FALSE)</f>
        <v>46300</v>
      </c>
      <c r="R3036" t="str">
        <v>C24</v>
      </c>
      <c r="S3036" t="str">
        <v>1000002651 AM OUTSOURCING PARTNER SRL</v>
      </c>
    </row>
    <row r="3037" spans="1:19" x14ac:dyDescent="0.3">
      <c r="A3037" s="2" t="s">
        <v>14</v>
      </c>
      <c r="B3037" s="3" t="s">
        <v>14</v>
      </c>
      <c r="C3037" s="3" t="s">
        <v>3204</v>
      </c>
      <c r="D3037" s="3" t="s">
        <v>14</v>
      </c>
      <c r="E3037" s="3" t="s">
        <v>466</v>
      </c>
      <c r="F3037" s="4">
        <v>46300</v>
      </c>
      <c r="G3037" s="3" t="s">
        <v>17</v>
      </c>
      <c r="H3037" s="5">
        <v>-433659.86</v>
      </c>
      <c r="I3037" s="3" t="s">
        <v>18</v>
      </c>
      <c r="J3037" s="3" t="s">
        <v>14</v>
      </c>
      <c r="K3037" s="3" t="s">
        <v>14</v>
      </c>
      <c r="L3037" s="3" t="s">
        <v>3123</v>
      </c>
      <c r="M3037" s="4">
        <v>46300</v>
      </c>
      <c r="N3037" s="3" t="s">
        <v>3205</v>
      </c>
      <c r="O3037" s="3" t="s">
        <v>22</v>
      </c>
      <c r="P3037" t="str">
        <f t="shared" si="47"/>
        <v>450013865720</v>
      </c>
      <c r="Q3037" s="7" cm="1">
        <f t="array" ref="Q3037:S3037">VLOOKUP(P3037,Hoja1!C:F,{2,3,4},FALSE)</f>
        <v>46300</v>
      </c>
      <c r="R3037" t="str">
        <v>C24</v>
      </c>
      <c r="S3037" t="str">
        <v>1000002651 AM OUTSOURCING PARTNER SRL</v>
      </c>
    </row>
    <row r="3038" spans="1:19" x14ac:dyDescent="0.3">
      <c r="A3038" s="2" t="s">
        <v>14</v>
      </c>
      <c r="B3038" s="3" t="s">
        <v>14</v>
      </c>
      <c r="C3038" s="3" t="s">
        <v>3206</v>
      </c>
      <c r="D3038" s="3" t="s">
        <v>14</v>
      </c>
      <c r="E3038" s="3" t="s">
        <v>466</v>
      </c>
      <c r="F3038" s="4">
        <v>46300</v>
      </c>
      <c r="G3038" s="3" t="s">
        <v>17</v>
      </c>
      <c r="H3038" s="5">
        <v>-147003.5</v>
      </c>
      <c r="I3038" s="3" t="s">
        <v>18</v>
      </c>
      <c r="J3038" s="3" t="s">
        <v>14</v>
      </c>
      <c r="K3038" s="3" t="s">
        <v>14</v>
      </c>
      <c r="L3038" s="3" t="s">
        <v>720</v>
      </c>
      <c r="M3038" s="4">
        <v>46300</v>
      </c>
      <c r="N3038" s="3" t="s">
        <v>3207</v>
      </c>
      <c r="O3038" s="3" t="s">
        <v>30</v>
      </c>
      <c r="P3038" t="str">
        <f t="shared" si="47"/>
        <v>450012891710</v>
      </c>
      <c r="Q3038" s="7" cm="1">
        <f t="array" ref="Q3038:S3038">VLOOKUP(P3038,Hoja1!C:F,{2,3,4},FALSE)</f>
        <v>46177</v>
      </c>
      <c r="R3038" t="str">
        <v>C38</v>
      </c>
      <c r="S3038" t="str">
        <v>1000001379 TECNO CONSULTING SA</v>
      </c>
    </row>
    <row r="3039" spans="1:19" x14ac:dyDescent="0.3">
      <c r="A3039" s="2" t="s">
        <v>14</v>
      </c>
      <c r="B3039" s="3" t="s">
        <v>14</v>
      </c>
      <c r="C3039" s="3" t="s">
        <v>3208</v>
      </c>
      <c r="D3039" s="3" t="s">
        <v>14</v>
      </c>
      <c r="E3039" s="3" t="s">
        <v>466</v>
      </c>
      <c r="F3039" s="4">
        <v>46300</v>
      </c>
      <c r="G3039" s="3" t="s">
        <v>17</v>
      </c>
      <c r="H3039" s="5">
        <v>-545580</v>
      </c>
      <c r="I3039" s="3" t="s">
        <v>18</v>
      </c>
      <c r="J3039" s="3" t="s">
        <v>14</v>
      </c>
      <c r="K3039" s="3" t="s">
        <v>14</v>
      </c>
      <c r="L3039" s="3" t="s">
        <v>3200</v>
      </c>
      <c r="M3039" s="4">
        <v>46300</v>
      </c>
      <c r="N3039" s="3" t="s">
        <v>3209</v>
      </c>
      <c r="O3039" s="3" t="s">
        <v>30</v>
      </c>
      <c r="P3039" t="str">
        <f t="shared" si="47"/>
        <v>450013928910</v>
      </c>
      <c r="Q3039" s="7" cm="1">
        <f t="array" ref="Q3039:S3039">VLOOKUP(P3039,Hoja1!C:F,{2,3,4},FALSE)</f>
        <v>46304</v>
      </c>
      <c r="R3039" t="str">
        <v>C28</v>
      </c>
      <c r="S3039" t="str">
        <v>1000013504 RD REPRESENTACIONES S. R. L.</v>
      </c>
    </row>
    <row r="3040" spans="1:19" x14ac:dyDescent="0.3">
      <c r="A3040" s="2" t="s">
        <v>14</v>
      </c>
      <c r="B3040" s="3" t="s">
        <v>14</v>
      </c>
      <c r="C3040" s="3" t="s">
        <v>3210</v>
      </c>
      <c r="D3040" s="3" t="s">
        <v>14</v>
      </c>
      <c r="E3040" s="3" t="s">
        <v>466</v>
      </c>
      <c r="F3040" s="4">
        <v>46300</v>
      </c>
      <c r="G3040" s="3" t="s">
        <v>17</v>
      </c>
      <c r="H3040" s="5">
        <v>-162277.56</v>
      </c>
      <c r="I3040" s="3" t="s">
        <v>18</v>
      </c>
      <c r="J3040" s="3" t="s">
        <v>14</v>
      </c>
      <c r="K3040" s="3" t="s">
        <v>14</v>
      </c>
      <c r="L3040" s="3" t="s">
        <v>3123</v>
      </c>
      <c r="M3040" s="4">
        <v>46300</v>
      </c>
      <c r="N3040" s="3" t="s">
        <v>3211</v>
      </c>
      <c r="O3040" s="3" t="s">
        <v>30</v>
      </c>
      <c r="P3040" t="str">
        <f t="shared" si="47"/>
        <v>450012448510</v>
      </c>
      <c r="Q3040" s="7" cm="1">
        <f t="array" ref="Q3040:S3040">VLOOKUP(P3040,Hoja1!C:F,{2,3,4},FALSE)</f>
        <v>46507</v>
      </c>
      <c r="R3040" t="str">
        <v>C24</v>
      </c>
      <c r="S3040" t="str">
        <v>1000002651 AM OUTSOURCING PARTNER SRL</v>
      </c>
    </row>
    <row r="3041" spans="1:19" x14ac:dyDescent="0.3">
      <c r="A3041" s="2" t="s">
        <v>14</v>
      </c>
      <c r="B3041" s="3" t="s">
        <v>14</v>
      </c>
      <c r="C3041" s="3" t="s">
        <v>3212</v>
      </c>
      <c r="D3041" s="3" t="s">
        <v>14</v>
      </c>
      <c r="E3041" s="3" t="s">
        <v>466</v>
      </c>
      <c r="F3041" s="4">
        <v>46300</v>
      </c>
      <c r="G3041" s="3" t="s">
        <v>17</v>
      </c>
      <c r="H3041" s="5">
        <v>-204592.5</v>
      </c>
      <c r="I3041" s="3" t="s">
        <v>18</v>
      </c>
      <c r="J3041" s="3" t="s">
        <v>14</v>
      </c>
      <c r="K3041" s="3" t="s">
        <v>14</v>
      </c>
      <c r="L3041" s="3" t="s">
        <v>720</v>
      </c>
      <c r="M3041" s="4">
        <v>46300</v>
      </c>
      <c r="N3041" s="3" t="s">
        <v>3207</v>
      </c>
      <c r="O3041" s="3" t="s">
        <v>22</v>
      </c>
      <c r="P3041" t="str">
        <f t="shared" si="47"/>
        <v>450012891720</v>
      </c>
      <c r="Q3041" s="7" cm="1">
        <f t="array" ref="Q3041:S3041">VLOOKUP(P3041,Hoja1!C:F,{2,3,4},FALSE)</f>
        <v>46177</v>
      </c>
      <c r="R3041" t="str">
        <v>C38</v>
      </c>
      <c r="S3041" t="str">
        <v>1000001379 TECNO CONSULTING SA</v>
      </c>
    </row>
    <row r="3042" spans="1:19" x14ac:dyDescent="0.3">
      <c r="A3042" s="2" t="s">
        <v>14</v>
      </c>
      <c r="B3042" s="3" t="s">
        <v>14</v>
      </c>
      <c r="C3042" s="3" t="s">
        <v>3213</v>
      </c>
      <c r="D3042" s="3" t="s">
        <v>14</v>
      </c>
      <c r="E3042" s="3" t="s">
        <v>466</v>
      </c>
      <c r="F3042" s="4">
        <v>46300</v>
      </c>
      <c r="G3042" s="3" t="s">
        <v>17</v>
      </c>
      <c r="H3042" s="5">
        <v>-83352.5</v>
      </c>
      <c r="I3042" s="3" t="s">
        <v>18</v>
      </c>
      <c r="J3042" s="3" t="s">
        <v>14</v>
      </c>
      <c r="K3042" s="3" t="s">
        <v>14</v>
      </c>
      <c r="L3042" s="3" t="s">
        <v>3200</v>
      </c>
      <c r="M3042" s="4">
        <v>46300</v>
      </c>
      <c r="N3042" s="3" t="s">
        <v>3214</v>
      </c>
      <c r="O3042" s="3" t="s">
        <v>30</v>
      </c>
      <c r="P3042" t="str">
        <f t="shared" si="47"/>
        <v>450013928710</v>
      </c>
      <c r="Q3042" s="7" cm="1">
        <f t="array" ref="Q3042:S3042">VLOOKUP(P3042,Hoja1!C:F,{2,3,4},FALSE)</f>
        <v>46297</v>
      </c>
      <c r="R3042" t="str">
        <v>C28</v>
      </c>
      <c r="S3042" t="str">
        <v>1000013504 RD REPRESENTACIONES S. R. L.</v>
      </c>
    </row>
    <row r="3043" spans="1:19" x14ac:dyDescent="0.3">
      <c r="A3043" s="8" t="s">
        <v>14</v>
      </c>
      <c r="B3043" s="8" t="s">
        <v>14</v>
      </c>
      <c r="C3043" s="8" t="s">
        <v>14</v>
      </c>
      <c r="D3043" s="8" t="s">
        <v>14</v>
      </c>
      <c r="E3043" s="8" t="s">
        <v>14</v>
      </c>
      <c r="F3043" s="8" t="s">
        <v>14</v>
      </c>
      <c r="G3043" s="8" t="s">
        <v>14</v>
      </c>
      <c r="H3043" s="9">
        <v>-2300525409.0500002</v>
      </c>
      <c r="I3043" s="8" t="s">
        <v>18</v>
      </c>
      <c r="J3043" s="8" t="s">
        <v>14</v>
      </c>
      <c r="K3043" s="8" t="s">
        <v>14</v>
      </c>
      <c r="L3043" s="8" t="s">
        <v>14</v>
      </c>
      <c r="M3043" s="8" t="s">
        <v>14</v>
      </c>
      <c r="N3043" s="8" t="s">
        <v>14</v>
      </c>
      <c r="O3043" s="8" t="s">
        <v>14</v>
      </c>
      <c r="P3043" t="str">
        <f t="shared" si="47"/>
        <v/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249F-0C2F-4F68-B19F-6FEE3F21CC7C}">
  <dimension ref="A1:F3658"/>
  <sheetViews>
    <sheetView workbookViewId="0">
      <selection activeCell="F3" sqref="F3"/>
    </sheetView>
  </sheetViews>
  <sheetFormatPr baseColWidth="10" defaultRowHeight="14.4" x14ac:dyDescent="0.3"/>
  <cols>
    <col min="1" max="1" width="18" bestFit="1" customWidth="1"/>
    <col min="2" max="2" width="9" bestFit="1" customWidth="1"/>
    <col min="3" max="3" width="18.109375" customWidth="1"/>
    <col min="4" max="5" width="17" bestFit="1" customWidth="1"/>
    <col min="6" max="6" width="47" bestFit="1" customWidth="1"/>
  </cols>
  <sheetData>
    <row r="1" spans="1:6" x14ac:dyDescent="0.3">
      <c r="A1" s="1" t="s">
        <v>12</v>
      </c>
      <c r="B1" s="1" t="s">
        <v>13</v>
      </c>
      <c r="C1" s="1"/>
      <c r="D1" s="1" t="s">
        <v>2404</v>
      </c>
      <c r="E1" s="1" t="s">
        <v>2405</v>
      </c>
      <c r="F1" s="1" t="s">
        <v>2403</v>
      </c>
    </row>
    <row r="2" spans="1:6" x14ac:dyDescent="0.3">
      <c r="A2" s="3" t="s">
        <v>376</v>
      </c>
      <c r="B2" s="3" t="s">
        <v>30</v>
      </c>
      <c r="C2" s="3" t="str">
        <f>_xlfn.CONCAT(A2:B2)</f>
        <v>450013023010</v>
      </c>
      <c r="D2" s="4">
        <v>46402</v>
      </c>
      <c r="E2" s="3" t="s">
        <v>2194</v>
      </c>
      <c r="F2" s="3" t="s">
        <v>2406</v>
      </c>
    </row>
    <row r="3" spans="1:6" x14ac:dyDescent="0.3">
      <c r="A3" s="3" t="s">
        <v>3191</v>
      </c>
      <c r="B3" s="3" t="s">
        <v>30</v>
      </c>
      <c r="C3" s="3" t="str">
        <f t="shared" ref="C3:C66" si="0">_xlfn.CONCAT(A3:B3)</f>
        <v>450013911510</v>
      </c>
      <c r="D3" s="4">
        <v>46397</v>
      </c>
      <c r="E3" s="3" t="s">
        <v>2210</v>
      </c>
      <c r="F3" s="3" t="s">
        <v>2482</v>
      </c>
    </row>
    <row r="4" spans="1:6" x14ac:dyDescent="0.3">
      <c r="A4" s="3" t="s">
        <v>2380</v>
      </c>
      <c r="B4" s="3" t="s">
        <v>30</v>
      </c>
      <c r="C4" s="3" t="str">
        <f t="shared" si="0"/>
        <v>450013774810</v>
      </c>
      <c r="D4" s="4">
        <v>46336</v>
      </c>
      <c r="E4" s="3" t="s">
        <v>2197</v>
      </c>
      <c r="F4" s="3" t="s">
        <v>2407</v>
      </c>
    </row>
    <row r="5" spans="1:6" x14ac:dyDescent="0.3">
      <c r="A5" s="3" t="s">
        <v>3203</v>
      </c>
      <c r="B5" s="3" t="s">
        <v>30</v>
      </c>
      <c r="C5" s="3" t="str">
        <f t="shared" si="0"/>
        <v>450013937710</v>
      </c>
      <c r="D5" s="4">
        <v>46402</v>
      </c>
      <c r="E5" s="3" t="s">
        <v>2210</v>
      </c>
      <c r="F5" s="3" t="s">
        <v>2482</v>
      </c>
    </row>
    <row r="6" spans="1:6" x14ac:dyDescent="0.3">
      <c r="A6" s="3" t="s">
        <v>3193</v>
      </c>
      <c r="B6" s="3" t="s">
        <v>30</v>
      </c>
      <c r="C6" s="3" t="str">
        <f t="shared" si="0"/>
        <v>450013912510</v>
      </c>
      <c r="D6" s="4">
        <v>46350</v>
      </c>
      <c r="E6" s="3" t="s">
        <v>2210</v>
      </c>
      <c r="F6" s="3" t="s">
        <v>2482</v>
      </c>
    </row>
    <row r="7" spans="1:6" x14ac:dyDescent="0.3">
      <c r="A7" s="3" t="s">
        <v>2988</v>
      </c>
      <c r="B7" s="3" t="s">
        <v>30</v>
      </c>
      <c r="C7" s="3" t="str">
        <f t="shared" si="0"/>
        <v>450013757110</v>
      </c>
      <c r="D7" s="4">
        <v>46387</v>
      </c>
      <c r="E7" s="3" t="s">
        <v>2197</v>
      </c>
      <c r="F7" s="3" t="s">
        <v>2529</v>
      </c>
    </row>
    <row r="8" spans="1:6" x14ac:dyDescent="0.3">
      <c r="A8" s="3" t="s">
        <v>3198</v>
      </c>
      <c r="B8" s="3" t="s">
        <v>30</v>
      </c>
      <c r="C8" s="3" t="str">
        <f t="shared" si="0"/>
        <v>450013915310</v>
      </c>
      <c r="D8" s="4">
        <v>46326</v>
      </c>
      <c r="E8" s="3" t="s">
        <v>2210</v>
      </c>
      <c r="F8" s="3" t="s">
        <v>2482</v>
      </c>
    </row>
    <row r="9" spans="1:6" x14ac:dyDescent="0.3">
      <c r="A9" s="3" t="s">
        <v>2368</v>
      </c>
      <c r="B9" s="3" t="s">
        <v>30</v>
      </c>
      <c r="C9" s="3" t="str">
        <f t="shared" si="0"/>
        <v>450013630310</v>
      </c>
      <c r="D9" s="4">
        <v>46356</v>
      </c>
      <c r="E9" s="3" t="s">
        <v>2203</v>
      </c>
      <c r="F9" s="3" t="s">
        <v>2408</v>
      </c>
    </row>
    <row r="10" spans="1:6" x14ac:dyDescent="0.3">
      <c r="A10" s="3" t="s">
        <v>2165</v>
      </c>
      <c r="B10" s="3" t="s">
        <v>30</v>
      </c>
      <c r="C10" s="3" t="str">
        <f t="shared" si="0"/>
        <v>450013612610</v>
      </c>
      <c r="D10" s="4">
        <v>46325</v>
      </c>
      <c r="E10" s="3" t="s">
        <v>2194</v>
      </c>
      <c r="F10" s="3" t="s">
        <v>2409</v>
      </c>
    </row>
    <row r="11" spans="1:6" x14ac:dyDescent="0.3">
      <c r="A11" s="3" t="s">
        <v>436</v>
      </c>
      <c r="B11" s="3" t="s">
        <v>30</v>
      </c>
      <c r="C11" s="3" t="str">
        <f t="shared" si="0"/>
        <v>450013922410</v>
      </c>
      <c r="D11" s="4">
        <v>46326</v>
      </c>
      <c r="E11" s="3" t="s">
        <v>2203</v>
      </c>
      <c r="F11" s="3" t="s">
        <v>2410</v>
      </c>
    </row>
    <row r="12" spans="1:6" x14ac:dyDescent="0.3">
      <c r="A12" s="3" t="s">
        <v>488</v>
      </c>
      <c r="B12" s="3" t="s">
        <v>30</v>
      </c>
      <c r="C12" s="3" t="str">
        <f t="shared" si="0"/>
        <v>450010869210</v>
      </c>
      <c r="D12" s="4">
        <v>46330</v>
      </c>
      <c r="E12" s="3" t="s">
        <v>2202</v>
      </c>
      <c r="F12" s="3" t="s">
        <v>2411</v>
      </c>
    </row>
    <row r="13" spans="1:6" x14ac:dyDescent="0.3">
      <c r="A13" s="3" t="s">
        <v>3173</v>
      </c>
      <c r="B13" s="3" t="s">
        <v>30</v>
      </c>
      <c r="C13" s="3" t="str">
        <f t="shared" si="0"/>
        <v>450012976110</v>
      </c>
      <c r="D13" s="4">
        <v>47299</v>
      </c>
      <c r="E13" s="3" t="s">
        <v>2194</v>
      </c>
      <c r="F13" s="3" t="s">
        <v>3215</v>
      </c>
    </row>
    <row r="14" spans="1:6" x14ac:dyDescent="0.3">
      <c r="A14" s="3" t="s">
        <v>3057</v>
      </c>
      <c r="B14" s="3" t="s">
        <v>30</v>
      </c>
      <c r="C14" s="3" t="str">
        <f t="shared" si="0"/>
        <v>450012921510</v>
      </c>
      <c r="D14" s="4">
        <v>46388</v>
      </c>
      <c r="E14" s="3" t="s">
        <v>2203</v>
      </c>
      <c r="F14" s="3" t="s">
        <v>2463</v>
      </c>
    </row>
    <row r="15" spans="1:6" x14ac:dyDescent="0.3">
      <c r="A15" s="3" t="s">
        <v>418</v>
      </c>
      <c r="B15" s="3" t="s">
        <v>30</v>
      </c>
      <c r="C15" s="3" t="str">
        <f t="shared" si="0"/>
        <v>450013139910</v>
      </c>
      <c r="D15" s="4">
        <v>46568</v>
      </c>
      <c r="E15" s="3" t="s">
        <v>2201</v>
      </c>
      <c r="F15" s="3" t="s">
        <v>2412</v>
      </c>
    </row>
    <row r="16" spans="1:6" x14ac:dyDescent="0.3">
      <c r="A16" s="3" t="s">
        <v>2275</v>
      </c>
      <c r="B16" s="3" t="s">
        <v>30</v>
      </c>
      <c r="C16" s="3" t="str">
        <f t="shared" si="0"/>
        <v>450012866610</v>
      </c>
      <c r="D16" s="4">
        <v>46539</v>
      </c>
      <c r="E16" s="3" t="s">
        <v>2194</v>
      </c>
      <c r="F16" s="3" t="s">
        <v>2413</v>
      </c>
    </row>
    <row r="17" spans="1:6" x14ac:dyDescent="0.3">
      <c r="A17" s="3" t="s">
        <v>3043</v>
      </c>
      <c r="B17" s="3" t="s">
        <v>30</v>
      </c>
      <c r="C17" s="3" t="str">
        <f t="shared" si="0"/>
        <v>450013156410</v>
      </c>
      <c r="D17" s="4">
        <v>46433</v>
      </c>
      <c r="E17" s="3" t="s">
        <v>2194</v>
      </c>
      <c r="F17" s="3" t="s">
        <v>3216</v>
      </c>
    </row>
    <row r="18" spans="1:6" x14ac:dyDescent="0.3">
      <c r="A18" s="3" t="s">
        <v>2366</v>
      </c>
      <c r="B18" s="3" t="s">
        <v>30</v>
      </c>
      <c r="C18" s="3" t="str">
        <f t="shared" si="0"/>
        <v>450012451110</v>
      </c>
      <c r="D18" s="4">
        <v>46387</v>
      </c>
      <c r="E18" s="3" t="s">
        <v>2194</v>
      </c>
      <c r="F18" s="3" t="s">
        <v>2414</v>
      </c>
    </row>
    <row r="19" spans="1:6" x14ac:dyDescent="0.3">
      <c r="A19" s="3" t="s">
        <v>2281</v>
      </c>
      <c r="B19" s="3" t="s">
        <v>30</v>
      </c>
      <c r="C19" s="3" t="str">
        <f t="shared" si="0"/>
        <v>450013981510</v>
      </c>
      <c r="D19" s="4">
        <v>46326</v>
      </c>
      <c r="E19" s="3" t="s">
        <v>2194</v>
      </c>
      <c r="F19" s="3" t="s">
        <v>2415</v>
      </c>
    </row>
    <row r="20" spans="1:6" x14ac:dyDescent="0.3">
      <c r="A20" s="3" t="s">
        <v>1868</v>
      </c>
      <c r="B20" s="3" t="s">
        <v>35</v>
      </c>
      <c r="C20" s="3" t="str">
        <f t="shared" si="0"/>
        <v>450011828430</v>
      </c>
      <c r="D20" s="4">
        <v>46387</v>
      </c>
      <c r="E20" s="3" t="s">
        <v>2194</v>
      </c>
      <c r="F20" s="3" t="s">
        <v>2416</v>
      </c>
    </row>
    <row r="21" spans="1:6" x14ac:dyDescent="0.3">
      <c r="A21" s="3" t="s">
        <v>336</v>
      </c>
      <c r="B21" s="3" t="s">
        <v>30</v>
      </c>
      <c r="C21" s="3" t="str">
        <f t="shared" si="0"/>
        <v>450013124310</v>
      </c>
      <c r="D21" s="4">
        <v>46433</v>
      </c>
      <c r="E21" s="3" t="s">
        <v>2203</v>
      </c>
      <c r="F21" s="3" t="s">
        <v>2417</v>
      </c>
    </row>
    <row r="22" spans="1:6" x14ac:dyDescent="0.3">
      <c r="A22" s="3" t="s">
        <v>1868</v>
      </c>
      <c r="B22" s="3" t="s">
        <v>30</v>
      </c>
      <c r="C22" s="3" t="str">
        <f t="shared" si="0"/>
        <v>450011828410</v>
      </c>
      <c r="D22" s="4">
        <v>46387</v>
      </c>
      <c r="E22" s="3" t="s">
        <v>2194</v>
      </c>
      <c r="F22" s="3" t="s">
        <v>2416</v>
      </c>
    </row>
    <row r="23" spans="1:6" x14ac:dyDescent="0.3">
      <c r="A23" s="3" t="s">
        <v>2360</v>
      </c>
      <c r="B23" s="3" t="s">
        <v>22</v>
      </c>
      <c r="C23" s="3" t="str">
        <f t="shared" si="0"/>
        <v>450011860720</v>
      </c>
      <c r="D23" s="4">
        <v>46407</v>
      </c>
      <c r="E23" s="3" t="s">
        <v>2194</v>
      </c>
      <c r="F23" s="3" t="s">
        <v>2418</v>
      </c>
    </row>
    <row r="24" spans="1:6" x14ac:dyDescent="0.3">
      <c r="A24" s="3" t="s">
        <v>765</v>
      </c>
      <c r="B24" s="3" t="s">
        <v>30</v>
      </c>
      <c r="C24" s="3" t="str">
        <f t="shared" si="0"/>
        <v>450012830110</v>
      </c>
      <c r="D24" s="4">
        <v>46368</v>
      </c>
      <c r="E24" s="3" t="s">
        <v>2203</v>
      </c>
      <c r="F24" s="3" t="s">
        <v>2419</v>
      </c>
    </row>
    <row r="25" spans="1:6" x14ac:dyDescent="0.3">
      <c r="A25" s="3" t="s">
        <v>3038</v>
      </c>
      <c r="B25" s="3" t="s">
        <v>35</v>
      </c>
      <c r="C25" s="3" t="str">
        <f t="shared" si="0"/>
        <v>450013991230</v>
      </c>
      <c r="D25" s="4">
        <v>46304</v>
      </c>
      <c r="E25" s="3" t="s">
        <v>2241</v>
      </c>
      <c r="F25" s="3" t="s">
        <v>3217</v>
      </c>
    </row>
    <row r="26" spans="1:6" x14ac:dyDescent="0.3">
      <c r="A26" s="3" t="s">
        <v>2310</v>
      </c>
      <c r="B26" s="3" t="s">
        <v>22</v>
      </c>
      <c r="C26" s="3" t="str">
        <f t="shared" si="0"/>
        <v>450013984020</v>
      </c>
      <c r="D26" s="4">
        <v>46297</v>
      </c>
      <c r="E26" s="3" t="s">
        <v>2238</v>
      </c>
      <c r="F26" s="3" t="s">
        <v>2421</v>
      </c>
    </row>
    <row r="27" spans="1:6" x14ac:dyDescent="0.3">
      <c r="A27" s="3" t="s">
        <v>2861</v>
      </c>
      <c r="B27" s="3" t="s">
        <v>22</v>
      </c>
      <c r="C27" s="3" t="str">
        <f t="shared" si="0"/>
        <v>450013939520</v>
      </c>
      <c r="D27" s="4">
        <v>46302</v>
      </c>
      <c r="E27" s="3" t="s">
        <v>2233</v>
      </c>
      <c r="F27" s="3" t="s">
        <v>2544</v>
      </c>
    </row>
    <row r="28" spans="1:6" x14ac:dyDescent="0.3">
      <c r="A28" s="3" t="s">
        <v>888</v>
      </c>
      <c r="B28" s="3" t="s">
        <v>30</v>
      </c>
      <c r="C28" s="3" t="str">
        <f t="shared" si="0"/>
        <v>450010959810</v>
      </c>
      <c r="D28" s="4">
        <v>46386</v>
      </c>
      <c r="E28" s="3" t="s">
        <v>2203</v>
      </c>
      <c r="F28" s="3" t="s">
        <v>2419</v>
      </c>
    </row>
    <row r="29" spans="1:6" x14ac:dyDescent="0.3">
      <c r="A29" s="3" t="s">
        <v>397</v>
      </c>
      <c r="B29" s="3" t="s">
        <v>30</v>
      </c>
      <c r="C29" s="3" t="str">
        <f t="shared" si="0"/>
        <v>450013218610</v>
      </c>
      <c r="D29" s="4">
        <v>46387</v>
      </c>
      <c r="E29" s="3" t="s">
        <v>2194</v>
      </c>
      <c r="F29" s="3" t="s">
        <v>2422</v>
      </c>
    </row>
    <row r="30" spans="1:6" x14ac:dyDescent="0.3">
      <c r="A30" s="3" t="s">
        <v>2045</v>
      </c>
      <c r="B30" s="3" t="s">
        <v>22</v>
      </c>
      <c r="C30" s="3" t="str">
        <f t="shared" si="0"/>
        <v>450013946520</v>
      </c>
      <c r="D30" s="4">
        <v>46302</v>
      </c>
      <c r="E30" s="3" t="s">
        <v>2196</v>
      </c>
      <c r="F30" s="3" t="s">
        <v>2423</v>
      </c>
    </row>
    <row r="31" spans="1:6" x14ac:dyDescent="0.3">
      <c r="A31" s="3" t="s">
        <v>2374</v>
      </c>
      <c r="B31" s="3" t="s">
        <v>22</v>
      </c>
      <c r="C31" s="3" t="str">
        <f t="shared" si="0"/>
        <v>450011529020</v>
      </c>
      <c r="D31" s="4">
        <v>46387</v>
      </c>
      <c r="E31" s="3" t="s">
        <v>2194</v>
      </c>
      <c r="F31" s="3" t="s">
        <v>2424</v>
      </c>
    </row>
    <row r="32" spans="1:6" x14ac:dyDescent="0.3">
      <c r="A32" s="3" t="s">
        <v>2371</v>
      </c>
      <c r="B32" s="3" t="s">
        <v>22</v>
      </c>
      <c r="C32" s="3" t="str">
        <f t="shared" si="0"/>
        <v>450011412720</v>
      </c>
      <c r="D32" s="4">
        <v>46359</v>
      </c>
      <c r="E32" s="3" t="s">
        <v>2194</v>
      </c>
      <c r="F32" s="3" t="s">
        <v>2425</v>
      </c>
    </row>
    <row r="33" spans="1:6" x14ac:dyDescent="0.3">
      <c r="A33" s="3" t="s">
        <v>208</v>
      </c>
      <c r="B33" s="3" t="s">
        <v>23</v>
      </c>
      <c r="C33" s="3" t="str">
        <f t="shared" si="0"/>
        <v>450005708040</v>
      </c>
      <c r="D33" s="4">
        <v>46386</v>
      </c>
      <c r="E33" s="3" t="s">
        <v>2194</v>
      </c>
      <c r="F33" s="3" t="s">
        <v>2426</v>
      </c>
    </row>
    <row r="34" spans="1:6" x14ac:dyDescent="0.3">
      <c r="A34" s="3" t="s">
        <v>115</v>
      </c>
      <c r="B34" s="3" t="s">
        <v>35</v>
      </c>
      <c r="C34" s="3" t="str">
        <f t="shared" si="0"/>
        <v>450008010130</v>
      </c>
      <c r="D34" s="4">
        <v>46386</v>
      </c>
      <c r="E34" s="3" t="s">
        <v>2195</v>
      </c>
      <c r="F34" s="3" t="s">
        <v>2427</v>
      </c>
    </row>
    <row r="35" spans="1:6" x14ac:dyDescent="0.3">
      <c r="A35" s="3" t="s">
        <v>1013</v>
      </c>
      <c r="B35" s="3" t="s">
        <v>30</v>
      </c>
      <c r="C35" s="3" t="str">
        <f t="shared" si="0"/>
        <v>450013266210</v>
      </c>
      <c r="D35" s="4">
        <v>46326</v>
      </c>
      <c r="E35" s="3" t="s">
        <v>2194</v>
      </c>
      <c r="F35" s="3" t="s">
        <v>2428</v>
      </c>
    </row>
    <row r="36" spans="1:6" x14ac:dyDescent="0.3">
      <c r="A36" s="3" t="s">
        <v>1774</v>
      </c>
      <c r="B36" s="3" t="s">
        <v>35</v>
      </c>
      <c r="C36" s="3" t="str">
        <f t="shared" si="0"/>
        <v>450013823430</v>
      </c>
      <c r="D36" s="4">
        <v>46310</v>
      </c>
      <c r="E36" s="3" t="s">
        <v>2210</v>
      </c>
      <c r="F36" s="3" t="s">
        <v>2429</v>
      </c>
    </row>
    <row r="37" spans="1:6" x14ac:dyDescent="0.3">
      <c r="A37" s="3" t="s">
        <v>2339</v>
      </c>
      <c r="B37" s="3" t="s">
        <v>22</v>
      </c>
      <c r="C37" s="3" t="str">
        <f t="shared" si="0"/>
        <v>450013945220</v>
      </c>
      <c r="D37" s="4">
        <v>46294</v>
      </c>
      <c r="E37" s="3" t="s">
        <v>2200</v>
      </c>
      <c r="F37" s="3" t="s">
        <v>2430</v>
      </c>
    </row>
    <row r="38" spans="1:6" x14ac:dyDescent="0.3">
      <c r="A38" s="3" t="s">
        <v>2361</v>
      </c>
      <c r="B38" s="3" t="s">
        <v>22</v>
      </c>
      <c r="C38" s="3" t="str">
        <f t="shared" si="0"/>
        <v>450012150820</v>
      </c>
      <c r="D38" s="4">
        <v>46446</v>
      </c>
      <c r="E38" s="3" t="s">
        <v>2194</v>
      </c>
      <c r="F38" s="3" t="s">
        <v>2418</v>
      </c>
    </row>
    <row r="39" spans="1:6" x14ac:dyDescent="0.3">
      <c r="A39" s="3" t="s">
        <v>453</v>
      </c>
      <c r="B39" s="3" t="s">
        <v>22</v>
      </c>
      <c r="C39" s="3" t="str">
        <f t="shared" si="0"/>
        <v>450013966120</v>
      </c>
      <c r="D39" s="4">
        <v>46304</v>
      </c>
      <c r="E39" s="3" t="s">
        <v>2200</v>
      </c>
      <c r="F39" s="3" t="s">
        <v>2431</v>
      </c>
    </row>
    <row r="40" spans="1:6" x14ac:dyDescent="0.3">
      <c r="A40" s="3" t="s">
        <v>2794</v>
      </c>
      <c r="B40" s="3" t="s">
        <v>30</v>
      </c>
      <c r="C40" s="3" t="str">
        <f t="shared" si="0"/>
        <v>450013792910</v>
      </c>
      <c r="D40" s="4">
        <v>46387</v>
      </c>
      <c r="E40" s="3" t="s">
        <v>2213</v>
      </c>
      <c r="F40" s="3" t="s">
        <v>3218</v>
      </c>
    </row>
    <row r="41" spans="1:6" x14ac:dyDescent="0.3">
      <c r="A41" s="3" t="s">
        <v>2794</v>
      </c>
      <c r="B41" s="3" t="s">
        <v>22</v>
      </c>
      <c r="C41" s="3" t="str">
        <f t="shared" si="0"/>
        <v>450013792920</v>
      </c>
      <c r="D41" s="4">
        <v>46387</v>
      </c>
      <c r="E41" s="3" t="s">
        <v>2213</v>
      </c>
      <c r="F41" s="3" t="s">
        <v>3218</v>
      </c>
    </row>
    <row r="42" spans="1:6" x14ac:dyDescent="0.3">
      <c r="A42" s="3" t="s">
        <v>1795</v>
      </c>
      <c r="B42" s="3" t="s">
        <v>22</v>
      </c>
      <c r="C42" s="3" t="str">
        <f t="shared" si="0"/>
        <v>450013862420</v>
      </c>
      <c r="D42" s="4">
        <v>46288</v>
      </c>
      <c r="E42" s="3" t="s">
        <v>2200</v>
      </c>
      <c r="F42" s="3" t="s">
        <v>2432</v>
      </c>
    </row>
    <row r="43" spans="1:6" x14ac:dyDescent="0.3">
      <c r="A43" s="3" t="s">
        <v>2177</v>
      </c>
      <c r="B43" s="3" t="s">
        <v>30</v>
      </c>
      <c r="C43" s="3" t="str">
        <f t="shared" si="0"/>
        <v>450013864110</v>
      </c>
      <c r="D43" s="4">
        <v>46306</v>
      </c>
      <c r="E43" s="3" t="s">
        <v>2201</v>
      </c>
      <c r="F43" s="3" t="s">
        <v>2433</v>
      </c>
    </row>
    <row r="44" spans="1:6" x14ac:dyDescent="0.3">
      <c r="A44" s="3" t="s">
        <v>1823</v>
      </c>
      <c r="B44" s="3" t="s">
        <v>134</v>
      </c>
      <c r="C44" s="3" t="str">
        <f t="shared" si="0"/>
        <v>450012889470</v>
      </c>
      <c r="D44" s="4">
        <v>46298</v>
      </c>
      <c r="E44" s="3" t="s">
        <v>2212</v>
      </c>
      <c r="F44" s="3" t="s">
        <v>2434</v>
      </c>
    </row>
    <row r="45" spans="1:6" x14ac:dyDescent="0.3">
      <c r="A45" s="3" t="s">
        <v>338</v>
      </c>
      <c r="B45" s="3" t="s">
        <v>22</v>
      </c>
      <c r="C45" s="3" t="str">
        <f t="shared" si="0"/>
        <v>450013315420</v>
      </c>
      <c r="D45" s="4">
        <v>46326</v>
      </c>
      <c r="E45" s="3" t="s">
        <v>2203</v>
      </c>
      <c r="F45" s="3" t="s">
        <v>2410</v>
      </c>
    </row>
    <row r="46" spans="1:6" x14ac:dyDescent="0.3">
      <c r="A46" s="3" t="s">
        <v>2359</v>
      </c>
      <c r="B46" s="3" t="s">
        <v>22</v>
      </c>
      <c r="C46" s="3" t="str">
        <f t="shared" si="0"/>
        <v>450013792120</v>
      </c>
      <c r="D46" s="4">
        <v>46439</v>
      </c>
      <c r="E46" s="3" t="s">
        <v>2194</v>
      </c>
      <c r="F46" s="3" t="s">
        <v>2418</v>
      </c>
    </row>
    <row r="47" spans="1:6" x14ac:dyDescent="0.3">
      <c r="A47" s="3" t="s">
        <v>397</v>
      </c>
      <c r="B47" s="3" t="s">
        <v>35</v>
      </c>
      <c r="C47" s="3" t="str">
        <f t="shared" si="0"/>
        <v>450013218630</v>
      </c>
      <c r="D47" s="4">
        <v>46387</v>
      </c>
      <c r="E47" s="3" t="s">
        <v>2194</v>
      </c>
      <c r="F47" s="3" t="s">
        <v>2422</v>
      </c>
    </row>
    <row r="48" spans="1:6" x14ac:dyDescent="0.3">
      <c r="A48" s="3" t="s">
        <v>2277</v>
      </c>
      <c r="B48" s="3" t="s">
        <v>156</v>
      </c>
      <c r="C48" s="3" t="str">
        <f t="shared" si="0"/>
        <v>4500139456110</v>
      </c>
      <c r="D48" s="4">
        <v>46326</v>
      </c>
      <c r="E48" s="3" t="s">
        <v>2194</v>
      </c>
      <c r="F48" s="3" t="s">
        <v>2435</v>
      </c>
    </row>
    <row r="49" spans="1:6" x14ac:dyDescent="0.3">
      <c r="A49" s="3" t="s">
        <v>282</v>
      </c>
      <c r="B49" s="3" t="s">
        <v>30</v>
      </c>
      <c r="C49" s="3" t="str">
        <f t="shared" si="0"/>
        <v>450012100410</v>
      </c>
      <c r="D49" s="4">
        <v>46121</v>
      </c>
      <c r="E49" s="3" t="s">
        <v>2212</v>
      </c>
      <c r="F49" s="3" t="s">
        <v>2436</v>
      </c>
    </row>
    <row r="50" spans="1:6" x14ac:dyDescent="0.3">
      <c r="A50" s="3" t="s">
        <v>2277</v>
      </c>
      <c r="B50" s="3" t="s">
        <v>45</v>
      </c>
      <c r="C50" s="3" t="str">
        <f t="shared" si="0"/>
        <v>4500139456100</v>
      </c>
      <c r="D50" s="4">
        <v>46326</v>
      </c>
      <c r="E50" s="3" t="s">
        <v>2194</v>
      </c>
      <c r="F50" s="3" t="s">
        <v>2435</v>
      </c>
    </row>
    <row r="51" spans="1:6" x14ac:dyDescent="0.3">
      <c r="A51" s="3" t="s">
        <v>121</v>
      </c>
      <c r="B51" s="3" t="s">
        <v>30</v>
      </c>
      <c r="C51" s="3" t="str">
        <f t="shared" si="0"/>
        <v>450013950410</v>
      </c>
      <c r="D51" s="4">
        <v>46304</v>
      </c>
      <c r="E51" s="3" t="s">
        <v>2201</v>
      </c>
      <c r="F51" s="3" t="s">
        <v>2437</v>
      </c>
    </row>
    <row r="52" spans="1:6" x14ac:dyDescent="0.3">
      <c r="A52" s="3" t="s">
        <v>2796</v>
      </c>
      <c r="B52" s="3" t="s">
        <v>30</v>
      </c>
      <c r="C52" s="3" t="str">
        <f t="shared" si="0"/>
        <v>450013361610</v>
      </c>
      <c r="D52" s="4">
        <v>46327</v>
      </c>
      <c r="E52" s="3" t="s">
        <v>2213</v>
      </c>
      <c r="F52" s="3" t="s">
        <v>3218</v>
      </c>
    </row>
    <row r="53" spans="1:6" x14ac:dyDescent="0.3">
      <c r="A53" s="3" t="s">
        <v>3109</v>
      </c>
      <c r="B53" s="3" t="s">
        <v>30</v>
      </c>
      <c r="C53" s="3" t="str">
        <f t="shared" si="0"/>
        <v>450012245810</v>
      </c>
      <c r="D53" s="4">
        <v>46295</v>
      </c>
      <c r="E53" s="3" t="s">
        <v>2213</v>
      </c>
      <c r="F53" s="3" t="s">
        <v>3219</v>
      </c>
    </row>
    <row r="54" spans="1:6" x14ac:dyDescent="0.3">
      <c r="A54" s="3" t="s">
        <v>3156</v>
      </c>
      <c r="B54" s="3" t="s">
        <v>22</v>
      </c>
      <c r="C54" s="3" t="str">
        <f t="shared" si="0"/>
        <v>450011996320</v>
      </c>
      <c r="D54" s="4">
        <v>46387</v>
      </c>
      <c r="E54" s="3" t="s">
        <v>2194</v>
      </c>
      <c r="F54" s="3" t="s">
        <v>3220</v>
      </c>
    </row>
    <row r="55" spans="1:6" x14ac:dyDescent="0.3">
      <c r="A55" s="3" t="s">
        <v>1245</v>
      </c>
      <c r="B55" s="3" t="s">
        <v>22</v>
      </c>
      <c r="C55" s="3" t="str">
        <f t="shared" si="0"/>
        <v>450012563120</v>
      </c>
      <c r="D55" s="4">
        <v>46325</v>
      </c>
      <c r="E55" s="3" t="s">
        <v>2213</v>
      </c>
      <c r="F55" s="3" t="s">
        <v>2438</v>
      </c>
    </row>
    <row r="56" spans="1:6" x14ac:dyDescent="0.3">
      <c r="A56" s="3" t="s">
        <v>1795</v>
      </c>
      <c r="B56" s="3" t="s">
        <v>30</v>
      </c>
      <c r="C56" s="3" t="str">
        <f t="shared" si="0"/>
        <v>450013862410</v>
      </c>
      <c r="D56" s="4">
        <v>46288</v>
      </c>
      <c r="E56" s="3" t="s">
        <v>2200</v>
      </c>
      <c r="F56" s="3" t="s">
        <v>2432</v>
      </c>
    </row>
    <row r="57" spans="1:6" x14ac:dyDescent="0.3">
      <c r="A57" s="3" t="s">
        <v>3163</v>
      </c>
      <c r="B57" s="3" t="s">
        <v>30</v>
      </c>
      <c r="C57" s="3" t="str">
        <f t="shared" si="0"/>
        <v>450013982010</v>
      </c>
      <c r="D57" s="4">
        <v>46304</v>
      </c>
      <c r="E57" s="3" t="s">
        <v>2200</v>
      </c>
      <c r="F57" s="3" t="s">
        <v>2537</v>
      </c>
    </row>
    <row r="58" spans="1:6" x14ac:dyDescent="0.3">
      <c r="A58" s="3" t="s">
        <v>1245</v>
      </c>
      <c r="B58" s="3" t="s">
        <v>30</v>
      </c>
      <c r="C58" s="3" t="str">
        <f t="shared" si="0"/>
        <v>450012563110</v>
      </c>
      <c r="D58" s="4">
        <v>46325</v>
      </c>
      <c r="E58" s="3" t="s">
        <v>2213</v>
      </c>
      <c r="F58" s="3" t="s">
        <v>2438</v>
      </c>
    </row>
    <row r="59" spans="1:6" x14ac:dyDescent="0.3">
      <c r="A59" s="3" t="s">
        <v>1795</v>
      </c>
      <c r="B59" s="3" t="s">
        <v>35</v>
      </c>
      <c r="C59" s="3" t="str">
        <f t="shared" si="0"/>
        <v>450013862430</v>
      </c>
      <c r="D59" s="4">
        <v>46288</v>
      </c>
      <c r="E59" s="3" t="s">
        <v>2200</v>
      </c>
      <c r="F59" s="3" t="s">
        <v>2432</v>
      </c>
    </row>
    <row r="60" spans="1:6" x14ac:dyDescent="0.3">
      <c r="A60" s="3" t="s">
        <v>1243</v>
      </c>
      <c r="B60" s="3" t="s">
        <v>30</v>
      </c>
      <c r="C60" s="3" t="str">
        <f t="shared" si="0"/>
        <v>450012249610</v>
      </c>
      <c r="D60" s="4">
        <v>46326</v>
      </c>
      <c r="E60" s="3" t="s">
        <v>2213</v>
      </c>
      <c r="F60" s="3" t="s">
        <v>2438</v>
      </c>
    </row>
    <row r="61" spans="1:6" x14ac:dyDescent="0.3">
      <c r="A61" s="3" t="s">
        <v>3084</v>
      </c>
      <c r="B61" s="3" t="s">
        <v>35</v>
      </c>
      <c r="C61" s="3" t="str">
        <f t="shared" si="0"/>
        <v>450013998830</v>
      </c>
      <c r="D61" s="4">
        <v>46297</v>
      </c>
      <c r="E61" s="3" t="s">
        <v>2238</v>
      </c>
      <c r="F61" s="3" t="s">
        <v>3221</v>
      </c>
    </row>
    <row r="62" spans="1:6" x14ac:dyDescent="0.3">
      <c r="A62" s="3" t="s">
        <v>1768</v>
      </c>
      <c r="B62" s="3" t="s">
        <v>35</v>
      </c>
      <c r="C62" s="3" t="str">
        <f t="shared" si="0"/>
        <v>450013881830</v>
      </c>
      <c r="D62" s="4">
        <v>46308</v>
      </c>
      <c r="E62" s="3" t="s">
        <v>2196</v>
      </c>
      <c r="F62" s="3" t="s">
        <v>2439</v>
      </c>
    </row>
    <row r="63" spans="1:6" x14ac:dyDescent="0.3">
      <c r="A63" s="3" t="s">
        <v>1619</v>
      </c>
      <c r="B63" s="3" t="s">
        <v>35</v>
      </c>
      <c r="C63" s="3" t="str">
        <f t="shared" si="0"/>
        <v>450013890830</v>
      </c>
      <c r="D63" s="4">
        <v>46295</v>
      </c>
      <c r="E63" s="3" t="s">
        <v>2196</v>
      </c>
      <c r="F63" s="3" t="s">
        <v>2440</v>
      </c>
    </row>
    <row r="64" spans="1:6" x14ac:dyDescent="0.3">
      <c r="A64" s="3" t="s">
        <v>1868</v>
      </c>
      <c r="B64" s="3" t="s">
        <v>22</v>
      </c>
      <c r="C64" s="3" t="str">
        <f t="shared" si="0"/>
        <v>450011828420</v>
      </c>
      <c r="D64" s="4">
        <v>46387</v>
      </c>
      <c r="E64" s="3" t="s">
        <v>2194</v>
      </c>
      <c r="F64" s="3" t="s">
        <v>2416</v>
      </c>
    </row>
    <row r="65" spans="1:6" x14ac:dyDescent="0.3">
      <c r="A65" s="3" t="s">
        <v>208</v>
      </c>
      <c r="B65" s="3" t="s">
        <v>35</v>
      </c>
      <c r="C65" s="3" t="str">
        <f t="shared" si="0"/>
        <v>450005708030</v>
      </c>
      <c r="D65" s="4">
        <v>46386</v>
      </c>
      <c r="E65" s="3" t="s">
        <v>2194</v>
      </c>
      <c r="F65" s="3" t="s">
        <v>2426</v>
      </c>
    </row>
    <row r="66" spans="1:6" x14ac:dyDescent="0.3">
      <c r="A66" s="3" t="s">
        <v>3050</v>
      </c>
      <c r="B66" s="3" t="s">
        <v>30</v>
      </c>
      <c r="C66" s="3" t="str">
        <f t="shared" si="0"/>
        <v>450013982110</v>
      </c>
      <c r="D66" s="4">
        <v>46311</v>
      </c>
      <c r="E66" s="3" t="s">
        <v>2240</v>
      </c>
      <c r="F66" s="3" t="s">
        <v>2456</v>
      </c>
    </row>
    <row r="67" spans="1:6" x14ac:dyDescent="0.3">
      <c r="A67" s="3" t="s">
        <v>1169</v>
      </c>
      <c r="B67" s="3" t="s">
        <v>22</v>
      </c>
      <c r="C67" s="3" t="str">
        <f t="shared" ref="C67:C130" si="1">_xlfn.CONCAT(A67:B67)</f>
        <v>450012645220</v>
      </c>
      <c r="D67" s="4">
        <v>46387</v>
      </c>
      <c r="E67" s="3" t="s">
        <v>2206</v>
      </c>
      <c r="F67" s="3" t="s">
        <v>2445</v>
      </c>
    </row>
    <row r="68" spans="1:6" x14ac:dyDescent="0.3">
      <c r="A68" s="3" t="s">
        <v>1169</v>
      </c>
      <c r="B68" s="3" t="s">
        <v>52</v>
      </c>
      <c r="C68" s="3" t="str">
        <f t="shared" si="1"/>
        <v>450012645280</v>
      </c>
      <c r="D68" s="4">
        <v>46387</v>
      </c>
      <c r="E68" s="3" t="s">
        <v>2206</v>
      </c>
      <c r="F68" s="3" t="s">
        <v>2445</v>
      </c>
    </row>
    <row r="69" spans="1:6" x14ac:dyDescent="0.3">
      <c r="A69" s="3" t="s">
        <v>1169</v>
      </c>
      <c r="B69" s="3" t="s">
        <v>134</v>
      </c>
      <c r="C69" s="3" t="str">
        <f t="shared" si="1"/>
        <v>450012645270</v>
      </c>
      <c r="D69" s="4">
        <v>46387</v>
      </c>
      <c r="E69" s="3" t="s">
        <v>2206</v>
      </c>
      <c r="F69" s="3" t="s">
        <v>2445</v>
      </c>
    </row>
    <row r="70" spans="1:6" x14ac:dyDescent="0.3">
      <c r="A70" s="3" t="s">
        <v>1644</v>
      </c>
      <c r="B70" s="3" t="s">
        <v>141</v>
      </c>
      <c r="C70" s="3" t="str">
        <f t="shared" si="1"/>
        <v>450013674760</v>
      </c>
      <c r="D70" s="4">
        <v>46310</v>
      </c>
      <c r="E70" s="3" t="s">
        <v>2213</v>
      </c>
      <c r="F70" s="3" t="s">
        <v>2443</v>
      </c>
    </row>
    <row r="71" spans="1:6" x14ac:dyDescent="0.3">
      <c r="A71" s="3" t="s">
        <v>3155</v>
      </c>
      <c r="B71" s="3" t="s">
        <v>144</v>
      </c>
      <c r="C71" s="3" t="str">
        <f t="shared" si="1"/>
        <v>450011432350</v>
      </c>
      <c r="D71" s="4">
        <v>46387</v>
      </c>
      <c r="E71" s="3" t="s">
        <v>2194</v>
      </c>
      <c r="F71" s="3" t="s">
        <v>3220</v>
      </c>
    </row>
    <row r="72" spans="1:6" x14ac:dyDescent="0.3">
      <c r="A72" s="3" t="s">
        <v>1169</v>
      </c>
      <c r="B72" s="3" t="s">
        <v>142</v>
      </c>
      <c r="C72" s="3" t="str">
        <f t="shared" si="1"/>
        <v>4500126452130</v>
      </c>
      <c r="D72" s="4">
        <v>46387</v>
      </c>
      <c r="E72" s="3" t="s">
        <v>2206</v>
      </c>
      <c r="F72" s="3" t="s">
        <v>2445</v>
      </c>
    </row>
    <row r="73" spans="1:6" x14ac:dyDescent="0.3">
      <c r="A73" s="3" t="s">
        <v>2843</v>
      </c>
      <c r="B73" s="3" t="s">
        <v>22</v>
      </c>
      <c r="C73" s="3" t="str">
        <f t="shared" si="1"/>
        <v>450012914220</v>
      </c>
      <c r="D73" s="4">
        <v>46387</v>
      </c>
      <c r="E73" s="3" t="s">
        <v>2213</v>
      </c>
      <c r="F73" s="3" t="s">
        <v>3218</v>
      </c>
    </row>
    <row r="74" spans="1:6" x14ac:dyDescent="0.3">
      <c r="A74" s="3" t="s">
        <v>2936</v>
      </c>
      <c r="B74" s="3" t="s">
        <v>30</v>
      </c>
      <c r="C74" s="3" t="str">
        <f t="shared" si="1"/>
        <v>450013841210</v>
      </c>
      <c r="D74" s="4">
        <v>46303</v>
      </c>
      <c r="E74" s="3" t="s">
        <v>2200</v>
      </c>
      <c r="F74" s="3" t="s">
        <v>2544</v>
      </c>
    </row>
    <row r="75" spans="1:6" x14ac:dyDescent="0.3">
      <c r="A75" s="3" t="s">
        <v>1169</v>
      </c>
      <c r="B75" s="3" t="s">
        <v>132</v>
      </c>
      <c r="C75" s="3" t="str">
        <f t="shared" si="1"/>
        <v>4500126452120</v>
      </c>
      <c r="D75" s="4">
        <v>46387</v>
      </c>
      <c r="E75" s="3" t="s">
        <v>2206</v>
      </c>
      <c r="F75" s="3" t="s">
        <v>2445</v>
      </c>
    </row>
    <row r="76" spans="1:6" x14ac:dyDescent="0.3">
      <c r="A76" s="3" t="s">
        <v>2270</v>
      </c>
      <c r="B76" s="3" t="s">
        <v>30</v>
      </c>
      <c r="C76" s="3" t="str">
        <f t="shared" si="1"/>
        <v>450013485110</v>
      </c>
      <c r="D76" s="4">
        <v>46310</v>
      </c>
      <c r="E76" s="3" t="s">
        <v>2194</v>
      </c>
      <c r="F76" s="3" t="s">
        <v>2435</v>
      </c>
    </row>
    <row r="77" spans="1:6" x14ac:dyDescent="0.3">
      <c r="A77" s="3" t="s">
        <v>2063</v>
      </c>
      <c r="B77" s="3" t="s">
        <v>138</v>
      </c>
      <c r="C77" s="3" t="str">
        <f t="shared" si="1"/>
        <v>450011833490</v>
      </c>
      <c r="D77" s="4">
        <v>46326</v>
      </c>
      <c r="E77" s="3" t="s">
        <v>2210</v>
      </c>
      <c r="F77" s="3" t="s">
        <v>2446</v>
      </c>
    </row>
    <row r="78" spans="1:6" x14ac:dyDescent="0.3">
      <c r="A78" s="3" t="s">
        <v>1169</v>
      </c>
      <c r="B78" s="3" t="s">
        <v>141</v>
      </c>
      <c r="C78" s="3" t="str">
        <f t="shared" si="1"/>
        <v>450012645260</v>
      </c>
      <c r="D78" s="4">
        <v>46387</v>
      </c>
      <c r="E78" s="3" t="s">
        <v>2206</v>
      </c>
      <c r="F78" s="3" t="s">
        <v>2445</v>
      </c>
    </row>
    <row r="79" spans="1:6" x14ac:dyDescent="0.3">
      <c r="A79" s="3" t="s">
        <v>1169</v>
      </c>
      <c r="B79" s="3" t="s">
        <v>30</v>
      </c>
      <c r="C79" s="3" t="str">
        <f t="shared" si="1"/>
        <v>450012645210</v>
      </c>
      <c r="D79" s="4">
        <v>46387</v>
      </c>
      <c r="E79" s="3" t="s">
        <v>2206</v>
      </c>
      <c r="F79" s="3" t="s">
        <v>2445</v>
      </c>
    </row>
    <row r="80" spans="1:6" x14ac:dyDescent="0.3">
      <c r="A80" s="3" t="s">
        <v>2275</v>
      </c>
      <c r="B80" s="3" t="s">
        <v>22</v>
      </c>
      <c r="C80" s="3" t="str">
        <f t="shared" si="1"/>
        <v>450012866620</v>
      </c>
      <c r="D80" s="4">
        <v>46539</v>
      </c>
      <c r="E80" s="3" t="s">
        <v>2194</v>
      </c>
      <c r="F80" s="3" t="s">
        <v>2413</v>
      </c>
    </row>
    <row r="81" spans="1:6" x14ac:dyDescent="0.3">
      <c r="A81" s="3" t="s">
        <v>1169</v>
      </c>
      <c r="B81" s="3" t="s">
        <v>138</v>
      </c>
      <c r="C81" s="3" t="str">
        <f t="shared" si="1"/>
        <v>450012645290</v>
      </c>
      <c r="D81" s="4">
        <v>46387</v>
      </c>
      <c r="E81" s="3" t="s">
        <v>2206</v>
      </c>
      <c r="F81" s="3" t="s">
        <v>2445</v>
      </c>
    </row>
    <row r="82" spans="1:6" x14ac:dyDescent="0.3">
      <c r="A82" s="3" t="s">
        <v>1169</v>
      </c>
      <c r="B82" s="3" t="s">
        <v>23</v>
      </c>
      <c r="C82" s="3" t="str">
        <f t="shared" si="1"/>
        <v>450012645240</v>
      </c>
      <c r="D82" s="4">
        <v>46387</v>
      </c>
      <c r="E82" s="3" t="s">
        <v>2206</v>
      </c>
      <c r="F82" s="3" t="s">
        <v>2445</v>
      </c>
    </row>
    <row r="83" spans="1:6" x14ac:dyDescent="0.3">
      <c r="A83" s="3" t="s">
        <v>1823</v>
      </c>
      <c r="B83" s="3" t="s">
        <v>132</v>
      </c>
      <c r="C83" s="3" t="str">
        <f t="shared" si="1"/>
        <v>4500128894120</v>
      </c>
      <c r="D83" s="4">
        <v>46262</v>
      </c>
      <c r="E83" s="3" t="s">
        <v>2212</v>
      </c>
      <c r="F83" s="3" t="s">
        <v>2434</v>
      </c>
    </row>
    <row r="84" spans="1:6" x14ac:dyDescent="0.3">
      <c r="A84" s="3" t="s">
        <v>3032</v>
      </c>
      <c r="B84" s="3" t="s">
        <v>30</v>
      </c>
      <c r="C84" s="3" t="str">
        <f t="shared" si="1"/>
        <v>450013968410</v>
      </c>
      <c r="D84" s="4">
        <v>46341</v>
      </c>
      <c r="E84" s="3" t="s">
        <v>2213</v>
      </c>
      <c r="F84" s="3" t="s">
        <v>3218</v>
      </c>
    </row>
    <row r="85" spans="1:6" x14ac:dyDescent="0.3">
      <c r="A85" s="3" t="s">
        <v>2374</v>
      </c>
      <c r="B85" s="3" t="s">
        <v>30</v>
      </c>
      <c r="C85" s="3" t="str">
        <f t="shared" si="1"/>
        <v>450011529010</v>
      </c>
      <c r="D85" s="4">
        <v>46387</v>
      </c>
      <c r="E85" s="3" t="s">
        <v>2194</v>
      </c>
      <c r="F85" s="3" t="s">
        <v>2424</v>
      </c>
    </row>
    <row r="86" spans="1:6" x14ac:dyDescent="0.3">
      <c r="A86" s="3" t="s">
        <v>300</v>
      </c>
      <c r="B86" s="3" t="s">
        <v>135</v>
      </c>
      <c r="C86" s="3" t="str">
        <f t="shared" si="1"/>
        <v>4500130908340</v>
      </c>
      <c r="D86" s="4">
        <v>46299</v>
      </c>
      <c r="E86" s="3" t="s">
        <v>2196</v>
      </c>
      <c r="F86" s="3" t="s">
        <v>2448</v>
      </c>
    </row>
    <row r="87" spans="1:6" x14ac:dyDescent="0.3">
      <c r="A87" s="3" t="s">
        <v>2357</v>
      </c>
      <c r="B87" s="3" t="s">
        <v>35</v>
      </c>
      <c r="C87" s="3" t="str">
        <f t="shared" si="1"/>
        <v>450013927130</v>
      </c>
      <c r="D87" s="4">
        <v>46295</v>
      </c>
      <c r="E87" s="3" t="s">
        <v>2212</v>
      </c>
      <c r="F87" s="3" t="s">
        <v>2450</v>
      </c>
    </row>
    <row r="88" spans="1:6" x14ac:dyDescent="0.3">
      <c r="A88" s="3" t="s">
        <v>1648</v>
      </c>
      <c r="B88" s="3" t="s">
        <v>30</v>
      </c>
      <c r="C88" s="3" t="str">
        <f t="shared" si="1"/>
        <v>450013856310</v>
      </c>
      <c r="D88" s="4">
        <v>46293</v>
      </c>
      <c r="E88" s="3" t="s">
        <v>2199</v>
      </c>
      <c r="F88" s="3" t="s">
        <v>2451</v>
      </c>
    </row>
    <row r="89" spans="1:6" x14ac:dyDescent="0.3">
      <c r="A89" s="3" t="s">
        <v>1644</v>
      </c>
      <c r="B89" s="3" t="s">
        <v>134</v>
      </c>
      <c r="C89" s="3" t="str">
        <f t="shared" si="1"/>
        <v>450013674770</v>
      </c>
      <c r="D89" s="4">
        <v>46310</v>
      </c>
      <c r="E89" s="3" t="s">
        <v>2213</v>
      </c>
      <c r="F89" s="3" t="s">
        <v>2443</v>
      </c>
    </row>
    <row r="90" spans="1:6" x14ac:dyDescent="0.3">
      <c r="A90" s="3" t="s">
        <v>2359</v>
      </c>
      <c r="B90" s="3" t="s">
        <v>30</v>
      </c>
      <c r="C90" s="3" t="str">
        <f t="shared" si="1"/>
        <v>450013792110</v>
      </c>
      <c r="D90" s="4">
        <v>46439</v>
      </c>
      <c r="E90" s="3" t="s">
        <v>2194</v>
      </c>
      <c r="F90" s="3" t="s">
        <v>2418</v>
      </c>
    </row>
    <row r="91" spans="1:6" x14ac:dyDescent="0.3">
      <c r="A91" s="3" t="s">
        <v>1363</v>
      </c>
      <c r="B91" s="3" t="s">
        <v>30</v>
      </c>
      <c r="C91" s="3" t="str">
        <f t="shared" si="1"/>
        <v>450013476110</v>
      </c>
      <c r="D91" s="4">
        <v>46305</v>
      </c>
      <c r="E91" s="3" t="s">
        <v>2210</v>
      </c>
      <c r="F91" s="3" t="s">
        <v>2449</v>
      </c>
    </row>
    <row r="92" spans="1:6" x14ac:dyDescent="0.3">
      <c r="A92" s="3" t="s">
        <v>1169</v>
      </c>
      <c r="B92" s="3" t="s">
        <v>68</v>
      </c>
      <c r="C92" s="3" t="str">
        <f t="shared" si="1"/>
        <v>4500126452150</v>
      </c>
      <c r="D92" s="4">
        <v>46387</v>
      </c>
      <c r="E92" s="3" t="s">
        <v>2206</v>
      </c>
      <c r="F92" s="3" t="s">
        <v>2445</v>
      </c>
    </row>
    <row r="93" spans="1:6" x14ac:dyDescent="0.3">
      <c r="A93" s="3" t="s">
        <v>1169</v>
      </c>
      <c r="B93" s="3" t="s">
        <v>129</v>
      </c>
      <c r="C93" s="3" t="str">
        <f t="shared" si="1"/>
        <v>4500126452160</v>
      </c>
      <c r="D93" s="4">
        <v>46387</v>
      </c>
      <c r="E93" s="3" t="s">
        <v>2206</v>
      </c>
      <c r="F93" s="3" t="s">
        <v>2445</v>
      </c>
    </row>
    <row r="94" spans="1:6" x14ac:dyDescent="0.3">
      <c r="A94" s="3" t="s">
        <v>1169</v>
      </c>
      <c r="B94" s="3" t="s">
        <v>131</v>
      </c>
      <c r="C94" s="3" t="str">
        <f t="shared" si="1"/>
        <v>4500126452140</v>
      </c>
      <c r="D94" s="4">
        <v>46387</v>
      </c>
      <c r="E94" s="3" t="s">
        <v>2206</v>
      </c>
      <c r="F94" s="3" t="s">
        <v>2445</v>
      </c>
    </row>
    <row r="95" spans="1:6" x14ac:dyDescent="0.3">
      <c r="A95" s="3" t="s">
        <v>2172</v>
      </c>
      <c r="B95" s="3" t="s">
        <v>35</v>
      </c>
      <c r="C95" s="3" t="str">
        <f t="shared" si="1"/>
        <v>450013904130</v>
      </c>
      <c r="D95" s="4">
        <v>46290</v>
      </c>
      <c r="E95" s="3" t="s">
        <v>2200</v>
      </c>
      <c r="F95" s="3" t="s">
        <v>2432</v>
      </c>
    </row>
    <row r="96" spans="1:6" x14ac:dyDescent="0.3">
      <c r="A96" s="3" t="s">
        <v>1467</v>
      </c>
      <c r="B96" s="3" t="s">
        <v>22</v>
      </c>
      <c r="C96" s="3" t="str">
        <f t="shared" si="1"/>
        <v>450013750320</v>
      </c>
      <c r="D96" s="4">
        <v>46301</v>
      </c>
      <c r="E96" s="3" t="s">
        <v>2252</v>
      </c>
      <c r="F96" s="3" t="s">
        <v>2452</v>
      </c>
    </row>
    <row r="97" spans="1:6" x14ac:dyDescent="0.3">
      <c r="A97" s="3" t="s">
        <v>2154</v>
      </c>
      <c r="B97" s="3" t="s">
        <v>144</v>
      </c>
      <c r="C97" s="3" t="str">
        <f t="shared" si="1"/>
        <v>450013985450</v>
      </c>
      <c r="D97" s="4">
        <v>46303</v>
      </c>
      <c r="E97" s="3" t="s">
        <v>2241</v>
      </c>
      <c r="F97" s="3" t="s">
        <v>2453</v>
      </c>
    </row>
    <row r="98" spans="1:6" x14ac:dyDescent="0.3">
      <c r="A98" s="3" t="s">
        <v>1857</v>
      </c>
      <c r="B98" s="3" t="s">
        <v>30</v>
      </c>
      <c r="C98" s="3" t="str">
        <f t="shared" si="1"/>
        <v>450013805210</v>
      </c>
      <c r="D98" s="4">
        <v>46290</v>
      </c>
      <c r="E98" s="3" t="s">
        <v>2204</v>
      </c>
      <c r="F98" s="3" t="s">
        <v>2454</v>
      </c>
    </row>
    <row r="99" spans="1:6" x14ac:dyDescent="0.3">
      <c r="A99" s="3" t="s">
        <v>1169</v>
      </c>
      <c r="B99" s="3" t="s">
        <v>35</v>
      </c>
      <c r="C99" s="3" t="str">
        <f t="shared" si="1"/>
        <v>450012645230</v>
      </c>
      <c r="D99" s="4">
        <v>46387</v>
      </c>
      <c r="E99" s="3" t="s">
        <v>2206</v>
      </c>
      <c r="F99" s="3" t="s">
        <v>2445</v>
      </c>
    </row>
    <row r="100" spans="1:6" x14ac:dyDescent="0.3">
      <c r="A100" s="3" t="s">
        <v>919</v>
      </c>
      <c r="B100" s="3" t="s">
        <v>30</v>
      </c>
      <c r="C100" s="3" t="str">
        <f t="shared" si="1"/>
        <v>450010723410</v>
      </c>
      <c r="D100" s="4">
        <v>45903</v>
      </c>
      <c r="E100" s="3" t="s">
        <v>2198</v>
      </c>
      <c r="F100" s="3" t="s">
        <v>2455</v>
      </c>
    </row>
    <row r="101" spans="1:6" x14ac:dyDescent="0.3">
      <c r="A101" s="3" t="s">
        <v>2992</v>
      </c>
      <c r="B101" s="3" t="s">
        <v>144</v>
      </c>
      <c r="C101" s="3" t="str">
        <f t="shared" si="1"/>
        <v>450011074650</v>
      </c>
      <c r="D101" s="4">
        <v>46417</v>
      </c>
      <c r="E101" s="3" t="s">
        <v>2194</v>
      </c>
      <c r="F101" s="3" t="s">
        <v>2481</v>
      </c>
    </row>
    <row r="102" spans="1:6" x14ac:dyDescent="0.3">
      <c r="A102" s="3" t="s">
        <v>95</v>
      </c>
      <c r="B102" s="3" t="s">
        <v>30</v>
      </c>
      <c r="C102" s="3" t="str">
        <f t="shared" si="1"/>
        <v>450013484010</v>
      </c>
      <c r="D102" s="4">
        <v>46305</v>
      </c>
      <c r="E102" s="3" t="s">
        <v>2210</v>
      </c>
      <c r="F102" s="3" t="s">
        <v>2449</v>
      </c>
    </row>
    <row r="103" spans="1:6" x14ac:dyDescent="0.3">
      <c r="A103" s="3" t="s">
        <v>2041</v>
      </c>
      <c r="B103" s="3" t="s">
        <v>45</v>
      </c>
      <c r="C103" s="3" t="str">
        <f t="shared" si="1"/>
        <v>4500138639100</v>
      </c>
      <c r="D103" s="4">
        <v>46290</v>
      </c>
      <c r="E103" s="3" t="s">
        <v>2200</v>
      </c>
      <c r="F103" s="3" t="s">
        <v>2456</v>
      </c>
    </row>
    <row r="104" spans="1:6" x14ac:dyDescent="0.3">
      <c r="A104" s="3" t="s">
        <v>1823</v>
      </c>
      <c r="B104" s="3" t="s">
        <v>141</v>
      </c>
      <c r="C104" s="3" t="str">
        <f t="shared" si="1"/>
        <v>450012889460</v>
      </c>
      <c r="D104" s="4">
        <v>46298</v>
      </c>
      <c r="E104" s="3" t="s">
        <v>2212</v>
      </c>
      <c r="F104" s="3" t="s">
        <v>2434</v>
      </c>
    </row>
    <row r="105" spans="1:6" x14ac:dyDescent="0.3">
      <c r="A105" s="3" t="s">
        <v>2940</v>
      </c>
      <c r="B105" s="3" t="s">
        <v>30</v>
      </c>
      <c r="C105" s="3" t="str">
        <f t="shared" si="1"/>
        <v>450013228410</v>
      </c>
      <c r="D105" s="4">
        <v>46596</v>
      </c>
      <c r="E105" s="3" t="s">
        <v>2194</v>
      </c>
      <c r="F105" s="3" t="s">
        <v>3222</v>
      </c>
    </row>
    <row r="106" spans="1:6" x14ac:dyDescent="0.3">
      <c r="A106" s="3" t="s">
        <v>354</v>
      </c>
      <c r="B106" s="3" t="s">
        <v>30</v>
      </c>
      <c r="C106" s="3" t="str">
        <f t="shared" si="1"/>
        <v>450013397210</v>
      </c>
      <c r="D106" s="4">
        <v>46216</v>
      </c>
      <c r="E106" s="3" t="s">
        <v>2207</v>
      </c>
      <c r="F106" s="3" t="s">
        <v>2457</v>
      </c>
    </row>
    <row r="107" spans="1:6" x14ac:dyDescent="0.3">
      <c r="A107" s="3" t="s">
        <v>1862</v>
      </c>
      <c r="B107" s="3" t="s">
        <v>35</v>
      </c>
      <c r="C107" s="3" t="str">
        <f t="shared" si="1"/>
        <v>450013886430</v>
      </c>
      <c r="D107" s="4">
        <v>46290</v>
      </c>
      <c r="E107" s="3" t="s">
        <v>2233</v>
      </c>
      <c r="F107" s="3" t="s">
        <v>2458</v>
      </c>
    </row>
    <row r="108" spans="1:6" x14ac:dyDescent="0.3">
      <c r="A108" s="3" t="s">
        <v>751</v>
      </c>
      <c r="B108" s="3" t="s">
        <v>1603</v>
      </c>
      <c r="C108" s="3" t="str">
        <f t="shared" si="1"/>
        <v>4500119057820</v>
      </c>
      <c r="D108" s="4">
        <v>46307</v>
      </c>
      <c r="E108" s="3" t="s">
        <v>2196</v>
      </c>
      <c r="F108" s="3" t="s">
        <v>2459</v>
      </c>
    </row>
    <row r="109" spans="1:6" x14ac:dyDescent="0.3">
      <c r="A109" s="3" t="s">
        <v>2361</v>
      </c>
      <c r="B109" s="3" t="s">
        <v>30</v>
      </c>
      <c r="C109" s="3" t="str">
        <f t="shared" si="1"/>
        <v>450012150810</v>
      </c>
      <c r="D109" s="4">
        <v>46446</v>
      </c>
      <c r="E109" s="3" t="s">
        <v>2194</v>
      </c>
      <c r="F109" s="3" t="s">
        <v>2418</v>
      </c>
    </row>
    <row r="110" spans="1:6" x14ac:dyDescent="0.3">
      <c r="A110" s="3" t="s">
        <v>235</v>
      </c>
      <c r="B110" s="3" t="s">
        <v>30</v>
      </c>
      <c r="C110" s="3" t="str">
        <f t="shared" si="1"/>
        <v>450012553810</v>
      </c>
      <c r="D110" s="4">
        <v>46059</v>
      </c>
      <c r="E110" s="3" t="s">
        <v>2207</v>
      </c>
      <c r="F110" s="3" t="s">
        <v>2460</v>
      </c>
    </row>
    <row r="111" spans="1:6" x14ac:dyDescent="0.3">
      <c r="A111" s="3" t="s">
        <v>400</v>
      </c>
      <c r="B111" s="3" t="s">
        <v>35</v>
      </c>
      <c r="C111" s="3" t="str">
        <f t="shared" si="1"/>
        <v>450013021230</v>
      </c>
      <c r="D111" s="4">
        <v>46304</v>
      </c>
      <c r="E111" s="3" t="s">
        <v>2242</v>
      </c>
      <c r="F111" s="3" t="s">
        <v>2461</v>
      </c>
    </row>
    <row r="112" spans="1:6" x14ac:dyDescent="0.3">
      <c r="A112" s="3" t="s">
        <v>1644</v>
      </c>
      <c r="B112" s="3" t="s">
        <v>131</v>
      </c>
      <c r="C112" s="3" t="str">
        <f t="shared" si="1"/>
        <v>4500136747140</v>
      </c>
      <c r="D112" s="4">
        <v>46310</v>
      </c>
      <c r="E112" s="3" t="s">
        <v>2213</v>
      </c>
      <c r="F112" s="3" t="s">
        <v>2443</v>
      </c>
    </row>
    <row r="113" spans="1:6" x14ac:dyDescent="0.3">
      <c r="A113" s="3" t="s">
        <v>1648</v>
      </c>
      <c r="B113" s="3" t="s">
        <v>22</v>
      </c>
      <c r="C113" s="3" t="str">
        <f t="shared" si="1"/>
        <v>450013856320</v>
      </c>
      <c r="D113" s="4">
        <v>46287</v>
      </c>
      <c r="E113" s="3" t="s">
        <v>2199</v>
      </c>
      <c r="F113" s="3" t="s">
        <v>2451</v>
      </c>
    </row>
    <row r="114" spans="1:6" x14ac:dyDescent="0.3">
      <c r="A114" s="3" t="s">
        <v>1648</v>
      </c>
      <c r="B114" s="3" t="s">
        <v>52</v>
      </c>
      <c r="C114" s="3" t="str">
        <f t="shared" si="1"/>
        <v>450013856380</v>
      </c>
      <c r="D114" s="4">
        <v>46287</v>
      </c>
      <c r="E114" s="3" t="s">
        <v>2199</v>
      </c>
      <c r="F114" s="3" t="s">
        <v>2451</v>
      </c>
    </row>
    <row r="115" spans="1:6" x14ac:dyDescent="0.3">
      <c r="A115" s="3" t="s">
        <v>2154</v>
      </c>
      <c r="B115" s="3" t="s">
        <v>141</v>
      </c>
      <c r="C115" s="3" t="str">
        <f t="shared" si="1"/>
        <v>450013985460</v>
      </c>
      <c r="D115" s="4">
        <v>46303</v>
      </c>
      <c r="E115" s="3" t="s">
        <v>2241</v>
      </c>
      <c r="F115" s="3" t="s">
        <v>2453</v>
      </c>
    </row>
    <row r="116" spans="1:6" x14ac:dyDescent="0.3">
      <c r="A116" s="3" t="s">
        <v>2065</v>
      </c>
      <c r="B116" s="3" t="s">
        <v>23</v>
      </c>
      <c r="C116" s="3" t="str">
        <f t="shared" si="1"/>
        <v>450013607340</v>
      </c>
      <c r="D116" s="4">
        <v>46325</v>
      </c>
      <c r="E116" s="3" t="s">
        <v>2210</v>
      </c>
      <c r="F116" s="3" t="s">
        <v>2446</v>
      </c>
    </row>
    <row r="117" spans="1:6" x14ac:dyDescent="0.3">
      <c r="A117" s="3" t="s">
        <v>1644</v>
      </c>
      <c r="B117" s="3" t="s">
        <v>52</v>
      </c>
      <c r="C117" s="3" t="str">
        <f t="shared" si="1"/>
        <v>450013674780</v>
      </c>
      <c r="D117" s="4">
        <v>46310</v>
      </c>
      <c r="E117" s="3" t="s">
        <v>2213</v>
      </c>
      <c r="F117" s="3" t="s">
        <v>2443</v>
      </c>
    </row>
    <row r="118" spans="1:6" x14ac:dyDescent="0.3">
      <c r="A118" s="3" t="s">
        <v>1988</v>
      </c>
      <c r="B118" s="3" t="s">
        <v>30</v>
      </c>
      <c r="C118" s="3" t="str">
        <f t="shared" si="1"/>
        <v>450013946610</v>
      </c>
      <c r="D118" s="4">
        <v>46295</v>
      </c>
      <c r="E118" s="3" t="s">
        <v>2257</v>
      </c>
      <c r="F118" s="3" t="s">
        <v>2454</v>
      </c>
    </row>
    <row r="119" spans="1:6" x14ac:dyDescent="0.3">
      <c r="A119" s="3" t="s">
        <v>2154</v>
      </c>
      <c r="B119" s="3" t="s">
        <v>134</v>
      </c>
      <c r="C119" s="3" t="str">
        <f t="shared" si="1"/>
        <v>450013985470</v>
      </c>
      <c r="D119" s="4">
        <v>46303</v>
      </c>
      <c r="E119" s="3" t="s">
        <v>2241</v>
      </c>
      <c r="F119" s="3" t="s">
        <v>2453</v>
      </c>
    </row>
    <row r="120" spans="1:6" x14ac:dyDescent="0.3">
      <c r="A120" s="3" t="s">
        <v>751</v>
      </c>
      <c r="B120" s="3" t="s">
        <v>1133</v>
      </c>
      <c r="C120" s="3" t="str">
        <f t="shared" si="1"/>
        <v>4500119057490</v>
      </c>
      <c r="D120" s="4">
        <v>46307</v>
      </c>
      <c r="E120" s="3" t="s">
        <v>2196</v>
      </c>
      <c r="F120" s="3" t="s">
        <v>2459</v>
      </c>
    </row>
    <row r="121" spans="1:6" x14ac:dyDescent="0.3">
      <c r="A121" s="3" t="s">
        <v>1169</v>
      </c>
      <c r="B121" s="3" t="s">
        <v>156</v>
      </c>
      <c r="C121" s="3" t="str">
        <f t="shared" si="1"/>
        <v>4500126452110</v>
      </c>
      <c r="D121" s="4">
        <v>46387</v>
      </c>
      <c r="E121" s="3" t="s">
        <v>2206</v>
      </c>
      <c r="F121" s="3" t="s">
        <v>2445</v>
      </c>
    </row>
    <row r="122" spans="1:6" x14ac:dyDescent="0.3">
      <c r="A122" s="3" t="s">
        <v>3182</v>
      </c>
      <c r="B122" s="3" t="s">
        <v>30</v>
      </c>
      <c r="C122" s="3" t="str">
        <f t="shared" si="1"/>
        <v>450013003010</v>
      </c>
      <c r="D122" s="4">
        <v>46568</v>
      </c>
      <c r="E122" s="3" t="s">
        <v>2194</v>
      </c>
      <c r="F122" s="3" t="s">
        <v>3223</v>
      </c>
    </row>
    <row r="123" spans="1:6" x14ac:dyDescent="0.3">
      <c r="A123" s="3" t="s">
        <v>2357</v>
      </c>
      <c r="B123" s="3" t="s">
        <v>30</v>
      </c>
      <c r="C123" s="3" t="str">
        <f t="shared" si="1"/>
        <v>450013927110</v>
      </c>
      <c r="D123" s="4">
        <v>46295</v>
      </c>
      <c r="E123" s="3" t="s">
        <v>2212</v>
      </c>
      <c r="F123" s="3" t="s">
        <v>2450</v>
      </c>
    </row>
    <row r="124" spans="1:6" x14ac:dyDescent="0.3">
      <c r="A124" s="3" t="s">
        <v>1465</v>
      </c>
      <c r="B124" s="3" t="s">
        <v>35</v>
      </c>
      <c r="C124" s="3" t="str">
        <f t="shared" si="1"/>
        <v>450013592330</v>
      </c>
      <c r="D124" s="4">
        <v>46271</v>
      </c>
      <c r="E124" s="3" t="s">
        <v>2201</v>
      </c>
      <c r="F124" s="3" t="s">
        <v>2433</v>
      </c>
    </row>
    <row r="125" spans="1:6" x14ac:dyDescent="0.3">
      <c r="A125" s="3" t="s">
        <v>3211</v>
      </c>
      <c r="B125" s="3" t="s">
        <v>30</v>
      </c>
      <c r="C125" s="3" t="str">
        <f t="shared" si="1"/>
        <v>450012448510</v>
      </c>
      <c r="D125" s="4">
        <v>46507</v>
      </c>
      <c r="E125" s="3" t="s">
        <v>2195</v>
      </c>
      <c r="F125" s="3" t="s">
        <v>3224</v>
      </c>
    </row>
    <row r="126" spans="1:6" x14ac:dyDescent="0.3">
      <c r="A126" s="3" t="s">
        <v>1169</v>
      </c>
      <c r="B126" s="3" t="s">
        <v>45</v>
      </c>
      <c r="C126" s="3" t="str">
        <f t="shared" si="1"/>
        <v>4500126452100</v>
      </c>
      <c r="D126" s="4">
        <v>46387</v>
      </c>
      <c r="E126" s="3" t="s">
        <v>2206</v>
      </c>
      <c r="F126" s="3" t="s">
        <v>2445</v>
      </c>
    </row>
    <row r="127" spans="1:6" x14ac:dyDescent="0.3">
      <c r="A127" s="3" t="s">
        <v>1735</v>
      </c>
      <c r="B127" s="3" t="s">
        <v>30</v>
      </c>
      <c r="C127" s="3" t="str">
        <f t="shared" si="1"/>
        <v>450013867010</v>
      </c>
      <c r="D127" s="4">
        <v>46295</v>
      </c>
      <c r="E127" s="3" t="s">
        <v>2243</v>
      </c>
      <c r="F127" s="3" t="s">
        <v>2463</v>
      </c>
    </row>
    <row r="128" spans="1:6" x14ac:dyDescent="0.3">
      <c r="A128" s="3" t="s">
        <v>2906</v>
      </c>
      <c r="B128" s="3" t="s">
        <v>30</v>
      </c>
      <c r="C128" s="3" t="str">
        <f t="shared" si="1"/>
        <v>450014004710</v>
      </c>
      <c r="D128" s="4">
        <v>46309</v>
      </c>
      <c r="E128" s="3" t="s">
        <v>2199</v>
      </c>
      <c r="F128" s="3" t="s">
        <v>3225</v>
      </c>
    </row>
    <row r="129" spans="1:6" x14ac:dyDescent="0.3">
      <c r="A129" s="3" t="s">
        <v>1465</v>
      </c>
      <c r="B129" s="3" t="s">
        <v>22</v>
      </c>
      <c r="C129" s="3" t="str">
        <f t="shared" si="1"/>
        <v>450013592320</v>
      </c>
      <c r="D129" s="4">
        <v>46271</v>
      </c>
      <c r="E129" s="3" t="s">
        <v>2201</v>
      </c>
      <c r="F129" s="3" t="s">
        <v>2433</v>
      </c>
    </row>
    <row r="130" spans="1:6" x14ac:dyDescent="0.3">
      <c r="A130" s="3" t="s">
        <v>3071</v>
      </c>
      <c r="B130" s="3" t="s">
        <v>30</v>
      </c>
      <c r="C130" s="3" t="str">
        <f t="shared" si="1"/>
        <v>450013594210</v>
      </c>
      <c r="D130" s="4">
        <v>46295</v>
      </c>
      <c r="E130" s="3" t="s">
        <v>2210</v>
      </c>
      <c r="F130" s="3" t="s">
        <v>3226</v>
      </c>
    </row>
    <row r="131" spans="1:6" x14ac:dyDescent="0.3">
      <c r="A131" s="3" t="s">
        <v>2371</v>
      </c>
      <c r="B131" s="3" t="s">
        <v>30</v>
      </c>
      <c r="C131" s="3" t="str">
        <f t="shared" ref="C131:C194" si="2">_xlfn.CONCAT(A131:B131)</f>
        <v>450011412710</v>
      </c>
      <c r="D131" s="4">
        <v>46359</v>
      </c>
      <c r="E131" s="3" t="s">
        <v>2194</v>
      </c>
      <c r="F131" s="3" t="s">
        <v>2425</v>
      </c>
    </row>
    <row r="132" spans="1:6" x14ac:dyDescent="0.3">
      <c r="A132" s="3" t="s">
        <v>2131</v>
      </c>
      <c r="B132" s="3" t="s">
        <v>30</v>
      </c>
      <c r="C132" s="3" t="str">
        <f t="shared" si="2"/>
        <v>450011998910</v>
      </c>
      <c r="D132" s="4">
        <v>46432</v>
      </c>
      <c r="E132" s="3" t="s">
        <v>2195</v>
      </c>
      <c r="F132" s="3" t="s">
        <v>2464</v>
      </c>
    </row>
    <row r="133" spans="1:6" x14ac:dyDescent="0.3">
      <c r="A133" s="3" t="s">
        <v>1232</v>
      </c>
      <c r="B133" s="3" t="s">
        <v>30</v>
      </c>
      <c r="C133" s="3" t="str">
        <f t="shared" si="2"/>
        <v>450012486510</v>
      </c>
      <c r="D133" s="4">
        <v>46501</v>
      </c>
      <c r="E133" s="3" t="s">
        <v>2194</v>
      </c>
      <c r="F133" s="3" t="s">
        <v>2465</v>
      </c>
    </row>
    <row r="134" spans="1:6" x14ac:dyDescent="0.3">
      <c r="A134" s="3" t="s">
        <v>3014</v>
      </c>
      <c r="B134" s="3" t="s">
        <v>30</v>
      </c>
      <c r="C134" s="3" t="str">
        <f t="shared" si="2"/>
        <v>450012645110</v>
      </c>
      <c r="D134" s="4">
        <v>46537</v>
      </c>
      <c r="E134" s="3" t="s">
        <v>2195</v>
      </c>
      <c r="F134" s="3" t="s">
        <v>3227</v>
      </c>
    </row>
    <row r="135" spans="1:6" x14ac:dyDescent="0.3">
      <c r="A135" s="3" t="s">
        <v>3187</v>
      </c>
      <c r="B135" s="3" t="s">
        <v>23</v>
      </c>
      <c r="C135" s="3" t="str">
        <f t="shared" si="2"/>
        <v>450012769140</v>
      </c>
      <c r="D135" s="4">
        <v>46402</v>
      </c>
      <c r="E135" s="3" t="s">
        <v>2210</v>
      </c>
      <c r="F135" s="3" t="s">
        <v>2482</v>
      </c>
    </row>
    <row r="136" spans="1:6" x14ac:dyDescent="0.3">
      <c r="A136" s="3" t="s">
        <v>344</v>
      </c>
      <c r="B136" s="3" t="s">
        <v>30</v>
      </c>
      <c r="C136" s="3" t="str">
        <f t="shared" si="2"/>
        <v>450013333310</v>
      </c>
      <c r="D136" s="4">
        <v>46301</v>
      </c>
      <c r="E136" s="3" t="s">
        <v>2236</v>
      </c>
      <c r="F136" s="3" t="s">
        <v>2466</v>
      </c>
    </row>
    <row r="137" spans="1:6" x14ac:dyDescent="0.3">
      <c r="A137" s="3" t="s">
        <v>2796</v>
      </c>
      <c r="B137" s="3" t="s">
        <v>23</v>
      </c>
      <c r="C137" s="3" t="str">
        <f t="shared" si="2"/>
        <v>450013361640</v>
      </c>
      <c r="D137" s="4">
        <v>46327</v>
      </c>
      <c r="E137" s="3" t="s">
        <v>2213</v>
      </c>
      <c r="F137" s="3" t="s">
        <v>3218</v>
      </c>
    </row>
    <row r="138" spans="1:6" x14ac:dyDescent="0.3">
      <c r="A138" s="3" t="s">
        <v>2997</v>
      </c>
      <c r="B138" s="3" t="s">
        <v>30</v>
      </c>
      <c r="C138" s="3" t="str">
        <f t="shared" si="2"/>
        <v>450013513210</v>
      </c>
      <c r="D138" s="4">
        <v>46310</v>
      </c>
      <c r="E138" s="3" t="s">
        <v>2194</v>
      </c>
      <c r="F138" s="3" t="s">
        <v>3228</v>
      </c>
    </row>
    <row r="139" spans="1:6" x14ac:dyDescent="0.3">
      <c r="A139" s="3" t="s">
        <v>432</v>
      </c>
      <c r="B139" s="3" t="s">
        <v>136</v>
      </c>
      <c r="C139" s="3" t="str">
        <f t="shared" si="2"/>
        <v>4500136739210</v>
      </c>
      <c r="D139" s="4">
        <v>46297</v>
      </c>
      <c r="E139" s="3" t="s">
        <v>2196</v>
      </c>
      <c r="F139" s="3" t="s">
        <v>2454</v>
      </c>
    </row>
    <row r="140" spans="1:6" x14ac:dyDescent="0.3">
      <c r="A140" s="3" t="s">
        <v>1644</v>
      </c>
      <c r="B140" s="3" t="s">
        <v>68</v>
      </c>
      <c r="C140" s="3" t="str">
        <f t="shared" si="2"/>
        <v>4500136747150</v>
      </c>
      <c r="D140" s="4">
        <v>46310</v>
      </c>
      <c r="E140" s="3" t="s">
        <v>2213</v>
      </c>
      <c r="F140" s="3" t="s">
        <v>2443</v>
      </c>
    </row>
    <row r="141" spans="1:6" x14ac:dyDescent="0.3">
      <c r="A141" s="3" t="s">
        <v>2126</v>
      </c>
      <c r="B141" s="3" t="s">
        <v>30</v>
      </c>
      <c r="C141" s="3" t="str">
        <f t="shared" si="2"/>
        <v>450013862210</v>
      </c>
      <c r="D141" s="4">
        <v>46294</v>
      </c>
      <c r="E141" s="3" t="s">
        <v>2242</v>
      </c>
      <c r="F141" s="3" t="s">
        <v>2467</v>
      </c>
    </row>
    <row r="142" spans="1:6" x14ac:dyDescent="0.3">
      <c r="A142" s="3" t="s">
        <v>2063</v>
      </c>
      <c r="B142" s="3" t="s">
        <v>132</v>
      </c>
      <c r="C142" s="3" t="str">
        <f t="shared" si="2"/>
        <v>4500118334120</v>
      </c>
      <c r="D142" s="4">
        <v>46326</v>
      </c>
      <c r="E142" s="3" t="s">
        <v>2210</v>
      </c>
      <c r="F142" s="3" t="s">
        <v>2446</v>
      </c>
    </row>
    <row r="143" spans="1:6" x14ac:dyDescent="0.3">
      <c r="A143" s="3" t="s">
        <v>2063</v>
      </c>
      <c r="B143" s="3" t="s">
        <v>52</v>
      </c>
      <c r="C143" s="3" t="str">
        <f t="shared" si="2"/>
        <v>450011833480</v>
      </c>
      <c r="D143" s="4">
        <v>46326</v>
      </c>
      <c r="E143" s="3" t="s">
        <v>2210</v>
      </c>
      <c r="F143" s="3" t="s">
        <v>2446</v>
      </c>
    </row>
    <row r="144" spans="1:6" x14ac:dyDescent="0.3">
      <c r="A144" s="3" t="s">
        <v>3179</v>
      </c>
      <c r="B144" s="3" t="s">
        <v>30</v>
      </c>
      <c r="C144" s="3" t="str">
        <f t="shared" si="2"/>
        <v>450011910610</v>
      </c>
      <c r="D144" s="4">
        <v>46387</v>
      </c>
      <c r="E144" s="3" t="s">
        <v>2195</v>
      </c>
      <c r="F144" s="3" t="s">
        <v>3229</v>
      </c>
    </row>
    <row r="145" spans="1:6" x14ac:dyDescent="0.3">
      <c r="A145" s="3" t="s">
        <v>264</v>
      </c>
      <c r="B145" s="3" t="s">
        <v>30</v>
      </c>
      <c r="C145" s="3" t="str">
        <f t="shared" si="2"/>
        <v>450012738710</v>
      </c>
      <c r="D145" s="4">
        <v>46538</v>
      </c>
      <c r="E145" s="3" t="s">
        <v>2195</v>
      </c>
      <c r="F145" s="3" t="s">
        <v>2468</v>
      </c>
    </row>
    <row r="146" spans="1:6" x14ac:dyDescent="0.3">
      <c r="A146" s="3" t="s">
        <v>3187</v>
      </c>
      <c r="B146" s="3" t="s">
        <v>144</v>
      </c>
      <c r="C146" s="3" t="str">
        <f t="shared" si="2"/>
        <v>450012769150</v>
      </c>
      <c r="D146" s="4">
        <v>46402</v>
      </c>
      <c r="E146" s="3" t="s">
        <v>2210</v>
      </c>
      <c r="F146" s="3" t="s">
        <v>2482</v>
      </c>
    </row>
    <row r="147" spans="1:6" x14ac:dyDescent="0.3">
      <c r="A147" s="3" t="s">
        <v>2748</v>
      </c>
      <c r="B147" s="3" t="s">
        <v>22</v>
      </c>
      <c r="C147" s="3" t="str">
        <f t="shared" si="2"/>
        <v>450012856020</v>
      </c>
      <c r="D147" s="4">
        <v>46418</v>
      </c>
      <c r="E147" s="3" t="s">
        <v>2195</v>
      </c>
      <c r="F147" s="3" t="s">
        <v>2784</v>
      </c>
    </row>
    <row r="148" spans="1:6" x14ac:dyDescent="0.3">
      <c r="A148" s="3" t="s">
        <v>2748</v>
      </c>
      <c r="B148" s="3" t="s">
        <v>35</v>
      </c>
      <c r="C148" s="3" t="str">
        <f t="shared" si="2"/>
        <v>450012856030</v>
      </c>
      <c r="D148" s="4">
        <v>46418</v>
      </c>
      <c r="E148" s="3" t="s">
        <v>2195</v>
      </c>
      <c r="F148" s="3" t="s">
        <v>2784</v>
      </c>
    </row>
    <row r="149" spans="1:6" x14ac:dyDescent="0.3">
      <c r="A149" s="3" t="s">
        <v>2748</v>
      </c>
      <c r="B149" s="3" t="s">
        <v>23</v>
      </c>
      <c r="C149" s="3" t="str">
        <f t="shared" si="2"/>
        <v>450012856040</v>
      </c>
      <c r="D149" s="4">
        <v>46418</v>
      </c>
      <c r="E149" s="3" t="s">
        <v>2195</v>
      </c>
      <c r="F149" s="3" t="s">
        <v>2784</v>
      </c>
    </row>
    <row r="150" spans="1:6" x14ac:dyDescent="0.3">
      <c r="A150" s="3" t="s">
        <v>2748</v>
      </c>
      <c r="B150" s="3" t="s">
        <v>144</v>
      </c>
      <c r="C150" s="3" t="str">
        <f t="shared" si="2"/>
        <v>450012856050</v>
      </c>
      <c r="D150" s="4">
        <v>46418</v>
      </c>
      <c r="E150" s="3" t="s">
        <v>2195</v>
      </c>
      <c r="F150" s="3" t="s">
        <v>2784</v>
      </c>
    </row>
    <row r="151" spans="1:6" x14ac:dyDescent="0.3">
      <c r="A151" s="3" t="s">
        <v>1287</v>
      </c>
      <c r="B151" s="3" t="s">
        <v>30</v>
      </c>
      <c r="C151" s="3" t="str">
        <f t="shared" si="2"/>
        <v>450013034610</v>
      </c>
      <c r="D151" s="4">
        <v>46419</v>
      </c>
      <c r="E151" s="3" t="s">
        <v>2195</v>
      </c>
      <c r="F151" s="3" t="s">
        <v>2469</v>
      </c>
    </row>
    <row r="152" spans="1:6" x14ac:dyDescent="0.3">
      <c r="A152" s="3" t="s">
        <v>1644</v>
      </c>
      <c r="B152" s="3" t="s">
        <v>142</v>
      </c>
      <c r="C152" s="3" t="str">
        <f t="shared" si="2"/>
        <v>4500136747130</v>
      </c>
      <c r="D152" s="4">
        <v>46310</v>
      </c>
      <c r="E152" s="3" t="s">
        <v>2213</v>
      </c>
      <c r="F152" s="3" t="s">
        <v>2443</v>
      </c>
    </row>
    <row r="153" spans="1:6" x14ac:dyDescent="0.3">
      <c r="A153" s="3" t="s">
        <v>1619</v>
      </c>
      <c r="B153" s="3" t="s">
        <v>22</v>
      </c>
      <c r="C153" s="3" t="str">
        <f t="shared" si="2"/>
        <v>450013890820</v>
      </c>
      <c r="D153" s="4">
        <v>46295</v>
      </c>
      <c r="E153" s="3" t="s">
        <v>2196</v>
      </c>
      <c r="F153" s="3" t="s">
        <v>2440</v>
      </c>
    </row>
    <row r="154" spans="1:6" x14ac:dyDescent="0.3">
      <c r="A154" s="3" t="s">
        <v>2190</v>
      </c>
      <c r="B154" s="3" t="s">
        <v>30</v>
      </c>
      <c r="C154" s="3" t="str">
        <f t="shared" si="2"/>
        <v>450013941910</v>
      </c>
      <c r="D154" s="4">
        <v>46301</v>
      </c>
      <c r="E154" s="3" t="s">
        <v>2240</v>
      </c>
      <c r="F154" s="3" t="s">
        <v>2470</v>
      </c>
    </row>
    <row r="155" spans="1:6" x14ac:dyDescent="0.3">
      <c r="A155" s="3" t="s">
        <v>2922</v>
      </c>
      <c r="B155" s="3" t="s">
        <v>35</v>
      </c>
      <c r="C155" s="3" t="str">
        <f t="shared" si="2"/>
        <v>450013954330</v>
      </c>
      <c r="D155" s="4">
        <v>46297</v>
      </c>
      <c r="E155" s="3" t="s">
        <v>2204</v>
      </c>
      <c r="F155" s="3" t="s">
        <v>2454</v>
      </c>
    </row>
    <row r="156" spans="1:6" x14ac:dyDescent="0.3">
      <c r="A156" s="3" t="s">
        <v>2025</v>
      </c>
      <c r="B156" s="3" t="s">
        <v>30</v>
      </c>
      <c r="C156" s="3" t="str">
        <f t="shared" si="2"/>
        <v>450013979610</v>
      </c>
      <c r="D156" s="4">
        <v>46296</v>
      </c>
      <c r="E156" s="3" t="s">
        <v>2246</v>
      </c>
      <c r="F156" s="3" t="s">
        <v>2472</v>
      </c>
    </row>
    <row r="157" spans="1:6" x14ac:dyDescent="0.3">
      <c r="A157" s="3" t="s">
        <v>2310</v>
      </c>
      <c r="B157" s="3" t="s">
        <v>141</v>
      </c>
      <c r="C157" s="3" t="str">
        <f t="shared" si="2"/>
        <v>450013984060</v>
      </c>
      <c r="D157" s="4">
        <v>46307</v>
      </c>
      <c r="E157" s="3" t="s">
        <v>2238</v>
      </c>
      <c r="F157" s="3" t="s">
        <v>2421</v>
      </c>
    </row>
    <row r="158" spans="1:6" x14ac:dyDescent="0.3">
      <c r="A158" s="3" t="s">
        <v>2757</v>
      </c>
      <c r="B158" s="3" t="s">
        <v>138</v>
      </c>
      <c r="C158" s="3" t="str">
        <f t="shared" si="2"/>
        <v>450014004490</v>
      </c>
      <c r="D158" s="4">
        <v>46309</v>
      </c>
      <c r="E158" s="3" t="s">
        <v>2199</v>
      </c>
      <c r="F158" s="3" t="s">
        <v>2451</v>
      </c>
    </row>
    <row r="159" spans="1:6" x14ac:dyDescent="0.3">
      <c r="A159" s="3" t="s">
        <v>3139</v>
      </c>
      <c r="B159" s="3" t="s">
        <v>52</v>
      </c>
      <c r="C159" s="3" t="str">
        <f t="shared" si="2"/>
        <v>450004103280</v>
      </c>
      <c r="D159" s="4">
        <v>46751</v>
      </c>
      <c r="E159" s="3" t="s">
        <v>2195</v>
      </c>
      <c r="F159" s="3" t="s">
        <v>3230</v>
      </c>
    </row>
    <row r="160" spans="1:6" x14ac:dyDescent="0.3">
      <c r="A160" s="3" t="s">
        <v>3135</v>
      </c>
      <c r="B160" s="3" t="s">
        <v>141</v>
      </c>
      <c r="C160" s="3" t="str">
        <f t="shared" si="2"/>
        <v>450005647560</v>
      </c>
      <c r="D160" s="4">
        <v>46751</v>
      </c>
      <c r="E160" s="3" t="s">
        <v>2195</v>
      </c>
      <c r="F160" s="3" t="s">
        <v>3230</v>
      </c>
    </row>
    <row r="161" spans="1:6" x14ac:dyDescent="0.3">
      <c r="A161" s="3" t="s">
        <v>3137</v>
      </c>
      <c r="B161" s="3" t="s">
        <v>23</v>
      </c>
      <c r="C161" s="3" t="str">
        <f t="shared" si="2"/>
        <v>450008055940</v>
      </c>
      <c r="D161" s="4">
        <v>46751</v>
      </c>
      <c r="E161" s="3" t="s">
        <v>2195</v>
      </c>
      <c r="F161" s="3" t="s">
        <v>3230</v>
      </c>
    </row>
    <row r="162" spans="1:6" x14ac:dyDescent="0.3">
      <c r="A162" s="3" t="s">
        <v>2063</v>
      </c>
      <c r="B162" s="3" t="s">
        <v>144</v>
      </c>
      <c r="C162" s="3" t="str">
        <f t="shared" si="2"/>
        <v>450011833450</v>
      </c>
      <c r="D162" s="4">
        <v>46326</v>
      </c>
      <c r="E162" s="3" t="s">
        <v>2210</v>
      </c>
      <c r="F162" s="3" t="s">
        <v>2446</v>
      </c>
    </row>
    <row r="163" spans="1:6" x14ac:dyDescent="0.3">
      <c r="A163" s="3" t="s">
        <v>751</v>
      </c>
      <c r="B163" s="3" t="s">
        <v>128</v>
      </c>
      <c r="C163" s="3" t="str">
        <f t="shared" si="2"/>
        <v>4500119057250</v>
      </c>
      <c r="D163" s="4">
        <v>46307</v>
      </c>
      <c r="E163" s="3" t="s">
        <v>2196</v>
      </c>
      <c r="F163" s="3" t="s">
        <v>2459</v>
      </c>
    </row>
    <row r="164" spans="1:6" x14ac:dyDescent="0.3">
      <c r="A164" s="3" t="s">
        <v>751</v>
      </c>
      <c r="B164" s="3" t="s">
        <v>146</v>
      </c>
      <c r="C164" s="3" t="str">
        <f t="shared" si="2"/>
        <v>4500119057270</v>
      </c>
      <c r="D164" s="4">
        <v>46307</v>
      </c>
      <c r="E164" s="3" t="s">
        <v>2196</v>
      </c>
      <c r="F164" s="3" t="s">
        <v>2459</v>
      </c>
    </row>
    <row r="165" spans="1:6" x14ac:dyDescent="0.3">
      <c r="A165" s="3" t="s">
        <v>751</v>
      </c>
      <c r="B165" s="3" t="s">
        <v>155</v>
      </c>
      <c r="C165" s="3" t="str">
        <f t="shared" si="2"/>
        <v>4500119057420</v>
      </c>
      <c r="D165" s="4">
        <v>46307</v>
      </c>
      <c r="E165" s="3" t="s">
        <v>2196</v>
      </c>
      <c r="F165" s="3" t="s">
        <v>2459</v>
      </c>
    </row>
    <row r="166" spans="1:6" x14ac:dyDescent="0.3">
      <c r="A166" s="3" t="s">
        <v>2749</v>
      </c>
      <c r="B166" s="3" t="s">
        <v>30</v>
      </c>
      <c r="C166" s="3" t="str">
        <f t="shared" si="2"/>
        <v>450011966610</v>
      </c>
      <c r="D166" s="4">
        <v>46380</v>
      </c>
      <c r="E166" s="3" t="s">
        <v>2195</v>
      </c>
      <c r="F166" s="3" t="s">
        <v>2784</v>
      </c>
    </row>
    <row r="167" spans="1:6" x14ac:dyDescent="0.3">
      <c r="A167" s="3" t="s">
        <v>2749</v>
      </c>
      <c r="B167" s="3" t="s">
        <v>22</v>
      </c>
      <c r="C167" s="3" t="str">
        <f t="shared" si="2"/>
        <v>450011966620</v>
      </c>
      <c r="D167" s="4">
        <v>46380</v>
      </c>
      <c r="E167" s="3" t="s">
        <v>2195</v>
      </c>
      <c r="F167" s="3" t="s">
        <v>2784</v>
      </c>
    </row>
    <row r="168" spans="1:6" x14ac:dyDescent="0.3">
      <c r="A168" s="3" t="s">
        <v>2749</v>
      </c>
      <c r="B168" s="3" t="s">
        <v>35</v>
      </c>
      <c r="C168" s="3" t="str">
        <f t="shared" si="2"/>
        <v>450011966630</v>
      </c>
      <c r="D168" s="4">
        <v>46380</v>
      </c>
      <c r="E168" s="3" t="s">
        <v>2195</v>
      </c>
      <c r="F168" s="3" t="s">
        <v>2784</v>
      </c>
    </row>
    <row r="169" spans="1:6" x14ac:dyDescent="0.3">
      <c r="A169" s="3" t="s">
        <v>2749</v>
      </c>
      <c r="B169" s="3" t="s">
        <v>23</v>
      </c>
      <c r="C169" s="3" t="str">
        <f t="shared" si="2"/>
        <v>450011966640</v>
      </c>
      <c r="D169" s="4">
        <v>46380</v>
      </c>
      <c r="E169" s="3" t="s">
        <v>2195</v>
      </c>
      <c r="F169" s="3" t="s">
        <v>2784</v>
      </c>
    </row>
    <row r="170" spans="1:6" x14ac:dyDescent="0.3">
      <c r="A170" s="3" t="s">
        <v>3185</v>
      </c>
      <c r="B170" s="3" t="s">
        <v>30</v>
      </c>
      <c r="C170" s="3" t="str">
        <f t="shared" si="2"/>
        <v>450012645810</v>
      </c>
      <c r="D170" s="4">
        <v>46387</v>
      </c>
      <c r="E170" s="3" t="s">
        <v>2195</v>
      </c>
      <c r="F170" s="3" t="s">
        <v>3231</v>
      </c>
    </row>
    <row r="171" spans="1:6" x14ac:dyDescent="0.3">
      <c r="A171" s="3" t="s">
        <v>275</v>
      </c>
      <c r="B171" s="3" t="s">
        <v>22</v>
      </c>
      <c r="C171" s="3" t="str">
        <f t="shared" si="2"/>
        <v>450012866420</v>
      </c>
      <c r="D171" s="4">
        <v>46181</v>
      </c>
      <c r="E171" s="3" t="s">
        <v>2207</v>
      </c>
      <c r="F171" s="3" t="s">
        <v>2457</v>
      </c>
    </row>
    <row r="172" spans="1:6" x14ac:dyDescent="0.3">
      <c r="A172" s="3" t="s">
        <v>3182</v>
      </c>
      <c r="B172" s="3" t="s">
        <v>35</v>
      </c>
      <c r="C172" s="3" t="str">
        <f t="shared" si="2"/>
        <v>450013003030</v>
      </c>
      <c r="D172" s="4">
        <v>46568</v>
      </c>
      <c r="E172" s="3" t="s">
        <v>2194</v>
      </c>
      <c r="F172" s="3" t="s">
        <v>3223</v>
      </c>
    </row>
    <row r="173" spans="1:6" x14ac:dyDescent="0.3">
      <c r="A173" s="3" t="s">
        <v>1319</v>
      </c>
      <c r="B173" s="3" t="s">
        <v>30</v>
      </c>
      <c r="C173" s="3" t="str">
        <f t="shared" si="2"/>
        <v>450013003210</v>
      </c>
      <c r="D173" s="4">
        <v>46386</v>
      </c>
      <c r="E173" s="3" t="s">
        <v>2195</v>
      </c>
      <c r="F173" s="3" t="s">
        <v>2473</v>
      </c>
    </row>
    <row r="174" spans="1:6" x14ac:dyDescent="0.3">
      <c r="A174" s="3" t="s">
        <v>385</v>
      </c>
      <c r="B174" s="3" t="s">
        <v>22</v>
      </c>
      <c r="C174" s="3" t="str">
        <f t="shared" si="2"/>
        <v>450013474120</v>
      </c>
      <c r="D174" s="4">
        <v>46310</v>
      </c>
      <c r="E174" s="3" t="s">
        <v>2211</v>
      </c>
      <c r="F174" s="3" t="s">
        <v>2475</v>
      </c>
    </row>
    <row r="175" spans="1:6" x14ac:dyDescent="0.3">
      <c r="A175" s="3" t="s">
        <v>1762</v>
      </c>
      <c r="B175" s="3" t="s">
        <v>23</v>
      </c>
      <c r="C175" s="3" t="str">
        <f t="shared" si="2"/>
        <v>450013571140</v>
      </c>
      <c r="D175" s="4">
        <v>46325</v>
      </c>
      <c r="E175" s="3" t="s">
        <v>2204</v>
      </c>
      <c r="F175" s="3" t="s">
        <v>2476</v>
      </c>
    </row>
    <row r="176" spans="1:6" x14ac:dyDescent="0.3">
      <c r="A176" s="3" t="s">
        <v>2065</v>
      </c>
      <c r="B176" s="3" t="s">
        <v>22</v>
      </c>
      <c r="C176" s="3" t="str">
        <f t="shared" si="2"/>
        <v>450013607320</v>
      </c>
      <c r="D176" s="4">
        <v>46325</v>
      </c>
      <c r="E176" s="3" t="s">
        <v>2210</v>
      </c>
      <c r="F176" s="3" t="s">
        <v>2446</v>
      </c>
    </row>
    <row r="177" spans="1:6" x14ac:dyDescent="0.3">
      <c r="A177" s="3" t="s">
        <v>1570</v>
      </c>
      <c r="B177" s="3" t="s">
        <v>30</v>
      </c>
      <c r="C177" s="3" t="str">
        <f t="shared" si="2"/>
        <v>450013669810</v>
      </c>
      <c r="D177" s="4">
        <v>46407</v>
      </c>
      <c r="E177" s="3" t="s">
        <v>2194</v>
      </c>
      <c r="F177" s="3" t="s">
        <v>2477</v>
      </c>
    </row>
    <row r="178" spans="1:6" x14ac:dyDescent="0.3">
      <c r="A178" s="3" t="s">
        <v>1644</v>
      </c>
      <c r="B178" s="3" t="s">
        <v>129</v>
      </c>
      <c r="C178" s="3" t="str">
        <f t="shared" si="2"/>
        <v>4500136747160</v>
      </c>
      <c r="D178" s="4">
        <v>46310</v>
      </c>
      <c r="E178" s="3" t="s">
        <v>2213</v>
      </c>
      <c r="F178" s="3" t="s">
        <v>2443</v>
      </c>
    </row>
    <row r="179" spans="1:6" x14ac:dyDescent="0.3">
      <c r="A179" s="3" t="s">
        <v>1648</v>
      </c>
      <c r="B179" s="3" t="s">
        <v>35</v>
      </c>
      <c r="C179" s="3" t="str">
        <f t="shared" si="2"/>
        <v>450013856330</v>
      </c>
      <c r="D179" s="4">
        <v>46287</v>
      </c>
      <c r="E179" s="3" t="s">
        <v>2199</v>
      </c>
      <c r="F179" s="3" t="s">
        <v>2451</v>
      </c>
    </row>
    <row r="180" spans="1:6" x14ac:dyDescent="0.3">
      <c r="A180" s="3" t="s">
        <v>2041</v>
      </c>
      <c r="B180" s="3" t="s">
        <v>150</v>
      </c>
      <c r="C180" s="3" t="str">
        <f t="shared" si="2"/>
        <v>4500138639320</v>
      </c>
      <c r="D180" s="4">
        <v>46290</v>
      </c>
      <c r="E180" s="3" t="s">
        <v>2200</v>
      </c>
      <c r="F180" s="3" t="s">
        <v>2456</v>
      </c>
    </row>
    <row r="181" spans="1:6" x14ac:dyDescent="0.3">
      <c r="A181" s="3" t="s">
        <v>1862</v>
      </c>
      <c r="B181" s="3" t="s">
        <v>23</v>
      </c>
      <c r="C181" s="3" t="str">
        <f t="shared" si="2"/>
        <v>450013886440</v>
      </c>
      <c r="D181" s="4">
        <v>46290</v>
      </c>
      <c r="E181" s="3" t="s">
        <v>2233</v>
      </c>
      <c r="F181" s="3" t="s">
        <v>2458</v>
      </c>
    </row>
    <row r="182" spans="1:6" x14ac:dyDescent="0.3">
      <c r="A182" s="3" t="s">
        <v>1721</v>
      </c>
      <c r="B182" s="3" t="s">
        <v>30</v>
      </c>
      <c r="C182" s="3" t="str">
        <f t="shared" si="2"/>
        <v>450013909210</v>
      </c>
      <c r="D182" s="4">
        <v>46307</v>
      </c>
      <c r="E182" s="3" t="s">
        <v>2251</v>
      </c>
      <c r="F182" s="3" t="s">
        <v>2478</v>
      </c>
    </row>
    <row r="183" spans="1:6" x14ac:dyDescent="0.3">
      <c r="A183" s="3" t="s">
        <v>2922</v>
      </c>
      <c r="B183" s="3" t="s">
        <v>23</v>
      </c>
      <c r="C183" s="3" t="str">
        <f t="shared" si="2"/>
        <v>450013954340</v>
      </c>
      <c r="D183" s="4">
        <v>46297</v>
      </c>
      <c r="E183" s="3" t="s">
        <v>2204</v>
      </c>
      <c r="F183" s="3" t="s">
        <v>2454</v>
      </c>
    </row>
    <row r="184" spans="1:6" x14ac:dyDescent="0.3">
      <c r="A184" s="3" t="s">
        <v>456</v>
      </c>
      <c r="B184" s="3" t="s">
        <v>30</v>
      </c>
      <c r="C184" s="3" t="str">
        <f t="shared" si="2"/>
        <v>450013995510</v>
      </c>
      <c r="D184" s="4">
        <v>46305</v>
      </c>
      <c r="E184" s="3" t="s">
        <v>2234</v>
      </c>
      <c r="F184" s="3" t="s">
        <v>2479</v>
      </c>
    </row>
    <row r="185" spans="1:6" x14ac:dyDescent="0.3">
      <c r="A185" s="3" t="s">
        <v>462</v>
      </c>
      <c r="B185" s="3" t="s">
        <v>30</v>
      </c>
      <c r="C185" s="3" t="str">
        <f t="shared" si="2"/>
        <v>450013997310</v>
      </c>
      <c r="D185" s="4">
        <v>46311</v>
      </c>
      <c r="E185" s="3" t="s">
        <v>2199</v>
      </c>
      <c r="F185" s="3" t="s">
        <v>2480</v>
      </c>
    </row>
    <row r="186" spans="1:6" x14ac:dyDescent="0.3">
      <c r="A186" s="3" t="s">
        <v>2745</v>
      </c>
      <c r="B186" s="3" t="s">
        <v>30</v>
      </c>
      <c r="C186" s="3" t="str">
        <f t="shared" si="2"/>
        <v>450011587110</v>
      </c>
      <c r="D186" s="4">
        <v>46387</v>
      </c>
      <c r="E186" s="3" t="s">
        <v>2194</v>
      </c>
      <c r="F186" s="3" t="s">
        <v>2662</v>
      </c>
    </row>
    <row r="187" spans="1:6" x14ac:dyDescent="0.3">
      <c r="A187" s="3" t="s">
        <v>3017</v>
      </c>
      <c r="B187" s="3" t="s">
        <v>30</v>
      </c>
      <c r="C187" s="3" t="str">
        <f t="shared" si="2"/>
        <v>450011675610</v>
      </c>
      <c r="D187" s="4">
        <v>46386</v>
      </c>
      <c r="E187" s="3" t="s">
        <v>2195</v>
      </c>
      <c r="F187" s="3" t="s">
        <v>3232</v>
      </c>
    </row>
    <row r="188" spans="1:6" x14ac:dyDescent="0.3">
      <c r="A188" s="3" t="s">
        <v>2267</v>
      </c>
      <c r="B188" s="3" t="s">
        <v>30</v>
      </c>
      <c r="C188" s="3" t="str">
        <f t="shared" si="2"/>
        <v>450011766410</v>
      </c>
      <c r="D188" s="4">
        <v>46356</v>
      </c>
      <c r="E188" s="3" t="s">
        <v>2194</v>
      </c>
      <c r="F188" s="3" t="s">
        <v>2481</v>
      </c>
    </row>
    <row r="189" spans="1:6" x14ac:dyDescent="0.3">
      <c r="A189" s="3" t="s">
        <v>3112</v>
      </c>
      <c r="B189" s="3" t="s">
        <v>30</v>
      </c>
      <c r="C189" s="3" t="str">
        <f t="shared" si="2"/>
        <v>450011810410</v>
      </c>
      <c r="D189" s="4">
        <v>46387</v>
      </c>
      <c r="E189" s="3" t="s">
        <v>2195</v>
      </c>
      <c r="F189" s="3" t="s">
        <v>3233</v>
      </c>
    </row>
    <row r="190" spans="1:6" x14ac:dyDescent="0.3">
      <c r="A190" s="3" t="s">
        <v>2063</v>
      </c>
      <c r="B190" s="3" t="s">
        <v>45</v>
      </c>
      <c r="C190" s="3" t="str">
        <f t="shared" si="2"/>
        <v>4500118334100</v>
      </c>
      <c r="D190" s="4">
        <v>46326</v>
      </c>
      <c r="E190" s="3" t="s">
        <v>2210</v>
      </c>
      <c r="F190" s="3" t="s">
        <v>2446</v>
      </c>
    </row>
    <row r="191" spans="1:6" x14ac:dyDescent="0.3">
      <c r="A191" s="3" t="s">
        <v>2916</v>
      </c>
      <c r="B191" s="3" t="s">
        <v>30</v>
      </c>
      <c r="C191" s="3" t="str">
        <f t="shared" si="2"/>
        <v>450011897910</v>
      </c>
      <c r="D191" s="4">
        <v>46418</v>
      </c>
      <c r="E191" s="3" t="s">
        <v>2195</v>
      </c>
      <c r="F191" s="3" t="s">
        <v>3234</v>
      </c>
    </row>
    <row r="192" spans="1:6" x14ac:dyDescent="0.3">
      <c r="A192" s="3" t="s">
        <v>2916</v>
      </c>
      <c r="B192" s="3" t="s">
        <v>22</v>
      </c>
      <c r="C192" s="3" t="str">
        <f t="shared" si="2"/>
        <v>450011897920</v>
      </c>
      <c r="D192" s="4">
        <v>46418</v>
      </c>
      <c r="E192" s="3" t="s">
        <v>2195</v>
      </c>
      <c r="F192" s="3" t="s">
        <v>3234</v>
      </c>
    </row>
    <row r="193" spans="1:6" x14ac:dyDescent="0.3">
      <c r="A193" s="3" t="s">
        <v>751</v>
      </c>
      <c r="B193" s="3" t="s">
        <v>150</v>
      </c>
      <c r="C193" s="3" t="str">
        <f t="shared" si="2"/>
        <v>4500119057320</v>
      </c>
      <c r="D193" s="4">
        <v>46307</v>
      </c>
      <c r="E193" s="3" t="s">
        <v>2196</v>
      </c>
      <c r="F193" s="3" t="s">
        <v>2459</v>
      </c>
    </row>
    <row r="194" spans="1:6" x14ac:dyDescent="0.3">
      <c r="A194" s="3" t="s">
        <v>751</v>
      </c>
      <c r="B194" s="3" t="s">
        <v>158</v>
      </c>
      <c r="C194" s="3" t="str">
        <f t="shared" si="2"/>
        <v>4500119057390</v>
      </c>
      <c r="D194" s="4">
        <v>46307</v>
      </c>
      <c r="E194" s="3" t="s">
        <v>2196</v>
      </c>
      <c r="F194" s="3" t="s">
        <v>2459</v>
      </c>
    </row>
    <row r="195" spans="1:6" x14ac:dyDescent="0.3">
      <c r="A195" s="3" t="s">
        <v>3020</v>
      </c>
      <c r="B195" s="3" t="s">
        <v>30</v>
      </c>
      <c r="C195" s="3" t="str">
        <f t="shared" ref="C195:C258" si="3">_xlfn.CONCAT(A195:B195)</f>
        <v>450011965910</v>
      </c>
      <c r="D195" s="4">
        <v>46446</v>
      </c>
      <c r="E195" s="3" t="s">
        <v>2195</v>
      </c>
      <c r="F195" s="3" t="s">
        <v>3235</v>
      </c>
    </row>
    <row r="196" spans="1:6" x14ac:dyDescent="0.3">
      <c r="A196" s="3" t="s">
        <v>3030</v>
      </c>
      <c r="B196" s="3" t="s">
        <v>30</v>
      </c>
      <c r="C196" s="3" t="str">
        <f t="shared" si="3"/>
        <v>450012074510</v>
      </c>
      <c r="D196" s="4">
        <v>46387</v>
      </c>
      <c r="E196" s="3" t="s">
        <v>2194</v>
      </c>
      <c r="F196" s="3" t="s">
        <v>3236</v>
      </c>
    </row>
    <row r="197" spans="1:6" x14ac:dyDescent="0.3">
      <c r="A197" s="3" t="s">
        <v>3176</v>
      </c>
      <c r="B197" s="3" t="s">
        <v>30</v>
      </c>
      <c r="C197" s="3" t="str">
        <f t="shared" si="3"/>
        <v>450012121410</v>
      </c>
      <c r="D197" s="4">
        <v>46387</v>
      </c>
      <c r="E197" s="3" t="s">
        <v>2195</v>
      </c>
      <c r="F197" s="3" t="s">
        <v>3237</v>
      </c>
    </row>
    <row r="198" spans="1:6" x14ac:dyDescent="0.3">
      <c r="A198" s="3" t="s">
        <v>272</v>
      </c>
      <c r="B198" s="3" t="s">
        <v>30</v>
      </c>
      <c r="C198" s="3" t="str">
        <f t="shared" si="3"/>
        <v>450012866510</v>
      </c>
      <c r="D198" s="4">
        <v>46150</v>
      </c>
      <c r="E198" s="3" t="s">
        <v>2207</v>
      </c>
      <c r="F198" s="3" t="s">
        <v>2460</v>
      </c>
    </row>
    <row r="199" spans="1:6" x14ac:dyDescent="0.3">
      <c r="A199" s="3" t="s">
        <v>2990</v>
      </c>
      <c r="B199" s="3" t="s">
        <v>30</v>
      </c>
      <c r="C199" s="3" t="str">
        <f t="shared" si="3"/>
        <v>450012997010</v>
      </c>
      <c r="D199" s="4">
        <v>46419</v>
      </c>
      <c r="E199" s="3" t="s">
        <v>2194</v>
      </c>
      <c r="F199" s="3" t="s">
        <v>2481</v>
      </c>
    </row>
    <row r="200" spans="1:6" x14ac:dyDescent="0.3">
      <c r="A200" s="3" t="s">
        <v>988</v>
      </c>
      <c r="B200" s="3" t="s">
        <v>30</v>
      </c>
      <c r="C200" s="3" t="str">
        <f t="shared" si="3"/>
        <v>450013162610</v>
      </c>
      <c r="D200" s="4">
        <v>46402</v>
      </c>
      <c r="E200" s="3" t="s">
        <v>2196</v>
      </c>
      <c r="F200" s="3" t="s">
        <v>2418</v>
      </c>
    </row>
    <row r="201" spans="1:6" x14ac:dyDescent="0.3">
      <c r="A201" s="3" t="s">
        <v>988</v>
      </c>
      <c r="B201" s="3" t="s">
        <v>22</v>
      </c>
      <c r="C201" s="3" t="str">
        <f t="shared" si="3"/>
        <v>450013162620</v>
      </c>
      <c r="D201" s="4">
        <v>46402</v>
      </c>
      <c r="E201" s="3" t="s">
        <v>2196</v>
      </c>
      <c r="F201" s="3" t="s">
        <v>2418</v>
      </c>
    </row>
    <row r="202" spans="1:6" x14ac:dyDescent="0.3">
      <c r="A202" s="3" t="s">
        <v>988</v>
      </c>
      <c r="B202" s="3" t="s">
        <v>35</v>
      </c>
      <c r="C202" s="3" t="str">
        <f t="shared" si="3"/>
        <v>450013162630</v>
      </c>
      <c r="D202" s="4">
        <v>46402</v>
      </c>
      <c r="E202" s="3" t="s">
        <v>2196</v>
      </c>
      <c r="F202" s="3" t="s">
        <v>2418</v>
      </c>
    </row>
    <row r="203" spans="1:6" x14ac:dyDescent="0.3">
      <c r="A203" s="3" t="s">
        <v>988</v>
      </c>
      <c r="B203" s="3" t="s">
        <v>23</v>
      </c>
      <c r="C203" s="3" t="str">
        <f t="shared" si="3"/>
        <v>450013162640</v>
      </c>
      <c r="D203" s="4">
        <v>46402</v>
      </c>
      <c r="E203" s="3" t="s">
        <v>2196</v>
      </c>
      <c r="F203" s="3" t="s">
        <v>2418</v>
      </c>
    </row>
    <row r="204" spans="1:6" x14ac:dyDescent="0.3">
      <c r="A204" s="3" t="s">
        <v>988</v>
      </c>
      <c r="B204" s="3" t="s">
        <v>144</v>
      </c>
      <c r="C204" s="3" t="str">
        <f t="shared" si="3"/>
        <v>450013162650</v>
      </c>
      <c r="D204" s="4">
        <v>46402</v>
      </c>
      <c r="E204" s="3" t="s">
        <v>2196</v>
      </c>
      <c r="F204" s="3" t="s">
        <v>2418</v>
      </c>
    </row>
    <row r="205" spans="1:6" x14ac:dyDescent="0.3">
      <c r="A205" s="3" t="s">
        <v>2058</v>
      </c>
      <c r="B205" s="3" t="s">
        <v>30</v>
      </c>
      <c r="C205" s="3" t="str">
        <f t="shared" si="3"/>
        <v>450013211410</v>
      </c>
      <c r="D205" s="4">
        <v>46397</v>
      </c>
      <c r="E205" s="3" t="s">
        <v>2210</v>
      </c>
      <c r="F205" s="3" t="s">
        <v>2482</v>
      </c>
    </row>
    <row r="206" spans="1:6" x14ac:dyDescent="0.3">
      <c r="A206" s="3" t="s">
        <v>2058</v>
      </c>
      <c r="B206" s="3" t="s">
        <v>22</v>
      </c>
      <c r="C206" s="3" t="str">
        <f t="shared" si="3"/>
        <v>450013211420</v>
      </c>
      <c r="D206" s="4">
        <v>46397</v>
      </c>
      <c r="E206" s="3" t="s">
        <v>2210</v>
      </c>
      <c r="F206" s="3" t="s">
        <v>2482</v>
      </c>
    </row>
    <row r="207" spans="1:6" x14ac:dyDescent="0.3">
      <c r="A207" s="3" t="s">
        <v>2058</v>
      </c>
      <c r="B207" s="3" t="s">
        <v>35</v>
      </c>
      <c r="C207" s="3" t="str">
        <f t="shared" si="3"/>
        <v>450013211430</v>
      </c>
      <c r="D207" s="4">
        <v>46397</v>
      </c>
      <c r="E207" s="3" t="s">
        <v>2210</v>
      </c>
      <c r="F207" s="3" t="s">
        <v>2482</v>
      </c>
    </row>
    <row r="208" spans="1:6" x14ac:dyDescent="0.3">
      <c r="A208" s="3" t="s">
        <v>2134</v>
      </c>
      <c r="B208" s="3" t="s">
        <v>30</v>
      </c>
      <c r="C208" s="3" t="str">
        <f t="shared" si="3"/>
        <v>450013211610</v>
      </c>
      <c r="D208" s="4">
        <v>46387</v>
      </c>
      <c r="E208" s="3" t="s">
        <v>2195</v>
      </c>
      <c r="F208" s="3" t="s">
        <v>2483</v>
      </c>
    </row>
    <row r="209" spans="1:6" x14ac:dyDescent="0.3">
      <c r="A209" s="3" t="s">
        <v>2764</v>
      </c>
      <c r="B209" s="3" t="s">
        <v>30</v>
      </c>
      <c r="C209" s="3" t="str">
        <f t="shared" si="3"/>
        <v>450013214210</v>
      </c>
      <c r="D209" s="4">
        <v>46418</v>
      </c>
      <c r="E209" s="3" t="s">
        <v>2195</v>
      </c>
      <c r="F209" s="3" t="s">
        <v>2785</v>
      </c>
    </row>
    <row r="210" spans="1:6" x14ac:dyDescent="0.3">
      <c r="A210" s="3" t="s">
        <v>2764</v>
      </c>
      <c r="B210" s="3" t="s">
        <v>22</v>
      </c>
      <c r="C210" s="3" t="str">
        <f t="shared" si="3"/>
        <v>450013214220</v>
      </c>
      <c r="D210" s="4">
        <v>46418</v>
      </c>
      <c r="E210" s="3" t="s">
        <v>2195</v>
      </c>
      <c r="F210" s="3" t="s">
        <v>2785</v>
      </c>
    </row>
    <row r="211" spans="1:6" x14ac:dyDescent="0.3">
      <c r="A211" s="3" t="s">
        <v>2764</v>
      </c>
      <c r="B211" s="3" t="s">
        <v>35</v>
      </c>
      <c r="C211" s="3" t="str">
        <f t="shared" si="3"/>
        <v>450013214230</v>
      </c>
      <c r="D211" s="4">
        <v>46418</v>
      </c>
      <c r="E211" s="3" t="s">
        <v>2195</v>
      </c>
      <c r="F211" s="3" t="s">
        <v>2785</v>
      </c>
    </row>
    <row r="212" spans="1:6" x14ac:dyDescent="0.3">
      <c r="A212" s="3" t="s">
        <v>2764</v>
      </c>
      <c r="B212" s="3" t="s">
        <v>23</v>
      </c>
      <c r="C212" s="3" t="str">
        <f t="shared" si="3"/>
        <v>450013214240</v>
      </c>
      <c r="D212" s="4">
        <v>46418</v>
      </c>
      <c r="E212" s="3" t="s">
        <v>2195</v>
      </c>
      <c r="F212" s="3" t="s">
        <v>2785</v>
      </c>
    </row>
    <row r="213" spans="1:6" x14ac:dyDescent="0.3">
      <c r="A213" s="3" t="s">
        <v>1129</v>
      </c>
      <c r="B213" s="3" t="s">
        <v>22</v>
      </c>
      <c r="C213" s="3" t="str">
        <f t="shared" si="3"/>
        <v>450013275520</v>
      </c>
      <c r="D213" s="4">
        <v>46301</v>
      </c>
      <c r="E213" s="3" t="s">
        <v>2196</v>
      </c>
      <c r="F213" s="3" t="s">
        <v>2484</v>
      </c>
    </row>
    <row r="214" spans="1:6" x14ac:dyDescent="0.3">
      <c r="A214" s="3" t="s">
        <v>2899</v>
      </c>
      <c r="B214" s="3" t="s">
        <v>30</v>
      </c>
      <c r="C214" s="3" t="str">
        <f t="shared" si="3"/>
        <v>450013441010</v>
      </c>
      <c r="D214" s="4">
        <v>46783</v>
      </c>
      <c r="E214" s="3" t="s">
        <v>2195</v>
      </c>
      <c r="F214" s="3" t="s">
        <v>3238</v>
      </c>
    </row>
    <row r="215" spans="1:6" x14ac:dyDescent="0.3">
      <c r="A215" s="3" t="s">
        <v>1644</v>
      </c>
      <c r="B215" s="3" t="s">
        <v>30</v>
      </c>
      <c r="C215" s="3" t="str">
        <f t="shared" si="3"/>
        <v>450013674710</v>
      </c>
      <c r="D215" s="4">
        <v>46310</v>
      </c>
      <c r="E215" s="3" t="s">
        <v>2213</v>
      </c>
      <c r="F215" s="3" t="s">
        <v>2443</v>
      </c>
    </row>
    <row r="216" spans="1:6" x14ac:dyDescent="0.3">
      <c r="A216" s="3" t="s">
        <v>1644</v>
      </c>
      <c r="B216" s="3" t="s">
        <v>35</v>
      </c>
      <c r="C216" s="3" t="str">
        <f t="shared" si="3"/>
        <v>450013674730</v>
      </c>
      <c r="D216" s="4">
        <v>46310</v>
      </c>
      <c r="E216" s="3" t="s">
        <v>2213</v>
      </c>
      <c r="F216" s="3" t="s">
        <v>2443</v>
      </c>
    </row>
    <row r="217" spans="1:6" x14ac:dyDescent="0.3">
      <c r="A217" s="3" t="s">
        <v>1644</v>
      </c>
      <c r="B217" s="3" t="s">
        <v>132</v>
      </c>
      <c r="C217" s="3" t="str">
        <f t="shared" si="3"/>
        <v>4500136747120</v>
      </c>
      <c r="D217" s="4">
        <v>46310</v>
      </c>
      <c r="E217" s="3" t="s">
        <v>2213</v>
      </c>
      <c r="F217" s="3" t="s">
        <v>2443</v>
      </c>
    </row>
    <row r="218" spans="1:6" x14ac:dyDescent="0.3">
      <c r="A218" s="3" t="s">
        <v>2121</v>
      </c>
      <c r="B218" s="3" t="s">
        <v>35</v>
      </c>
      <c r="C218" s="3" t="str">
        <f t="shared" si="3"/>
        <v>450013783630</v>
      </c>
      <c r="D218" s="4">
        <v>46290</v>
      </c>
      <c r="E218" s="3" t="s">
        <v>2251</v>
      </c>
      <c r="F218" s="3" t="s">
        <v>2467</v>
      </c>
    </row>
    <row r="219" spans="1:6" x14ac:dyDescent="0.3">
      <c r="A219" s="3" t="s">
        <v>112</v>
      </c>
      <c r="B219" s="3" t="s">
        <v>30</v>
      </c>
      <c r="C219" s="3" t="str">
        <f t="shared" si="3"/>
        <v>450013830310</v>
      </c>
      <c r="D219" s="4">
        <v>46353</v>
      </c>
      <c r="E219" s="3" t="s">
        <v>2237</v>
      </c>
      <c r="F219" s="3" t="s">
        <v>2485</v>
      </c>
    </row>
    <row r="220" spans="1:6" x14ac:dyDescent="0.3">
      <c r="A220" s="3" t="s">
        <v>112</v>
      </c>
      <c r="B220" s="3" t="s">
        <v>22</v>
      </c>
      <c r="C220" s="3" t="str">
        <f t="shared" si="3"/>
        <v>450013830320</v>
      </c>
      <c r="D220" s="4">
        <v>46353</v>
      </c>
      <c r="E220" s="3" t="s">
        <v>2237</v>
      </c>
      <c r="F220" s="3" t="s">
        <v>2485</v>
      </c>
    </row>
    <row r="221" spans="1:6" x14ac:dyDescent="0.3">
      <c r="A221" s="3" t="s">
        <v>1626</v>
      </c>
      <c r="B221" s="3" t="s">
        <v>30</v>
      </c>
      <c r="C221" s="3" t="str">
        <f t="shared" si="3"/>
        <v>450013836510</v>
      </c>
      <c r="D221" s="4">
        <v>46307</v>
      </c>
      <c r="E221" s="3" t="s">
        <v>2204</v>
      </c>
      <c r="F221" s="3" t="s">
        <v>2461</v>
      </c>
    </row>
    <row r="222" spans="1:6" x14ac:dyDescent="0.3">
      <c r="A222" s="3" t="s">
        <v>1739</v>
      </c>
      <c r="B222" s="3" t="s">
        <v>142</v>
      </c>
      <c r="C222" s="3" t="str">
        <f t="shared" si="3"/>
        <v>4500138643130</v>
      </c>
      <c r="D222" s="4">
        <v>46287</v>
      </c>
      <c r="E222" s="3" t="s">
        <v>2200</v>
      </c>
      <c r="F222" s="3" t="s">
        <v>2453</v>
      </c>
    </row>
    <row r="223" spans="1:6" x14ac:dyDescent="0.3">
      <c r="A223" s="3" t="s">
        <v>425</v>
      </c>
      <c r="B223" s="3" t="s">
        <v>30</v>
      </c>
      <c r="C223" s="3" t="str">
        <f t="shared" si="3"/>
        <v>450013979910</v>
      </c>
      <c r="D223" s="4">
        <v>46304</v>
      </c>
      <c r="E223" s="3" t="s">
        <v>2199</v>
      </c>
      <c r="F223" s="3" t="s">
        <v>2486</v>
      </c>
    </row>
    <row r="224" spans="1:6" x14ac:dyDescent="0.3">
      <c r="A224" s="3" t="s">
        <v>2310</v>
      </c>
      <c r="B224" s="3" t="s">
        <v>23</v>
      </c>
      <c r="C224" s="3" t="str">
        <f t="shared" si="3"/>
        <v>450013984040</v>
      </c>
      <c r="D224" s="4">
        <v>46305</v>
      </c>
      <c r="E224" s="3" t="s">
        <v>2238</v>
      </c>
      <c r="F224" s="3" t="s">
        <v>2421</v>
      </c>
    </row>
    <row r="225" spans="1:6" x14ac:dyDescent="0.3">
      <c r="A225" s="3" t="s">
        <v>2310</v>
      </c>
      <c r="B225" s="3" t="s">
        <v>144</v>
      </c>
      <c r="C225" s="3" t="str">
        <f t="shared" si="3"/>
        <v>450013984050</v>
      </c>
      <c r="D225" s="4">
        <v>46307</v>
      </c>
      <c r="E225" s="3" t="s">
        <v>2238</v>
      </c>
      <c r="F225" s="3" t="s">
        <v>2421</v>
      </c>
    </row>
    <row r="226" spans="1:6" x14ac:dyDescent="0.3">
      <c r="A226" s="3" t="s">
        <v>431</v>
      </c>
      <c r="B226" s="3" t="s">
        <v>30</v>
      </c>
      <c r="C226" s="3" t="str">
        <f t="shared" si="3"/>
        <v>450013987910</v>
      </c>
      <c r="D226" s="4">
        <v>46300</v>
      </c>
      <c r="E226" s="3" t="s">
        <v>2234</v>
      </c>
      <c r="F226" s="3" t="s">
        <v>2479</v>
      </c>
    </row>
    <row r="227" spans="1:6" x14ac:dyDescent="0.3">
      <c r="A227" s="3" t="s">
        <v>3170</v>
      </c>
      <c r="B227" s="3" t="s">
        <v>30</v>
      </c>
      <c r="C227" s="3" t="str">
        <f t="shared" si="3"/>
        <v>450014006710</v>
      </c>
      <c r="D227" s="4">
        <v>46309</v>
      </c>
      <c r="E227" s="3" t="s">
        <v>2200</v>
      </c>
      <c r="F227" s="3" t="s">
        <v>2677</v>
      </c>
    </row>
    <row r="228" spans="1:6" x14ac:dyDescent="0.3">
      <c r="A228" s="3" t="s">
        <v>394</v>
      </c>
      <c r="B228" s="3" t="s">
        <v>134</v>
      </c>
      <c r="C228" s="3" t="str">
        <f t="shared" si="3"/>
        <v>450013829970</v>
      </c>
      <c r="D228" s="4">
        <v>46309</v>
      </c>
      <c r="E228" s="3" t="s">
        <v>2234</v>
      </c>
      <c r="F228" s="3" t="s">
        <v>2449</v>
      </c>
    </row>
    <row r="229" spans="1:6" x14ac:dyDescent="0.3">
      <c r="A229" s="3" t="s">
        <v>394</v>
      </c>
      <c r="B229" s="3" t="s">
        <v>52</v>
      </c>
      <c r="C229" s="3" t="str">
        <f t="shared" si="3"/>
        <v>450013829980</v>
      </c>
      <c r="D229" s="4">
        <v>46309</v>
      </c>
      <c r="E229" s="3" t="s">
        <v>2234</v>
      </c>
      <c r="F229" s="3" t="s">
        <v>2449</v>
      </c>
    </row>
    <row r="230" spans="1:6" x14ac:dyDescent="0.3">
      <c r="A230" s="3" t="s">
        <v>3187</v>
      </c>
      <c r="B230" s="3" t="s">
        <v>30</v>
      </c>
      <c r="C230" s="3" t="str">
        <f t="shared" si="3"/>
        <v>450012769110</v>
      </c>
      <c r="D230" s="4">
        <v>46402</v>
      </c>
      <c r="E230" s="3" t="s">
        <v>2210</v>
      </c>
      <c r="F230" s="3" t="s">
        <v>2482</v>
      </c>
    </row>
    <row r="231" spans="1:6" x14ac:dyDescent="0.3">
      <c r="A231" s="3" t="s">
        <v>3124</v>
      </c>
      <c r="B231" s="3" t="s">
        <v>30</v>
      </c>
      <c r="C231" s="3" t="str">
        <f t="shared" si="3"/>
        <v>450011488510</v>
      </c>
      <c r="D231" s="4">
        <v>46396</v>
      </c>
      <c r="E231" s="3" t="s">
        <v>2195</v>
      </c>
      <c r="F231" s="3" t="s">
        <v>3224</v>
      </c>
    </row>
    <row r="232" spans="1:6" x14ac:dyDescent="0.3">
      <c r="A232" s="3" t="s">
        <v>1251</v>
      </c>
      <c r="B232" s="3" t="s">
        <v>30</v>
      </c>
      <c r="C232" s="3" t="str">
        <f t="shared" si="3"/>
        <v>450011650810</v>
      </c>
      <c r="D232" s="4">
        <v>46300</v>
      </c>
      <c r="E232" s="3" t="s">
        <v>2196</v>
      </c>
      <c r="F232" s="3" t="s">
        <v>2459</v>
      </c>
    </row>
    <row r="233" spans="1:6" x14ac:dyDescent="0.3">
      <c r="A233" s="3" t="s">
        <v>751</v>
      </c>
      <c r="B233" s="3" t="s">
        <v>156</v>
      </c>
      <c r="C233" s="3" t="str">
        <f t="shared" si="3"/>
        <v>4500119057110</v>
      </c>
      <c r="D233" s="4">
        <v>46307</v>
      </c>
      <c r="E233" s="3" t="s">
        <v>2196</v>
      </c>
      <c r="F233" s="3" t="s">
        <v>2459</v>
      </c>
    </row>
    <row r="234" spans="1:6" x14ac:dyDescent="0.3">
      <c r="A234" s="3" t="s">
        <v>751</v>
      </c>
      <c r="B234" s="3" t="s">
        <v>68</v>
      </c>
      <c r="C234" s="3" t="str">
        <f t="shared" si="3"/>
        <v>4500119057150</v>
      </c>
      <c r="D234" s="4">
        <v>46307</v>
      </c>
      <c r="E234" s="3" t="s">
        <v>2196</v>
      </c>
      <c r="F234" s="3" t="s">
        <v>2459</v>
      </c>
    </row>
    <row r="235" spans="1:6" x14ac:dyDescent="0.3">
      <c r="A235" s="3" t="s">
        <v>751</v>
      </c>
      <c r="B235" s="3" t="s">
        <v>129</v>
      </c>
      <c r="C235" s="3" t="str">
        <f t="shared" si="3"/>
        <v>4500119057160</v>
      </c>
      <c r="D235" s="4">
        <v>46307</v>
      </c>
      <c r="E235" s="3" t="s">
        <v>2196</v>
      </c>
      <c r="F235" s="3" t="s">
        <v>2459</v>
      </c>
    </row>
    <row r="236" spans="1:6" x14ac:dyDescent="0.3">
      <c r="A236" s="3" t="s">
        <v>751</v>
      </c>
      <c r="B236" s="3" t="s">
        <v>140</v>
      </c>
      <c r="C236" s="3" t="str">
        <f t="shared" si="3"/>
        <v>4500119057220</v>
      </c>
      <c r="D236" s="4">
        <v>46307</v>
      </c>
      <c r="E236" s="3" t="s">
        <v>2196</v>
      </c>
      <c r="F236" s="3" t="s">
        <v>2459</v>
      </c>
    </row>
    <row r="237" spans="1:6" x14ac:dyDescent="0.3">
      <c r="A237" s="3" t="s">
        <v>751</v>
      </c>
      <c r="B237" s="3" t="s">
        <v>1596</v>
      </c>
      <c r="C237" s="3" t="str">
        <f t="shared" si="3"/>
        <v>4500119057760</v>
      </c>
      <c r="D237" s="4">
        <v>46307</v>
      </c>
      <c r="E237" s="3" t="s">
        <v>2196</v>
      </c>
      <c r="F237" s="3" t="s">
        <v>2459</v>
      </c>
    </row>
    <row r="238" spans="1:6" x14ac:dyDescent="0.3">
      <c r="A238" s="3" t="s">
        <v>1361</v>
      </c>
      <c r="B238" s="3" t="s">
        <v>35</v>
      </c>
      <c r="C238" s="3" t="str">
        <f t="shared" si="3"/>
        <v>450012082730</v>
      </c>
      <c r="D238" s="4">
        <v>46326</v>
      </c>
      <c r="E238" s="3" t="s">
        <v>2194</v>
      </c>
      <c r="F238" s="3" t="s">
        <v>2487</v>
      </c>
    </row>
    <row r="239" spans="1:6" x14ac:dyDescent="0.3">
      <c r="A239" s="3" t="s">
        <v>1384</v>
      </c>
      <c r="B239" s="3" t="s">
        <v>30</v>
      </c>
      <c r="C239" s="3" t="str">
        <f t="shared" si="3"/>
        <v>450012156210</v>
      </c>
      <c r="D239" s="4">
        <v>46387</v>
      </c>
      <c r="E239" s="3" t="s">
        <v>2206</v>
      </c>
      <c r="F239" s="3" t="s">
        <v>2488</v>
      </c>
    </row>
    <row r="240" spans="1:6" x14ac:dyDescent="0.3">
      <c r="A240" s="3" t="s">
        <v>3187</v>
      </c>
      <c r="B240" s="3" t="s">
        <v>35</v>
      </c>
      <c r="C240" s="3" t="str">
        <f t="shared" si="3"/>
        <v>450012769130</v>
      </c>
      <c r="D240" s="4">
        <v>46402</v>
      </c>
      <c r="E240" s="3" t="s">
        <v>2210</v>
      </c>
      <c r="F240" s="3" t="s">
        <v>2482</v>
      </c>
    </row>
    <row r="241" spans="1:6" x14ac:dyDescent="0.3">
      <c r="A241" s="3" t="s">
        <v>850</v>
      </c>
      <c r="B241" s="3" t="s">
        <v>22</v>
      </c>
      <c r="C241" s="3" t="str">
        <f t="shared" si="3"/>
        <v>450012817020</v>
      </c>
      <c r="D241" s="4">
        <v>46182</v>
      </c>
      <c r="E241" s="3" t="s">
        <v>2207</v>
      </c>
      <c r="F241" s="3" t="s">
        <v>2489</v>
      </c>
    </row>
    <row r="242" spans="1:6" x14ac:dyDescent="0.3">
      <c r="A242" s="3" t="s">
        <v>850</v>
      </c>
      <c r="B242" s="3" t="s">
        <v>35</v>
      </c>
      <c r="C242" s="3" t="str">
        <f t="shared" si="3"/>
        <v>450012817030</v>
      </c>
      <c r="D242" s="4">
        <v>46182</v>
      </c>
      <c r="E242" s="3" t="s">
        <v>2207</v>
      </c>
      <c r="F242" s="3" t="s">
        <v>2489</v>
      </c>
    </row>
    <row r="243" spans="1:6" x14ac:dyDescent="0.3">
      <c r="A243" s="3" t="s">
        <v>288</v>
      </c>
      <c r="B243" s="3" t="s">
        <v>30</v>
      </c>
      <c r="C243" s="3" t="str">
        <f t="shared" si="3"/>
        <v>450012993610</v>
      </c>
      <c r="D243" s="4">
        <v>46204</v>
      </c>
      <c r="E243" s="3" t="s">
        <v>2207</v>
      </c>
      <c r="F243" s="3" t="s">
        <v>2491</v>
      </c>
    </row>
    <row r="244" spans="1:6" x14ac:dyDescent="0.3">
      <c r="A244" s="3" t="s">
        <v>288</v>
      </c>
      <c r="B244" s="3" t="s">
        <v>144</v>
      </c>
      <c r="C244" s="3" t="str">
        <f t="shared" si="3"/>
        <v>450012993650</v>
      </c>
      <c r="D244" s="4">
        <v>46204</v>
      </c>
      <c r="E244" s="3" t="s">
        <v>2207</v>
      </c>
      <c r="F244" s="3" t="s">
        <v>2491</v>
      </c>
    </row>
    <row r="245" spans="1:6" x14ac:dyDescent="0.3">
      <c r="A245" s="3" t="s">
        <v>288</v>
      </c>
      <c r="B245" s="3" t="s">
        <v>141</v>
      </c>
      <c r="C245" s="3" t="str">
        <f t="shared" si="3"/>
        <v>450012993660</v>
      </c>
      <c r="D245" s="4">
        <v>46204</v>
      </c>
      <c r="E245" s="3" t="s">
        <v>2207</v>
      </c>
      <c r="F245" s="3" t="s">
        <v>2491</v>
      </c>
    </row>
    <row r="246" spans="1:6" x14ac:dyDescent="0.3">
      <c r="A246" s="3" t="s">
        <v>288</v>
      </c>
      <c r="B246" s="3" t="s">
        <v>134</v>
      </c>
      <c r="C246" s="3" t="str">
        <f t="shared" si="3"/>
        <v>450012993670</v>
      </c>
      <c r="D246" s="4">
        <v>46204</v>
      </c>
      <c r="E246" s="3" t="s">
        <v>2207</v>
      </c>
      <c r="F246" s="3" t="s">
        <v>2491</v>
      </c>
    </row>
    <row r="247" spans="1:6" x14ac:dyDescent="0.3">
      <c r="A247" s="3" t="s">
        <v>288</v>
      </c>
      <c r="B247" s="3" t="s">
        <v>138</v>
      </c>
      <c r="C247" s="3" t="str">
        <f t="shared" si="3"/>
        <v>450012993690</v>
      </c>
      <c r="D247" s="4">
        <v>46204</v>
      </c>
      <c r="E247" s="3" t="s">
        <v>2207</v>
      </c>
      <c r="F247" s="3" t="s">
        <v>2491</v>
      </c>
    </row>
    <row r="248" spans="1:6" x14ac:dyDescent="0.3">
      <c r="A248" s="3" t="s">
        <v>3182</v>
      </c>
      <c r="B248" s="3" t="s">
        <v>22</v>
      </c>
      <c r="C248" s="3" t="str">
        <f t="shared" si="3"/>
        <v>450013003020</v>
      </c>
      <c r="D248" s="4">
        <v>46568</v>
      </c>
      <c r="E248" s="3" t="s">
        <v>2194</v>
      </c>
      <c r="F248" s="3" t="s">
        <v>3223</v>
      </c>
    </row>
    <row r="249" spans="1:6" x14ac:dyDescent="0.3">
      <c r="A249" s="3" t="s">
        <v>1319</v>
      </c>
      <c r="B249" s="3" t="s">
        <v>23</v>
      </c>
      <c r="C249" s="3" t="str">
        <f t="shared" si="3"/>
        <v>450013003240</v>
      </c>
      <c r="D249" s="4">
        <v>46386</v>
      </c>
      <c r="E249" s="3" t="s">
        <v>2195</v>
      </c>
      <c r="F249" s="3" t="s">
        <v>2473</v>
      </c>
    </row>
    <row r="250" spans="1:6" x14ac:dyDescent="0.3">
      <c r="A250" s="3" t="s">
        <v>2991</v>
      </c>
      <c r="B250" s="3" t="s">
        <v>30</v>
      </c>
      <c r="C250" s="3" t="str">
        <f t="shared" si="3"/>
        <v>450013019110</v>
      </c>
      <c r="D250" s="4">
        <v>46371</v>
      </c>
      <c r="E250" s="3" t="s">
        <v>2194</v>
      </c>
      <c r="F250" s="3" t="s">
        <v>2481</v>
      </c>
    </row>
    <row r="251" spans="1:6" x14ac:dyDescent="0.3">
      <c r="A251" s="3" t="s">
        <v>1049</v>
      </c>
      <c r="B251" s="3" t="s">
        <v>30</v>
      </c>
      <c r="C251" s="3" t="str">
        <f t="shared" si="3"/>
        <v>450013141510</v>
      </c>
      <c r="D251" s="4">
        <v>46301</v>
      </c>
      <c r="E251" s="3" t="s">
        <v>2248</v>
      </c>
      <c r="F251" s="3" t="s">
        <v>2492</v>
      </c>
    </row>
    <row r="252" spans="1:6" x14ac:dyDescent="0.3">
      <c r="A252" s="3" t="s">
        <v>3024</v>
      </c>
      <c r="B252" s="3" t="s">
        <v>30</v>
      </c>
      <c r="C252" s="3" t="str">
        <f t="shared" si="3"/>
        <v>450013211810</v>
      </c>
      <c r="D252" s="4">
        <v>46387</v>
      </c>
      <c r="E252" s="3" t="s">
        <v>2195</v>
      </c>
      <c r="F252" s="3" t="s">
        <v>3239</v>
      </c>
    </row>
    <row r="253" spans="1:6" x14ac:dyDescent="0.3">
      <c r="A253" s="3" t="s">
        <v>2903</v>
      </c>
      <c r="B253" s="3" t="s">
        <v>30</v>
      </c>
      <c r="C253" s="3" t="str">
        <f t="shared" si="3"/>
        <v>450013308810</v>
      </c>
      <c r="D253" s="4">
        <v>46397</v>
      </c>
      <c r="E253" s="3" t="s">
        <v>2195</v>
      </c>
      <c r="F253" s="3" t="s">
        <v>3240</v>
      </c>
    </row>
    <row r="254" spans="1:6" x14ac:dyDescent="0.3">
      <c r="A254" s="3" t="s">
        <v>354</v>
      </c>
      <c r="B254" s="3" t="s">
        <v>22</v>
      </c>
      <c r="C254" s="3" t="str">
        <f t="shared" si="3"/>
        <v>450013397220</v>
      </c>
      <c r="D254" s="4">
        <v>46216</v>
      </c>
      <c r="E254" s="3" t="s">
        <v>2207</v>
      </c>
      <c r="F254" s="3" t="s">
        <v>2457</v>
      </c>
    </row>
    <row r="255" spans="1:6" x14ac:dyDescent="0.3">
      <c r="A255" s="3" t="s">
        <v>1216</v>
      </c>
      <c r="B255" s="3" t="s">
        <v>52</v>
      </c>
      <c r="C255" s="3" t="str">
        <f t="shared" si="3"/>
        <v>450013464180</v>
      </c>
      <c r="D255" s="4">
        <v>46301</v>
      </c>
      <c r="E255" s="3" t="s">
        <v>2196</v>
      </c>
      <c r="F255" s="3" t="s">
        <v>2454</v>
      </c>
    </row>
    <row r="256" spans="1:6" x14ac:dyDescent="0.3">
      <c r="A256" s="3" t="s">
        <v>1216</v>
      </c>
      <c r="B256" s="3" t="s">
        <v>131</v>
      </c>
      <c r="C256" s="3" t="str">
        <f t="shared" si="3"/>
        <v>4500134641140</v>
      </c>
      <c r="D256" s="4">
        <v>46320</v>
      </c>
      <c r="E256" s="3" t="s">
        <v>2196</v>
      </c>
      <c r="F256" s="3" t="s">
        <v>2454</v>
      </c>
    </row>
    <row r="257" spans="1:6" x14ac:dyDescent="0.3">
      <c r="A257" s="3" t="s">
        <v>1216</v>
      </c>
      <c r="B257" s="3" t="s">
        <v>53</v>
      </c>
      <c r="C257" s="3" t="str">
        <f t="shared" si="3"/>
        <v>4500134641170</v>
      </c>
      <c r="D257" s="4">
        <v>46320</v>
      </c>
      <c r="E257" s="3" t="s">
        <v>2196</v>
      </c>
      <c r="F257" s="3" t="s">
        <v>2454</v>
      </c>
    </row>
    <row r="258" spans="1:6" x14ac:dyDescent="0.3">
      <c r="A258" s="3" t="s">
        <v>103</v>
      </c>
      <c r="B258" s="3" t="s">
        <v>30</v>
      </c>
      <c r="C258" s="3" t="str">
        <f t="shared" si="3"/>
        <v>450013474810</v>
      </c>
      <c r="D258" s="4">
        <v>46308</v>
      </c>
      <c r="E258" s="3" t="s">
        <v>2196</v>
      </c>
      <c r="F258" s="3" t="s">
        <v>2493</v>
      </c>
    </row>
    <row r="259" spans="1:6" x14ac:dyDescent="0.3">
      <c r="A259" s="3" t="s">
        <v>2065</v>
      </c>
      <c r="B259" s="3" t="s">
        <v>35</v>
      </c>
      <c r="C259" s="3" t="str">
        <f t="shared" ref="C259:C322" si="4">_xlfn.CONCAT(A259:B259)</f>
        <v>450013607330</v>
      </c>
      <c r="D259" s="4">
        <v>46325</v>
      </c>
      <c r="E259" s="3" t="s">
        <v>2210</v>
      </c>
      <c r="F259" s="3" t="s">
        <v>2446</v>
      </c>
    </row>
    <row r="260" spans="1:6" x14ac:dyDescent="0.3">
      <c r="A260" s="3" t="s">
        <v>1380</v>
      </c>
      <c r="B260" s="3" t="s">
        <v>30</v>
      </c>
      <c r="C260" s="3" t="str">
        <f t="shared" si="4"/>
        <v>450013653910</v>
      </c>
      <c r="D260" s="4">
        <v>46331</v>
      </c>
      <c r="E260" s="3" t="s">
        <v>2206</v>
      </c>
      <c r="F260" s="3" t="s">
        <v>2494</v>
      </c>
    </row>
    <row r="261" spans="1:6" x14ac:dyDescent="0.3">
      <c r="A261" s="3" t="s">
        <v>1698</v>
      </c>
      <c r="B261" s="3" t="s">
        <v>127</v>
      </c>
      <c r="C261" s="3" t="str">
        <f t="shared" si="4"/>
        <v>4500136658190</v>
      </c>
      <c r="D261" s="4">
        <v>46310</v>
      </c>
      <c r="E261" s="3" t="s">
        <v>2196</v>
      </c>
      <c r="F261" s="3" t="s">
        <v>2478</v>
      </c>
    </row>
    <row r="262" spans="1:6" x14ac:dyDescent="0.3">
      <c r="A262" s="3" t="s">
        <v>1589</v>
      </c>
      <c r="B262" s="3" t="s">
        <v>133</v>
      </c>
      <c r="C262" s="3" t="str">
        <f t="shared" si="4"/>
        <v>4500136984280</v>
      </c>
      <c r="D262" s="4">
        <v>46301</v>
      </c>
      <c r="E262" s="3" t="s">
        <v>2196</v>
      </c>
      <c r="F262" s="3" t="s">
        <v>2454</v>
      </c>
    </row>
    <row r="263" spans="1:6" x14ac:dyDescent="0.3">
      <c r="A263" s="3" t="s">
        <v>459</v>
      </c>
      <c r="B263" s="3" t="s">
        <v>145</v>
      </c>
      <c r="C263" s="3" t="str">
        <f t="shared" si="4"/>
        <v>4500137125300</v>
      </c>
      <c r="D263" s="4">
        <v>46295</v>
      </c>
      <c r="E263" s="3" t="s">
        <v>2196</v>
      </c>
      <c r="F263" s="3" t="s">
        <v>2439</v>
      </c>
    </row>
    <row r="264" spans="1:6" x14ac:dyDescent="0.3">
      <c r="A264" s="3" t="s">
        <v>1194</v>
      </c>
      <c r="B264" s="3" t="s">
        <v>22</v>
      </c>
      <c r="C264" s="3" t="str">
        <f t="shared" si="4"/>
        <v>450013728120</v>
      </c>
      <c r="D264" s="4">
        <v>46295</v>
      </c>
      <c r="E264" s="3" t="s">
        <v>2239</v>
      </c>
      <c r="F264" s="3" t="s">
        <v>2495</v>
      </c>
    </row>
    <row r="265" spans="1:6" x14ac:dyDescent="0.3">
      <c r="A265" s="3" t="s">
        <v>3196</v>
      </c>
      <c r="B265" s="3" t="s">
        <v>30</v>
      </c>
      <c r="C265" s="3" t="str">
        <f t="shared" si="4"/>
        <v>450013795110</v>
      </c>
      <c r="D265" s="4">
        <v>46387</v>
      </c>
      <c r="E265" s="3" t="s">
        <v>2195</v>
      </c>
      <c r="F265" s="3" t="s">
        <v>3241</v>
      </c>
    </row>
    <row r="266" spans="1:6" x14ac:dyDescent="0.3">
      <c r="A266" s="3" t="s">
        <v>1459</v>
      </c>
      <c r="B266" s="3" t="s">
        <v>35</v>
      </c>
      <c r="C266" s="3" t="str">
        <f t="shared" si="4"/>
        <v>450013807730</v>
      </c>
      <c r="D266" s="4">
        <v>46304</v>
      </c>
      <c r="E266" s="3" t="s">
        <v>2196</v>
      </c>
      <c r="F266" s="3" t="s">
        <v>2478</v>
      </c>
    </row>
    <row r="267" spans="1:6" x14ac:dyDescent="0.3">
      <c r="A267" s="3" t="s">
        <v>1774</v>
      </c>
      <c r="B267" s="3" t="s">
        <v>22</v>
      </c>
      <c r="C267" s="3" t="str">
        <f t="shared" si="4"/>
        <v>450013823420</v>
      </c>
      <c r="D267" s="4">
        <v>46310</v>
      </c>
      <c r="E267" s="3" t="s">
        <v>2210</v>
      </c>
      <c r="F267" s="3" t="s">
        <v>2429</v>
      </c>
    </row>
    <row r="268" spans="1:6" x14ac:dyDescent="0.3">
      <c r="A268" s="3" t="s">
        <v>1764</v>
      </c>
      <c r="B268" s="3" t="s">
        <v>138</v>
      </c>
      <c r="C268" s="3" t="str">
        <f t="shared" si="4"/>
        <v>450013857290</v>
      </c>
      <c r="D268" s="4">
        <v>46295</v>
      </c>
      <c r="E268" s="3" t="s">
        <v>2196</v>
      </c>
      <c r="F268" s="3" t="s">
        <v>2439</v>
      </c>
    </row>
    <row r="269" spans="1:6" x14ac:dyDescent="0.3">
      <c r="A269" s="3" t="s">
        <v>1862</v>
      </c>
      <c r="B269" s="3" t="s">
        <v>144</v>
      </c>
      <c r="C269" s="3" t="str">
        <f t="shared" si="4"/>
        <v>450013886450</v>
      </c>
      <c r="D269" s="4">
        <v>46290</v>
      </c>
      <c r="E269" s="3" t="s">
        <v>2233</v>
      </c>
      <c r="F269" s="3" t="s">
        <v>2458</v>
      </c>
    </row>
    <row r="270" spans="1:6" x14ac:dyDescent="0.3">
      <c r="A270" s="3" t="s">
        <v>1909</v>
      </c>
      <c r="B270" s="3" t="s">
        <v>30</v>
      </c>
      <c r="C270" s="3" t="str">
        <f t="shared" si="4"/>
        <v>450013890510</v>
      </c>
      <c r="D270" s="4">
        <v>46297</v>
      </c>
      <c r="E270" s="3" t="s">
        <v>2254</v>
      </c>
      <c r="F270" s="3" t="s">
        <v>2423</v>
      </c>
    </row>
    <row r="271" spans="1:6" x14ac:dyDescent="0.3">
      <c r="A271" s="3" t="s">
        <v>2154</v>
      </c>
      <c r="B271" s="3" t="s">
        <v>23</v>
      </c>
      <c r="C271" s="3" t="str">
        <f t="shared" si="4"/>
        <v>450013985440</v>
      </c>
      <c r="D271" s="4">
        <v>46303</v>
      </c>
      <c r="E271" s="3" t="s">
        <v>2241</v>
      </c>
      <c r="F271" s="3" t="s">
        <v>2453</v>
      </c>
    </row>
    <row r="272" spans="1:6" x14ac:dyDescent="0.3">
      <c r="A272" s="3" t="s">
        <v>2757</v>
      </c>
      <c r="B272" s="3" t="s">
        <v>52</v>
      </c>
      <c r="C272" s="3" t="str">
        <f t="shared" si="4"/>
        <v>450014004480</v>
      </c>
      <c r="D272" s="4">
        <v>46309</v>
      </c>
      <c r="E272" s="3" t="s">
        <v>2199</v>
      </c>
      <c r="F272" s="3" t="s">
        <v>2451</v>
      </c>
    </row>
    <row r="273" spans="1:6" x14ac:dyDescent="0.3">
      <c r="A273" s="3" t="s">
        <v>2757</v>
      </c>
      <c r="B273" s="3" t="s">
        <v>156</v>
      </c>
      <c r="C273" s="3" t="str">
        <f t="shared" si="4"/>
        <v>4500140044110</v>
      </c>
      <c r="D273" s="4">
        <v>46309</v>
      </c>
      <c r="E273" s="3" t="s">
        <v>2199</v>
      </c>
      <c r="F273" s="3" t="s">
        <v>2451</v>
      </c>
    </row>
    <row r="274" spans="1:6" x14ac:dyDescent="0.3">
      <c r="A274" s="3" t="s">
        <v>76</v>
      </c>
      <c r="B274" s="3" t="s">
        <v>30</v>
      </c>
      <c r="C274" s="3" t="str">
        <f t="shared" si="4"/>
        <v>450012811210</v>
      </c>
      <c r="D274" s="4">
        <v>46234</v>
      </c>
      <c r="E274" s="3" t="s">
        <v>2201</v>
      </c>
      <c r="F274" s="3" t="s">
        <v>2437</v>
      </c>
    </row>
    <row r="275" spans="1:6" x14ac:dyDescent="0.3">
      <c r="A275" s="3" t="s">
        <v>394</v>
      </c>
      <c r="B275" s="3" t="s">
        <v>144</v>
      </c>
      <c r="C275" s="3" t="str">
        <f t="shared" si="4"/>
        <v>450013829950</v>
      </c>
      <c r="D275" s="4">
        <v>46309</v>
      </c>
      <c r="E275" s="3" t="s">
        <v>2234</v>
      </c>
      <c r="F275" s="3" t="s">
        <v>2449</v>
      </c>
    </row>
    <row r="276" spans="1:6" x14ac:dyDescent="0.3">
      <c r="A276" s="3" t="s">
        <v>247</v>
      </c>
      <c r="B276" s="3" t="s">
        <v>22</v>
      </c>
      <c r="C276" s="3" t="str">
        <f t="shared" si="4"/>
        <v>450011578320</v>
      </c>
      <c r="D276" s="4">
        <v>46477</v>
      </c>
      <c r="E276" s="3" t="s">
        <v>2195</v>
      </c>
      <c r="F276" s="3" t="s">
        <v>2497</v>
      </c>
    </row>
    <row r="277" spans="1:6" x14ac:dyDescent="0.3">
      <c r="A277" s="3" t="s">
        <v>247</v>
      </c>
      <c r="B277" s="3" t="s">
        <v>35</v>
      </c>
      <c r="C277" s="3" t="str">
        <f t="shared" si="4"/>
        <v>450011578330</v>
      </c>
      <c r="D277" s="4">
        <v>46843</v>
      </c>
      <c r="E277" s="3" t="s">
        <v>2195</v>
      </c>
      <c r="F277" s="3" t="s">
        <v>2497</v>
      </c>
    </row>
    <row r="278" spans="1:6" x14ac:dyDescent="0.3">
      <c r="A278" s="3" t="s">
        <v>751</v>
      </c>
      <c r="B278" s="3" t="s">
        <v>35</v>
      </c>
      <c r="C278" s="3" t="str">
        <f t="shared" si="4"/>
        <v>450011905730</v>
      </c>
      <c r="D278" s="4">
        <v>46307</v>
      </c>
      <c r="E278" s="3" t="s">
        <v>2196</v>
      </c>
      <c r="F278" s="3" t="s">
        <v>2459</v>
      </c>
    </row>
    <row r="279" spans="1:6" x14ac:dyDescent="0.3">
      <c r="A279" s="3" t="s">
        <v>751</v>
      </c>
      <c r="B279" s="3" t="s">
        <v>160</v>
      </c>
      <c r="C279" s="3" t="str">
        <f t="shared" si="4"/>
        <v>4500119057500</v>
      </c>
      <c r="D279" s="4">
        <v>46307</v>
      </c>
      <c r="E279" s="3" t="s">
        <v>2196</v>
      </c>
      <c r="F279" s="3" t="s">
        <v>2459</v>
      </c>
    </row>
    <row r="280" spans="1:6" x14ac:dyDescent="0.3">
      <c r="A280" s="3" t="s">
        <v>971</v>
      </c>
      <c r="B280" s="3" t="s">
        <v>35</v>
      </c>
      <c r="C280" s="3" t="str">
        <f t="shared" si="4"/>
        <v>450012000030</v>
      </c>
      <c r="D280" s="4">
        <v>46326</v>
      </c>
      <c r="E280" s="3" t="s">
        <v>2194</v>
      </c>
      <c r="F280" s="3" t="s">
        <v>2498</v>
      </c>
    </row>
    <row r="281" spans="1:6" x14ac:dyDescent="0.3">
      <c r="A281" s="3" t="s">
        <v>352</v>
      </c>
      <c r="B281" s="3" t="s">
        <v>30</v>
      </c>
      <c r="C281" s="3" t="str">
        <f t="shared" si="4"/>
        <v>450012424510</v>
      </c>
      <c r="D281" s="4">
        <v>46308</v>
      </c>
      <c r="E281" s="3" t="s">
        <v>2196</v>
      </c>
      <c r="F281" s="3" t="s">
        <v>2499</v>
      </c>
    </row>
    <row r="282" spans="1:6" x14ac:dyDescent="0.3">
      <c r="A282" s="3" t="s">
        <v>224</v>
      </c>
      <c r="B282" s="3" t="s">
        <v>30</v>
      </c>
      <c r="C282" s="3" t="str">
        <f t="shared" si="4"/>
        <v>450012550510</v>
      </c>
      <c r="D282" s="4">
        <v>46119</v>
      </c>
      <c r="E282" s="3" t="s">
        <v>2207</v>
      </c>
      <c r="F282" s="3" t="s">
        <v>2491</v>
      </c>
    </row>
    <row r="283" spans="1:6" x14ac:dyDescent="0.3">
      <c r="A283" s="3" t="s">
        <v>230</v>
      </c>
      <c r="B283" s="3" t="s">
        <v>30</v>
      </c>
      <c r="C283" s="3" t="str">
        <f t="shared" si="4"/>
        <v>450012553310</v>
      </c>
      <c r="D283" s="4">
        <v>46112</v>
      </c>
      <c r="E283" s="3" t="s">
        <v>2207</v>
      </c>
      <c r="F283" s="3" t="s">
        <v>2500</v>
      </c>
    </row>
    <row r="284" spans="1:6" x14ac:dyDescent="0.3">
      <c r="A284" s="3" t="s">
        <v>233</v>
      </c>
      <c r="B284" s="3" t="s">
        <v>30</v>
      </c>
      <c r="C284" s="3" t="str">
        <f t="shared" si="4"/>
        <v>450012553410</v>
      </c>
      <c r="D284" s="4">
        <v>46092</v>
      </c>
      <c r="E284" s="3" t="s">
        <v>2207</v>
      </c>
      <c r="F284" s="3" t="s">
        <v>2488</v>
      </c>
    </row>
    <row r="285" spans="1:6" x14ac:dyDescent="0.3">
      <c r="A285" s="3" t="s">
        <v>3141</v>
      </c>
      <c r="B285" s="3" t="s">
        <v>30</v>
      </c>
      <c r="C285" s="3" t="str">
        <f t="shared" si="4"/>
        <v>450012622610</v>
      </c>
      <c r="D285" s="4">
        <v>46477</v>
      </c>
      <c r="E285" s="3" t="s">
        <v>2195</v>
      </c>
      <c r="F285" s="3" t="s">
        <v>3230</v>
      </c>
    </row>
    <row r="286" spans="1:6" x14ac:dyDescent="0.3">
      <c r="A286" s="3" t="s">
        <v>3147</v>
      </c>
      <c r="B286" s="3" t="s">
        <v>30</v>
      </c>
      <c r="C286" s="3" t="str">
        <f t="shared" si="4"/>
        <v>450012622710</v>
      </c>
      <c r="D286" s="4">
        <v>46477</v>
      </c>
      <c r="E286" s="3" t="s">
        <v>2195</v>
      </c>
      <c r="F286" s="3" t="s">
        <v>3230</v>
      </c>
    </row>
    <row r="287" spans="1:6" x14ac:dyDescent="0.3">
      <c r="A287" s="3" t="s">
        <v>258</v>
      </c>
      <c r="B287" s="3" t="s">
        <v>30</v>
      </c>
      <c r="C287" s="3" t="str">
        <f t="shared" si="4"/>
        <v>450012728510</v>
      </c>
      <c r="D287" s="4">
        <v>46155</v>
      </c>
      <c r="E287" s="3" t="s">
        <v>2207</v>
      </c>
      <c r="F287" s="3" t="s">
        <v>2488</v>
      </c>
    </row>
    <row r="288" spans="1:6" x14ac:dyDescent="0.3">
      <c r="A288" s="3" t="s">
        <v>850</v>
      </c>
      <c r="B288" s="3" t="s">
        <v>23</v>
      </c>
      <c r="C288" s="3" t="str">
        <f t="shared" si="4"/>
        <v>450012817040</v>
      </c>
      <c r="D288" s="4">
        <v>46182</v>
      </c>
      <c r="E288" s="3" t="s">
        <v>2207</v>
      </c>
      <c r="F288" s="3" t="s">
        <v>2489</v>
      </c>
    </row>
    <row r="289" spans="1:6" x14ac:dyDescent="0.3">
      <c r="A289" s="3" t="s">
        <v>277</v>
      </c>
      <c r="B289" s="3" t="s">
        <v>30</v>
      </c>
      <c r="C289" s="3" t="str">
        <f t="shared" si="4"/>
        <v>450012866310</v>
      </c>
      <c r="D289" s="4">
        <v>46188</v>
      </c>
      <c r="E289" s="3" t="s">
        <v>2207</v>
      </c>
      <c r="F289" s="3" t="s">
        <v>2457</v>
      </c>
    </row>
    <row r="290" spans="1:6" x14ac:dyDescent="0.3">
      <c r="A290" s="3" t="s">
        <v>802</v>
      </c>
      <c r="B290" s="3" t="s">
        <v>35</v>
      </c>
      <c r="C290" s="3" t="str">
        <f t="shared" si="4"/>
        <v>450012869330</v>
      </c>
      <c r="D290" s="4">
        <v>46295</v>
      </c>
      <c r="E290" s="3" t="s">
        <v>2206</v>
      </c>
      <c r="F290" s="3" t="s">
        <v>2459</v>
      </c>
    </row>
    <row r="291" spans="1:6" x14ac:dyDescent="0.3">
      <c r="A291" s="3" t="s">
        <v>1823</v>
      </c>
      <c r="B291" s="3" t="s">
        <v>68</v>
      </c>
      <c r="C291" s="3" t="str">
        <f t="shared" si="4"/>
        <v>4500128894150</v>
      </c>
      <c r="D291" s="4">
        <v>46262</v>
      </c>
      <c r="E291" s="3" t="s">
        <v>2212</v>
      </c>
      <c r="F291" s="3" t="s">
        <v>2434</v>
      </c>
    </row>
    <row r="292" spans="1:6" x14ac:dyDescent="0.3">
      <c r="A292" s="3" t="s">
        <v>290</v>
      </c>
      <c r="B292" s="3" t="s">
        <v>30</v>
      </c>
      <c r="C292" s="3" t="str">
        <f t="shared" si="4"/>
        <v>450012890910</v>
      </c>
      <c r="D292" s="4">
        <v>46158</v>
      </c>
      <c r="E292" s="3" t="s">
        <v>2207</v>
      </c>
      <c r="F292" s="3" t="s">
        <v>2491</v>
      </c>
    </row>
    <row r="293" spans="1:6" x14ac:dyDescent="0.3">
      <c r="A293" s="3" t="s">
        <v>292</v>
      </c>
      <c r="B293" s="3" t="s">
        <v>35</v>
      </c>
      <c r="C293" s="3" t="str">
        <f t="shared" si="4"/>
        <v>450012925930</v>
      </c>
      <c r="D293" s="4">
        <v>46191</v>
      </c>
      <c r="E293" s="3" t="s">
        <v>2207</v>
      </c>
      <c r="F293" s="3" t="s">
        <v>2501</v>
      </c>
    </row>
    <row r="294" spans="1:6" x14ac:dyDescent="0.3">
      <c r="A294" s="3" t="s">
        <v>1121</v>
      </c>
      <c r="B294" s="3" t="s">
        <v>156</v>
      </c>
      <c r="C294" s="3" t="str">
        <f t="shared" si="4"/>
        <v>4500129925110</v>
      </c>
      <c r="D294" s="4">
        <v>46305</v>
      </c>
      <c r="E294" s="3" t="s">
        <v>2196</v>
      </c>
      <c r="F294" s="3" t="s">
        <v>2502</v>
      </c>
    </row>
    <row r="295" spans="1:6" x14ac:dyDescent="0.3">
      <c r="A295" s="3" t="s">
        <v>288</v>
      </c>
      <c r="B295" s="3" t="s">
        <v>22</v>
      </c>
      <c r="C295" s="3" t="str">
        <f t="shared" si="4"/>
        <v>450012993620</v>
      </c>
      <c r="D295" s="4">
        <v>46204</v>
      </c>
      <c r="E295" s="3" t="s">
        <v>2207</v>
      </c>
      <c r="F295" s="3" t="s">
        <v>2491</v>
      </c>
    </row>
    <row r="296" spans="1:6" x14ac:dyDescent="0.3">
      <c r="A296" s="3" t="s">
        <v>288</v>
      </c>
      <c r="B296" s="3" t="s">
        <v>35</v>
      </c>
      <c r="C296" s="3" t="str">
        <f t="shared" si="4"/>
        <v>450012993630</v>
      </c>
      <c r="D296" s="4">
        <v>46204</v>
      </c>
      <c r="E296" s="3" t="s">
        <v>2207</v>
      </c>
      <c r="F296" s="3" t="s">
        <v>2491</v>
      </c>
    </row>
    <row r="297" spans="1:6" x14ac:dyDescent="0.3">
      <c r="A297" s="3" t="s">
        <v>288</v>
      </c>
      <c r="B297" s="3" t="s">
        <v>23</v>
      </c>
      <c r="C297" s="3" t="str">
        <f t="shared" si="4"/>
        <v>450012993640</v>
      </c>
      <c r="D297" s="4">
        <v>46204</v>
      </c>
      <c r="E297" s="3" t="s">
        <v>2207</v>
      </c>
      <c r="F297" s="3" t="s">
        <v>2491</v>
      </c>
    </row>
    <row r="298" spans="1:6" x14ac:dyDescent="0.3">
      <c r="A298" s="3" t="s">
        <v>288</v>
      </c>
      <c r="B298" s="3" t="s">
        <v>52</v>
      </c>
      <c r="C298" s="3" t="str">
        <f t="shared" si="4"/>
        <v>450012993680</v>
      </c>
      <c r="D298" s="4">
        <v>46204</v>
      </c>
      <c r="E298" s="3" t="s">
        <v>2207</v>
      </c>
      <c r="F298" s="3" t="s">
        <v>2491</v>
      </c>
    </row>
    <row r="299" spans="1:6" x14ac:dyDescent="0.3">
      <c r="A299" s="3" t="s">
        <v>1319</v>
      </c>
      <c r="B299" s="3" t="s">
        <v>35</v>
      </c>
      <c r="C299" s="3" t="str">
        <f t="shared" si="4"/>
        <v>450013003230</v>
      </c>
      <c r="D299" s="4">
        <v>46386</v>
      </c>
      <c r="E299" s="3" t="s">
        <v>2195</v>
      </c>
      <c r="F299" s="3" t="s">
        <v>2473</v>
      </c>
    </row>
    <row r="300" spans="1:6" x14ac:dyDescent="0.3">
      <c r="A300" s="3" t="s">
        <v>400</v>
      </c>
      <c r="B300" s="3" t="s">
        <v>134</v>
      </c>
      <c r="C300" s="3" t="str">
        <f t="shared" si="4"/>
        <v>450013021270</v>
      </c>
      <c r="D300" s="4">
        <v>46304</v>
      </c>
      <c r="E300" s="3" t="s">
        <v>2242</v>
      </c>
      <c r="F300" s="3" t="s">
        <v>2461</v>
      </c>
    </row>
    <row r="301" spans="1:6" x14ac:dyDescent="0.3">
      <c r="A301" s="3" t="s">
        <v>950</v>
      </c>
      <c r="B301" s="3" t="s">
        <v>22</v>
      </c>
      <c r="C301" s="3" t="str">
        <f t="shared" si="4"/>
        <v>450013035420</v>
      </c>
      <c r="D301" s="4">
        <v>46205</v>
      </c>
      <c r="E301" s="3" t="s">
        <v>2207</v>
      </c>
      <c r="F301" s="3" t="s">
        <v>2503</v>
      </c>
    </row>
    <row r="302" spans="1:6" x14ac:dyDescent="0.3">
      <c r="A302" s="3" t="s">
        <v>950</v>
      </c>
      <c r="B302" s="3" t="s">
        <v>35</v>
      </c>
      <c r="C302" s="3" t="str">
        <f t="shared" si="4"/>
        <v>450013035430</v>
      </c>
      <c r="D302" s="4">
        <v>46205</v>
      </c>
      <c r="E302" s="3" t="s">
        <v>2207</v>
      </c>
      <c r="F302" s="3" t="s">
        <v>2503</v>
      </c>
    </row>
    <row r="303" spans="1:6" x14ac:dyDescent="0.3">
      <c r="A303" s="3" t="s">
        <v>86</v>
      </c>
      <c r="B303" s="3" t="s">
        <v>30</v>
      </c>
      <c r="C303" s="3" t="str">
        <f t="shared" si="4"/>
        <v>450013079110</v>
      </c>
      <c r="D303" s="4">
        <v>46325</v>
      </c>
      <c r="E303" s="3" t="s">
        <v>2210</v>
      </c>
      <c r="F303" s="3" t="s">
        <v>2504</v>
      </c>
    </row>
    <row r="304" spans="1:6" x14ac:dyDescent="0.3">
      <c r="A304" s="3" t="s">
        <v>86</v>
      </c>
      <c r="B304" s="3" t="s">
        <v>35</v>
      </c>
      <c r="C304" s="3" t="str">
        <f t="shared" si="4"/>
        <v>450013079130</v>
      </c>
      <c r="D304" s="4">
        <v>46325</v>
      </c>
      <c r="E304" s="3" t="s">
        <v>2210</v>
      </c>
      <c r="F304" s="3" t="s">
        <v>2504</v>
      </c>
    </row>
    <row r="305" spans="1:6" x14ac:dyDescent="0.3">
      <c r="A305" s="3" t="s">
        <v>86</v>
      </c>
      <c r="B305" s="3" t="s">
        <v>23</v>
      </c>
      <c r="C305" s="3" t="str">
        <f t="shared" si="4"/>
        <v>450013079140</v>
      </c>
      <c r="D305" s="4">
        <v>46325</v>
      </c>
      <c r="E305" s="3" t="s">
        <v>2210</v>
      </c>
      <c r="F305" s="3" t="s">
        <v>2504</v>
      </c>
    </row>
    <row r="306" spans="1:6" x14ac:dyDescent="0.3">
      <c r="A306" s="3" t="s">
        <v>300</v>
      </c>
      <c r="B306" s="3" t="s">
        <v>30</v>
      </c>
      <c r="C306" s="3" t="str">
        <f t="shared" si="4"/>
        <v>450013090810</v>
      </c>
      <c r="D306" s="4">
        <v>46299</v>
      </c>
      <c r="E306" s="3" t="s">
        <v>2196</v>
      </c>
      <c r="F306" s="3" t="s">
        <v>2448</v>
      </c>
    </row>
    <row r="307" spans="1:6" x14ac:dyDescent="0.3">
      <c r="A307" s="3" t="s">
        <v>300</v>
      </c>
      <c r="B307" s="3" t="s">
        <v>53</v>
      </c>
      <c r="C307" s="3" t="str">
        <f t="shared" si="4"/>
        <v>4500130908170</v>
      </c>
      <c r="D307" s="4">
        <v>46299</v>
      </c>
      <c r="E307" s="3" t="s">
        <v>2196</v>
      </c>
      <c r="F307" s="3" t="s">
        <v>2448</v>
      </c>
    </row>
    <row r="308" spans="1:6" x14ac:dyDescent="0.3">
      <c r="A308" s="3" t="s">
        <v>300</v>
      </c>
      <c r="B308" s="3" t="s">
        <v>130</v>
      </c>
      <c r="C308" s="3" t="str">
        <f t="shared" si="4"/>
        <v>4500130908180</v>
      </c>
      <c r="D308" s="4">
        <v>46299</v>
      </c>
      <c r="E308" s="3" t="s">
        <v>2196</v>
      </c>
      <c r="F308" s="3" t="s">
        <v>2448</v>
      </c>
    </row>
    <row r="309" spans="1:6" x14ac:dyDescent="0.3">
      <c r="A309" s="3" t="s">
        <v>300</v>
      </c>
      <c r="B309" s="3" t="s">
        <v>127</v>
      </c>
      <c r="C309" s="3" t="str">
        <f t="shared" si="4"/>
        <v>4500130908190</v>
      </c>
      <c r="D309" s="4">
        <v>46299</v>
      </c>
      <c r="E309" s="3" t="s">
        <v>2196</v>
      </c>
      <c r="F309" s="3" t="s">
        <v>2448</v>
      </c>
    </row>
    <row r="310" spans="1:6" x14ac:dyDescent="0.3">
      <c r="A310" s="3" t="s">
        <v>300</v>
      </c>
      <c r="B310" s="3" t="s">
        <v>161</v>
      </c>
      <c r="C310" s="3" t="str">
        <f t="shared" si="4"/>
        <v>4500130908200</v>
      </c>
      <c r="D310" s="4">
        <v>46299</v>
      </c>
      <c r="E310" s="3" t="s">
        <v>2196</v>
      </c>
      <c r="F310" s="3" t="s">
        <v>2448</v>
      </c>
    </row>
    <row r="311" spans="1:6" x14ac:dyDescent="0.3">
      <c r="A311" s="3" t="s">
        <v>300</v>
      </c>
      <c r="B311" s="3" t="s">
        <v>136</v>
      </c>
      <c r="C311" s="3" t="str">
        <f t="shared" si="4"/>
        <v>4500130908210</v>
      </c>
      <c r="D311" s="4">
        <v>46299</v>
      </c>
      <c r="E311" s="3" t="s">
        <v>2196</v>
      </c>
      <c r="F311" s="3" t="s">
        <v>2448</v>
      </c>
    </row>
    <row r="312" spans="1:6" x14ac:dyDescent="0.3">
      <c r="A312" s="3" t="s">
        <v>300</v>
      </c>
      <c r="B312" s="3" t="s">
        <v>140</v>
      </c>
      <c r="C312" s="3" t="str">
        <f t="shared" si="4"/>
        <v>4500130908220</v>
      </c>
      <c r="D312" s="4">
        <v>46299</v>
      </c>
      <c r="E312" s="3" t="s">
        <v>2196</v>
      </c>
      <c r="F312" s="3" t="s">
        <v>2448</v>
      </c>
    </row>
    <row r="313" spans="1:6" x14ac:dyDescent="0.3">
      <c r="A313" s="3" t="s">
        <v>300</v>
      </c>
      <c r="B313" s="3" t="s">
        <v>137</v>
      </c>
      <c r="C313" s="3" t="str">
        <f t="shared" si="4"/>
        <v>4500130908230</v>
      </c>
      <c r="D313" s="4">
        <v>46299</v>
      </c>
      <c r="E313" s="3" t="s">
        <v>2196</v>
      </c>
      <c r="F313" s="3" t="s">
        <v>2448</v>
      </c>
    </row>
    <row r="314" spans="1:6" x14ac:dyDescent="0.3">
      <c r="A314" s="3" t="s">
        <v>300</v>
      </c>
      <c r="B314" s="3" t="s">
        <v>143</v>
      </c>
      <c r="C314" s="3" t="str">
        <f t="shared" si="4"/>
        <v>4500130908240</v>
      </c>
      <c r="D314" s="4">
        <v>46299</v>
      </c>
      <c r="E314" s="3" t="s">
        <v>2196</v>
      </c>
      <c r="F314" s="3" t="s">
        <v>2448</v>
      </c>
    </row>
    <row r="315" spans="1:6" x14ac:dyDescent="0.3">
      <c r="A315" s="3" t="s">
        <v>300</v>
      </c>
      <c r="B315" s="3" t="s">
        <v>128</v>
      </c>
      <c r="C315" s="3" t="str">
        <f t="shared" si="4"/>
        <v>4500130908250</v>
      </c>
      <c r="D315" s="4">
        <v>46299</v>
      </c>
      <c r="E315" s="3" t="s">
        <v>2196</v>
      </c>
      <c r="F315" s="3" t="s">
        <v>2448</v>
      </c>
    </row>
    <row r="316" spans="1:6" x14ac:dyDescent="0.3">
      <c r="A316" s="3" t="s">
        <v>300</v>
      </c>
      <c r="B316" s="3" t="s">
        <v>126</v>
      </c>
      <c r="C316" s="3" t="str">
        <f t="shared" si="4"/>
        <v>4500130908260</v>
      </c>
      <c r="D316" s="4">
        <v>46299</v>
      </c>
      <c r="E316" s="3" t="s">
        <v>2196</v>
      </c>
      <c r="F316" s="3" t="s">
        <v>2448</v>
      </c>
    </row>
    <row r="317" spans="1:6" x14ac:dyDescent="0.3">
      <c r="A317" s="3" t="s">
        <v>300</v>
      </c>
      <c r="B317" s="3" t="s">
        <v>146</v>
      </c>
      <c r="C317" s="3" t="str">
        <f t="shared" si="4"/>
        <v>4500130908270</v>
      </c>
      <c r="D317" s="4">
        <v>46299</v>
      </c>
      <c r="E317" s="3" t="s">
        <v>2196</v>
      </c>
      <c r="F317" s="3" t="s">
        <v>2448</v>
      </c>
    </row>
    <row r="318" spans="1:6" x14ac:dyDescent="0.3">
      <c r="A318" s="3" t="s">
        <v>300</v>
      </c>
      <c r="B318" s="3" t="s">
        <v>133</v>
      </c>
      <c r="C318" s="3" t="str">
        <f t="shared" si="4"/>
        <v>4500130908280</v>
      </c>
      <c r="D318" s="4">
        <v>46299</v>
      </c>
      <c r="E318" s="3" t="s">
        <v>2196</v>
      </c>
      <c r="F318" s="3" t="s">
        <v>2448</v>
      </c>
    </row>
    <row r="319" spans="1:6" x14ac:dyDescent="0.3">
      <c r="A319" s="3" t="s">
        <v>300</v>
      </c>
      <c r="B319" s="3" t="s">
        <v>173</v>
      </c>
      <c r="C319" s="3" t="str">
        <f t="shared" si="4"/>
        <v>4500130908290</v>
      </c>
      <c r="D319" s="4">
        <v>46299</v>
      </c>
      <c r="E319" s="3" t="s">
        <v>2196</v>
      </c>
      <c r="F319" s="3" t="s">
        <v>2448</v>
      </c>
    </row>
    <row r="320" spans="1:6" x14ac:dyDescent="0.3">
      <c r="A320" s="3" t="s">
        <v>300</v>
      </c>
      <c r="B320" s="3" t="s">
        <v>145</v>
      </c>
      <c r="C320" s="3" t="str">
        <f t="shared" si="4"/>
        <v>4500130908300</v>
      </c>
      <c r="D320" s="4">
        <v>46299</v>
      </c>
      <c r="E320" s="3" t="s">
        <v>2196</v>
      </c>
      <c r="F320" s="3" t="s">
        <v>2448</v>
      </c>
    </row>
    <row r="321" spans="1:6" x14ac:dyDescent="0.3">
      <c r="A321" s="3" t="s">
        <v>300</v>
      </c>
      <c r="B321" s="3" t="s">
        <v>147</v>
      </c>
      <c r="C321" s="3" t="str">
        <f t="shared" si="4"/>
        <v>4500130908310</v>
      </c>
      <c r="D321" s="4">
        <v>46299</v>
      </c>
      <c r="E321" s="3" t="s">
        <v>2196</v>
      </c>
      <c r="F321" s="3" t="s">
        <v>2448</v>
      </c>
    </row>
    <row r="322" spans="1:6" x14ac:dyDescent="0.3">
      <c r="A322" s="3" t="s">
        <v>300</v>
      </c>
      <c r="B322" s="3" t="s">
        <v>150</v>
      </c>
      <c r="C322" s="3" t="str">
        <f t="shared" si="4"/>
        <v>4500130908320</v>
      </c>
      <c r="D322" s="4">
        <v>46299</v>
      </c>
      <c r="E322" s="3" t="s">
        <v>2196</v>
      </c>
      <c r="F322" s="3" t="s">
        <v>2448</v>
      </c>
    </row>
    <row r="323" spans="1:6" x14ac:dyDescent="0.3">
      <c r="A323" s="3" t="s">
        <v>300</v>
      </c>
      <c r="B323" s="3" t="s">
        <v>154</v>
      </c>
      <c r="C323" s="3" t="str">
        <f t="shared" ref="C323:C386" si="5">_xlfn.CONCAT(A323:B323)</f>
        <v>4500130908330</v>
      </c>
      <c r="D323" s="4">
        <v>46299</v>
      </c>
      <c r="E323" s="3" t="s">
        <v>2196</v>
      </c>
      <c r="F323" s="3" t="s">
        <v>2448</v>
      </c>
    </row>
    <row r="324" spans="1:6" x14ac:dyDescent="0.3">
      <c r="A324" s="3" t="s">
        <v>124</v>
      </c>
      <c r="B324" s="3" t="s">
        <v>30</v>
      </c>
      <c r="C324" s="3" t="str">
        <f t="shared" si="5"/>
        <v>450013115010</v>
      </c>
      <c r="D324" s="4">
        <v>46310</v>
      </c>
      <c r="E324" s="3" t="s">
        <v>2210</v>
      </c>
      <c r="F324" s="3" t="s">
        <v>2505</v>
      </c>
    </row>
    <row r="325" spans="1:6" x14ac:dyDescent="0.3">
      <c r="A325" s="3" t="s">
        <v>921</v>
      </c>
      <c r="B325" s="3" t="s">
        <v>35</v>
      </c>
      <c r="C325" s="3" t="str">
        <f t="shared" si="5"/>
        <v>450013260430</v>
      </c>
      <c r="D325" s="4">
        <v>46301</v>
      </c>
      <c r="E325" s="3" t="s">
        <v>2196</v>
      </c>
      <c r="F325" s="3" t="s">
        <v>2439</v>
      </c>
    </row>
    <row r="326" spans="1:6" x14ac:dyDescent="0.3">
      <c r="A326" s="3" t="s">
        <v>92</v>
      </c>
      <c r="B326" s="3" t="s">
        <v>22</v>
      </c>
      <c r="C326" s="3" t="str">
        <f t="shared" si="5"/>
        <v>450013262620</v>
      </c>
      <c r="D326" s="4">
        <v>46317</v>
      </c>
      <c r="E326" s="3" t="s">
        <v>2234</v>
      </c>
      <c r="F326" s="3" t="s">
        <v>2444</v>
      </c>
    </row>
    <row r="327" spans="1:6" x14ac:dyDescent="0.3">
      <c r="A327" s="3" t="s">
        <v>98</v>
      </c>
      <c r="B327" s="3" t="s">
        <v>30</v>
      </c>
      <c r="C327" s="3" t="str">
        <f t="shared" si="5"/>
        <v>450013264310</v>
      </c>
      <c r="D327" s="4">
        <v>46301</v>
      </c>
      <c r="E327" s="3" t="s">
        <v>2239</v>
      </c>
      <c r="F327" s="3" t="s">
        <v>2506</v>
      </c>
    </row>
    <row r="328" spans="1:6" x14ac:dyDescent="0.3">
      <c r="A328" s="3" t="s">
        <v>902</v>
      </c>
      <c r="B328" s="3" t="s">
        <v>144</v>
      </c>
      <c r="C328" s="3" t="str">
        <f t="shared" si="5"/>
        <v>450013269950</v>
      </c>
      <c r="D328" s="4">
        <v>46301</v>
      </c>
      <c r="E328" s="3" t="s">
        <v>2196</v>
      </c>
      <c r="F328" s="3" t="s">
        <v>2507</v>
      </c>
    </row>
    <row r="329" spans="1:6" x14ac:dyDescent="0.3">
      <c r="A329" s="3" t="s">
        <v>1129</v>
      </c>
      <c r="B329" s="3" t="s">
        <v>30</v>
      </c>
      <c r="C329" s="3" t="str">
        <f t="shared" si="5"/>
        <v>450013275510</v>
      </c>
      <c r="D329" s="4">
        <v>46301</v>
      </c>
      <c r="E329" s="3" t="s">
        <v>2196</v>
      </c>
      <c r="F329" s="3" t="s">
        <v>2484</v>
      </c>
    </row>
    <row r="330" spans="1:6" x14ac:dyDescent="0.3">
      <c r="A330" s="3" t="s">
        <v>392</v>
      </c>
      <c r="B330" s="3" t="s">
        <v>30</v>
      </c>
      <c r="C330" s="3" t="str">
        <f t="shared" si="5"/>
        <v>450013339610</v>
      </c>
      <c r="D330" s="4">
        <v>46230</v>
      </c>
      <c r="E330" s="3" t="s">
        <v>2207</v>
      </c>
      <c r="F330" s="3" t="s">
        <v>2508</v>
      </c>
    </row>
    <row r="331" spans="1:6" x14ac:dyDescent="0.3">
      <c r="A331" s="3" t="s">
        <v>354</v>
      </c>
      <c r="B331" s="3" t="s">
        <v>35</v>
      </c>
      <c r="C331" s="3" t="str">
        <f t="shared" si="5"/>
        <v>450013397230</v>
      </c>
      <c r="D331" s="4">
        <v>46216</v>
      </c>
      <c r="E331" s="3" t="s">
        <v>2207</v>
      </c>
      <c r="F331" s="3" t="s">
        <v>2457</v>
      </c>
    </row>
    <row r="332" spans="1:6" x14ac:dyDescent="0.3">
      <c r="A332" s="3" t="s">
        <v>1216</v>
      </c>
      <c r="B332" s="3" t="s">
        <v>173</v>
      </c>
      <c r="C332" s="3" t="str">
        <f t="shared" si="5"/>
        <v>4500134641290</v>
      </c>
      <c r="D332" s="4">
        <v>46301</v>
      </c>
      <c r="E332" s="3" t="s">
        <v>2196</v>
      </c>
      <c r="F332" s="3" t="s">
        <v>2454</v>
      </c>
    </row>
    <row r="333" spans="1:6" x14ac:dyDescent="0.3">
      <c r="A333" s="3" t="s">
        <v>1216</v>
      </c>
      <c r="B333" s="3" t="s">
        <v>150</v>
      </c>
      <c r="C333" s="3" t="str">
        <f t="shared" si="5"/>
        <v>4500134641320</v>
      </c>
      <c r="D333" s="4">
        <v>46301</v>
      </c>
      <c r="E333" s="3" t="s">
        <v>2196</v>
      </c>
      <c r="F333" s="3" t="s">
        <v>2454</v>
      </c>
    </row>
    <row r="334" spans="1:6" x14ac:dyDescent="0.3">
      <c r="A334" s="3" t="s">
        <v>1216</v>
      </c>
      <c r="B334" s="3" t="s">
        <v>135</v>
      </c>
      <c r="C334" s="3" t="str">
        <f t="shared" si="5"/>
        <v>4500134641340</v>
      </c>
      <c r="D334" s="4">
        <v>46290</v>
      </c>
      <c r="E334" s="3" t="s">
        <v>2196</v>
      </c>
      <c r="F334" s="3" t="s">
        <v>2454</v>
      </c>
    </row>
    <row r="335" spans="1:6" x14ac:dyDescent="0.3">
      <c r="A335" s="3" t="s">
        <v>1216</v>
      </c>
      <c r="B335" s="3" t="s">
        <v>164</v>
      </c>
      <c r="C335" s="3" t="str">
        <f t="shared" si="5"/>
        <v>4500134641440</v>
      </c>
      <c r="D335" s="4">
        <v>46322</v>
      </c>
      <c r="E335" s="3" t="s">
        <v>2196</v>
      </c>
      <c r="F335" s="3" t="s">
        <v>2454</v>
      </c>
    </row>
    <row r="336" spans="1:6" x14ac:dyDescent="0.3">
      <c r="A336" s="3" t="s">
        <v>385</v>
      </c>
      <c r="B336" s="3" t="s">
        <v>30</v>
      </c>
      <c r="C336" s="3" t="str">
        <f t="shared" si="5"/>
        <v>450013474110</v>
      </c>
      <c r="D336" s="4">
        <v>46310</v>
      </c>
      <c r="E336" s="3" t="s">
        <v>2211</v>
      </c>
      <c r="F336" s="3" t="s">
        <v>2475</v>
      </c>
    </row>
    <row r="337" spans="1:6" x14ac:dyDescent="0.3">
      <c r="A337" s="3" t="s">
        <v>95</v>
      </c>
      <c r="B337" s="3" t="s">
        <v>22</v>
      </c>
      <c r="C337" s="3" t="str">
        <f t="shared" si="5"/>
        <v>450013484020</v>
      </c>
      <c r="D337" s="4">
        <v>46305</v>
      </c>
      <c r="E337" s="3" t="s">
        <v>2210</v>
      </c>
      <c r="F337" s="3" t="s">
        <v>2449</v>
      </c>
    </row>
    <row r="338" spans="1:6" x14ac:dyDescent="0.3">
      <c r="A338" s="3" t="s">
        <v>2060</v>
      </c>
      <c r="B338" s="3" t="s">
        <v>30</v>
      </c>
      <c r="C338" s="3" t="str">
        <f t="shared" si="5"/>
        <v>450013485810</v>
      </c>
      <c r="D338" s="4">
        <v>46350</v>
      </c>
      <c r="E338" s="3" t="s">
        <v>2210</v>
      </c>
      <c r="F338" s="3" t="s">
        <v>2482</v>
      </c>
    </row>
    <row r="339" spans="1:6" x14ac:dyDescent="0.3">
      <c r="A339" s="3" t="s">
        <v>1498</v>
      </c>
      <c r="B339" s="3" t="s">
        <v>35</v>
      </c>
      <c r="C339" s="3" t="str">
        <f t="shared" si="5"/>
        <v>450013540730</v>
      </c>
      <c r="D339" s="4">
        <v>46300</v>
      </c>
      <c r="E339" s="3" t="s">
        <v>2196</v>
      </c>
      <c r="F339" s="3" t="s">
        <v>2509</v>
      </c>
    </row>
    <row r="340" spans="1:6" x14ac:dyDescent="0.3">
      <c r="A340" s="3" t="s">
        <v>2346</v>
      </c>
      <c r="B340" s="3" t="s">
        <v>30</v>
      </c>
      <c r="C340" s="3" t="str">
        <f t="shared" si="5"/>
        <v>450013567710</v>
      </c>
      <c r="D340" s="4">
        <v>46326</v>
      </c>
      <c r="E340" s="3" t="s">
        <v>2194</v>
      </c>
      <c r="F340" s="3" t="s">
        <v>2510</v>
      </c>
    </row>
    <row r="341" spans="1:6" x14ac:dyDescent="0.3">
      <c r="A341" s="3" t="s">
        <v>2326</v>
      </c>
      <c r="B341" s="3" t="s">
        <v>30</v>
      </c>
      <c r="C341" s="3" t="str">
        <f t="shared" si="5"/>
        <v>450013612410</v>
      </c>
      <c r="D341" s="4">
        <v>46326</v>
      </c>
      <c r="E341" s="3" t="s">
        <v>2194</v>
      </c>
      <c r="F341" s="3" t="s">
        <v>2469</v>
      </c>
    </row>
    <row r="342" spans="1:6" x14ac:dyDescent="0.3">
      <c r="A342" s="3" t="s">
        <v>2315</v>
      </c>
      <c r="B342" s="3" t="s">
        <v>30</v>
      </c>
      <c r="C342" s="3" t="str">
        <f t="shared" si="5"/>
        <v>450013662710</v>
      </c>
      <c r="D342" s="4">
        <v>46326</v>
      </c>
      <c r="E342" s="3" t="s">
        <v>2207</v>
      </c>
      <c r="F342" s="3" t="s">
        <v>2511</v>
      </c>
    </row>
    <row r="343" spans="1:6" x14ac:dyDescent="0.3">
      <c r="A343" s="3" t="s">
        <v>2315</v>
      </c>
      <c r="B343" s="3" t="s">
        <v>22</v>
      </c>
      <c r="C343" s="3" t="str">
        <f t="shared" si="5"/>
        <v>450013662720</v>
      </c>
      <c r="D343" s="4">
        <v>46326</v>
      </c>
      <c r="E343" s="3" t="s">
        <v>2207</v>
      </c>
      <c r="F343" s="3" t="s">
        <v>2511</v>
      </c>
    </row>
    <row r="344" spans="1:6" x14ac:dyDescent="0.3">
      <c r="A344" s="3" t="s">
        <v>2315</v>
      </c>
      <c r="B344" s="3" t="s">
        <v>35</v>
      </c>
      <c r="C344" s="3" t="str">
        <f t="shared" si="5"/>
        <v>450013662730</v>
      </c>
      <c r="D344" s="4">
        <v>46326</v>
      </c>
      <c r="E344" s="3" t="s">
        <v>2207</v>
      </c>
      <c r="F344" s="3" t="s">
        <v>2511</v>
      </c>
    </row>
    <row r="345" spans="1:6" x14ac:dyDescent="0.3">
      <c r="A345" s="3" t="s">
        <v>2315</v>
      </c>
      <c r="B345" s="3" t="s">
        <v>23</v>
      </c>
      <c r="C345" s="3" t="str">
        <f t="shared" si="5"/>
        <v>450013662740</v>
      </c>
      <c r="D345" s="4">
        <v>46326</v>
      </c>
      <c r="E345" s="3" t="s">
        <v>2207</v>
      </c>
      <c r="F345" s="3" t="s">
        <v>2511</v>
      </c>
    </row>
    <row r="346" spans="1:6" x14ac:dyDescent="0.3">
      <c r="A346" s="3" t="s">
        <v>2315</v>
      </c>
      <c r="B346" s="3" t="s">
        <v>144</v>
      </c>
      <c r="C346" s="3" t="str">
        <f t="shared" si="5"/>
        <v>450013662750</v>
      </c>
      <c r="D346" s="4">
        <v>46326</v>
      </c>
      <c r="E346" s="3" t="s">
        <v>2207</v>
      </c>
      <c r="F346" s="3" t="s">
        <v>2511</v>
      </c>
    </row>
    <row r="347" spans="1:6" x14ac:dyDescent="0.3">
      <c r="A347" s="3" t="s">
        <v>2315</v>
      </c>
      <c r="B347" s="3" t="s">
        <v>141</v>
      </c>
      <c r="C347" s="3" t="str">
        <f t="shared" si="5"/>
        <v>450013662760</v>
      </c>
      <c r="D347" s="4">
        <v>46326</v>
      </c>
      <c r="E347" s="3" t="s">
        <v>2207</v>
      </c>
      <c r="F347" s="3" t="s">
        <v>2511</v>
      </c>
    </row>
    <row r="348" spans="1:6" x14ac:dyDescent="0.3">
      <c r="A348" s="3" t="s">
        <v>1644</v>
      </c>
      <c r="B348" s="3" t="s">
        <v>22</v>
      </c>
      <c r="C348" s="3" t="str">
        <f t="shared" si="5"/>
        <v>450013674720</v>
      </c>
      <c r="D348" s="4">
        <v>46310</v>
      </c>
      <c r="E348" s="3" t="s">
        <v>2213</v>
      </c>
      <c r="F348" s="3" t="s">
        <v>2443</v>
      </c>
    </row>
    <row r="349" spans="1:6" x14ac:dyDescent="0.3">
      <c r="A349" s="3" t="s">
        <v>1644</v>
      </c>
      <c r="B349" s="3" t="s">
        <v>45</v>
      </c>
      <c r="C349" s="3" t="str">
        <f t="shared" si="5"/>
        <v>4500136747100</v>
      </c>
      <c r="D349" s="4">
        <v>46310</v>
      </c>
      <c r="E349" s="3" t="s">
        <v>2213</v>
      </c>
      <c r="F349" s="3" t="s">
        <v>2443</v>
      </c>
    </row>
    <row r="350" spans="1:6" x14ac:dyDescent="0.3">
      <c r="A350" s="3" t="s">
        <v>1644</v>
      </c>
      <c r="B350" s="3" t="s">
        <v>156</v>
      </c>
      <c r="C350" s="3" t="str">
        <f t="shared" si="5"/>
        <v>4500136747110</v>
      </c>
      <c r="D350" s="4">
        <v>46310</v>
      </c>
      <c r="E350" s="3" t="s">
        <v>2213</v>
      </c>
      <c r="F350" s="3" t="s">
        <v>2443</v>
      </c>
    </row>
    <row r="351" spans="1:6" x14ac:dyDescent="0.3">
      <c r="A351" s="3" t="s">
        <v>1644</v>
      </c>
      <c r="B351" s="3" t="s">
        <v>53</v>
      </c>
      <c r="C351" s="3" t="str">
        <f t="shared" si="5"/>
        <v>4500136747170</v>
      </c>
      <c r="D351" s="4">
        <v>46310</v>
      </c>
      <c r="E351" s="3" t="s">
        <v>2213</v>
      </c>
      <c r="F351" s="3" t="s">
        <v>2443</v>
      </c>
    </row>
    <row r="352" spans="1:6" x14ac:dyDescent="0.3">
      <c r="A352" s="3" t="s">
        <v>1644</v>
      </c>
      <c r="B352" s="3" t="s">
        <v>130</v>
      </c>
      <c r="C352" s="3" t="str">
        <f t="shared" si="5"/>
        <v>4500136747180</v>
      </c>
      <c r="D352" s="4">
        <v>46310</v>
      </c>
      <c r="E352" s="3" t="s">
        <v>2213</v>
      </c>
      <c r="F352" s="3" t="s">
        <v>2443</v>
      </c>
    </row>
    <row r="353" spans="1:6" x14ac:dyDescent="0.3">
      <c r="A353" s="3" t="s">
        <v>3005</v>
      </c>
      <c r="B353" s="3" t="s">
        <v>30</v>
      </c>
      <c r="C353" s="3" t="str">
        <f t="shared" si="5"/>
        <v>450013679810</v>
      </c>
      <c r="D353" s="4">
        <v>46326</v>
      </c>
      <c r="E353" s="3" t="s">
        <v>2210</v>
      </c>
      <c r="F353" s="3" t="s">
        <v>3242</v>
      </c>
    </row>
    <row r="354" spans="1:6" x14ac:dyDescent="0.3">
      <c r="A354" s="3" t="s">
        <v>2318</v>
      </c>
      <c r="B354" s="3" t="s">
        <v>30</v>
      </c>
      <c r="C354" s="3" t="str">
        <f t="shared" si="5"/>
        <v>450013681010</v>
      </c>
      <c r="D354" s="4">
        <v>46326</v>
      </c>
      <c r="E354" s="3" t="s">
        <v>2210</v>
      </c>
      <c r="F354" s="3" t="s">
        <v>2482</v>
      </c>
    </row>
    <row r="355" spans="1:6" x14ac:dyDescent="0.3">
      <c r="A355" s="3" t="s">
        <v>1589</v>
      </c>
      <c r="B355" s="3" t="s">
        <v>146</v>
      </c>
      <c r="C355" s="3" t="str">
        <f t="shared" si="5"/>
        <v>4500136984270</v>
      </c>
      <c r="D355" s="4">
        <v>46301</v>
      </c>
      <c r="E355" s="3" t="s">
        <v>2196</v>
      </c>
      <c r="F355" s="3" t="s">
        <v>2454</v>
      </c>
    </row>
    <row r="356" spans="1:6" x14ac:dyDescent="0.3">
      <c r="A356" s="3" t="s">
        <v>1589</v>
      </c>
      <c r="B356" s="3" t="s">
        <v>139</v>
      </c>
      <c r="C356" s="3" t="str">
        <f t="shared" si="5"/>
        <v>4500136984350</v>
      </c>
      <c r="D356" s="4">
        <v>46320</v>
      </c>
      <c r="E356" s="3" t="s">
        <v>2196</v>
      </c>
      <c r="F356" s="3" t="s">
        <v>2454</v>
      </c>
    </row>
    <row r="357" spans="1:6" x14ac:dyDescent="0.3">
      <c r="A357" s="3" t="s">
        <v>1589</v>
      </c>
      <c r="B357" s="3" t="s">
        <v>157</v>
      </c>
      <c r="C357" s="3" t="str">
        <f t="shared" si="5"/>
        <v>4500136984410</v>
      </c>
      <c r="D357" s="4">
        <v>46290</v>
      </c>
      <c r="E357" s="3" t="s">
        <v>2196</v>
      </c>
      <c r="F357" s="3" t="s">
        <v>2454</v>
      </c>
    </row>
    <row r="358" spans="1:6" x14ac:dyDescent="0.3">
      <c r="A358" s="3" t="s">
        <v>1589</v>
      </c>
      <c r="B358" s="3" t="s">
        <v>152</v>
      </c>
      <c r="C358" s="3" t="str">
        <f t="shared" si="5"/>
        <v>4500136984600</v>
      </c>
      <c r="D358" s="4">
        <v>46290</v>
      </c>
      <c r="E358" s="3" t="s">
        <v>2196</v>
      </c>
      <c r="F358" s="3" t="s">
        <v>2454</v>
      </c>
    </row>
    <row r="359" spans="1:6" x14ac:dyDescent="0.3">
      <c r="A359" s="3" t="s">
        <v>2349</v>
      </c>
      <c r="B359" s="3" t="s">
        <v>30</v>
      </c>
      <c r="C359" s="3" t="str">
        <f t="shared" si="5"/>
        <v>450013707710</v>
      </c>
      <c r="D359" s="4">
        <v>46326</v>
      </c>
      <c r="E359" s="3" t="s">
        <v>2194</v>
      </c>
      <c r="F359" s="3" t="s">
        <v>2510</v>
      </c>
    </row>
    <row r="360" spans="1:6" x14ac:dyDescent="0.3">
      <c r="A360" s="3" t="s">
        <v>2349</v>
      </c>
      <c r="B360" s="3" t="s">
        <v>22</v>
      </c>
      <c r="C360" s="3" t="str">
        <f t="shared" si="5"/>
        <v>450013707720</v>
      </c>
      <c r="D360" s="4">
        <v>46326</v>
      </c>
      <c r="E360" s="3" t="s">
        <v>2194</v>
      </c>
      <c r="F360" s="3" t="s">
        <v>2510</v>
      </c>
    </row>
    <row r="361" spans="1:6" x14ac:dyDescent="0.3">
      <c r="A361" s="3" t="s">
        <v>2349</v>
      </c>
      <c r="B361" s="3" t="s">
        <v>35</v>
      </c>
      <c r="C361" s="3" t="str">
        <f t="shared" si="5"/>
        <v>450013707730</v>
      </c>
      <c r="D361" s="4">
        <v>46326</v>
      </c>
      <c r="E361" s="3" t="s">
        <v>2194</v>
      </c>
      <c r="F361" s="3" t="s">
        <v>2510</v>
      </c>
    </row>
    <row r="362" spans="1:6" x14ac:dyDescent="0.3">
      <c r="A362" s="3" t="s">
        <v>2349</v>
      </c>
      <c r="B362" s="3" t="s">
        <v>23</v>
      </c>
      <c r="C362" s="3" t="str">
        <f t="shared" si="5"/>
        <v>450013707740</v>
      </c>
      <c r="D362" s="4">
        <v>46326</v>
      </c>
      <c r="E362" s="3" t="s">
        <v>2194</v>
      </c>
      <c r="F362" s="3" t="s">
        <v>2510</v>
      </c>
    </row>
    <row r="363" spans="1:6" x14ac:dyDescent="0.3">
      <c r="A363" s="3" t="s">
        <v>2349</v>
      </c>
      <c r="B363" s="3" t="s">
        <v>144</v>
      </c>
      <c r="C363" s="3" t="str">
        <f t="shared" si="5"/>
        <v>450013707750</v>
      </c>
      <c r="D363" s="4">
        <v>46326</v>
      </c>
      <c r="E363" s="3" t="s">
        <v>2194</v>
      </c>
      <c r="F363" s="3" t="s">
        <v>2510</v>
      </c>
    </row>
    <row r="364" spans="1:6" x14ac:dyDescent="0.3">
      <c r="A364" s="3" t="s">
        <v>2349</v>
      </c>
      <c r="B364" s="3" t="s">
        <v>141</v>
      </c>
      <c r="C364" s="3" t="str">
        <f t="shared" si="5"/>
        <v>450013707760</v>
      </c>
      <c r="D364" s="4">
        <v>46326</v>
      </c>
      <c r="E364" s="3" t="s">
        <v>2194</v>
      </c>
      <c r="F364" s="3" t="s">
        <v>2510</v>
      </c>
    </row>
    <row r="365" spans="1:6" x14ac:dyDescent="0.3">
      <c r="A365" s="3" t="s">
        <v>1960</v>
      </c>
      <c r="B365" s="3" t="s">
        <v>30</v>
      </c>
      <c r="C365" s="3" t="str">
        <f t="shared" si="5"/>
        <v>450013724210</v>
      </c>
      <c r="D365" s="4">
        <v>46315</v>
      </c>
      <c r="E365" s="3" t="s">
        <v>2196</v>
      </c>
      <c r="F365" s="3" t="s">
        <v>2491</v>
      </c>
    </row>
    <row r="366" spans="1:6" x14ac:dyDescent="0.3">
      <c r="A366" s="3" t="s">
        <v>1986</v>
      </c>
      <c r="B366" s="3" t="s">
        <v>30</v>
      </c>
      <c r="C366" s="3" t="str">
        <f t="shared" si="5"/>
        <v>450013738510</v>
      </c>
      <c r="D366" s="4">
        <v>46301</v>
      </c>
      <c r="E366" s="3" t="s">
        <v>2239</v>
      </c>
      <c r="F366" s="3" t="s">
        <v>2512</v>
      </c>
    </row>
    <row r="367" spans="1:6" x14ac:dyDescent="0.3">
      <c r="A367" s="3" t="s">
        <v>109</v>
      </c>
      <c r="B367" s="3" t="s">
        <v>30</v>
      </c>
      <c r="C367" s="3" t="str">
        <f t="shared" si="5"/>
        <v>450013748910</v>
      </c>
      <c r="D367" s="4">
        <v>46301</v>
      </c>
      <c r="E367" s="3" t="s">
        <v>2196</v>
      </c>
      <c r="F367" s="3" t="s">
        <v>2513</v>
      </c>
    </row>
    <row r="368" spans="1:6" x14ac:dyDescent="0.3">
      <c r="A368" s="3" t="s">
        <v>1995</v>
      </c>
      <c r="B368" s="3" t="s">
        <v>22</v>
      </c>
      <c r="C368" s="3" t="str">
        <f t="shared" si="5"/>
        <v>450013750720</v>
      </c>
      <c r="D368" s="4">
        <v>46290</v>
      </c>
      <c r="E368" s="3" t="s">
        <v>2196</v>
      </c>
      <c r="F368" s="3" t="s">
        <v>2454</v>
      </c>
    </row>
    <row r="369" spans="1:6" x14ac:dyDescent="0.3">
      <c r="A369" s="3" t="s">
        <v>1901</v>
      </c>
      <c r="B369" s="3" t="s">
        <v>156</v>
      </c>
      <c r="C369" s="3" t="str">
        <f t="shared" si="5"/>
        <v>4500138006110</v>
      </c>
      <c r="D369" s="4">
        <v>46338</v>
      </c>
      <c r="E369" s="3" t="s">
        <v>2196</v>
      </c>
      <c r="F369" s="3" t="s">
        <v>2423</v>
      </c>
    </row>
    <row r="370" spans="1:6" x14ac:dyDescent="0.3">
      <c r="A370" s="3" t="s">
        <v>1901</v>
      </c>
      <c r="B370" s="3" t="s">
        <v>150</v>
      </c>
      <c r="C370" s="3" t="str">
        <f t="shared" si="5"/>
        <v>4500138006320</v>
      </c>
      <c r="D370" s="4">
        <v>46338</v>
      </c>
      <c r="E370" s="3" t="s">
        <v>2196</v>
      </c>
      <c r="F370" s="3" t="s">
        <v>2423</v>
      </c>
    </row>
    <row r="371" spans="1:6" x14ac:dyDescent="0.3">
      <c r="A371" s="3" t="s">
        <v>389</v>
      </c>
      <c r="B371" s="3" t="s">
        <v>30</v>
      </c>
      <c r="C371" s="3" t="str">
        <f t="shared" si="5"/>
        <v>450013806710</v>
      </c>
      <c r="D371" s="4">
        <v>46297</v>
      </c>
      <c r="E371" s="3" t="s">
        <v>2237</v>
      </c>
      <c r="F371" s="3" t="s">
        <v>2514</v>
      </c>
    </row>
    <row r="372" spans="1:6" x14ac:dyDescent="0.3">
      <c r="A372" s="3" t="s">
        <v>1459</v>
      </c>
      <c r="B372" s="3" t="s">
        <v>30</v>
      </c>
      <c r="C372" s="3" t="str">
        <f t="shared" si="5"/>
        <v>450013807710</v>
      </c>
      <c r="D372" s="4">
        <v>46304</v>
      </c>
      <c r="E372" s="3" t="s">
        <v>2196</v>
      </c>
      <c r="F372" s="3" t="s">
        <v>2478</v>
      </c>
    </row>
    <row r="373" spans="1:6" x14ac:dyDescent="0.3">
      <c r="A373" s="3" t="s">
        <v>1459</v>
      </c>
      <c r="B373" s="3" t="s">
        <v>22</v>
      </c>
      <c r="C373" s="3" t="str">
        <f t="shared" si="5"/>
        <v>450013807720</v>
      </c>
      <c r="D373" s="4">
        <v>46304</v>
      </c>
      <c r="E373" s="3" t="s">
        <v>2196</v>
      </c>
      <c r="F373" s="3" t="s">
        <v>2478</v>
      </c>
    </row>
    <row r="374" spans="1:6" x14ac:dyDescent="0.3">
      <c r="A374" s="3" t="s">
        <v>1459</v>
      </c>
      <c r="B374" s="3" t="s">
        <v>144</v>
      </c>
      <c r="C374" s="3" t="str">
        <f t="shared" si="5"/>
        <v>450013807750</v>
      </c>
      <c r="D374" s="4">
        <v>46304</v>
      </c>
      <c r="E374" s="3" t="s">
        <v>2196</v>
      </c>
      <c r="F374" s="3" t="s">
        <v>2478</v>
      </c>
    </row>
    <row r="375" spans="1:6" x14ac:dyDescent="0.3">
      <c r="A375" s="3" t="s">
        <v>1459</v>
      </c>
      <c r="B375" s="3" t="s">
        <v>141</v>
      </c>
      <c r="C375" s="3" t="str">
        <f t="shared" si="5"/>
        <v>450013807760</v>
      </c>
      <c r="D375" s="4">
        <v>46304</v>
      </c>
      <c r="E375" s="3" t="s">
        <v>2196</v>
      </c>
      <c r="F375" s="3" t="s">
        <v>2478</v>
      </c>
    </row>
    <row r="376" spans="1:6" x14ac:dyDescent="0.3">
      <c r="A376" s="3" t="s">
        <v>1459</v>
      </c>
      <c r="B376" s="3" t="s">
        <v>134</v>
      </c>
      <c r="C376" s="3" t="str">
        <f t="shared" si="5"/>
        <v>450013807770</v>
      </c>
      <c r="D376" s="4">
        <v>46304</v>
      </c>
      <c r="E376" s="3" t="s">
        <v>2196</v>
      </c>
      <c r="F376" s="3" t="s">
        <v>2478</v>
      </c>
    </row>
    <row r="377" spans="1:6" x14ac:dyDescent="0.3">
      <c r="A377" s="3" t="s">
        <v>1459</v>
      </c>
      <c r="B377" s="3" t="s">
        <v>52</v>
      </c>
      <c r="C377" s="3" t="str">
        <f t="shared" si="5"/>
        <v>450013807780</v>
      </c>
      <c r="D377" s="4">
        <v>46304</v>
      </c>
      <c r="E377" s="3" t="s">
        <v>2196</v>
      </c>
      <c r="F377" s="3" t="s">
        <v>2478</v>
      </c>
    </row>
    <row r="378" spans="1:6" x14ac:dyDescent="0.3">
      <c r="A378" s="3" t="s">
        <v>1459</v>
      </c>
      <c r="B378" s="3" t="s">
        <v>45</v>
      </c>
      <c r="C378" s="3" t="str">
        <f t="shared" si="5"/>
        <v>4500138077100</v>
      </c>
      <c r="D378" s="4">
        <v>46304</v>
      </c>
      <c r="E378" s="3" t="s">
        <v>2196</v>
      </c>
      <c r="F378" s="3" t="s">
        <v>2478</v>
      </c>
    </row>
    <row r="379" spans="1:6" x14ac:dyDescent="0.3">
      <c r="A379" s="3" t="s">
        <v>1459</v>
      </c>
      <c r="B379" s="3" t="s">
        <v>156</v>
      </c>
      <c r="C379" s="3" t="str">
        <f t="shared" si="5"/>
        <v>4500138077110</v>
      </c>
      <c r="D379" s="4">
        <v>46304</v>
      </c>
      <c r="E379" s="3" t="s">
        <v>2196</v>
      </c>
      <c r="F379" s="3" t="s">
        <v>2478</v>
      </c>
    </row>
    <row r="380" spans="1:6" x14ac:dyDescent="0.3">
      <c r="A380" s="3" t="s">
        <v>1459</v>
      </c>
      <c r="B380" s="3" t="s">
        <v>132</v>
      </c>
      <c r="C380" s="3" t="str">
        <f t="shared" si="5"/>
        <v>4500138077120</v>
      </c>
      <c r="D380" s="4">
        <v>46304</v>
      </c>
      <c r="E380" s="3" t="s">
        <v>2196</v>
      </c>
      <c r="F380" s="3" t="s">
        <v>2478</v>
      </c>
    </row>
    <row r="381" spans="1:6" x14ac:dyDescent="0.3">
      <c r="A381" s="3" t="s">
        <v>1883</v>
      </c>
      <c r="B381" s="3" t="s">
        <v>143</v>
      </c>
      <c r="C381" s="3" t="str">
        <f t="shared" si="5"/>
        <v>4500138163240</v>
      </c>
      <c r="D381" s="4">
        <v>46295</v>
      </c>
      <c r="E381" s="3" t="s">
        <v>2196</v>
      </c>
      <c r="F381" s="3" t="s">
        <v>2423</v>
      </c>
    </row>
    <row r="382" spans="1:6" x14ac:dyDescent="0.3">
      <c r="A382" s="3" t="s">
        <v>1883</v>
      </c>
      <c r="B382" s="3" t="s">
        <v>146</v>
      </c>
      <c r="C382" s="3" t="str">
        <f t="shared" si="5"/>
        <v>4500138163270</v>
      </c>
      <c r="D382" s="4">
        <v>46295</v>
      </c>
      <c r="E382" s="3" t="s">
        <v>2196</v>
      </c>
      <c r="F382" s="3" t="s">
        <v>2423</v>
      </c>
    </row>
    <row r="383" spans="1:6" x14ac:dyDescent="0.3">
      <c r="A383" s="3" t="s">
        <v>112</v>
      </c>
      <c r="B383" s="3" t="s">
        <v>35</v>
      </c>
      <c r="C383" s="3" t="str">
        <f t="shared" si="5"/>
        <v>450013830330</v>
      </c>
      <c r="D383" s="4">
        <v>46353</v>
      </c>
      <c r="E383" s="3" t="s">
        <v>2237</v>
      </c>
      <c r="F383" s="3" t="s">
        <v>2485</v>
      </c>
    </row>
    <row r="384" spans="1:6" x14ac:dyDescent="0.3">
      <c r="A384" s="3" t="s">
        <v>112</v>
      </c>
      <c r="B384" s="3" t="s">
        <v>23</v>
      </c>
      <c r="C384" s="3" t="str">
        <f t="shared" si="5"/>
        <v>450013830340</v>
      </c>
      <c r="D384" s="4">
        <v>46353</v>
      </c>
      <c r="E384" s="3" t="s">
        <v>2237</v>
      </c>
      <c r="F384" s="3" t="s">
        <v>2485</v>
      </c>
    </row>
    <row r="385" spans="1:6" x14ac:dyDescent="0.3">
      <c r="A385" s="3" t="s">
        <v>1696</v>
      </c>
      <c r="B385" s="3" t="s">
        <v>141</v>
      </c>
      <c r="C385" s="3" t="str">
        <f t="shared" si="5"/>
        <v>450013832760</v>
      </c>
      <c r="D385" s="4">
        <v>46295</v>
      </c>
      <c r="E385" s="3" t="s">
        <v>2196</v>
      </c>
      <c r="F385" s="3" t="s">
        <v>2439</v>
      </c>
    </row>
    <row r="386" spans="1:6" x14ac:dyDescent="0.3">
      <c r="A386" s="3" t="s">
        <v>1638</v>
      </c>
      <c r="B386" s="3" t="s">
        <v>30</v>
      </c>
      <c r="C386" s="3" t="str">
        <f t="shared" si="5"/>
        <v>450013864410</v>
      </c>
      <c r="D386" s="4">
        <v>46296</v>
      </c>
      <c r="E386" s="3" t="s">
        <v>2239</v>
      </c>
      <c r="F386" s="3" t="s">
        <v>2512</v>
      </c>
    </row>
    <row r="387" spans="1:6" x14ac:dyDescent="0.3">
      <c r="A387" s="3" t="s">
        <v>1876</v>
      </c>
      <c r="B387" s="3" t="s">
        <v>52</v>
      </c>
      <c r="C387" s="3" t="str">
        <f t="shared" ref="C387:C450" si="6">_xlfn.CONCAT(A387:B387)</f>
        <v>450013881580</v>
      </c>
      <c r="D387" s="4">
        <v>46308</v>
      </c>
      <c r="E387" s="3" t="s">
        <v>2196</v>
      </c>
      <c r="F387" s="3" t="s">
        <v>2423</v>
      </c>
    </row>
    <row r="388" spans="1:6" x14ac:dyDescent="0.3">
      <c r="A388" s="3" t="s">
        <v>1876</v>
      </c>
      <c r="B388" s="3" t="s">
        <v>138</v>
      </c>
      <c r="C388" s="3" t="str">
        <f t="shared" si="6"/>
        <v>450013881590</v>
      </c>
      <c r="D388" s="4">
        <v>46308</v>
      </c>
      <c r="E388" s="3" t="s">
        <v>2196</v>
      </c>
      <c r="F388" s="3" t="s">
        <v>2423</v>
      </c>
    </row>
    <row r="389" spans="1:6" x14ac:dyDescent="0.3">
      <c r="A389" s="3" t="s">
        <v>1876</v>
      </c>
      <c r="B389" s="3" t="s">
        <v>142</v>
      </c>
      <c r="C389" s="3" t="str">
        <f t="shared" si="6"/>
        <v>4500138815130</v>
      </c>
      <c r="D389" s="4">
        <v>46290</v>
      </c>
      <c r="E389" s="3" t="s">
        <v>2196</v>
      </c>
      <c r="F389" s="3" t="s">
        <v>2423</v>
      </c>
    </row>
    <row r="390" spans="1:6" x14ac:dyDescent="0.3">
      <c r="A390" s="3" t="s">
        <v>1876</v>
      </c>
      <c r="B390" s="3" t="s">
        <v>130</v>
      </c>
      <c r="C390" s="3" t="str">
        <f t="shared" si="6"/>
        <v>4500138815180</v>
      </c>
      <c r="D390" s="4">
        <v>46308</v>
      </c>
      <c r="E390" s="3" t="s">
        <v>2196</v>
      </c>
      <c r="F390" s="3" t="s">
        <v>2423</v>
      </c>
    </row>
    <row r="391" spans="1:6" x14ac:dyDescent="0.3">
      <c r="A391" s="3" t="s">
        <v>1876</v>
      </c>
      <c r="B391" s="3" t="s">
        <v>127</v>
      </c>
      <c r="C391" s="3" t="str">
        <f t="shared" si="6"/>
        <v>4500138815190</v>
      </c>
      <c r="D391" s="4">
        <v>46308</v>
      </c>
      <c r="E391" s="3" t="s">
        <v>2196</v>
      </c>
      <c r="F391" s="3" t="s">
        <v>2423</v>
      </c>
    </row>
    <row r="392" spans="1:6" x14ac:dyDescent="0.3">
      <c r="A392" s="3" t="s">
        <v>1876</v>
      </c>
      <c r="B392" s="3" t="s">
        <v>161</v>
      </c>
      <c r="C392" s="3" t="str">
        <f t="shared" si="6"/>
        <v>4500138815200</v>
      </c>
      <c r="D392" s="4">
        <v>46308</v>
      </c>
      <c r="E392" s="3" t="s">
        <v>2196</v>
      </c>
      <c r="F392" s="3" t="s">
        <v>2423</v>
      </c>
    </row>
    <row r="393" spans="1:6" x14ac:dyDescent="0.3">
      <c r="A393" s="3" t="s">
        <v>1892</v>
      </c>
      <c r="B393" s="3" t="s">
        <v>68</v>
      </c>
      <c r="C393" s="3" t="str">
        <f t="shared" si="6"/>
        <v>4500138831150</v>
      </c>
      <c r="D393" s="4">
        <v>46295</v>
      </c>
      <c r="E393" s="3" t="s">
        <v>2196</v>
      </c>
      <c r="F393" s="3" t="s">
        <v>2515</v>
      </c>
    </row>
    <row r="394" spans="1:6" x14ac:dyDescent="0.3">
      <c r="A394" s="3" t="s">
        <v>1982</v>
      </c>
      <c r="B394" s="3" t="s">
        <v>30</v>
      </c>
      <c r="C394" s="3" t="str">
        <f t="shared" si="6"/>
        <v>450013892110</v>
      </c>
      <c r="D394" s="4">
        <v>46316</v>
      </c>
      <c r="E394" s="3" t="s">
        <v>2196</v>
      </c>
      <c r="F394" s="3" t="s">
        <v>2454</v>
      </c>
    </row>
    <row r="395" spans="1:6" x14ac:dyDescent="0.3">
      <c r="A395" s="3" t="s">
        <v>1728</v>
      </c>
      <c r="B395" s="3" t="s">
        <v>30</v>
      </c>
      <c r="C395" s="3" t="str">
        <f t="shared" si="6"/>
        <v>450013902010</v>
      </c>
      <c r="D395" s="4">
        <v>46310</v>
      </c>
      <c r="E395" s="3" t="s">
        <v>2196</v>
      </c>
      <c r="F395" s="3" t="s">
        <v>2516</v>
      </c>
    </row>
    <row r="396" spans="1:6" x14ac:dyDescent="0.3">
      <c r="A396" s="3" t="s">
        <v>1721</v>
      </c>
      <c r="B396" s="3" t="s">
        <v>23</v>
      </c>
      <c r="C396" s="3" t="str">
        <f t="shared" si="6"/>
        <v>450013909240</v>
      </c>
      <c r="D396" s="4">
        <v>46307</v>
      </c>
      <c r="E396" s="3" t="s">
        <v>2251</v>
      </c>
      <c r="F396" s="3" t="s">
        <v>2478</v>
      </c>
    </row>
    <row r="397" spans="1:6" x14ac:dyDescent="0.3">
      <c r="A397" s="3" t="s">
        <v>2128</v>
      </c>
      <c r="B397" s="3" t="s">
        <v>30</v>
      </c>
      <c r="C397" s="3" t="str">
        <f t="shared" si="6"/>
        <v>450013919610</v>
      </c>
      <c r="D397" s="4">
        <v>46325</v>
      </c>
      <c r="E397" s="3" t="s">
        <v>2196</v>
      </c>
      <c r="F397" s="3" t="s">
        <v>2491</v>
      </c>
    </row>
    <row r="398" spans="1:6" x14ac:dyDescent="0.3">
      <c r="A398" s="3" t="s">
        <v>2128</v>
      </c>
      <c r="B398" s="3" t="s">
        <v>144</v>
      </c>
      <c r="C398" s="3" t="str">
        <f t="shared" si="6"/>
        <v>450013919650</v>
      </c>
      <c r="D398" s="4">
        <v>46297</v>
      </c>
      <c r="E398" s="3" t="s">
        <v>2196</v>
      </c>
      <c r="F398" s="3" t="s">
        <v>2491</v>
      </c>
    </row>
    <row r="399" spans="1:6" x14ac:dyDescent="0.3">
      <c r="A399" s="3" t="s">
        <v>3086</v>
      </c>
      <c r="B399" s="3" t="s">
        <v>22</v>
      </c>
      <c r="C399" s="3" t="str">
        <f t="shared" si="6"/>
        <v>450013924120</v>
      </c>
      <c r="D399" s="4">
        <v>46289</v>
      </c>
      <c r="E399" s="3" t="s">
        <v>2212</v>
      </c>
      <c r="F399" s="3" t="s">
        <v>2447</v>
      </c>
    </row>
    <row r="400" spans="1:6" x14ac:dyDescent="0.3">
      <c r="A400" s="3" t="s">
        <v>1941</v>
      </c>
      <c r="B400" s="3" t="s">
        <v>30</v>
      </c>
      <c r="C400" s="3" t="str">
        <f t="shared" si="6"/>
        <v>450013942610</v>
      </c>
      <c r="D400" s="4">
        <v>46320</v>
      </c>
      <c r="E400" s="3" t="s">
        <v>2196</v>
      </c>
      <c r="F400" s="3" t="s">
        <v>2461</v>
      </c>
    </row>
    <row r="401" spans="1:6" x14ac:dyDescent="0.3">
      <c r="A401" s="3" t="s">
        <v>1941</v>
      </c>
      <c r="B401" s="3" t="s">
        <v>22</v>
      </c>
      <c r="C401" s="3" t="str">
        <f t="shared" si="6"/>
        <v>450013942620</v>
      </c>
      <c r="D401" s="4">
        <v>46320</v>
      </c>
      <c r="E401" s="3" t="s">
        <v>2196</v>
      </c>
      <c r="F401" s="3" t="s">
        <v>2461</v>
      </c>
    </row>
    <row r="402" spans="1:6" x14ac:dyDescent="0.3">
      <c r="A402" s="3" t="s">
        <v>1941</v>
      </c>
      <c r="B402" s="3" t="s">
        <v>35</v>
      </c>
      <c r="C402" s="3" t="str">
        <f t="shared" si="6"/>
        <v>450013942630</v>
      </c>
      <c r="D402" s="4">
        <v>46320</v>
      </c>
      <c r="E402" s="3" t="s">
        <v>2196</v>
      </c>
      <c r="F402" s="3" t="s">
        <v>2461</v>
      </c>
    </row>
    <row r="403" spans="1:6" x14ac:dyDescent="0.3">
      <c r="A403" s="3" t="s">
        <v>1941</v>
      </c>
      <c r="B403" s="3" t="s">
        <v>23</v>
      </c>
      <c r="C403" s="3" t="str">
        <f t="shared" si="6"/>
        <v>450013942640</v>
      </c>
      <c r="D403" s="4">
        <v>46320</v>
      </c>
      <c r="E403" s="3" t="s">
        <v>2196</v>
      </c>
      <c r="F403" s="3" t="s">
        <v>2461</v>
      </c>
    </row>
    <row r="404" spans="1:6" x14ac:dyDescent="0.3">
      <c r="A404" s="3" t="s">
        <v>2146</v>
      </c>
      <c r="B404" s="3" t="s">
        <v>35</v>
      </c>
      <c r="C404" s="3" t="str">
        <f t="shared" si="6"/>
        <v>450013943930</v>
      </c>
      <c r="D404" s="4">
        <v>46301</v>
      </c>
      <c r="E404" s="3" t="s">
        <v>2241</v>
      </c>
      <c r="F404" s="3" t="s">
        <v>2451</v>
      </c>
    </row>
    <row r="405" spans="1:6" x14ac:dyDescent="0.3">
      <c r="A405" s="3" t="s">
        <v>2277</v>
      </c>
      <c r="B405" s="3" t="s">
        <v>30</v>
      </c>
      <c r="C405" s="3" t="str">
        <f t="shared" si="6"/>
        <v>450013945610</v>
      </c>
      <c r="D405" s="4">
        <v>46326</v>
      </c>
      <c r="E405" s="3" t="s">
        <v>2194</v>
      </c>
      <c r="F405" s="3" t="s">
        <v>2435</v>
      </c>
    </row>
    <row r="406" spans="1:6" x14ac:dyDescent="0.3">
      <c r="A406" s="3" t="s">
        <v>2277</v>
      </c>
      <c r="B406" s="3" t="s">
        <v>22</v>
      </c>
      <c r="C406" s="3" t="str">
        <f t="shared" si="6"/>
        <v>450013945620</v>
      </c>
      <c r="D406" s="4">
        <v>46326</v>
      </c>
      <c r="E406" s="3" t="s">
        <v>2194</v>
      </c>
      <c r="F406" s="3" t="s">
        <v>2435</v>
      </c>
    </row>
    <row r="407" spans="1:6" x14ac:dyDescent="0.3">
      <c r="A407" s="3" t="s">
        <v>2277</v>
      </c>
      <c r="B407" s="3" t="s">
        <v>35</v>
      </c>
      <c r="C407" s="3" t="str">
        <f t="shared" si="6"/>
        <v>450013945630</v>
      </c>
      <c r="D407" s="4">
        <v>46326</v>
      </c>
      <c r="E407" s="3" t="s">
        <v>2194</v>
      </c>
      <c r="F407" s="3" t="s">
        <v>2435</v>
      </c>
    </row>
    <row r="408" spans="1:6" x14ac:dyDescent="0.3">
      <c r="A408" s="3" t="s">
        <v>2277</v>
      </c>
      <c r="B408" s="3" t="s">
        <v>23</v>
      </c>
      <c r="C408" s="3" t="str">
        <f t="shared" si="6"/>
        <v>450013945640</v>
      </c>
      <c r="D408" s="4">
        <v>46326</v>
      </c>
      <c r="E408" s="3" t="s">
        <v>2194</v>
      </c>
      <c r="F408" s="3" t="s">
        <v>2435</v>
      </c>
    </row>
    <row r="409" spans="1:6" x14ac:dyDescent="0.3">
      <c r="A409" s="3" t="s">
        <v>2277</v>
      </c>
      <c r="B409" s="3" t="s">
        <v>144</v>
      </c>
      <c r="C409" s="3" t="str">
        <f t="shared" si="6"/>
        <v>450013945650</v>
      </c>
      <c r="D409" s="4">
        <v>46326</v>
      </c>
      <c r="E409" s="3" t="s">
        <v>2194</v>
      </c>
      <c r="F409" s="3" t="s">
        <v>2435</v>
      </c>
    </row>
    <row r="410" spans="1:6" x14ac:dyDescent="0.3">
      <c r="A410" s="3" t="s">
        <v>2277</v>
      </c>
      <c r="B410" s="3" t="s">
        <v>141</v>
      </c>
      <c r="C410" s="3" t="str">
        <f t="shared" si="6"/>
        <v>450013945660</v>
      </c>
      <c r="D410" s="4">
        <v>46326</v>
      </c>
      <c r="E410" s="3" t="s">
        <v>2194</v>
      </c>
      <c r="F410" s="3" t="s">
        <v>2435</v>
      </c>
    </row>
    <row r="411" spans="1:6" x14ac:dyDescent="0.3">
      <c r="A411" s="3" t="s">
        <v>2277</v>
      </c>
      <c r="B411" s="3" t="s">
        <v>134</v>
      </c>
      <c r="C411" s="3" t="str">
        <f t="shared" si="6"/>
        <v>450013945670</v>
      </c>
      <c r="D411" s="4">
        <v>46326</v>
      </c>
      <c r="E411" s="3" t="s">
        <v>2194</v>
      </c>
      <c r="F411" s="3" t="s">
        <v>2435</v>
      </c>
    </row>
    <row r="412" spans="1:6" x14ac:dyDescent="0.3">
      <c r="A412" s="3" t="s">
        <v>2277</v>
      </c>
      <c r="B412" s="3" t="s">
        <v>52</v>
      </c>
      <c r="C412" s="3" t="str">
        <f t="shared" si="6"/>
        <v>450013945680</v>
      </c>
      <c r="D412" s="4">
        <v>46326</v>
      </c>
      <c r="E412" s="3" t="s">
        <v>2194</v>
      </c>
      <c r="F412" s="3" t="s">
        <v>2435</v>
      </c>
    </row>
    <row r="413" spans="1:6" x14ac:dyDescent="0.3">
      <c r="A413" s="3" t="s">
        <v>2277</v>
      </c>
      <c r="B413" s="3" t="s">
        <v>138</v>
      </c>
      <c r="C413" s="3" t="str">
        <f t="shared" si="6"/>
        <v>450013945690</v>
      </c>
      <c r="D413" s="4">
        <v>46326</v>
      </c>
      <c r="E413" s="3" t="s">
        <v>2194</v>
      </c>
      <c r="F413" s="3" t="s">
        <v>2435</v>
      </c>
    </row>
    <row r="414" spans="1:6" x14ac:dyDescent="0.3">
      <c r="A414" s="3" t="s">
        <v>2045</v>
      </c>
      <c r="B414" s="3" t="s">
        <v>30</v>
      </c>
      <c r="C414" s="3" t="str">
        <f t="shared" si="6"/>
        <v>450013946510</v>
      </c>
      <c r="D414" s="4">
        <v>46302</v>
      </c>
      <c r="E414" s="3" t="s">
        <v>2196</v>
      </c>
      <c r="F414" s="3" t="s">
        <v>2423</v>
      </c>
    </row>
    <row r="415" spans="1:6" x14ac:dyDescent="0.3">
      <c r="A415" s="3" t="s">
        <v>2755</v>
      </c>
      <c r="B415" s="3" t="s">
        <v>35</v>
      </c>
      <c r="C415" s="3" t="str">
        <f t="shared" si="6"/>
        <v>450013949330</v>
      </c>
      <c r="D415" s="4">
        <v>46314</v>
      </c>
      <c r="E415" s="3" t="s">
        <v>2251</v>
      </c>
      <c r="F415" s="3" t="s">
        <v>2454</v>
      </c>
    </row>
    <row r="416" spans="1:6" x14ac:dyDescent="0.3">
      <c r="A416" s="3" t="s">
        <v>2378</v>
      </c>
      <c r="B416" s="3" t="s">
        <v>30</v>
      </c>
      <c r="C416" s="3" t="str">
        <f t="shared" si="6"/>
        <v>450013963610</v>
      </c>
      <c r="D416" s="4">
        <v>46313</v>
      </c>
      <c r="E416" s="3" t="s">
        <v>2196</v>
      </c>
      <c r="F416" s="3" t="s">
        <v>2423</v>
      </c>
    </row>
    <row r="417" spans="1:6" x14ac:dyDescent="0.3">
      <c r="A417" s="3" t="s">
        <v>2870</v>
      </c>
      <c r="B417" s="3" t="s">
        <v>23</v>
      </c>
      <c r="C417" s="3" t="str">
        <f t="shared" si="6"/>
        <v>450013970640</v>
      </c>
      <c r="D417" s="4">
        <v>46303</v>
      </c>
      <c r="E417" s="3" t="s">
        <v>2241</v>
      </c>
      <c r="F417" s="3" t="s">
        <v>2709</v>
      </c>
    </row>
    <row r="418" spans="1:6" x14ac:dyDescent="0.3">
      <c r="A418" s="3" t="s">
        <v>2112</v>
      </c>
      <c r="B418" s="3" t="s">
        <v>22</v>
      </c>
      <c r="C418" s="3" t="str">
        <f t="shared" si="6"/>
        <v>450013971720</v>
      </c>
      <c r="D418" s="4">
        <v>46325</v>
      </c>
      <c r="E418" s="3" t="s">
        <v>2196</v>
      </c>
      <c r="F418" s="3" t="s">
        <v>2461</v>
      </c>
    </row>
    <row r="419" spans="1:6" x14ac:dyDescent="0.3">
      <c r="A419" s="3" t="s">
        <v>3119</v>
      </c>
      <c r="B419" s="3" t="s">
        <v>22</v>
      </c>
      <c r="C419" s="3" t="str">
        <f t="shared" si="6"/>
        <v>450013999820</v>
      </c>
      <c r="D419" s="4">
        <v>46320</v>
      </c>
      <c r="E419" s="3" t="s">
        <v>2254</v>
      </c>
      <c r="F419" s="3" t="s">
        <v>2478</v>
      </c>
    </row>
    <row r="420" spans="1:6" x14ac:dyDescent="0.3">
      <c r="A420" s="3" t="s">
        <v>2262</v>
      </c>
      <c r="B420" s="3" t="s">
        <v>30</v>
      </c>
      <c r="C420" s="3" t="str">
        <f t="shared" si="6"/>
        <v>450014001010</v>
      </c>
      <c r="D420" s="4">
        <v>46297</v>
      </c>
      <c r="E420" s="3" t="s">
        <v>2196</v>
      </c>
      <c r="F420" s="3" t="s">
        <v>2517</v>
      </c>
    </row>
    <row r="421" spans="1:6" x14ac:dyDescent="0.3">
      <c r="A421" s="3" t="s">
        <v>2836</v>
      </c>
      <c r="B421" s="3" t="s">
        <v>30</v>
      </c>
      <c r="C421" s="3" t="str">
        <f t="shared" si="6"/>
        <v>450014006010</v>
      </c>
      <c r="D421" s="4">
        <v>46301</v>
      </c>
      <c r="E421" s="3" t="s">
        <v>2246</v>
      </c>
      <c r="F421" s="3" t="s">
        <v>3243</v>
      </c>
    </row>
    <row r="422" spans="1:6" x14ac:dyDescent="0.3">
      <c r="A422" s="3" t="s">
        <v>86</v>
      </c>
      <c r="B422" s="3" t="s">
        <v>22</v>
      </c>
      <c r="C422" s="3" t="str">
        <f t="shared" si="6"/>
        <v>450013079120</v>
      </c>
      <c r="D422" s="4">
        <v>46325</v>
      </c>
      <c r="E422" s="3" t="s">
        <v>2210</v>
      </c>
      <c r="F422" s="3" t="s">
        <v>2504</v>
      </c>
    </row>
    <row r="423" spans="1:6" x14ac:dyDescent="0.3">
      <c r="A423" s="3" t="s">
        <v>2063</v>
      </c>
      <c r="B423" s="3" t="s">
        <v>156</v>
      </c>
      <c r="C423" s="3" t="str">
        <f t="shared" si="6"/>
        <v>4500118334110</v>
      </c>
      <c r="D423" s="4">
        <v>46326</v>
      </c>
      <c r="E423" s="3" t="s">
        <v>2210</v>
      </c>
      <c r="F423" s="3" t="s">
        <v>2446</v>
      </c>
    </row>
    <row r="424" spans="1:6" x14ac:dyDescent="0.3">
      <c r="A424" s="3" t="s">
        <v>1176</v>
      </c>
      <c r="B424" s="3" t="s">
        <v>22</v>
      </c>
      <c r="C424" s="3" t="str">
        <f t="shared" si="6"/>
        <v>450011729020</v>
      </c>
      <c r="D424" s="4">
        <v>46317</v>
      </c>
      <c r="E424" s="3" t="s">
        <v>2206</v>
      </c>
      <c r="F424" s="3" t="s">
        <v>2511</v>
      </c>
    </row>
    <row r="425" spans="1:6" x14ac:dyDescent="0.3">
      <c r="A425" s="3" t="s">
        <v>1172</v>
      </c>
      <c r="B425" s="3" t="s">
        <v>30</v>
      </c>
      <c r="C425" s="3" t="str">
        <f t="shared" si="6"/>
        <v>450012464910</v>
      </c>
      <c r="D425" s="4">
        <v>46265</v>
      </c>
      <c r="E425" s="3" t="s">
        <v>2207</v>
      </c>
      <c r="F425" s="3" t="s">
        <v>2511</v>
      </c>
    </row>
    <row r="426" spans="1:6" x14ac:dyDescent="0.3">
      <c r="A426" s="3" t="s">
        <v>1176</v>
      </c>
      <c r="B426" s="3" t="s">
        <v>30</v>
      </c>
      <c r="C426" s="3" t="str">
        <f t="shared" si="6"/>
        <v>450011729010</v>
      </c>
      <c r="D426" s="4">
        <v>46317</v>
      </c>
      <c r="E426" s="3" t="s">
        <v>2206</v>
      </c>
      <c r="F426" s="3" t="s">
        <v>2511</v>
      </c>
    </row>
    <row r="427" spans="1:6" x14ac:dyDescent="0.3">
      <c r="A427" s="3" t="s">
        <v>124</v>
      </c>
      <c r="B427" s="3" t="s">
        <v>144</v>
      </c>
      <c r="C427" s="3" t="str">
        <f t="shared" si="6"/>
        <v>450013115050</v>
      </c>
      <c r="D427" s="4">
        <v>46296</v>
      </c>
      <c r="E427" s="3" t="s">
        <v>2210</v>
      </c>
      <c r="F427" s="3" t="s">
        <v>2505</v>
      </c>
    </row>
    <row r="428" spans="1:6" x14ac:dyDescent="0.3">
      <c r="A428" s="3" t="s">
        <v>1174</v>
      </c>
      <c r="B428" s="3" t="s">
        <v>35</v>
      </c>
      <c r="C428" s="3" t="str">
        <f t="shared" si="6"/>
        <v>450011638630</v>
      </c>
      <c r="D428" s="4">
        <v>46325</v>
      </c>
      <c r="E428" s="3" t="s">
        <v>2206</v>
      </c>
      <c r="F428" s="3" t="s">
        <v>2511</v>
      </c>
    </row>
    <row r="429" spans="1:6" x14ac:dyDescent="0.3">
      <c r="A429" s="3" t="s">
        <v>2065</v>
      </c>
      <c r="B429" s="3" t="s">
        <v>30</v>
      </c>
      <c r="C429" s="3" t="str">
        <f t="shared" si="6"/>
        <v>450013607310</v>
      </c>
      <c r="D429" s="4">
        <v>46325</v>
      </c>
      <c r="E429" s="3" t="s">
        <v>2210</v>
      </c>
      <c r="F429" s="3" t="s">
        <v>2446</v>
      </c>
    </row>
    <row r="430" spans="1:6" x14ac:dyDescent="0.3">
      <c r="A430" s="3" t="s">
        <v>1174</v>
      </c>
      <c r="B430" s="3" t="s">
        <v>30</v>
      </c>
      <c r="C430" s="3" t="str">
        <f t="shared" si="6"/>
        <v>450011638610</v>
      </c>
      <c r="D430" s="4">
        <v>46325</v>
      </c>
      <c r="E430" s="3" t="s">
        <v>2206</v>
      </c>
      <c r="F430" s="3" t="s">
        <v>2511</v>
      </c>
    </row>
    <row r="431" spans="1:6" x14ac:dyDescent="0.3">
      <c r="A431" s="3" t="s">
        <v>1203</v>
      </c>
      <c r="B431" s="3" t="s">
        <v>136</v>
      </c>
      <c r="C431" s="3" t="str">
        <f t="shared" si="6"/>
        <v>4500130397210</v>
      </c>
      <c r="D431" s="4">
        <v>46311</v>
      </c>
      <c r="E431" s="3" t="s">
        <v>2210</v>
      </c>
      <c r="F431" s="3" t="s">
        <v>2518</v>
      </c>
    </row>
    <row r="432" spans="1:6" x14ac:dyDescent="0.3">
      <c r="A432" s="3" t="s">
        <v>1174</v>
      </c>
      <c r="B432" s="3" t="s">
        <v>22</v>
      </c>
      <c r="C432" s="3" t="str">
        <f t="shared" si="6"/>
        <v>450011638620</v>
      </c>
      <c r="D432" s="4">
        <v>46325</v>
      </c>
      <c r="E432" s="3" t="s">
        <v>2206</v>
      </c>
      <c r="F432" s="3" t="s">
        <v>2511</v>
      </c>
    </row>
    <row r="433" spans="1:6" x14ac:dyDescent="0.3">
      <c r="A433" s="3" t="s">
        <v>3139</v>
      </c>
      <c r="B433" s="3" t="s">
        <v>30</v>
      </c>
      <c r="C433" s="3" t="str">
        <f t="shared" si="6"/>
        <v>450004103210</v>
      </c>
      <c r="D433" s="4">
        <v>45015</v>
      </c>
      <c r="E433" s="3" t="s">
        <v>2195</v>
      </c>
      <c r="F433" s="3" t="s">
        <v>3230</v>
      </c>
    </row>
    <row r="434" spans="1:6" x14ac:dyDescent="0.3">
      <c r="A434" s="3" t="s">
        <v>3139</v>
      </c>
      <c r="B434" s="3" t="s">
        <v>22</v>
      </c>
      <c r="C434" s="3" t="str">
        <f t="shared" si="6"/>
        <v>450004103220</v>
      </c>
      <c r="D434" s="4">
        <v>45107</v>
      </c>
      <c r="E434" s="3" t="s">
        <v>2195</v>
      </c>
      <c r="F434" s="3" t="s">
        <v>3230</v>
      </c>
    </row>
    <row r="435" spans="1:6" x14ac:dyDescent="0.3">
      <c r="A435" s="3" t="s">
        <v>3139</v>
      </c>
      <c r="B435" s="3" t="s">
        <v>35</v>
      </c>
      <c r="C435" s="3" t="str">
        <f t="shared" si="6"/>
        <v>450004103230</v>
      </c>
      <c r="D435" s="4">
        <v>45199</v>
      </c>
      <c r="E435" s="3" t="s">
        <v>2195</v>
      </c>
      <c r="F435" s="3" t="s">
        <v>3230</v>
      </c>
    </row>
    <row r="436" spans="1:6" x14ac:dyDescent="0.3">
      <c r="A436" s="3" t="s">
        <v>3139</v>
      </c>
      <c r="B436" s="3" t="s">
        <v>23</v>
      </c>
      <c r="C436" s="3" t="str">
        <f t="shared" si="6"/>
        <v>450004103240</v>
      </c>
      <c r="D436" s="4">
        <v>45406</v>
      </c>
      <c r="E436" s="3" t="s">
        <v>2195</v>
      </c>
      <c r="F436" s="3" t="s">
        <v>3230</v>
      </c>
    </row>
    <row r="437" spans="1:6" x14ac:dyDescent="0.3">
      <c r="A437" s="3" t="s">
        <v>3139</v>
      </c>
      <c r="B437" s="3" t="s">
        <v>144</v>
      </c>
      <c r="C437" s="3" t="str">
        <f t="shared" si="6"/>
        <v>450004103250</v>
      </c>
      <c r="D437" s="4">
        <v>45656</v>
      </c>
      <c r="E437" s="3" t="s">
        <v>2195</v>
      </c>
      <c r="F437" s="3" t="s">
        <v>3230</v>
      </c>
    </row>
    <row r="438" spans="1:6" x14ac:dyDescent="0.3">
      <c r="A438" s="3" t="s">
        <v>3139</v>
      </c>
      <c r="B438" s="3" t="s">
        <v>141</v>
      </c>
      <c r="C438" s="3" t="str">
        <f t="shared" si="6"/>
        <v>450004103260</v>
      </c>
      <c r="D438" s="4">
        <v>46021</v>
      </c>
      <c r="E438" s="3" t="s">
        <v>2195</v>
      </c>
      <c r="F438" s="3" t="s">
        <v>3230</v>
      </c>
    </row>
    <row r="439" spans="1:6" x14ac:dyDescent="0.3">
      <c r="A439" s="3" t="s">
        <v>3139</v>
      </c>
      <c r="B439" s="3" t="s">
        <v>134</v>
      </c>
      <c r="C439" s="3" t="str">
        <f t="shared" si="6"/>
        <v>450004103270</v>
      </c>
      <c r="D439" s="4">
        <v>46386</v>
      </c>
      <c r="E439" s="3" t="s">
        <v>2195</v>
      </c>
      <c r="F439" s="3" t="s">
        <v>3230</v>
      </c>
    </row>
    <row r="440" spans="1:6" x14ac:dyDescent="0.3">
      <c r="A440" s="3" t="s">
        <v>3135</v>
      </c>
      <c r="B440" s="3" t="s">
        <v>30</v>
      </c>
      <c r="C440" s="3" t="str">
        <f t="shared" si="6"/>
        <v>450005647510</v>
      </c>
      <c r="D440" s="4">
        <v>45291</v>
      </c>
      <c r="E440" s="3" t="s">
        <v>2195</v>
      </c>
      <c r="F440" s="3" t="s">
        <v>3230</v>
      </c>
    </row>
    <row r="441" spans="1:6" x14ac:dyDescent="0.3">
      <c r="A441" s="3" t="s">
        <v>3135</v>
      </c>
      <c r="B441" s="3" t="s">
        <v>22</v>
      </c>
      <c r="C441" s="3" t="str">
        <f t="shared" si="6"/>
        <v>450005647520</v>
      </c>
      <c r="D441" s="4">
        <v>45656</v>
      </c>
      <c r="E441" s="3" t="s">
        <v>2195</v>
      </c>
      <c r="F441" s="3" t="s">
        <v>3230</v>
      </c>
    </row>
    <row r="442" spans="1:6" x14ac:dyDescent="0.3">
      <c r="A442" s="3" t="s">
        <v>3135</v>
      </c>
      <c r="B442" s="3" t="s">
        <v>35</v>
      </c>
      <c r="C442" s="3" t="str">
        <f t="shared" si="6"/>
        <v>450005647530</v>
      </c>
      <c r="D442" s="4">
        <v>46021</v>
      </c>
      <c r="E442" s="3" t="s">
        <v>2195</v>
      </c>
      <c r="F442" s="3" t="s">
        <v>3230</v>
      </c>
    </row>
    <row r="443" spans="1:6" x14ac:dyDescent="0.3">
      <c r="A443" s="3" t="s">
        <v>3135</v>
      </c>
      <c r="B443" s="3" t="s">
        <v>23</v>
      </c>
      <c r="C443" s="3" t="str">
        <f t="shared" si="6"/>
        <v>450005647540</v>
      </c>
      <c r="D443" s="4">
        <v>46386</v>
      </c>
      <c r="E443" s="3" t="s">
        <v>2195</v>
      </c>
      <c r="F443" s="3" t="s">
        <v>3230</v>
      </c>
    </row>
    <row r="444" spans="1:6" x14ac:dyDescent="0.3">
      <c r="A444" s="3" t="s">
        <v>3135</v>
      </c>
      <c r="B444" s="3" t="s">
        <v>144</v>
      </c>
      <c r="C444" s="3" t="str">
        <f t="shared" si="6"/>
        <v>450005647550</v>
      </c>
      <c r="D444" s="4">
        <v>45208</v>
      </c>
      <c r="E444" s="3" t="s">
        <v>2195</v>
      </c>
      <c r="F444" s="3" t="s">
        <v>3230</v>
      </c>
    </row>
    <row r="445" spans="1:6" x14ac:dyDescent="0.3">
      <c r="A445" s="3" t="s">
        <v>208</v>
      </c>
      <c r="B445" s="3" t="s">
        <v>30</v>
      </c>
      <c r="C445" s="3" t="str">
        <f t="shared" si="6"/>
        <v>450005708010</v>
      </c>
      <c r="D445" s="4">
        <v>45823</v>
      </c>
      <c r="E445" s="3" t="s">
        <v>2194</v>
      </c>
      <c r="F445" s="3" t="s">
        <v>2426</v>
      </c>
    </row>
    <row r="446" spans="1:6" x14ac:dyDescent="0.3">
      <c r="A446" s="3" t="s">
        <v>208</v>
      </c>
      <c r="B446" s="3" t="s">
        <v>22</v>
      </c>
      <c r="C446" s="3" t="str">
        <f t="shared" si="6"/>
        <v>450005708020</v>
      </c>
      <c r="D446" s="4">
        <v>45703</v>
      </c>
      <c r="E446" s="3" t="s">
        <v>2194</v>
      </c>
      <c r="F446" s="3" t="s">
        <v>2426</v>
      </c>
    </row>
    <row r="447" spans="1:6" x14ac:dyDescent="0.3">
      <c r="A447" s="3" t="s">
        <v>684</v>
      </c>
      <c r="B447" s="3" t="s">
        <v>30</v>
      </c>
      <c r="C447" s="3" t="str">
        <f t="shared" si="6"/>
        <v>450007483210</v>
      </c>
      <c r="D447" s="4">
        <v>45443</v>
      </c>
      <c r="E447" s="3" t="s">
        <v>2258</v>
      </c>
      <c r="F447" s="3" t="s">
        <v>2519</v>
      </c>
    </row>
    <row r="448" spans="1:6" x14ac:dyDescent="0.3">
      <c r="A448" s="3" t="s">
        <v>106</v>
      </c>
      <c r="B448" s="3" t="s">
        <v>30</v>
      </c>
      <c r="C448" s="3" t="str">
        <f t="shared" si="6"/>
        <v>450007845810</v>
      </c>
      <c r="D448" s="4">
        <v>45562</v>
      </c>
      <c r="E448" s="3" t="s">
        <v>2196</v>
      </c>
      <c r="F448" s="3" t="s">
        <v>2520</v>
      </c>
    </row>
    <row r="449" spans="1:6" x14ac:dyDescent="0.3">
      <c r="A449" s="3" t="s">
        <v>115</v>
      </c>
      <c r="B449" s="3" t="s">
        <v>30</v>
      </c>
      <c r="C449" s="3" t="str">
        <f t="shared" si="6"/>
        <v>450008010110</v>
      </c>
      <c r="D449" s="4">
        <v>46015</v>
      </c>
      <c r="E449" s="3" t="s">
        <v>2195</v>
      </c>
      <c r="F449" s="3" t="s">
        <v>2427</v>
      </c>
    </row>
    <row r="450" spans="1:6" x14ac:dyDescent="0.3">
      <c r="A450" s="3" t="s">
        <v>115</v>
      </c>
      <c r="B450" s="3" t="s">
        <v>22</v>
      </c>
      <c r="C450" s="3" t="str">
        <f t="shared" si="6"/>
        <v>450008010120</v>
      </c>
      <c r="D450" s="4">
        <v>46386</v>
      </c>
      <c r="E450" s="3" t="s">
        <v>2195</v>
      </c>
      <c r="F450" s="3" t="s">
        <v>2427</v>
      </c>
    </row>
    <row r="451" spans="1:6" x14ac:dyDescent="0.3">
      <c r="A451" s="3" t="s">
        <v>115</v>
      </c>
      <c r="B451" s="3" t="s">
        <v>23</v>
      </c>
      <c r="C451" s="3" t="str">
        <f t="shared" ref="C451:C514" si="7">_xlfn.CONCAT(A451:B451)</f>
        <v>450008010140</v>
      </c>
      <c r="D451" s="4">
        <v>46386</v>
      </c>
      <c r="E451" s="3" t="s">
        <v>2195</v>
      </c>
      <c r="F451" s="3" t="s">
        <v>2427</v>
      </c>
    </row>
    <row r="452" spans="1:6" x14ac:dyDescent="0.3">
      <c r="A452" s="3" t="s">
        <v>3137</v>
      </c>
      <c r="B452" s="3" t="s">
        <v>30</v>
      </c>
      <c r="C452" s="3" t="str">
        <f t="shared" si="7"/>
        <v>450008055910</v>
      </c>
      <c r="D452" s="4">
        <v>45656</v>
      </c>
      <c r="E452" s="3" t="s">
        <v>2195</v>
      </c>
      <c r="F452" s="3" t="s">
        <v>3230</v>
      </c>
    </row>
    <row r="453" spans="1:6" x14ac:dyDescent="0.3">
      <c r="A453" s="3" t="s">
        <v>3137</v>
      </c>
      <c r="B453" s="3" t="s">
        <v>22</v>
      </c>
      <c r="C453" s="3" t="str">
        <f t="shared" si="7"/>
        <v>450008055920</v>
      </c>
      <c r="D453" s="4">
        <v>46021</v>
      </c>
      <c r="E453" s="3" t="s">
        <v>2195</v>
      </c>
      <c r="F453" s="3" t="s">
        <v>3230</v>
      </c>
    </row>
    <row r="454" spans="1:6" x14ac:dyDescent="0.3">
      <c r="A454" s="3" t="s">
        <v>3137</v>
      </c>
      <c r="B454" s="3" t="s">
        <v>35</v>
      </c>
      <c r="C454" s="3" t="str">
        <f t="shared" si="7"/>
        <v>450008055930</v>
      </c>
      <c r="D454" s="4">
        <v>46386</v>
      </c>
      <c r="E454" s="3" t="s">
        <v>2195</v>
      </c>
      <c r="F454" s="3" t="s">
        <v>3230</v>
      </c>
    </row>
    <row r="455" spans="1:6" x14ac:dyDescent="0.3">
      <c r="A455" s="3" t="s">
        <v>202</v>
      </c>
      <c r="B455" s="3" t="s">
        <v>30</v>
      </c>
      <c r="C455" s="3" t="str">
        <f t="shared" si="7"/>
        <v>450008370310</v>
      </c>
      <c r="D455" s="4">
        <v>46233</v>
      </c>
      <c r="E455" s="3" t="s">
        <v>2197</v>
      </c>
      <c r="F455" s="3" t="s">
        <v>2521</v>
      </c>
    </row>
    <row r="456" spans="1:6" x14ac:dyDescent="0.3">
      <c r="A456" s="3" t="s">
        <v>382</v>
      </c>
      <c r="B456" s="3" t="s">
        <v>30</v>
      </c>
      <c r="C456" s="3" t="str">
        <f t="shared" si="7"/>
        <v>450008540010</v>
      </c>
      <c r="D456" s="4">
        <v>45870</v>
      </c>
      <c r="E456" s="3" t="s">
        <v>2522</v>
      </c>
      <c r="F456" s="3" t="s">
        <v>2410</v>
      </c>
    </row>
    <row r="457" spans="1:6" x14ac:dyDescent="0.3">
      <c r="A457" s="3" t="s">
        <v>485</v>
      </c>
      <c r="B457" s="3" t="s">
        <v>30</v>
      </c>
      <c r="C457" s="3" t="str">
        <f t="shared" si="7"/>
        <v>450009023610</v>
      </c>
      <c r="D457" s="4">
        <v>45667</v>
      </c>
      <c r="E457" s="3" t="s">
        <v>2198</v>
      </c>
      <c r="F457" s="3" t="s">
        <v>2523</v>
      </c>
    </row>
    <row r="458" spans="1:6" x14ac:dyDescent="0.3">
      <c r="A458" s="3" t="s">
        <v>485</v>
      </c>
      <c r="B458" s="3" t="s">
        <v>22</v>
      </c>
      <c r="C458" s="3" t="str">
        <f t="shared" si="7"/>
        <v>450009023620</v>
      </c>
      <c r="D458" s="4">
        <v>45667</v>
      </c>
      <c r="E458" s="3" t="s">
        <v>2198</v>
      </c>
      <c r="F458" s="3" t="s">
        <v>2523</v>
      </c>
    </row>
    <row r="459" spans="1:6" x14ac:dyDescent="0.3">
      <c r="A459" s="3" t="s">
        <v>860</v>
      </c>
      <c r="B459" s="3" t="s">
        <v>30</v>
      </c>
      <c r="C459" s="3" t="str">
        <f t="shared" si="7"/>
        <v>450009470510</v>
      </c>
      <c r="D459" s="4">
        <v>45853</v>
      </c>
      <c r="E459" s="3" t="s">
        <v>2196</v>
      </c>
      <c r="F459" s="3" t="s">
        <v>2423</v>
      </c>
    </row>
    <row r="460" spans="1:6" x14ac:dyDescent="0.3">
      <c r="A460" s="3" t="s">
        <v>860</v>
      </c>
      <c r="B460" s="3" t="s">
        <v>22</v>
      </c>
      <c r="C460" s="3" t="str">
        <f t="shared" si="7"/>
        <v>450009470520</v>
      </c>
      <c r="D460" s="4">
        <v>45853</v>
      </c>
      <c r="E460" s="3" t="s">
        <v>2196</v>
      </c>
      <c r="F460" s="3" t="s">
        <v>2423</v>
      </c>
    </row>
    <row r="461" spans="1:6" x14ac:dyDescent="0.3">
      <c r="A461" s="3" t="s">
        <v>860</v>
      </c>
      <c r="B461" s="3" t="s">
        <v>35</v>
      </c>
      <c r="C461" s="3" t="str">
        <f t="shared" si="7"/>
        <v>450009470530</v>
      </c>
      <c r="D461" s="4">
        <v>45853</v>
      </c>
      <c r="E461" s="3" t="s">
        <v>2196</v>
      </c>
      <c r="F461" s="3" t="s">
        <v>2423</v>
      </c>
    </row>
    <row r="462" spans="1:6" x14ac:dyDescent="0.3">
      <c r="A462" s="3" t="s">
        <v>860</v>
      </c>
      <c r="B462" s="3" t="s">
        <v>23</v>
      </c>
      <c r="C462" s="3" t="str">
        <f t="shared" si="7"/>
        <v>450009470540</v>
      </c>
      <c r="D462" s="4">
        <v>45853</v>
      </c>
      <c r="E462" s="3" t="s">
        <v>2196</v>
      </c>
      <c r="F462" s="3" t="s">
        <v>2423</v>
      </c>
    </row>
    <row r="463" spans="1:6" x14ac:dyDescent="0.3">
      <c r="A463" s="3" t="s">
        <v>860</v>
      </c>
      <c r="B463" s="3" t="s">
        <v>144</v>
      </c>
      <c r="C463" s="3" t="str">
        <f t="shared" si="7"/>
        <v>450009470550</v>
      </c>
      <c r="D463" s="4">
        <v>45853</v>
      </c>
      <c r="E463" s="3" t="s">
        <v>2196</v>
      </c>
      <c r="F463" s="3" t="s">
        <v>2423</v>
      </c>
    </row>
    <row r="464" spans="1:6" x14ac:dyDescent="0.3">
      <c r="A464" s="3" t="s">
        <v>860</v>
      </c>
      <c r="B464" s="3" t="s">
        <v>141</v>
      </c>
      <c r="C464" s="3" t="str">
        <f t="shared" si="7"/>
        <v>450009470560</v>
      </c>
      <c r="D464" s="4">
        <v>45853</v>
      </c>
      <c r="E464" s="3" t="s">
        <v>2196</v>
      </c>
      <c r="F464" s="3" t="s">
        <v>2423</v>
      </c>
    </row>
    <row r="465" spans="1:6" x14ac:dyDescent="0.3">
      <c r="A465" s="3" t="s">
        <v>860</v>
      </c>
      <c r="B465" s="3" t="s">
        <v>134</v>
      </c>
      <c r="C465" s="3" t="str">
        <f t="shared" si="7"/>
        <v>450009470570</v>
      </c>
      <c r="D465" s="4">
        <v>45853</v>
      </c>
      <c r="E465" s="3" t="s">
        <v>2196</v>
      </c>
      <c r="F465" s="3" t="s">
        <v>2423</v>
      </c>
    </row>
    <row r="466" spans="1:6" x14ac:dyDescent="0.3">
      <c r="A466" s="3" t="s">
        <v>860</v>
      </c>
      <c r="B466" s="3" t="s">
        <v>52</v>
      </c>
      <c r="C466" s="3" t="str">
        <f t="shared" si="7"/>
        <v>450009470580</v>
      </c>
      <c r="D466" s="4">
        <v>45853</v>
      </c>
      <c r="E466" s="3" t="s">
        <v>2196</v>
      </c>
      <c r="F466" s="3" t="s">
        <v>2423</v>
      </c>
    </row>
    <row r="467" spans="1:6" x14ac:dyDescent="0.3">
      <c r="A467" s="3" t="s">
        <v>860</v>
      </c>
      <c r="B467" s="3" t="s">
        <v>45</v>
      </c>
      <c r="C467" s="3" t="str">
        <f t="shared" si="7"/>
        <v>4500094705100</v>
      </c>
      <c r="D467" s="4">
        <v>46182</v>
      </c>
      <c r="E467" s="3" t="s">
        <v>2196</v>
      </c>
      <c r="F467" s="3" t="s">
        <v>2423</v>
      </c>
    </row>
    <row r="468" spans="1:6" x14ac:dyDescent="0.3">
      <c r="A468" s="3" t="s">
        <v>860</v>
      </c>
      <c r="B468" s="3" t="s">
        <v>156</v>
      </c>
      <c r="C468" s="3" t="str">
        <f t="shared" si="7"/>
        <v>4500094705110</v>
      </c>
      <c r="D468" s="4">
        <v>45853</v>
      </c>
      <c r="E468" s="3" t="s">
        <v>2196</v>
      </c>
      <c r="F468" s="3" t="s">
        <v>2423</v>
      </c>
    </row>
    <row r="469" spans="1:6" x14ac:dyDescent="0.3">
      <c r="A469" s="3" t="s">
        <v>548</v>
      </c>
      <c r="B469" s="3" t="s">
        <v>35</v>
      </c>
      <c r="C469" s="3" t="str">
        <f t="shared" si="7"/>
        <v>450009551230</v>
      </c>
      <c r="D469" s="4">
        <v>45792</v>
      </c>
      <c r="E469" s="3" t="s">
        <v>2196</v>
      </c>
      <c r="F469" s="3" t="s">
        <v>2524</v>
      </c>
    </row>
    <row r="470" spans="1:6" x14ac:dyDescent="0.3">
      <c r="A470" s="3" t="s">
        <v>548</v>
      </c>
      <c r="B470" s="3" t="s">
        <v>23</v>
      </c>
      <c r="C470" s="3" t="str">
        <f t="shared" si="7"/>
        <v>450009551240</v>
      </c>
      <c r="D470" s="4">
        <v>45744</v>
      </c>
      <c r="E470" s="3" t="s">
        <v>2196</v>
      </c>
      <c r="F470" s="3" t="s">
        <v>2524</v>
      </c>
    </row>
    <row r="471" spans="1:6" x14ac:dyDescent="0.3">
      <c r="A471" s="3" t="s">
        <v>548</v>
      </c>
      <c r="B471" s="3" t="s">
        <v>144</v>
      </c>
      <c r="C471" s="3" t="str">
        <f t="shared" si="7"/>
        <v>450009551250</v>
      </c>
      <c r="D471" s="4">
        <v>45744</v>
      </c>
      <c r="E471" s="3" t="s">
        <v>2196</v>
      </c>
      <c r="F471" s="3" t="s">
        <v>2524</v>
      </c>
    </row>
    <row r="472" spans="1:6" x14ac:dyDescent="0.3">
      <c r="A472" s="3" t="s">
        <v>295</v>
      </c>
      <c r="B472" s="3" t="s">
        <v>30</v>
      </c>
      <c r="C472" s="3" t="str">
        <f t="shared" si="7"/>
        <v>450009616810</v>
      </c>
      <c r="D472" s="4">
        <v>45833</v>
      </c>
      <c r="E472" s="3" t="s">
        <v>2196</v>
      </c>
      <c r="F472" s="3" t="s">
        <v>2525</v>
      </c>
    </row>
    <row r="473" spans="1:6" x14ac:dyDescent="0.3">
      <c r="A473" s="3" t="s">
        <v>295</v>
      </c>
      <c r="B473" s="3" t="s">
        <v>22</v>
      </c>
      <c r="C473" s="3" t="str">
        <f t="shared" si="7"/>
        <v>450009616820</v>
      </c>
      <c r="D473" s="4">
        <v>45833</v>
      </c>
      <c r="E473" s="3" t="s">
        <v>2196</v>
      </c>
      <c r="F473" s="3" t="s">
        <v>2525</v>
      </c>
    </row>
    <row r="474" spans="1:6" x14ac:dyDescent="0.3">
      <c r="A474" s="3" t="s">
        <v>60</v>
      </c>
      <c r="B474" s="3" t="s">
        <v>30</v>
      </c>
      <c r="C474" s="3" t="str">
        <f t="shared" si="7"/>
        <v>450009631810</v>
      </c>
      <c r="D474" s="4">
        <v>45751</v>
      </c>
      <c r="E474" s="3" t="s">
        <v>2199</v>
      </c>
      <c r="F474" s="3" t="s">
        <v>2526</v>
      </c>
    </row>
    <row r="475" spans="1:6" x14ac:dyDescent="0.3">
      <c r="A475" s="3" t="s">
        <v>587</v>
      </c>
      <c r="B475" s="3" t="s">
        <v>30</v>
      </c>
      <c r="C475" s="3" t="str">
        <f t="shared" si="7"/>
        <v>450009701010</v>
      </c>
      <c r="D475" s="4">
        <v>45765</v>
      </c>
      <c r="E475" s="3" t="s">
        <v>2197</v>
      </c>
      <c r="F475" s="3" t="s">
        <v>2527</v>
      </c>
    </row>
    <row r="476" spans="1:6" x14ac:dyDescent="0.3">
      <c r="A476" s="3" t="s">
        <v>587</v>
      </c>
      <c r="B476" s="3" t="s">
        <v>22</v>
      </c>
      <c r="C476" s="3" t="str">
        <f t="shared" si="7"/>
        <v>450009701020</v>
      </c>
      <c r="D476" s="4">
        <v>45765</v>
      </c>
      <c r="E476" s="3" t="s">
        <v>2197</v>
      </c>
      <c r="F476" s="3" t="s">
        <v>2527</v>
      </c>
    </row>
    <row r="477" spans="1:6" x14ac:dyDescent="0.3">
      <c r="A477" s="3" t="s">
        <v>587</v>
      </c>
      <c r="B477" s="3" t="s">
        <v>35</v>
      </c>
      <c r="C477" s="3" t="str">
        <f t="shared" si="7"/>
        <v>450009701030</v>
      </c>
      <c r="D477" s="4">
        <v>45765</v>
      </c>
      <c r="E477" s="3" t="s">
        <v>2197</v>
      </c>
      <c r="F477" s="3" t="s">
        <v>2527</v>
      </c>
    </row>
    <row r="478" spans="1:6" x14ac:dyDescent="0.3">
      <c r="A478" s="3" t="s">
        <v>587</v>
      </c>
      <c r="B478" s="3" t="s">
        <v>23</v>
      </c>
      <c r="C478" s="3" t="str">
        <f t="shared" si="7"/>
        <v>450009701040</v>
      </c>
      <c r="D478" s="4">
        <v>45782</v>
      </c>
      <c r="E478" s="3" t="s">
        <v>2197</v>
      </c>
      <c r="F478" s="3" t="s">
        <v>2527</v>
      </c>
    </row>
    <row r="479" spans="1:6" x14ac:dyDescent="0.3">
      <c r="A479" s="3" t="s">
        <v>609</v>
      </c>
      <c r="B479" s="3" t="s">
        <v>30</v>
      </c>
      <c r="C479" s="3" t="str">
        <f t="shared" si="7"/>
        <v>450009810210</v>
      </c>
      <c r="D479" s="4">
        <v>45657</v>
      </c>
      <c r="E479" s="3" t="s">
        <v>2258</v>
      </c>
      <c r="F479" s="3" t="s">
        <v>2528</v>
      </c>
    </row>
    <row r="480" spans="1:6" x14ac:dyDescent="0.3">
      <c r="A480" s="3" t="s">
        <v>609</v>
      </c>
      <c r="B480" s="3" t="s">
        <v>22</v>
      </c>
      <c r="C480" s="3" t="str">
        <f t="shared" si="7"/>
        <v>450009810220</v>
      </c>
      <c r="D480" s="4">
        <v>45657</v>
      </c>
      <c r="E480" s="3" t="s">
        <v>2258</v>
      </c>
      <c r="F480" s="3" t="s">
        <v>2528</v>
      </c>
    </row>
    <row r="481" spans="1:6" x14ac:dyDescent="0.3">
      <c r="A481" s="3" t="s">
        <v>609</v>
      </c>
      <c r="B481" s="3" t="s">
        <v>35</v>
      </c>
      <c r="C481" s="3" t="str">
        <f t="shared" si="7"/>
        <v>450009810230</v>
      </c>
      <c r="D481" s="4">
        <v>45657</v>
      </c>
      <c r="E481" s="3" t="s">
        <v>2258</v>
      </c>
      <c r="F481" s="3" t="s">
        <v>2528</v>
      </c>
    </row>
    <row r="482" spans="1:6" x14ac:dyDescent="0.3">
      <c r="A482" s="3" t="s">
        <v>609</v>
      </c>
      <c r="B482" s="3" t="s">
        <v>23</v>
      </c>
      <c r="C482" s="3" t="str">
        <f t="shared" si="7"/>
        <v>450009810240</v>
      </c>
      <c r="D482" s="4">
        <v>45657</v>
      </c>
      <c r="E482" s="3" t="s">
        <v>2258</v>
      </c>
      <c r="F482" s="3" t="s">
        <v>2528</v>
      </c>
    </row>
    <row r="483" spans="1:6" x14ac:dyDescent="0.3">
      <c r="A483" s="3" t="s">
        <v>609</v>
      </c>
      <c r="B483" s="3" t="s">
        <v>144</v>
      </c>
      <c r="C483" s="3" t="str">
        <f t="shared" si="7"/>
        <v>450009810250</v>
      </c>
      <c r="D483" s="4">
        <v>45657</v>
      </c>
      <c r="E483" s="3" t="s">
        <v>2258</v>
      </c>
      <c r="F483" s="3" t="s">
        <v>2528</v>
      </c>
    </row>
    <row r="484" spans="1:6" x14ac:dyDescent="0.3">
      <c r="A484" s="3" t="s">
        <v>609</v>
      </c>
      <c r="B484" s="3" t="s">
        <v>141</v>
      </c>
      <c r="C484" s="3" t="str">
        <f t="shared" si="7"/>
        <v>450009810260</v>
      </c>
      <c r="D484" s="4">
        <v>45657</v>
      </c>
      <c r="E484" s="3" t="s">
        <v>2258</v>
      </c>
      <c r="F484" s="3" t="s">
        <v>2528</v>
      </c>
    </row>
    <row r="485" spans="1:6" x14ac:dyDescent="0.3">
      <c r="A485" s="3" t="s">
        <v>609</v>
      </c>
      <c r="B485" s="3" t="s">
        <v>134</v>
      </c>
      <c r="C485" s="3" t="str">
        <f t="shared" si="7"/>
        <v>450009810270</v>
      </c>
      <c r="D485" s="4">
        <v>45657</v>
      </c>
      <c r="E485" s="3" t="s">
        <v>2258</v>
      </c>
      <c r="F485" s="3" t="s">
        <v>2528</v>
      </c>
    </row>
    <row r="486" spans="1:6" x14ac:dyDescent="0.3">
      <c r="A486" s="3" t="s">
        <v>609</v>
      </c>
      <c r="B486" s="3" t="s">
        <v>52</v>
      </c>
      <c r="C486" s="3" t="str">
        <f t="shared" si="7"/>
        <v>450009810280</v>
      </c>
      <c r="D486" s="4">
        <v>45657</v>
      </c>
      <c r="E486" s="3" t="s">
        <v>2258</v>
      </c>
      <c r="F486" s="3" t="s">
        <v>2528</v>
      </c>
    </row>
    <row r="487" spans="1:6" x14ac:dyDescent="0.3">
      <c r="A487" s="3" t="s">
        <v>609</v>
      </c>
      <c r="B487" s="3" t="s">
        <v>138</v>
      </c>
      <c r="C487" s="3" t="str">
        <f t="shared" si="7"/>
        <v>450009810290</v>
      </c>
      <c r="D487" s="4">
        <v>45657</v>
      </c>
      <c r="E487" s="3" t="s">
        <v>2258</v>
      </c>
      <c r="F487" s="3" t="s">
        <v>2528</v>
      </c>
    </row>
    <row r="488" spans="1:6" x14ac:dyDescent="0.3">
      <c r="A488" s="3" t="s">
        <v>609</v>
      </c>
      <c r="B488" s="3" t="s">
        <v>45</v>
      </c>
      <c r="C488" s="3" t="str">
        <f t="shared" si="7"/>
        <v>4500098102100</v>
      </c>
      <c r="D488" s="4">
        <v>45657</v>
      </c>
      <c r="E488" s="3" t="s">
        <v>2258</v>
      </c>
      <c r="F488" s="3" t="s">
        <v>2528</v>
      </c>
    </row>
    <row r="489" spans="1:6" x14ac:dyDescent="0.3">
      <c r="A489" s="3" t="s">
        <v>609</v>
      </c>
      <c r="B489" s="3" t="s">
        <v>156</v>
      </c>
      <c r="C489" s="3" t="str">
        <f t="shared" si="7"/>
        <v>4500098102110</v>
      </c>
      <c r="D489" s="4">
        <v>45657</v>
      </c>
      <c r="E489" s="3" t="s">
        <v>2258</v>
      </c>
      <c r="F489" s="3" t="s">
        <v>2528</v>
      </c>
    </row>
    <row r="490" spans="1:6" x14ac:dyDescent="0.3">
      <c r="A490" s="3" t="s">
        <v>609</v>
      </c>
      <c r="B490" s="3" t="s">
        <v>132</v>
      </c>
      <c r="C490" s="3" t="str">
        <f t="shared" si="7"/>
        <v>4500098102120</v>
      </c>
      <c r="D490" s="4">
        <v>45657</v>
      </c>
      <c r="E490" s="3" t="s">
        <v>2258</v>
      </c>
      <c r="F490" s="3" t="s">
        <v>2528</v>
      </c>
    </row>
    <row r="491" spans="1:6" x14ac:dyDescent="0.3">
      <c r="A491" s="3" t="s">
        <v>609</v>
      </c>
      <c r="B491" s="3" t="s">
        <v>142</v>
      </c>
      <c r="C491" s="3" t="str">
        <f t="shared" si="7"/>
        <v>4500098102130</v>
      </c>
      <c r="D491" s="4">
        <v>45657</v>
      </c>
      <c r="E491" s="3" t="s">
        <v>2258</v>
      </c>
      <c r="F491" s="3" t="s">
        <v>2528</v>
      </c>
    </row>
    <row r="492" spans="1:6" x14ac:dyDescent="0.3">
      <c r="A492" s="3" t="s">
        <v>680</v>
      </c>
      <c r="B492" s="3" t="s">
        <v>30</v>
      </c>
      <c r="C492" s="3" t="str">
        <f t="shared" si="7"/>
        <v>450009834410</v>
      </c>
      <c r="D492" s="4">
        <v>45869</v>
      </c>
      <c r="E492" s="3" t="s">
        <v>2197</v>
      </c>
      <c r="F492" s="3" t="s">
        <v>2529</v>
      </c>
    </row>
    <row r="493" spans="1:6" x14ac:dyDescent="0.3">
      <c r="A493" s="3" t="s">
        <v>67</v>
      </c>
      <c r="B493" s="3" t="s">
        <v>30</v>
      </c>
      <c r="C493" s="3" t="str">
        <f t="shared" si="7"/>
        <v>450009927310</v>
      </c>
      <c r="D493" s="4">
        <v>45838</v>
      </c>
      <c r="E493" s="3" t="s">
        <v>2196</v>
      </c>
      <c r="F493" s="3" t="s">
        <v>2530</v>
      </c>
    </row>
    <row r="494" spans="1:6" x14ac:dyDescent="0.3">
      <c r="A494" s="3" t="s">
        <v>67</v>
      </c>
      <c r="B494" s="3" t="s">
        <v>22</v>
      </c>
      <c r="C494" s="3" t="str">
        <f t="shared" si="7"/>
        <v>450009927320</v>
      </c>
      <c r="D494" s="4">
        <v>45838</v>
      </c>
      <c r="E494" s="3" t="s">
        <v>2196</v>
      </c>
      <c r="F494" s="3" t="s">
        <v>2530</v>
      </c>
    </row>
    <row r="495" spans="1:6" x14ac:dyDescent="0.3">
      <c r="A495" s="3" t="s">
        <v>67</v>
      </c>
      <c r="B495" s="3" t="s">
        <v>35</v>
      </c>
      <c r="C495" s="3" t="str">
        <f t="shared" si="7"/>
        <v>450009927330</v>
      </c>
      <c r="D495" s="4">
        <v>45838</v>
      </c>
      <c r="E495" s="3" t="s">
        <v>2196</v>
      </c>
      <c r="F495" s="3" t="s">
        <v>2530</v>
      </c>
    </row>
    <row r="496" spans="1:6" x14ac:dyDescent="0.3">
      <c r="A496" s="3" t="s">
        <v>67</v>
      </c>
      <c r="B496" s="3" t="s">
        <v>23</v>
      </c>
      <c r="C496" s="3" t="str">
        <f t="shared" si="7"/>
        <v>450009927340</v>
      </c>
      <c r="D496" s="4">
        <v>45838</v>
      </c>
      <c r="E496" s="3" t="s">
        <v>2196</v>
      </c>
      <c r="F496" s="3" t="s">
        <v>2530</v>
      </c>
    </row>
    <row r="497" spans="1:6" x14ac:dyDescent="0.3">
      <c r="A497" s="3" t="s">
        <v>67</v>
      </c>
      <c r="B497" s="3" t="s">
        <v>144</v>
      </c>
      <c r="C497" s="3" t="str">
        <f t="shared" si="7"/>
        <v>450009927350</v>
      </c>
      <c r="D497" s="4">
        <v>45838</v>
      </c>
      <c r="E497" s="3" t="s">
        <v>2196</v>
      </c>
      <c r="F497" s="3" t="s">
        <v>2530</v>
      </c>
    </row>
    <row r="498" spans="1:6" x14ac:dyDescent="0.3">
      <c r="A498" s="3" t="s">
        <v>67</v>
      </c>
      <c r="B498" s="3" t="s">
        <v>141</v>
      </c>
      <c r="C498" s="3" t="str">
        <f t="shared" si="7"/>
        <v>450009927360</v>
      </c>
      <c r="D498" s="4">
        <v>45838</v>
      </c>
      <c r="E498" s="3" t="s">
        <v>2196</v>
      </c>
      <c r="F498" s="3" t="s">
        <v>2530</v>
      </c>
    </row>
    <row r="499" spans="1:6" x14ac:dyDescent="0.3">
      <c r="A499" s="3" t="s">
        <v>67</v>
      </c>
      <c r="B499" s="3" t="s">
        <v>134</v>
      </c>
      <c r="C499" s="3" t="str">
        <f t="shared" si="7"/>
        <v>450009927370</v>
      </c>
      <c r="D499" s="4">
        <v>45838</v>
      </c>
      <c r="E499" s="3" t="s">
        <v>2196</v>
      </c>
      <c r="F499" s="3" t="s">
        <v>2530</v>
      </c>
    </row>
    <row r="500" spans="1:6" x14ac:dyDescent="0.3">
      <c r="A500" s="3" t="s">
        <v>67</v>
      </c>
      <c r="B500" s="3" t="s">
        <v>52</v>
      </c>
      <c r="C500" s="3" t="str">
        <f t="shared" si="7"/>
        <v>450009927380</v>
      </c>
      <c r="D500" s="4">
        <v>45838</v>
      </c>
      <c r="E500" s="3" t="s">
        <v>2196</v>
      </c>
      <c r="F500" s="3" t="s">
        <v>2530</v>
      </c>
    </row>
    <row r="501" spans="1:6" x14ac:dyDescent="0.3">
      <c r="A501" s="3" t="s">
        <v>67</v>
      </c>
      <c r="B501" s="3" t="s">
        <v>138</v>
      </c>
      <c r="C501" s="3" t="str">
        <f t="shared" si="7"/>
        <v>450009927390</v>
      </c>
      <c r="D501" s="4">
        <v>45838</v>
      </c>
      <c r="E501" s="3" t="s">
        <v>2196</v>
      </c>
      <c r="F501" s="3" t="s">
        <v>2530</v>
      </c>
    </row>
    <row r="502" spans="1:6" x14ac:dyDescent="0.3">
      <c r="A502" s="3" t="s">
        <v>67</v>
      </c>
      <c r="B502" s="3" t="s">
        <v>45</v>
      </c>
      <c r="C502" s="3" t="str">
        <f t="shared" si="7"/>
        <v>4500099273100</v>
      </c>
      <c r="D502" s="4">
        <v>45838</v>
      </c>
      <c r="E502" s="3" t="s">
        <v>2196</v>
      </c>
      <c r="F502" s="3" t="s">
        <v>2530</v>
      </c>
    </row>
    <row r="503" spans="1:6" x14ac:dyDescent="0.3">
      <c r="A503" s="3" t="s">
        <v>67</v>
      </c>
      <c r="B503" s="3" t="s">
        <v>156</v>
      </c>
      <c r="C503" s="3" t="str">
        <f t="shared" si="7"/>
        <v>4500099273110</v>
      </c>
      <c r="D503" s="4">
        <v>45838</v>
      </c>
      <c r="E503" s="3" t="s">
        <v>2196</v>
      </c>
      <c r="F503" s="3" t="s">
        <v>2530</v>
      </c>
    </row>
    <row r="504" spans="1:6" x14ac:dyDescent="0.3">
      <c r="A504" s="3" t="s">
        <v>67</v>
      </c>
      <c r="B504" s="3" t="s">
        <v>132</v>
      </c>
      <c r="C504" s="3" t="str">
        <f t="shared" si="7"/>
        <v>4500099273120</v>
      </c>
      <c r="D504" s="4">
        <v>45838</v>
      </c>
      <c r="E504" s="3" t="s">
        <v>2196</v>
      </c>
      <c r="F504" s="3" t="s">
        <v>2530</v>
      </c>
    </row>
    <row r="505" spans="1:6" x14ac:dyDescent="0.3">
      <c r="A505" s="3" t="s">
        <v>67</v>
      </c>
      <c r="B505" s="3" t="s">
        <v>142</v>
      </c>
      <c r="C505" s="3" t="str">
        <f t="shared" si="7"/>
        <v>4500099273130</v>
      </c>
      <c r="D505" s="4">
        <v>45838</v>
      </c>
      <c r="E505" s="3" t="s">
        <v>2196</v>
      </c>
      <c r="F505" s="3" t="s">
        <v>2530</v>
      </c>
    </row>
    <row r="506" spans="1:6" x14ac:dyDescent="0.3">
      <c r="A506" s="3" t="s">
        <v>67</v>
      </c>
      <c r="B506" s="3" t="s">
        <v>131</v>
      </c>
      <c r="C506" s="3" t="str">
        <f t="shared" si="7"/>
        <v>4500099273140</v>
      </c>
      <c r="D506" s="4">
        <v>45838</v>
      </c>
      <c r="E506" s="3" t="s">
        <v>2196</v>
      </c>
      <c r="F506" s="3" t="s">
        <v>2530</v>
      </c>
    </row>
    <row r="507" spans="1:6" x14ac:dyDescent="0.3">
      <c r="A507" s="3" t="s">
        <v>67</v>
      </c>
      <c r="B507" s="3" t="s">
        <v>68</v>
      </c>
      <c r="C507" s="3" t="str">
        <f t="shared" si="7"/>
        <v>4500099273150</v>
      </c>
      <c r="D507" s="4">
        <v>45838</v>
      </c>
      <c r="E507" s="3" t="s">
        <v>2196</v>
      </c>
      <c r="F507" s="3" t="s">
        <v>2530</v>
      </c>
    </row>
    <row r="508" spans="1:6" x14ac:dyDescent="0.3">
      <c r="A508" s="3" t="s">
        <v>491</v>
      </c>
      <c r="B508" s="3" t="s">
        <v>30</v>
      </c>
      <c r="C508" s="3" t="str">
        <f t="shared" si="7"/>
        <v>450010004410</v>
      </c>
      <c r="D508" s="4">
        <v>46173</v>
      </c>
      <c r="E508" s="3" t="s">
        <v>2197</v>
      </c>
      <c r="F508" s="3" t="s">
        <v>2531</v>
      </c>
    </row>
    <row r="509" spans="1:6" x14ac:dyDescent="0.3">
      <c r="A509" s="3" t="s">
        <v>664</v>
      </c>
      <c r="B509" s="3" t="s">
        <v>30</v>
      </c>
      <c r="C509" s="3" t="str">
        <f t="shared" si="7"/>
        <v>450010055210</v>
      </c>
      <c r="D509" s="4">
        <v>45807</v>
      </c>
      <c r="E509" s="3" t="s">
        <v>2198</v>
      </c>
      <c r="F509" s="3" t="s">
        <v>2532</v>
      </c>
    </row>
    <row r="510" spans="1:6" x14ac:dyDescent="0.3">
      <c r="A510" s="3" t="s">
        <v>810</v>
      </c>
      <c r="B510" s="3" t="s">
        <v>30</v>
      </c>
      <c r="C510" s="3" t="str">
        <f t="shared" si="7"/>
        <v>450010066910</v>
      </c>
      <c r="D510" s="4">
        <v>45814</v>
      </c>
      <c r="E510" s="3" t="s">
        <v>2196</v>
      </c>
      <c r="F510" s="3" t="s">
        <v>2533</v>
      </c>
    </row>
    <row r="511" spans="1:6" x14ac:dyDescent="0.3">
      <c r="A511" s="3" t="s">
        <v>681</v>
      </c>
      <c r="B511" s="3" t="s">
        <v>30</v>
      </c>
      <c r="C511" s="3" t="str">
        <f t="shared" si="7"/>
        <v>450010106410</v>
      </c>
      <c r="D511" s="4">
        <v>45835</v>
      </c>
      <c r="E511" s="3" t="s">
        <v>2197</v>
      </c>
      <c r="F511" s="3" t="s">
        <v>2529</v>
      </c>
    </row>
    <row r="512" spans="1:6" x14ac:dyDescent="0.3">
      <c r="A512" s="3" t="s">
        <v>700</v>
      </c>
      <c r="B512" s="3" t="s">
        <v>30</v>
      </c>
      <c r="C512" s="3" t="str">
        <f t="shared" si="7"/>
        <v>450010140910</v>
      </c>
      <c r="D512" s="4">
        <v>45828</v>
      </c>
      <c r="E512" s="3" t="s">
        <v>2197</v>
      </c>
      <c r="F512" s="3" t="s">
        <v>2534</v>
      </c>
    </row>
    <row r="513" spans="1:6" x14ac:dyDescent="0.3">
      <c r="A513" s="3" t="s">
        <v>705</v>
      </c>
      <c r="B513" s="3" t="s">
        <v>30</v>
      </c>
      <c r="C513" s="3" t="str">
        <f t="shared" si="7"/>
        <v>450010217110</v>
      </c>
      <c r="D513" s="4">
        <v>45835</v>
      </c>
      <c r="E513" s="3" t="s">
        <v>2198</v>
      </c>
      <c r="F513" s="3" t="s">
        <v>2535</v>
      </c>
    </row>
    <row r="514" spans="1:6" x14ac:dyDescent="0.3">
      <c r="A514" s="3" t="s">
        <v>705</v>
      </c>
      <c r="B514" s="3" t="s">
        <v>22</v>
      </c>
      <c r="C514" s="3" t="str">
        <f t="shared" si="7"/>
        <v>450010217120</v>
      </c>
      <c r="D514" s="4">
        <v>45835</v>
      </c>
      <c r="E514" s="3" t="s">
        <v>2198</v>
      </c>
      <c r="F514" s="3" t="s">
        <v>2535</v>
      </c>
    </row>
    <row r="515" spans="1:6" x14ac:dyDescent="0.3">
      <c r="A515" s="3" t="s">
        <v>705</v>
      </c>
      <c r="B515" s="3" t="s">
        <v>35</v>
      </c>
      <c r="C515" s="3" t="str">
        <f t="shared" ref="C515:C578" si="8">_xlfn.CONCAT(A515:B515)</f>
        <v>450010217130</v>
      </c>
      <c r="D515" s="4">
        <v>45835</v>
      </c>
      <c r="E515" s="3" t="s">
        <v>2198</v>
      </c>
      <c r="F515" s="3" t="s">
        <v>2535</v>
      </c>
    </row>
    <row r="516" spans="1:6" x14ac:dyDescent="0.3">
      <c r="A516" s="3" t="s">
        <v>787</v>
      </c>
      <c r="B516" s="3" t="s">
        <v>30</v>
      </c>
      <c r="C516" s="3" t="str">
        <f t="shared" si="8"/>
        <v>450010464610</v>
      </c>
      <c r="D516" s="4">
        <v>45869</v>
      </c>
      <c r="E516" s="3" t="s">
        <v>2198</v>
      </c>
      <c r="F516" s="3" t="s">
        <v>2536</v>
      </c>
    </row>
    <row r="517" spans="1:6" x14ac:dyDescent="0.3">
      <c r="A517" s="3" t="s">
        <v>367</v>
      </c>
      <c r="B517" s="3" t="s">
        <v>30</v>
      </c>
      <c r="C517" s="3" t="str">
        <f t="shared" si="8"/>
        <v>450010489610</v>
      </c>
      <c r="D517" s="4">
        <v>45907</v>
      </c>
      <c r="E517" s="3" t="s">
        <v>2200</v>
      </c>
      <c r="F517" s="3" t="s">
        <v>2537</v>
      </c>
    </row>
    <row r="518" spans="1:6" x14ac:dyDescent="0.3">
      <c r="A518" s="3" t="s">
        <v>367</v>
      </c>
      <c r="B518" s="3" t="s">
        <v>22</v>
      </c>
      <c r="C518" s="3" t="str">
        <f t="shared" si="8"/>
        <v>450010489620</v>
      </c>
      <c r="D518" s="4">
        <v>45878</v>
      </c>
      <c r="E518" s="3" t="s">
        <v>2200</v>
      </c>
      <c r="F518" s="3" t="s">
        <v>2537</v>
      </c>
    </row>
    <row r="519" spans="1:6" x14ac:dyDescent="0.3">
      <c r="A519" s="3" t="s">
        <v>1037</v>
      </c>
      <c r="B519" s="3" t="s">
        <v>30</v>
      </c>
      <c r="C519" s="3" t="str">
        <f t="shared" si="8"/>
        <v>450010609610</v>
      </c>
      <c r="D519" s="4">
        <v>46022</v>
      </c>
      <c r="E519" s="3" t="s">
        <v>2197</v>
      </c>
      <c r="F519" s="3" t="s">
        <v>2407</v>
      </c>
    </row>
    <row r="520" spans="1:6" x14ac:dyDescent="0.3">
      <c r="A520" s="3" t="s">
        <v>919</v>
      </c>
      <c r="B520" s="3" t="s">
        <v>22</v>
      </c>
      <c r="C520" s="3" t="str">
        <f t="shared" si="8"/>
        <v>450010723420</v>
      </c>
      <c r="D520" s="4">
        <v>45903</v>
      </c>
      <c r="E520" s="3" t="s">
        <v>2198</v>
      </c>
      <c r="F520" s="3" t="s">
        <v>2455</v>
      </c>
    </row>
    <row r="521" spans="1:6" x14ac:dyDescent="0.3">
      <c r="A521" s="3" t="s">
        <v>488</v>
      </c>
      <c r="B521" s="3" t="s">
        <v>22</v>
      </c>
      <c r="C521" s="3" t="str">
        <f t="shared" si="8"/>
        <v>450010869220</v>
      </c>
      <c r="D521" s="4">
        <v>45988</v>
      </c>
      <c r="E521" s="3" t="s">
        <v>2202</v>
      </c>
      <c r="F521" s="3" t="s">
        <v>2411</v>
      </c>
    </row>
    <row r="522" spans="1:6" x14ac:dyDescent="0.3">
      <c r="A522" s="3" t="s">
        <v>595</v>
      </c>
      <c r="B522" s="3" t="s">
        <v>30</v>
      </c>
      <c r="C522" s="3" t="str">
        <f t="shared" si="8"/>
        <v>450010901610</v>
      </c>
      <c r="D522" s="4">
        <v>46006</v>
      </c>
      <c r="E522" s="3" t="s">
        <v>2206</v>
      </c>
      <c r="F522" s="3" t="s">
        <v>2423</v>
      </c>
    </row>
    <row r="523" spans="1:6" x14ac:dyDescent="0.3">
      <c r="A523" s="3" t="s">
        <v>595</v>
      </c>
      <c r="B523" s="3" t="s">
        <v>22</v>
      </c>
      <c r="C523" s="3" t="str">
        <f t="shared" si="8"/>
        <v>450010901620</v>
      </c>
      <c r="D523" s="4">
        <v>46142</v>
      </c>
      <c r="E523" s="3" t="s">
        <v>2206</v>
      </c>
      <c r="F523" s="3" t="s">
        <v>2423</v>
      </c>
    </row>
    <row r="524" spans="1:6" x14ac:dyDescent="0.3">
      <c r="A524" s="3" t="s">
        <v>595</v>
      </c>
      <c r="B524" s="3" t="s">
        <v>35</v>
      </c>
      <c r="C524" s="3" t="str">
        <f t="shared" si="8"/>
        <v>450010901630</v>
      </c>
      <c r="D524" s="4">
        <v>46006</v>
      </c>
      <c r="E524" s="3" t="s">
        <v>2206</v>
      </c>
      <c r="F524" s="3" t="s">
        <v>2423</v>
      </c>
    </row>
    <row r="525" spans="1:6" x14ac:dyDescent="0.3">
      <c r="A525" s="3" t="s">
        <v>595</v>
      </c>
      <c r="B525" s="3" t="s">
        <v>23</v>
      </c>
      <c r="C525" s="3" t="str">
        <f t="shared" si="8"/>
        <v>450010901640</v>
      </c>
      <c r="D525" s="4">
        <v>46142</v>
      </c>
      <c r="E525" s="3" t="s">
        <v>2206</v>
      </c>
      <c r="F525" s="3" t="s">
        <v>2423</v>
      </c>
    </row>
    <row r="526" spans="1:6" x14ac:dyDescent="0.3">
      <c r="A526" s="3" t="s">
        <v>595</v>
      </c>
      <c r="B526" s="3" t="s">
        <v>144</v>
      </c>
      <c r="C526" s="3" t="str">
        <f t="shared" si="8"/>
        <v>450010901650</v>
      </c>
      <c r="D526" s="4">
        <v>46006</v>
      </c>
      <c r="E526" s="3" t="s">
        <v>2206</v>
      </c>
      <c r="F526" s="3" t="s">
        <v>2423</v>
      </c>
    </row>
    <row r="527" spans="1:6" x14ac:dyDescent="0.3">
      <c r="A527" s="3" t="s">
        <v>595</v>
      </c>
      <c r="B527" s="3" t="s">
        <v>141</v>
      </c>
      <c r="C527" s="3" t="str">
        <f t="shared" si="8"/>
        <v>450010901660</v>
      </c>
      <c r="D527" s="4">
        <v>46006</v>
      </c>
      <c r="E527" s="3" t="s">
        <v>2206</v>
      </c>
      <c r="F527" s="3" t="s">
        <v>2423</v>
      </c>
    </row>
    <row r="528" spans="1:6" x14ac:dyDescent="0.3">
      <c r="A528" s="3" t="s">
        <v>595</v>
      </c>
      <c r="B528" s="3" t="s">
        <v>134</v>
      </c>
      <c r="C528" s="3" t="str">
        <f t="shared" si="8"/>
        <v>450010901670</v>
      </c>
      <c r="D528" s="4">
        <v>46142</v>
      </c>
      <c r="E528" s="3" t="s">
        <v>2206</v>
      </c>
      <c r="F528" s="3" t="s">
        <v>2423</v>
      </c>
    </row>
    <row r="529" spans="1:6" x14ac:dyDescent="0.3">
      <c r="A529" s="3" t="s">
        <v>1001</v>
      </c>
      <c r="B529" s="3" t="s">
        <v>30</v>
      </c>
      <c r="C529" s="3" t="str">
        <f t="shared" si="8"/>
        <v>450010926410</v>
      </c>
      <c r="D529" s="4">
        <v>45933</v>
      </c>
      <c r="E529" s="3" t="s">
        <v>2240</v>
      </c>
      <c r="F529" s="3" t="s">
        <v>2538</v>
      </c>
    </row>
    <row r="530" spans="1:6" x14ac:dyDescent="0.3">
      <c r="A530" s="3" t="s">
        <v>508</v>
      </c>
      <c r="B530" s="3" t="s">
        <v>30</v>
      </c>
      <c r="C530" s="3" t="str">
        <f t="shared" si="8"/>
        <v>450010962510</v>
      </c>
      <c r="D530" s="4">
        <v>46101</v>
      </c>
      <c r="E530" s="3" t="s">
        <v>2204</v>
      </c>
      <c r="F530" s="3" t="s">
        <v>2539</v>
      </c>
    </row>
    <row r="531" spans="1:6" x14ac:dyDescent="0.3">
      <c r="A531" s="3" t="s">
        <v>508</v>
      </c>
      <c r="B531" s="3" t="s">
        <v>22</v>
      </c>
      <c r="C531" s="3" t="str">
        <f t="shared" si="8"/>
        <v>450010962520</v>
      </c>
      <c r="D531" s="4">
        <v>46101</v>
      </c>
      <c r="E531" s="3" t="s">
        <v>2204</v>
      </c>
      <c r="F531" s="3" t="s">
        <v>2539</v>
      </c>
    </row>
    <row r="532" spans="1:6" x14ac:dyDescent="0.3">
      <c r="A532" s="3" t="s">
        <v>508</v>
      </c>
      <c r="B532" s="3" t="s">
        <v>35</v>
      </c>
      <c r="C532" s="3" t="str">
        <f t="shared" si="8"/>
        <v>450010962530</v>
      </c>
      <c r="D532" s="4">
        <v>46101</v>
      </c>
      <c r="E532" s="3" t="s">
        <v>2204</v>
      </c>
      <c r="F532" s="3" t="s">
        <v>2539</v>
      </c>
    </row>
    <row r="533" spans="1:6" x14ac:dyDescent="0.3">
      <c r="A533" s="3" t="s">
        <v>508</v>
      </c>
      <c r="B533" s="3" t="s">
        <v>23</v>
      </c>
      <c r="C533" s="3" t="str">
        <f t="shared" si="8"/>
        <v>450010962540</v>
      </c>
      <c r="D533" s="4">
        <v>46101</v>
      </c>
      <c r="E533" s="3" t="s">
        <v>2204</v>
      </c>
      <c r="F533" s="3" t="s">
        <v>2539</v>
      </c>
    </row>
    <row r="534" spans="1:6" x14ac:dyDescent="0.3">
      <c r="A534" s="3" t="s">
        <v>508</v>
      </c>
      <c r="B534" s="3" t="s">
        <v>141</v>
      </c>
      <c r="C534" s="3" t="str">
        <f t="shared" si="8"/>
        <v>450010962560</v>
      </c>
      <c r="D534" s="4">
        <v>46101</v>
      </c>
      <c r="E534" s="3" t="s">
        <v>2204</v>
      </c>
      <c r="F534" s="3" t="s">
        <v>2539</v>
      </c>
    </row>
    <row r="535" spans="1:6" x14ac:dyDescent="0.3">
      <c r="A535" s="3" t="s">
        <v>508</v>
      </c>
      <c r="B535" s="3" t="s">
        <v>134</v>
      </c>
      <c r="C535" s="3" t="str">
        <f t="shared" si="8"/>
        <v>450010962570</v>
      </c>
      <c r="D535" s="4">
        <v>46101</v>
      </c>
      <c r="E535" s="3" t="s">
        <v>2204</v>
      </c>
      <c r="F535" s="3" t="s">
        <v>2539</v>
      </c>
    </row>
    <row r="536" spans="1:6" x14ac:dyDescent="0.3">
      <c r="A536" s="3" t="s">
        <v>508</v>
      </c>
      <c r="B536" s="3" t="s">
        <v>52</v>
      </c>
      <c r="C536" s="3" t="str">
        <f t="shared" si="8"/>
        <v>450010962580</v>
      </c>
      <c r="D536" s="4">
        <v>46101</v>
      </c>
      <c r="E536" s="3" t="s">
        <v>2204</v>
      </c>
      <c r="F536" s="3" t="s">
        <v>2539</v>
      </c>
    </row>
    <row r="537" spans="1:6" x14ac:dyDescent="0.3">
      <c r="A537" s="3" t="s">
        <v>508</v>
      </c>
      <c r="B537" s="3" t="s">
        <v>45</v>
      </c>
      <c r="C537" s="3" t="str">
        <f t="shared" si="8"/>
        <v>4500109625100</v>
      </c>
      <c r="D537" s="4">
        <v>46101</v>
      </c>
      <c r="E537" s="3" t="s">
        <v>2204</v>
      </c>
      <c r="F537" s="3" t="s">
        <v>2539</v>
      </c>
    </row>
    <row r="538" spans="1:6" x14ac:dyDescent="0.3">
      <c r="A538" s="3" t="s">
        <v>508</v>
      </c>
      <c r="B538" s="3" t="s">
        <v>156</v>
      </c>
      <c r="C538" s="3" t="str">
        <f t="shared" si="8"/>
        <v>4500109625110</v>
      </c>
      <c r="D538" s="4">
        <v>46101</v>
      </c>
      <c r="E538" s="3" t="s">
        <v>2204</v>
      </c>
      <c r="F538" s="3" t="s">
        <v>2539</v>
      </c>
    </row>
    <row r="539" spans="1:6" x14ac:dyDescent="0.3">
      <c r="A539" s="3" t="s">
        <v>508</v>
      </c>
      <c r="B539" s="3" t="s">
        <v>132</v>
      </c>
      <c r="C539" s="3" t="str">
        <f t="shared" si="8"/>
        <v>4500109625120</v>
      </c>
      <c r="D539" s="4">
        <v>46101</v>
      </c>
      <c r="E539" s="3" t="s">
        <v>2204</v>
      </c>
      <c r="F539" s="3" t="s">
        <v>2539</v>
      </c>
    </row>
    <row r="540" spans="1:6" x14ac:dyDescent="0.3">
      <c r="A540" s="3" t="s">
        <v>508</v>
      </c>
      <c r="B540" s="3" t="s">
        <v>142</v>
      </c>
      <c r="C540" s="3" t="str">
        <f t="shared" si="8"/>
        <v>4500109625130</v>
      </c>
      <c r="D540" s="4">
        <v>46101</v>
      </c>
      <c r="E540" s="3" t="s">
        <v>2204</v>
      </c>
      <c r="F540" s="3" t="s">
        <v>2539</v>
      </c>
    </row>
    <row r="541" spans="1:6" x14ac:dyDescent="0.3">
      <c r="A541" s="3" t="s">
        <v>528</v>
      </c>
      <c r="B541" s="3" t="s">
        <v>30</v>
      </c>
      <c r="C541" s="3" t="str">
        <f t="shared" si="8"/>
        <v>450010966610</v>
      </c>
      <c r="D541" s="4">
        <v>46645</v>
      </c>
      <c r="E541" s="3" t="s">
        <v>2196</v>
      </c>
      <c r="F541" s="3" t="s">
        <v>2540</v>
      </c>
    </row>
    <row r="542" spans="1:6" x14ac:dyDescent="0.3">
      <c r="A542" s="3" t="s">
        <v>528</v>
      </c>
      <c r="B542" s="3" t="s">
        <v>22</v>
      </c>
      <c r="C542" s="3" t="str">
        <f t="shared" si="8"/>
        <v>450010966620</v>
      </c>
      <c r="D542" s="4">
        <v>46645</v>
      </c>
      <c r="E542" s="3" t="s">
        <v>2196</v>
      </c>
      <c r="F542" s="3" t="s">
        <v>2540</v>
      </c>
    </row>
    <row r="543" spans="1:6" x14ac:dyDescent="0.3">
      <c r="A543" s="3" t="s">
        <v>528</v>
      </c>
      <c r="B543" s="3" t="s">
        <v>35</v>
      </c>
      <c r="C543" s="3" t="str">
        <f t="shared" si="8"/>
        <v>450010966630</v>
      </c>
      <c r="D543" s="4">
        <v>46645</v>
      </c>
      <c r="E543" s="3" t="s">
        <v>2196</v>
      </c>
      <c r="F543" s="3" t="s">
        <v>2540</v>
      </c>
    </row>
    <row r="544" spans="1:6" x14ac:dyDescent="0.3">
      <c r="A544" s="3" t="s">
        <v>628</v>
      </c>
      <c r="B544" s="3" t="s">
        <v>30</v>
      </c>
      <c r="C544" s="3" t="str">
        <f t="shared" si="8"/>
        <v>450011004310</v>
      </c>
      <c r="D544" s="4">
        <v>46203</v>
      </c>
      <c r="E544" s="3" t="s">
        <v>2203</v>
      </c>
      <c r="F544" s="3" t="s">
        <v>2541</v>
      </c>
    </row>
    <row r="545" spans="1:6" x14ac:dyDescent="0.3">
      <c r="A545" s="3" t="s">
        <v>2992</v>
      </c>
      <c r="B545" s="3" t="s">
        <v>30</v>
      </c>
      <c r="C545" s="3" t="str">
        <f t="shared" si="8"/>
        <v>450011074610</v>
      </c>
      <c r="D545" s="4">
        <v>46417</v>
      </c>
      <c r="E545" s="3" t="s">
        <v>2194</v>
      </c>
      <c r="F545" s="3" t="s">
        <v>2481</v>
      </c>
    </row>
    <row r="546" spans="1:6" x14ac:dyDescent="0.3">
      <c r="A546" s="3" t="s">
        <v>2992</v>
      </c>
      <c r="B546" s="3" t="s">
        <v>22</v>
      </c>
      <c r="C546" s="3" t="str">
        <f t="shared" si="8"/>
        <v>450011074620</v>
      </c>
      <c r="D546" s="4">
        <v>46417</v>
      </c>
      <c r="E546" s="3" t="s">
        <v>2194</v>
      </c>
      <c r="F546" s="3" t="s">
        <v>2481</v>
      </c>
    </row>
    <row r="547" spans="1:6" x14ac:dyDescent="0.3">
      <c r="A547" s="3" t="s">
        <v>2992</v>
      </c>
      <c r="B547" s="3" t="s">
        <v>35</v>
      </c>
      <c r="C547" s="3" t="str">
        <f t="shared" si="8"/>
        <v>450011074630</v>
      </c>
      <c r="D547" s="4">
        <v>46417</v>
      </c>
      <c r="E547" s="3" t="s">
        <v>2194</v>
      </c>
      <c r="F547" s="3" t="s">
        <v>2481</v>
      </c>
    </row>
    <row r="548" spans="1:6" x14ac:dyDescent="0.3">
      <c r="A548" s="3" t="s">
        <v>2992</v>
      </c>
      <c r="B548" s="3" t="s">
        <v>23</v>
      </c>
      <c r="C548" s="3" t="str">
        <f t="shared" si="8"/>
        <v>450011074640</v>
      </c>
      <c r="D548" s="4">
        <v>46417</v>
      </c>
      <c r="E548" s="3" t="s">
        <v>2194</v>
      </c>
      <c r="F548" s="3" t="s">
        <v>2481</v>
      </c>
    </row>
    <row r="549" spans="1:6" x14ac:dyDescent="0.3">
      <c r="A549" s="3" t="s">
        <v>1090</v>
      </c>
      <c r="B549" s="3" t="s">
        <v>30</v>
      </c>
      <c r="C549" s="3" t="str">
        <f t="shared" si="8"/>
        <v>450011080310</v>
      </c>
      <c r="D549" s="4">
        <v>45950</v>
      </c>
      <c r="E549" s="3" t="s">
        <v>2198</v>
      </c>
      <c r="F549" s="3" t="s">
        <v>2542</v>
      </c>
    </row>
    <row r="550" spans="1:6" x14ac:dyDescent="0.3">
      <c r="A550" s="3" t="s">
        <v>1090</v>
      </c>
      <c r="B550" s="3" t="s">
        <v>22</v>
      </c>
      <c r="C550" s="3" t="str">
        <f t="shared" si="8"/>
        <v>450011080320</v>
      </c>
      <c r="D550" s="4">
        <v>45950</v>
      </c>
      <c r="E550" s="3" t="s">
        <v>2198</v>
      </c>
      <c r="F550" s="3" t="s">
        <v>2542</v>
      </c>
    </row>
    <row r="551" spans="1:6" x14ac:dyDescent="0.3">
      <c r="A551" s="3" t="s">
        <v>1090</v>
      </c>
      <c r="B551" s="3" t="s">
        <v>35</v>
      </c>
      <c r="C551" s="3" t="str">
        <f t="shared" si="8"/>
        <v>450011080330</v>
      </c>
      <c r="D551" s="4">
        <v>45950</v>
      </c>
      <c r="E551" s="3" t="s">
        <v>2198</v>
      </c>
      <c r="F551" s="3" t="s">
        <v>2542</v>
      </c>
    </row>
    <row r="552" spans="1:6" x14ac:dyDescent="0.3">
      <c r="A552" s="3" t="s">
        <v>538</v>
      </c>
      <c r="B552" s="3" t="s">
        <v>30</v>
      </c>
      <c r="C552" s="3" t="str">
        <f t="shared" si="8"/>
        <v>450011082910</v>
      </c>
      <c r="D552" s="4">
        <v>46080</v>
      </c>
      <c r="E552" s="3" t="s">
        <v>2196</v>
      </c>
      <c r="F552" s="3" t="s">
        <v>2543</v>
      </c>
    </row>
    <row r="553" spans="1:6" x14ac:dyDescent="0.3">
      <c r="A553" s="3" t="s">
        <v>590</v>
      </c>
      <c r="B553" s="3" t="s">
        <v>30</v>
      </c>
      <c r="C553" s="3" t="str">
        <f t="shared" si="8"/>
        <v>450011180810</v>
      </c>
      <c r="D553" s="4">
        <v>46234</v>
      </c>
      <c r="E553" s="3" t="s">
        <v>2196</v>
      </c>
      <c r="F553" s="3" t="s">
        <v>2459</v>
      </c>
    </row>
    <row r="554" spans="1:6" x14ac:dyDescent="0.3">
      <c r="A554" s="3" t="s">
        <v>590</v>
      </c>
      <c r="B554" s="3" t="s">
        <v>22</v>
      </c>
      <c r="C554" s="3" t="str">
        <f t="shared" si="8"/>
        <v>450011180820</v>
      </c>
      <c r="D554" s="4">
        <v>46234</v>
      </c>
      <c r="E554" s="3" t="s">
        <v>2196</v>
      </c>
      <c r="F554" s="3" t="s">
        <v>2459</v>
      </c>
    </row>
    <row r="555" spans="1:6" x14ac:dyDescent="0.3">
      <c r="A555" s="3" t="s">
        <v>590</v>
      </c>
      <c r="B555" s="3" t="s">
        <v>35</v>
      </c>
      <c r="C555" s="3" t="str">
        <f t="shared" si="8"/>
        <v>450011180830</v>
      </c>
      <c r="D555" s="4">
        <v>46234</v>
      </c>
      <c r="E555" s="3" t="s">
        <v>2196</v>
      </c>
      <c r="F555" s="3" t="s">
        <v>2459</v>
      </c>
    </row>
    <row r="556" spans="1:6" x14ac:dyDescent="0.3">
      <c r="A556" s="3" t="s">
        <v>590</v>
      </c>
      <c r="B556" s="3" t="s">
        <v>23</v>
      </c>
      <c r="C556" s="3" t="str">
        <f t="shared" si="8"/>
        <v>450011180840</v>
      </c>
      <c r="D556" s="4">
        <v>46234</v>
      </c>
      <c r="E556" s="3" t="s">
        <v>2196</v>
      </c>
      <c r="F556" s="3" t="s">
        <v>2459</v>
      </c>
    </row>
    <row r="557" spans="1:6" x14ac:dyDescent="0.3">
      <c r="A557" s="3" t="s">
        <v>590</v>
      </c>
      <c r="B557" s="3" t="s">
        <v>144</v>
      </c>
      <c r="C557" s="3" t="str">
        <f t="shared" si="8"/>
        <v>450011180850</v>
      </c>
      <c r="D557" s="4">
        <v>46234</v>
      </c>
      <c r="E557" s="3" t="s">
        <v>2196</v>
      </c>
      <c r="F557" s="3" t="s">
        <v>2459</v>
      </c>
    </row>
    <row r="558" spans="1:6" x14ac:dyDescent="0.3">
      <c r="A558" s="3" t="s">
        <v>590</v>
      </c>
      <c r="B558" s="3" t="s">
        <v>141</v>
      </c>
      <c r="C558" s="3" t="str">
        <f t="shared" si="8"/>
        <v>450011180860</v>
      </c>
      <c r="D558" s="4">
        <v>46234</v>
      </c>
      <c r="E558" s="3" t="s">
        <v>2196</v>
      </c>
      <c r="F558" s="3" t="s">
        <v>2459</v>
      </c>
    </row>
    <row r="559" spans="1:6" x14ac:dyDescent="0.3">
      <c r="A559" s="3" t="s">
        <v>590</v>
      </c>
      <c r="B559" s="3" t="s">
        <v>134</v>
      </c>
      <c r="C559" s="3" t="str">
        <f t="shared" si="8"/>
        <v>450011180870</v>
      </c>
      <c r="D559" s="4">
        <v>46234</v>
      </c>
      <c r="E559" s="3" t="s">
        <v>2196</v>
      </c>
      <c r="F559" s="3" t="s">
        <v>2459</v>
      </c>
    </row>
    <row r="560" spans="1:6" x14ac:dyDescent="0.3">
      <c r="A560" s="3" t="s">
        <v>590</v>
      </c>
      <c r="B560" s="3" t="s">
        <v>52</v>
      </c>
      <c r="C560" s="3" t="str">
        <f t="shared" si="8"/>
        <v>450011180880</v>
      </c>
      <c r="D560" s="4">
        <v>46234</v>
      </c>
      <c r="E560" s="3" t="s">
        <v>2196</v>
      </c>
      <c r="F560" s="3" t="s">
        <v>2459</v>
      </c>
    </row>
    <row r="561" spans="1:6" x14ac:dyDescent="0.3">
      <c r="A561" s="3" t="s">
        <v>590</v>
      </c>
      <c r="B561" s="3" t="s">
        <v>138</v>
      </c>
      <c r="C561" s="3" t="str">
        <f t="shared" si="8"/>
        <v>450011180890</v>
      </c>
      <c r="D561" s="4">
        <v>46234</v>
      </c>
      <c r="E561" s="3" t="s">
        <v>2196</v>
      </c>
      <c r="F561" s="3" t="s">
        <v>2459</v>
      </c>
    </row>
    <row r="562" spans="1:6" x14ac:dyDescent="0.3">
      <c r="A562" s="3" t="s">
        <v>590</v>
      </c>
      <c r="B562" s="3" t="s">
        <v>45</v>
      </c>
      <c r="C562" s="3" t="str">
        <f t="shared" si="8"/>
        <v>4500111808100</v>
      </c>
      <c r="D562" s="4">
        <v>46234</v>
      </c>
      <c r="E562" s="3" t="s">
        <v>2196</v>
      </c>
      <c r="F562" s="3" t="s">
        <v>2459</v>
      </c>
    </row>
    <row r="563" spans="1:6" x14ac:dyDescent="0.3">
      <c r="A563" s="3" t="s">
        <v>590</v>
      </c>
      <c r="B563" s="3" t="s">
        <v>142</v>
      </c>
      <c r="C563" s="3" t="str">
        <f t="shared" si="8"/>
        <v>4500111808130</v>
      </c>
      <c r="D563" s="4">
        <v>46274</v>
      </c>
      <c r="E563" s="3" t="s">
        <v>2196</v>
      </c>
      <c r="F563" s="3" t="s">
        <v>2459</v>
      </c>
    </row>
    <row r="564" spans="1:6" x14ac:dyDescent="0.3">
      <c r="A564" s="3" t="s">
        <v>590</v>
      </c>
      <c r="B564" s="3" t="s">
        <v>131</v>
      </c>
      <c r="C564" s="3" t="str">
        <f t="shared" si="8"/>
        <v>4500111808140</v>
      </c>
      <c r="D564" s="4">
        <v>46274</v>
      </c>
      <c r="E564" s="3" t="s">
        <v>2196</v>
      </c>
      <c r="F564" s="3" t="s">
        <v>2459</v>
      </c>
    </row>
    <row r="565" spans="1:6" x14ac:dyDescent="0.3">
      <c r="A565" s="3" t="s">
        <v>590</v>
      </c>
      <c r="B565" s="3" t="s">
        <v>68</v>
      </c>
      <c r="C565" s="3" t="str">
        <f t="shared" si="8"/>
        <v>4500111808150</v>
      </c>
      <c r="D565" s="4">
        <v>46274</v>
      </c>
      <c r="E565" s="3" t="s">
        <v>2196</v>
      </c>
      <c r="F565" s="3" t="s">
        <v>2459</v>
      </c>
    </row>
    <row r="566" spans="1:6" x14ac:dyDescent="0.3">
      <c r="A566" s="3" t="s">
        <v>29</v>
      </c>
      <c r="B566" s="3" t="s">
        <v>30</v>
      </c>
      <c r="C566" s="3" t="str">
        <f t="shared" si="8"/>
        <v>450011214010</v>
      </c>
      <c r="D566" s="4">
        <v>46053</v>
      </c>
      <c r="E566" s="3" t="s">
        <v>2201</v>
      </c>
      <c r="F566" s="3" t="s">
        <v>2437</v>
      </c>
    </row>
    <row r="567" spans="1:6" x14ac:dyDescent="0.3">
      <c r="A567" s="3" t="s">
        <v>545</v>
      </c>
      <c r="B567" s="3" t="s">
        <v>30</v>
      </c>
      <c r="C567" s="3" t="str">
        <f t="shared" si="8"/>
        <v>450011234310</v>
      </c>
      <c r="D567" s="4">
        <v>46096</v>
      </c>
      <c r="E567" s="3" t="s">
        <v>2196</v>
      </c>
      <c r="F567" s="3" t="s">
        <v>2539</v>
      </c>
    </row>
    <row r="568" spans="1:6" x14ac:dyDescent="0.3">
      <c r="A568" s="3" t="s">
        <v>545</v>
      </c>
      <c r="B568" s="3" t="s">
        <v>22</v>
      </c>
      <c r="C568" s="3" t="str">
        <f t="shared" si="8"/>
        <v>450011234320</v>
      </c>
      <c r="D568" s="4">
        <v>46096</v>
      </c>
      <c r="E568" s="3" t="s">
        <v>2196</v>
      </c>
      <c r="F568" s="3" t="s">
        <v>2539</v>
      </c>
    </row>
    <row r="569" spans="1:6" x14ac:dyDescent="0.3">
      <c r="A569" s="3" t="s">
        <v>545</v>
      </c>
      <c r="B569" s="3" t="s">
        <v>35</v>
      </c>
      <c r="C569" s="3" t="str">
        <f t="shared" si="8"/>
        <v>450011234330</v>
      </c>
      <c r="D569" s="4">
        <v>46096</v>
      </c>
      <c r="E569" s="3" t="s">
        <v>2196</v>
      </c>
      <c r="F569" s="3" t="s">
        <v>2539</v>
      </c>
    </row>
    <row r="570" spans="1:6" x14ac:dyDescent="0.3">
      <c r="A570" s="3" t="s">
        <v>545</v>
      </c>
      <c r="B570" s="3" t="s">
        <v>23</v>
      </c>
      <c r="C570" s="3" t="str">
        <f t="shared" si="8"/>
        <v>450011234340</v>
      </c>
      <c r="D570" s="4">
        <v>46096</v>
      </c>
      <c r="E570" s="3" t="s">
        <v>2196</v>
      </c>
      <c r="F570" s="3" t="s">
        <v>2539</v>
      </c>
    </row>
    <row r="571" spans="1:6" x14ac:dyDescent="0.3">
      <c r="A571" s="3" t="s">
        <v>545</v>
      </c>
      <c r="B571" s="3" t="s">
        <v>144</v>
      </c>
      <c r="C571" s="3" t="str">
        <f t="shared" si="8"/>
        <v>450011234350</v>
      </c>
      <c r="D571" s="4">
        <v>46096</v>
      </c>
      <c r="E571" s="3" t="s">
        <v>2196</v>
      </c>
      <c r="F571" s="3" t="s">
        <v>2539</v>
      </c>
    </row>
    <row r="572" spans="1:6" x14ac:dyDescent="0.3">
      <c r="A572" s="3" t="s">
        <v>545</v>
      </c>
      <c r="B572" s="3" t="s">
        <v>141</v>
      </c>
      <c r="C572" s="3" t="str">
        <f t="shared" si="8"/>
        <v>450011234360</v>
      </c>
      <c r="D572" s="4">
        <v>46096</v>
      </c>
      <c r="E572" s="3" t="s">
        <v>2196</v>
      </c>
      <c r="F572" s="3" t="s">
        <v>2539</v>
      </c>
    </row>
    <row r="573" spans="1:6" x14ac:dyDescent="0.3">
      <c r="A573" s="3" t="s">
        <v>545</v>
      </c>
      <c r="B573" s="3" t="s">
        <v>134</v>
      </c>
      <c r="C573" s="3" t="str">
        <f t="shared" si="8"/>
        <v>450011234370</v>
      </c>
      <c r="D573" s="4">
        <v>46096</v>
      </c>
      <c r="E573" s="3" t="s">
        <v>2196</v>
      </c>
      <c r="F573" s="3" t="s">
        <v>2539</v>
      </c>
    </row>
    <row r="574" spans="1:6" x14ac:dyDescent="0.3">
      <c r="A574" s="3" t="s">
        <v>545</v>
      </c>
      <c r="B574" s="3" t="s">
        <v>52</v>
      </c>
      <c r="C574" s="3" t="str">
        <f t="shared" si="8"/>
        <v>450011234380</v>
      </c>
      <c r="D574" s="4">
        <v>46096</v>
      </c>
      <c r="E574" s="3" t="s">
        <v>2196</v>
      </c>
      <c r="F574" s="3" t="s">
        <v>2539</v>
      </c>
    </row>
    <row r="575" spans="1:6" x14ac:dyDescent="0.3">
      <c r="A575" s="3" t="s">
        <v>711</v>
      </c>
      <c r="B575" s="3" t="s">
        <v>30</v>
      </c>
      <c r="C575" s="3" t="str">
        <f t="shared" si="8"/>
        <v>450011239110</v>
      </c>
      <c r="D575" s="4">
        <v>46386</v>
      </c>
      <c r="E575" s="3" t="s">
        <v>2203</v>
      </c>
      <c r="F575" s="3" t="s">
        <v>2541</v>
      </c>
    </row>
    <row r="576" spans="1:6" x14ac:dyDescent="0.3">
      <c r="A576" s="3" t="s">
        <v>580</v>
      </c>
      <c r="B576" s="3" t="s">
        <v>30</v>
      </c>
      <c r="C576" s="3" t="str">
        <f t="shared" si="8"/>
        <v>450011272110</v>
      </c>
      <c r="D576" s="4">
        <v>46078</v>
      </c>
      <c r="E576" s="3" t="s">
        <v>2233</v>
      </c>
      <c r="F576" s="3" t="s">
        <v>2544</v>
      </c>
    </row>
    <row r="577" spans="1:6" x14ac:dyDescent="0.3">
      <c r="A577" s="3" t="s">
        <v>188</v>
      </c>
      <c r="B577" s="3" t="s">
        <v>30</v>
      </c>
      <c r="C577" s="3" t="str">
        <f t="shared" si="8"/>
        <v>450011305110</v>
      </c>
      <c r="D577" s="4">
        <v>45979</v>
      </c>
      <c r="E577" s="3" t="s">
        <v>2236</v>
      </c>
      <c r="F577" s="3" t="s">
        <v>2545</v>
      </c>
    </row>
    <row r="578" spans="1:6" x14ac:dyDescent="0.3">
      <c r="A578" s="3" t="s">
        <v>474</v>
      </c>
      <c r="B578" s="3" t="s">
        <v>30</v>
      </c>
      <c r="C578" s="3" t="str">
        <f t="shared" si="8"/>
        <v>450011314810</v>
      </c>
      <c r="D578" s="4">
        <v>45989</v>
      </c>
      <c r="E578" s="3" t="s">
        <v>2207</v>
      </c>
      <c r="F578" s="3" t="s">
        <v>2500</v>
      </c>
    </row>
    <row r="579" spans="1:6" x14ac:dyDescent="0.3">
      <c r="A579" s="3" t="s">
        <v>776</v>
      </c>
      <c r="B579" s="3" t="s">
        <v>30</v>
      </c>
      <c r="C579" s="3" t="str">
        <f t="shared" ref="C579:C642" si="9">_xlfn.CONCAT(A579:B579)</f>
        <v>450011355710</v>
      </c>
      <c r="D579" s="4">
        <v>46098</v>
      </c>
      <c r="E579" s="3" t="s">
        <v>2204</v>
      </c>
      <c r="F579" s="3" t="s">
        <v>2546</v>
      </c>
    </row>
    <row r="580" spans="1:6" x14ac:dyDescent="0.3">
      <c r="A580" s="3" t="s">
        <v>542</v>
      </c>
      <c r="B580" s="3" t="s">
        <v>30</v>
      </c>
      <c r="C580" s="3" t="str">
        <f t="shared" si="9"/>
        <v>450011414810</v>
      </c>
      <c r="D580" s="4">
        <v>46168</v>
      </c>
      <c r="E580" s="3" t="s">
        <v>2206</v>
      </c>
      <c r="F580" s="3" t="s">
        <v>2445</v>
      </c>
    </row>
    <row r="581" spans="1:6" x14ac:dyDescent="0.3">
      <c r="A581" s="3" t="s">
        <v>542</v>
      </c>
      <c r="B581" s="3" t="s">
        <v>22</v>
      </c>
      <c r="C581" s="3" t="str">
        <f t="shared" si="9"/>
        <v>450011414820</v>
      </c>
      <c r="D581" s="4">
        <v>46168</v>
      </c>
      <c r="E581" s="3" t="s">
        <v>2206</v>
      </c>
      <c r="F581" s="3" t="s">
        <v>2445</v>
      </c>
    </row>
    <row r="582" spans="1:6" x14ac:dyDescent="0.3">
      <c r="A582" s="3" t="s">
        <v>542</v>
      </c>
      <c r="B582" s="3" t="s">
        <v>35</v>
      </c>
      <c r="C582" s="3" t="str">
        <f t="shared" si="9"/>
        <v>450011414830</v>
      </c>
      <c r="D582" s="4">
        <v>46168</v>
      </c>
      <c r="E582" s="3" t="s">
        <v>2206</v>
      </c>
      <c r="F582" s="3" t="s">
        <v>2445</v>
      </c>
    </row>
    <row r="583" spans="1:6" x14ac:dyDescent="0.3">
      <c r="A583" s="3" t="s">
        <v>542</v>
      </c>
      <c r="B583" s="3" t="s">
        <v>23</v>
      </c>
      <c r="C583" s="3" t="str">
        <f t="shared" si="9"/>
        <v>450011414840</v>
      </c>
      <c r="D583" s="4">
        <v>46168</v>
      </c>
      <c r="E583" s="3" t="s">
        <v>2206</v>
      </c>
      <c r="F583" s="3" t="s">
        <v>2445</v>
      </c>
    </row>
    <row r="584" spans="1:6" x14ac:dyDescent="0.3">
      <c r="A584" s="3" t="s">
        <v>542</v>
      </c>
      <c r="B584" s="3" t="s">
        <v>144</v>
      </c>
      <c r="C584" s="3" t="str">
        <f t="shared" si="9"/>
        <v>450011414850</v>
      </c>
      <c r="D584" s="4">
        <v>46168</v>
      </c>
      <c r="E584" s="3" t="s">
        <v>2206</v>
      </c>
      <c r="F584" s="3" t="s">
        <v>2445</v>
      </c>
    </row>
    <row r="585" spans="1:6" x14ac:dyDescent="0.3">
      <c r="A585" s="3" t="s">
        <v>542</v>
      </c>
      <c r="B585" s="3" t="s">
        <v>141</v>
      </c>
      <c r="C585" s="3" t="str">
        <f t="shared" si="9"/>
        <v>450011414860</v>
      </c>
      <c r="D585" s="4">
        <v>46168</v>
      </c>
      <c r="E585" s="3" t="s">
        <v>2206</v>
      </c>
      <c r="F585" s="3" t="s">
        <v>2445</v>
      </c>
    </row>
    <row r="586" spans="1:6" x14ac:dyDescent="0.3">
      <c r="A586" s="3" t="s">
        <v>542</v>
      </c>
      <c r="B586" s="3" t="s">
        <v>134</v>
      </c>
      <c r="C586" s="3" t="str">
        <f t="shared" si="9"/>
        <v>450011414870</v>
      </c>
      <c r="D586" s="4">
        <v>46168</v>
      </c>
      <c r="E586" s="3" t="s">
        <v>2206</v>
      </c>
      <c r="F586" s="3" t="s">
        <v>2445</v>
      </c>
    </row>
    <row r="587" spans="1:6" x14ac:dyDescent="0.3">
      <c r="A587" s="3" t="s">
        <v>542</v>
      </c>
      <c r="B587" s="3" t="s">
        <v>52</v>
      </c>
      <c r="C587" s="3" t="str">
        <f t="shared" si="9"/>
        <v>450011414880</v>
      </c>
      <c r="D587" s="4">
        <v>46168</v>
      </c>
      <c r="E587" s="3" t="s">
        <v>2206</v>
      </c>
      <c r="F587" s="3" t="s">
        <v>2445</v>
      </c>
    </row>
    <row r="588" spans="1:6" x14ac:dyDescent="0.3">
      <c r="A588" s="3" t="s">
        <v>542</v>
      </c>
      <c r="B588" s="3" t="s">
        <v>138</v>
      </c>
      <c r="C588" s="3" t="str">
        <f t="shared" si="9"/>
        <v>450011414890</v>
      </c>
      <c r="D588" s="4">
        <v>46168</v>
      </c>
      <c r="E588" s="3" t="s">
        <v>2206</v>
      </c>
      <c r="F588" s="3" t="s">
        <v>2445</v>
      </c>
    </row>
    <row r="589" spans="1:6" x14ac:dyDescent="0.3">
      <c r="A589" s="3" t="s">
        <v>542</v>
      </c>
      <c r="B589" s="3" t="s">
        <v>45</v>
      </c>
      <c r="C589" s="3" t="str">
        <f t="shared" si="9"/>
        <v>4500114148100</v>
      </c>
      <c r="D589" s="4">
        <v>46168</v>
      </c>
      <c r="E589" s="3" t="s">
        <v>2206</v>
      </c>
      <c r="F589" s="3" t="s">
        <v>2445</v>
      </c>
    </row>
    <row r="590" spans="1:6" x14ac:dyDescent="0.3">
      <c r="A590" s="3" t="s">
        <v>3155</v>
      </c>
      <c r="B590" s="3" t="s">
        <v>30</v>
      </c>
      <c r="C590" s="3" t="str">
        <f t="shared" si="9"/>
        <v>450011432310</v>
      </c>
      <c r="D590" s="4">
        <v>46387</v>
      </c>
      <c r="E590" s="3" t="s">
        <v>2194</v>
      </c>
      <c r="F590" s="3" t="s">
        <v>3220</v>
      </c>
    </row>
    <row r="591" spans="1:6" x14ac:dyDescent="0.3">
      <c r="A591" s="3" t="s">
        <v>3155</v>
      </c>
      <c r="B591" s="3" t="s">
        <v>22</v>
      </c>
      <c r="C591" s="3" t="str">
        <f t="shared" si="9"/>
        <v>450011432320</v>
      </c>
      <c r="D591" s="4">
        <v>46387</v>
      </c>
      <c r="E591" s="3" t="s">
        <v>2194</v>
      </c>
      <c r="F591" s="3" t="s">
        <v>3220</v>
      </c>
    </row>
    <row r="592" spans="1:6" x14ac:dyDescent="0.3">
      <c r="A592" s="3" t="s">
        <v>3155</v>
      </c>
      <c r="B592" s="3" t="s">
        <v>35</v>
      </c>
      <c r="C592" s="3" t="str">
        <f t="shared" si="9"/>
        <v>450011432330</v>
      </c>
      <c r="D592" s="4">
        <v>46387</v>
      </c>
      <c r="E592" s="3" t="s">
        <v>2194</v>
      </c>
      <c r="F592" s="3" t="s">
        <v>3220</v>
      </c>
    </row>
    <row r="593" spans="1:6" x14ac:dyDescent="0.3">
      <c r="A593" s="3" t="s">
        <v>3155</v>
      </c>
      <c r="B593" s="3" t="s">
        <v>23</v>
      </c>
      <c r="C593" s="3" t="str">
        <f t="shared" si="9"/>
        <v>450011432340</v>
      </c>
      <c r="D593" s="4">
        <v>46387</v>
      </c>
      <c r="E593" s="3" t="s">
        <v>2194</v>
      </c>
      <c r="F593" s="3" t="s">
        <v>3220</v>
      </c>
    </row>
    <row r="594" spans="1:6" x14ac:dyDescent="0.3">
      <c r="A594" s="3" t="s">
        <v>513</v>
      </c>
      <c r="B594" s="3" t="s">
        <v>30</v>
      </c>
      <c r="C594" s="3" t="str">
        <f t="shared" si="9"/>
        <v>450011442610</v>
      </c>
      <c r="D594" s="4">
        <v>46024</v>
      </c>
      <c r="E594" s="3" t="s">
        <v>2196</v>
      </c>
      <c r="F594" s="3" t="s">
        <v>2423</v>
      </c>
    </row>
    <row r="595" spans="1:6" x14ac:dyDescent="0.3">
      <c r="A595" s="3" t="s">
        <v>513</v>
      </c>
      <c r="B595" s="3" t="s">
        <v>22</v>
      </c>
      <c r="C595" s="3" t="str">
        <f t="shared" si="9"/>
        <v>450011442620</v>
      </c>
      <c r="D595" s="4">
        <v>46008</v>
      </c>
      <c r="E595" s="3" t="s">
        <v>2196</v>
      </c>
      <c r="F595" s="3" t="s">
        <v>2423</v>
      </c>
    </row>
    <row r="596" spans="1:6" x14ac:dyDescent="0.3">
      <c r="A596" s="3" t="s">
        <v>513</v>
      </c>
      <c r="B596" s="3" t="s">
        <v>35</v>
      </c>
      <c r="C596" s="3" t="str">
        <f t="shared" si="9"/>
        <v>450011442630</v>
      </c>
      <c r="D596" s="4">
        <v>46008</v>
      </c>
      <c r="E596" s="3" t="s">
        <v>2196</v>
      </c>
      <c r="F596" s="3" t="s">
        <v>2423</v>
      </c>
    </row>
    <row r="597" spans="1:6" x14ac:dyDescent="0.3">
      <c r="A597" s="3" t="s">
        <v>513</v>
      </c>
      <c r="B597" s="3" t="s">
        <v>23</v>
      </c>
      <c r="C597" s="3" t="str">
        <f t="shared" si="9"/>
        <v>450011442640</v>
      </c>
      <c r="D597" s="4">
        <v>46142</v>
      </c>
      <c r="E597" s="3" t="s">
        <v>2196</v>
      </c>
      <c r="F597" s="3" t="s">
        <v>2423</v>
      </c>
    </row>
    <row r="598" spans="1:6" x14ac:dyDescent="0.3">
      <c r="A598" s="3" t="s">
        <v>513</v>
      </c>
      <c r="B598" s="3" t="s">
        <v>144</v>
      </c>
      <c r="C598" s="3" t="str">
        <f t="shared" si="9"/>
        <v>450011442650</v>
      </c>
      <c r="D598" s="4">
        <v>46008</v>
      </c>
      <c r="E598" s="3" t="s">
        <v>2196</v>
      </c>
      <c r="F598" s="3" t="s">
        <v>2423</v>
      </c>
    </row>
    <row r="599" spans="1:6" x14ac:dyDescent="0.3">
      <c r="A599" s="3" t="s">
        <v>513</v>
      </c>
      <c r="B599" s="3" t="s">
        <v>141</v>
      </c>
      <c r="C599" s="3" t="str">
        <f t="shared" si="9"/>
        <v>450011442660</v>
      </c>
      <c r="D599" s="4">
        <v>46008</v>
      </c>
      <c r="E599" s="3" t="s">
        <v>2196</v>
      </c>
      <c r="F599" s="3" t="s">
        <v>2423</v>
      </c>
    </row>
    <row r="600" spans="1:6" x14ac:dyDescent="0.3">
      <c r="A600" s="3" t="s">
        <v>513</v>
      </c>
      <c r="B600" s="3" t="s">
        <v>134</v>
      </c>
      <c r="C600" s="3" t="str">
        <f t="shared" si="9"/>
        <v>450011442670</v>
      </c>
      <c r="D600" s="4">
        <v>46008</v>
      </c>
      <c r="E600" s="3" t="s">
        <v>2196</v>
      </c>
      <c r="F600" s="3" t="s">
        <v>2423</v>
      </c>
    </row>
    <row r="601" spans="1:6" x14ac:dyDescent="0.3">
      <c r="A601" s="3" t="s">
        <v>1250</v>
      </c>
      <c r="B601" s="3" t="s">
        <v>30</v>
      </c>
      <c r="C601" s="3" t="str">
        <f t="shared" si="9"/>
        <v>450011554610</v>
      </c>
      <c r="D601" s="4">
        <v>46273</v>
      </c>
      <c r="E601" s="3" t="s">
        <v>2196</v>
      </c>
      <c r="F601" s="3" t="s">
        <v>2459</v>
      </c>
    </row>
    <row r="602" spans="1:6" x14ac:dyDescent="0.3">
      <c r="A602" s="3" t="s">
        <v>1250</v>
      </c>
      <c r="B602" s="3" t="s">
        <v>22</v>
      </c>
      <c r="C602" s="3" t="str">
        <f t="shared" si="9"/>
        <v>450011554620</v>
      </c>
      <c r="D602" s="4">
        <v>46273</v>
      </c>
      <c r="E602" s="3" t="s">
        <v>2196</v>
      </c>
      <c r="F602" s="3" t="s">
        <v>2459</v>
      </c>
    </row>
    <row r="603" spans="1:6" x14ac:dyDescent="0.3">
      <c r="A603" s="3" t="s">
        <v>247</v>
      </c>
      <c r="B603" s="3" t="s">
        <v>30</v>
      </c>
      <c r="C603" s="3" t="str">
        <f t="shared" si="9"/>
        <v>450011578310</v>
      </c>
      <c r="D603" s="4">
        <v>46112</v>
      </c>
      <c r="E603" s="3" t="s">
        <v>2195</v>
      </c>
      <c r="F603" s="3" t="s">
        <v>2497</v>
      </c>
    </row>
    <row r="604" spans="1:6" x14ac:dyDescent="0.3">
      <c r="A604" s="3" t="s">
        <v>247</v>
      </c>
      <c r="B604" s="3" t="s">
        <v>23</v>
      </c>
      <c r="C604" s="3" t="str">
        <f t="shared" si="9"/>
        <v>450011578340</v>
      </c>
      <c r="D604" s="4">
        <v>46142</v>
      </c>
      <c r="E604" s="3" t="s">
        <v>2195</v>
      </c>
      <c r="F604" s="3" t="s">
        <v>2497</v>
      </c>
    </row>
    <row r="605" spans="1:6" x14ac:dyDescent="0.3">
      <c r="A605" s="3" t="s">
        <v>247</v>
      </c>
      <c r="B605" s="3" t="s">
        <v>144</v>
      </c>
      <c r="C605" s="3" t="str">
        <f t="shared" si="9"/>
        <v>450011578350</v>
      </c>
      <c r="D605" s="4">
        <v>46142</v>
      </c>
      <c r="E605" s="3" t="s">
        <v>2195</v>
      </c>
      <c r="F605" s="3" t="s">
        <v>2497</v>
      </c>
    </row>
    <row r="606" spans="1:6" x14ac:dyDescent="0.3">
      <c r="A606" s="3" t="s">
        <v>1251</v>
      </c>
      <c r="B606" s="3" t="s">
        <v>22</v>
      </c>
      <c r="C606" s="3" t="str">
        <f t="shared" si="9"/>
        <v>450011650820</v>
      </c>
      <c r="D606" s="4">
        <v>46273</v>
      </c>
      <c r="E606" s="3" t="s">
        <v>2196</v>
      </c>
      <c r="F606" s="3" t="s">
        <v>2459</v>
      </c>
    </row>
    <row r="607" spans="1:6" x14ac:dyDescent="0.3">
      <c r="A607" s="3" t="s">
        <v>1251</v>
      </c>
      <c r="B607" s="3" t="s">
        <v>35</v>
      </c>
      <c r="C607" s="3" t="str">
        <f t="shared" si="9"/>
        <v>450011650830</v>
      </c>
      <c r="D607" s="4">
        <v>46264</v>
      </c>
      <c r="E607" s="3" t="s">
        <v>2196</v>
      </c>
      <c r="F607" s="3" t="s">
        <v>2459</v>
      </c>
    </row>
    <row r="608" spans="1:6" x14ac:dyDescent="0.3">
      <c r="A608" s="3" t="s">
        <v>1251</v>
      </c>
      <c r="B608" s="3" t="s">
        <v>23</v>
      </c>
      <c r="C608" s="3" t="str">
        <f t="shared" si="9"/>
        <v>450011650840</v>
      </c>
      <c r="D608" s="4">
        <v>46273</v>
      </c>
      <c r="E608" s="3" t="s">
        <v>2196</v>
      </c>
      <c r="F608" s="3" t="s">
        <v>2459</v>
      </c>
    </row>
    <row r="609" spans="1:6" x14ac:dyDescent="0.3">
      <c r="A609" s="3" t="s">
        <v>499</v>
      </c>
      <c r="B609" s="3" t="s">
        <v>30</v>
      </c>
      <c r="C609" s="3" t="str">
        <f t="shared" si="9"/>
        <v>450011676410</v>
      </c>
      <c r="D609" s="4">
        <v>46045</v>
      </c>
      <c r="E609" s="3" t="s">
        <v>2196</v>
      </c>
      <c r="F609" s="3" t="s">
        <v>2548</v>
      </c>
    </row>
    <row r="610" spans="1:6" x14ac:dyDescent="0.3">
      <c r="A610" s="3" t="s">
        <v>1252</v>
      </c>
      <c r="B610" s="3" t="s">
        <v>30</v>
      </c>
      <c r="C610" s="3" t="str">
        <f t="shared" si="9"/>
        <v>450011681010</v>
      </c>
      <c r="D610" s="4">
        <v>46273</v>
      </c>
      <c r="E610" s="3" t="s">
        <v>2196</v>
      </c>
      <c r="F610" s="3" t="s">
        <v>2459</v>
      </c>
    </row>
    <row r="611" spans="1:6" x14ac:dyDescent="0.3">
      <c r="A611" s="3" t="s">
        <v>493</v>
      </c>
      <c r="B611" s="3" t="s">
        <v>30</v>
      </c>
      <c r="C611" s="3" t="str">
        <f t="shared" si="9"/>
        <v>450011717510</v>
      </c>
      <c r="D611" s="4">
        <v>46042</v>
      </c>
      <c r="E611" s="3" t="s">
        <v>2207</v>
      </c>
      <c r="F611" s="3" t="s">
        <v>2423</v>
      </c>
    </row>
    <row r="612" spans="1:6" x14ac:dyDescent="0.3">
      <c r="A612" s="3" t="s">
        <v>496</v>
      </c>
      <c r="B612" s="3" t="s">
        <v>30</v>
      </c>
      <c r="C612" s="3" t="str">
        <f t="shared" si="9"/>
        <v>450011724310</v>
      </c>
      <c r="D612" s="4">
        <v>46096</v>
      </c>
      <c r="E612" s="3" t="s">
        <v>2196</v>
      </c>
      <c r="F612" s="3" t="s">
        <v>2549</v>
      </c>
    </row>
    <row r="613" spans="1:6" x14ac:dyDescent="0.3">
      <c r="A613" s="3" t="s">
        <v>496</v>
      </c>
      <c r="B613" s="3" t="s">
        <v>22</v>
      </c>
      <c r="C613" s="3" t="str">
        <f t="shared" si="9"/>
        <v>450011724320</v>
      </c>
      <c r="D613" s="4">
        <v>46096</v>
      </c>
      <c r="E613" s="3" t="s">
        <v>2196</v>
      </c>
      <c r="F613" s="3" t="s">
        <v>2549</v>
      </c>
    </row>
    <row r="614" spans="1:6" x14ac:dyDescent="0.3">
      <c r="A614" s="3" t="s">
        <v>555</v>
      </c>
      <c r="B614" s="3" t="s">
        <v>30</v>
      </c>
      <c r="C614" s="3" t="str">
        <f t="shared" si="9"/>
        <v>450011749010</v>
      </c>
      <c r="D614" s="4">
        <v>46098</v>
      </c>
      <c r="E614" s="3" t="s">
        <v>2196</v>
      </c>
      <c r="F614" s="3" t="s">
        <v>2550</v>
      </c>
    </row>
    <row r="615" spans="1:6" x14ac:dyDescent="0.3">
      <c r="A615" s="3" t="s">
        <v>555</v>
      </c>
      <c r="B615" s="3" t="s">
        <v>22</v>
      </c>
      <c r="C615" s="3" t="str">
        <f t="shared" si="9"/>
        <v>450011749020</v>
      </c>
      <c r="D615" s="4">
        <v>46143</v>
      </c>
      <c r="E615" s="3" t="s">
        <v>2196</v>
      </c>
      <c r="F615" s="3" t="s">
        <v>2550</v>
      </c>
    </row>
    <row r="616" spans="1:6" x14ac:dyDescent="0.3">
      <c r="A616" s="3" t="s">
        <v>555</v>
      </c>
      <c r="B616" s="3" t="s">
        <v>35</v>
      </c>
      <c r="C616" s="3" t="str">
        <f t="shared" si="9"/>
        <v>450011749030</v>
      </c>
      <c r="D616" s="4">
        <v>46143</v>
      </c>
      <c r="E616" s="3" t="s">
        <v>2196</v>
      </c>
      <c r="F616" s="3" t="s">
        <v>2550</v>
      </c>
    </row>
    <row r="617" spans="1:6" x14ac:dyDescent="0.3">
      <c r="A617" s="3" t="s">
        <v>795</v>
      </c>
      <c r="B617" s="3" t="s">
        <v>30</v>
      </c>
      <c r="C617" s="3" t="str">
        <f t="shared" si="9"/>
        <v>450011751510</v>
      </c>
      <c r="D617" s="4">
        <v>46051</v>
      </c>
      <c r="E617" s="3" t="s">
        <v>2207</v>
      </c>
      <c r="F617" s="3" t="s">
        <v>2551</v>
      </c>
    </row>
    <row r="618" spans="1:6" x14ac:dyDescent="0.3">
      <c r="A618" s="3" t="s">
        <v>795</v>
      </c>
      <c r="B618" s="3" t="s">
        <v>22</v>
      </c>
      <c r="C618" s="3" t="str">
        <f t="shared" si="9"/>
        <v>450011751520</v>
      </c>
      <c r="D618" s="4">
        <v>46051</v>
      </c>
      <c r="E618" s="3" t="s">
        <v>2207</v>
      </c>
      <c r="F618" s="3" t="s">
        <v>2551</v>
      </c>
    </row>
    <row r="619" spans="1:6" x14ac:dyDescent="0.3">
      <c r="A619" s="3" t="s">
        <v>635</v>
      </c>
      <c r="B619" s="3" t="s">
        <v>30</v>
      </c>
      <c r="C619" s="3" t="str">
        <f t="shared" si="9"/>
        <v>450011758910</v>
      </c>
      <c r="D619" s="4">
        <v>46051</v>
      </c>
      <c r="E619" s="3" t="s">
        <v>2200</v>
      </c>
      <c r="F619" s="3" t="s">
        <v>2552</v>
      </c>
    </row>
    <row r="620" spans="1:6" x14ac:dyDescent="0.3">
      <c r="A620" s="3" t="s">
        <v>511</v>
      </c>
      <c r="B620" s="3" t="s">
        <v>30</v>
      </c>
      <c r="C620" s="3" t="str">
        <f t="shared" si="9"/>
        <v>450011765310</v>
      </c>
      <c r="D620" s="4">
        <v>45869</v>
      </c>
      <c r="E620" s="3" t="s">
        <v>2258</v>
      </c>
      <c r="F620" s="3" t="s">
        <v>2547</v>
      </c>
    </row>
    <row r="621" spans="1:6" x14ac:dyDescent="0.3">
      <c r="A621" s="3" t="s">
        <v>511</v>
      </c>
      <c r="B621" s="3" t="s">
        <v>22</v>
      </c>
      <c r="C621" s="3" t="str">
        <f t="shared" si="9"/>
        <v>450011765320</v>
      </c>
      <c r="D621" s="4">
        <v>45869</v>
      </c>
      <c r="E621" s="3" t="s">
        <v>2258</v>
      </c>
      <c r="F621" s="3" t="s">
        <v>2547</v>
      </c>
    </row>
    <row r="622" spans="1:6" x14ac:dyDescent="0.3">
      <c r="A622" s="3" t="s">
        <v>511</v>
      </c>
      <c r="B622" s="3" t="s">
        <v>35</v>
      </c>
      <c r="C622" s="3" t="str">
        <f t="shared" si="9"/>
        <v>450011765330</v>
      </c>
      <c r="D622" s="4">
        <v>45869</v>
      </c>
      <c r="E622" s="3" t="s">
        <v>2258</v>
      </c>
      <c r="F622" s="3" t="s">
        <v>2547</v>
      </c>
    </row>
    <row r="623" spans="1:6" x14ac:dyDescent="0.3">
      <c r="A623" s="3" t="s">
        <v>511</v>
      </c>
      <c r="B623" s="3" t="s">
        <v>23</v>
      </c>
      <c r="C623" s="3" t="str">
        <f t="shared" si="9"/>
        <v>450011765340</v>
      </c>
      <c r="D623" s="4">
        <v>45869</v>
      </c>
      <c r="E623" s="3" t="s">
        <v>2258</v>
      </c>
      <c r="F623" s="3" t="s">
        <v>2547</v>
      </c>
    </row>
    <row r="624" spans="1:6" x14ac:dyDescent="0.3">
      <c r="A624" s="3" t="s">
        <v>511</v>
      </c>
      <c r="B624" s="3" t="s">
        <v>144</v>
      </c>
      <c r="C624" s="3" t="str">
        <f t="shared" si="9"/>
        <v>450011765350</v>
      </c>
      <c r="D624" s="4">
        <v>45869</v>
      </c>
      <c r="E624" s="3" t="s">
        <v>2258</v>
      </c>
      <c r="F624" s="3" t="s">
        <v>2547</v>
      </c>
    </row>
    <row r="625" spans="1:6" x14ac:dyDescent="0.3">
      <c r="A625" s="3" t="s">
        <v>511</v>
      </c>
      <c r="B625" s="3" t="s">
        <v>141</v>
      </c>
      <c r="C625" s="3" t="str">
        <f t="shared" si="9"/>
        <v>450011765360</v>
      </c>
      <c r="D625" s="4">
        <v>45869</v>
      </c>
      <c r="E625" s="3" t="s">
        <v>2258</v>
      </c>
      <c r="F625" s="3" t="s">
        <v>2547</v>
      </c>
    </row>
    <row r="626" spans="1:6" x14ac:dyDescent="0.3">
      <c r="A626" s="3" t="s">
        <v>511</v>
      </c>
      <c r="B626" s="3" t="s">
        <v>134</v>
      </c>
      <c r="C626" s="3" t="str">
        <f t="shared" si="9"/>
        <v>450011765370</v>
      </c>
      <c r="D626" s="4">
        <v>45869</v>
      </c>
      <c r="E626" s="3" t="s">
        <v>2258</v>
      </c>
      <c r="F626" s="3" t="s">
        <v>2547</v>
      </c>
    </row>
    <row r="627" spans="1:6" x14ac:dyDescent="0.3">
      <c r="A627" s="3" t="s">
        <v>511</v>
      </c>
      <c r="B627" s="3" t="s">
        <v>52</v>
      </c>
      <c r="C627" s="3" t="str">
        <f t="shared" si="9"/>
        <v>450011765380</v>
      </c>
      <c r="D627" s="4">
        <v>45869</v>
      </c>
      <c r="E627" s="3" t="s">
        <v>2258</v>
      </c>
      <c r="F627" s="3" t="s">
        <v>2547</v>
      </c>
    </row>
    <row r="628" spans="1:6" x14ac:dyDescent="0.3">
      <c r="A628" s="3" t="s">
        <v>511</v>
      </c>
      <c r="B628" s="3" t="s">
        <v>138</v>
      </c>
      <c r="C628" s="3" t="str">
        <f t="shared" si="9"/>
        <v>450011765390</v>
      </c>
      <c r="D628" s="4">
        <v>45869</v>
      </c>
      <c r="E628" s="3" t="s">
        <v>2258</v>
      </c>
      <c r="F628" s="3" t="s">
        <v>2547</v>
      </c>
    </row>
    <row r="629" spans="1:6" x14ac:dyDescent="0.3">
      <c r="A629" s="3" t="s">
        <v>511</v>
      </c>
      <c r="B629" s="3" t="s">
        <v>45</v>
      </c>
      <c r="C629" s="3" t="str">
        <f t="shared" si="9"/>
        <v>4500117653100</v>
      </c>
      <c r="D629" s="4">
        <v>45869</v>
      </c>
      <c r="E629" s="3" t="s">
        <v>2258</v>
      </c>
      <c r="F629" s="3" t="s">
        <v>2547</v>
      </c>
    </row>
    <row r="630" spans="1:6" x14ac:dyDescent="0.3">
      <c r="A630" s="3" t="s">
        <v>511</v>
      </c>
      <c r="B630" s="3" t="s">
        <v>156</v>
      </c>
      <c r="C630" s="3" t="str">
        <f t="shared" si="9"/>
        <v>4500117653110</v>
      </c>
      <c r="D630" s="4">
        <v>45869</v>
      </c>
      <c r="E630" s="3" t="s">
        <v>2258</v>
      </c>
      <c r="F630" s="3" t="s">
        <v>2547</v>
      </c>
    </row>
    <row r="631" spans="1:6" x14ac:dyDescent="0.3">
      <c r="A631" s="3" t="s">
        <v>511</v>
      </c>
      <c r="B631" s="3" t="s">
        <v>132</v>
      </c>
      <c r="C631" s="3" t="str">
        <f t="shared" si="9"/>
        <v>4500117653120</v>
      </c>
      <c r="D631" s="4">
        <v>45869</v>
      </c>
      <c r="E631" s="3" t="s">
        <v>2258</v>
      </c>
      <c r="F631" s="3" t="s">
        <v>2547</v>
      </c>
    </row>
    <row r="632" spans="1:6" x14ac:dyDescent="0.3">
      <c r="A632" s="3" t="s">
        <v>511</v>
      </c>
      <c r="B632" s="3" t="s">
        <v>142</v>
      </c>
      <c r="C632" s="3" t="str">
        <f t="shared" si="9"/>
        <v>4500117653130</v>
      </c>
      <c r="D632" s="4">
        <v>45869</v>
      </c>
      <c r="E632" s="3" t="s">
        <v>2258</v>
      </c>
      <c r="F632" s="3" t="s">
        <v>2547</v>
      </c>
    </row>
    <row r="633" spans="1:6" x14ac:dyDescent="0.3">
      <c r="A633" s="3" t="s">
        <v>511</v>
      </c>
      <c r="B633" s="3" t="s">
        <v>131</v>
      </c>
      <c r="C633" s="3" t="str">
        <f t="shared" si="9"/>
        <v>4500117653140</v>
      </c>
      <c r="D633" s="4">
        <v>45869</v>
      </c>
      <c r="E633" s="3" t="s">
        <v>2258</v>
      </c>
      <c r="F633" s="3" t="s">
        <v>2547</v>
      </c>
    </row>
    <row r="634" spans="1:6" x14ac:dyDescent="0.3">
      <c r="A634" s="3" t="s">
        <v>511</v>
      </c>
      <c r="B634" s="3" t="s">
        <v>68</v>
      </c>
      <c r="C634" s="3" t="str">
        <f t="shared" si="9"/>
        <v>4500117653150</v>
      </c>
      <c r="D634" s="4">
        <v>45869</v>
      </c>
      <c r="E634" s="3" t="s">
        <v>2258</v>
      </c>
      <c r="F634" s="3" t="s">
        <v>2547</v>
      </c>
    </row>
    <row r="635" spans="1:6" x14ac:dyDescent="0.3">
      <c r="A635" s="3" t="s">
        <v>511</v>
      </c>
      <c r="B635" s="3" t="s">
        <v>129</v>
      </c>
      <c r="C635" s="3" t="str">
        <f t="shared" si="9"/>
        <v>4500117653160</v>
      </c>
      <c r="D635" s="4">
        <v>45869</v>
      </c>
      <c r="E635" s="3" t="s">
        <v>2258</v>
      </c>
      <c r="F635" s="3" t="s">
        <v>2547</v>
      </c>
    </row>
    <row r="636" spans="1:6" x14ac:dyDescent="0.3">
      <c r="A636" s="3" t="s">
        <v>511</v>
      </c>
      <c r="B636" s="3" t="s">
        <v>53</v>
      </c>
      <c r="C636" s="3" t="str">
        <f t="shared" si="9"/>
        <v>4500117653170</v>
      </c>
      <c r="D636" s="4">
        <v>45869</v>
      </c>
      <c r="E636" s="3" t="s">
        <v>2258</v>
      </c>
      <c r="F636" s="3" t="s">
        <v>2547</v>
      </c>
    </row>
    <row r="637" spans="1:6" x14ac:dyDescent="0.3">
      <c r="A637" s="3" t="s">
        <v>511</v>
      </c>
      <c r="B637" s="3" t="s">
        <v>130</v>
      </c>
      <c r="C637" s="3" t="str">
        <f t="shared" si="9"/>
        <v>4500117653180</v>
      </c>
      <c r="D637" s="4">
        <v>45869</v>
      </c>
      <c r="E637" s="3" t="s">
        <v>2258</v>
      </c>
      <c r="F637" s="3" t="s">
        <v>2547</v>
      </c>
    </row>
    <row r="638" spans="1:6" x14ac:dyDescent="0.3">
      <c r="A638" s="3" t="s">
        <v>511</v>
      </c>
      <c r="B638" s="3" t="s">
        <v>127</v>
      </c>
      <c r="C638" s="3" t="str">
        <f t="shared" si="9"/>
        <v>4500117653190</v>
      </c>
      <c r="D638" s="4">
        <v>45869</v>
      </c>
      <c r="E638" s="3" t="s">
        <v>2258</v>
      </c>
      <c r="F638" s="3" t="s">
        <v>2547</v>
      </c>
    </row>
    <row r="639" spans="1:6" x14ac:dyDescent="0.3">
      <c r="A639" s="3" t="s">
        <v>511</v>
      </c>
      <c r="B639" s="3" t="s">
        <v>161</v>
      </c>
      <c r="C639" s="3" t="str">
        <f t="shared" si="9"/>
        <v>4500117653200</v>
      </c>
      <c r="D639" s="4">
        <v>45869</v>
      </c>
      <c r="E639" s="3" t="s">
        <v>2258</v>
      </c>
      <c r="F639" s="3" t="s">
        <v>2547</v>
      </c>
    </row>
    <row r="640" spans="1:6" x14ac:dyDescent="0.3">
      <c r="A640" s="3" t="s">
        <v>520</v>
      </c>
      <c r="B640" s="3" t="s">
        <v>30</v>
      </c>
      <c r="C640" s="3" t="str">
        <f t="shared" si="9"/>
        <v>450011767610</v>
      </c>
      <c r="D640" s="4">
        <v>46203</v>
      </c>
      <c r="E640" s="3" t="s">
        <v>2203</v>
      </c>
      <c r="F640" s="3" t="s">
        <v>2419</v>
      </c>
    </row>
    <row r="641" spans="1:6" x14ac:dyDescent="0.3">
      <c r="A641" s="3" t="s">
        <v>502</v>
      </c>
      <c r="B641" s="3" t="s">
        <v>22</v>
      </c>
      <c r="C641" s="3" t="str">
        <f t="shared" si="9"/>
        <v>450011779120</v>
      </c>
      <c r="D641" s="4">
        <v>46041</v>
      </c>
      <c r="E641" s="3" t="s">
        <v>2198</v>
      </c>
      <c r="F641" s="3" t="s">
        <v>2542</v>
      </c>
    </row>
    <row r="642" spans="1:6" x14ac:dyDescent="0.3">
      <c r="A642" s="3" t="s">
        <v>502</v>
      </c>
      <c r="B642" s="3" t="s">
        <v>35</v>
      </c>
      <c r="C642" s="3" t="str">
        <f t="shared" si="9"/>
        <v>450011779130</v>
      </c>
      <c r="D642" s="4">
        <v>46041</v>
      </c>
      <c r="E642" s="3" t="s">
        <v>2198</v>
      </c>
      <c r="F642" s="3" t="s">
        <v>2542</v>
      </c>
    </row>
    <row r="643" spans="1:6" x14ac:dyDescent="0.3">
      <c r="A643" s="3" t="s">
        <v>502</v>
      </c>
      <c r="B643" s="3" t="s">
        <v>23</v>
      </c>
      <c r="C643" s="3" t="str">
        <f t="shared" ref="C643:C706" si="10">_xlfn.CONCAT(A643:B643)</f>
        <v>450011779140</v>
      </c>
      <c r="D643" s="4">
        <v>46041</v>
      </c>
      <c r="E643" s="3" t="s">
        <v>2198</v>
      </c>
      <c r="F643" s="3" t="s">
        <v>2542</v>
      </c>
    </row>
    <row r="644" spans="1:6" x14ac:dyDescent="0.3">
      <c r="A644" s="3" t="s">
        <v>502</v>
      </c>
      <c r="B644" s="3" t="s">
        <v>144</v>
      </c>
      <c r="C644" s="3" t="str">
        <f t="shared" si="10"/>
        <v>450011779150</v>
      </c>
      <c r="D644" s="4">
        <v>46042</v>
      </c>
      <c r="E644" s="3" t="s">
        <v>2198</v>
      </c>
      <c r="F644" s="3" t="s">
        <v>2542</v>
      </c>
    </row>
    <row r="645" spans="1:6" x14ac:dyDescent="0.3">
      <c r="A645" s="3" t="s">
        <v>502</v>
      </c>
      <c r="B645" s="3" t="s">
        <v>141</v>
      </c>
      <c r="C645" s="3" t="str">
        <f t="shared" si="10"/>
        <v>450011779160</v>
      </c>
      <c r="D645" s="4">
        <v>46042</v>
      </c>
      <c r="E645" s="3" t="s">
        <v>2198</v>
      </c>
      <c r="F645" s="3" t="s">
        <v>2542</v>
      </c>
    </row>
    <row r="646" spans="1:6" x14ac:dyDescent="0.3">
      <c r="A646" s="3" t="s">
        <v>726</v>
      </c>
      <c r="B646" s="3" t="s">
        <v>30</v>
      </c>
      <c r="C646" s="3" t="str">
        <f t="shared" si="10"/>
        <v>450011803910</v>
      </c>
      <c r="D646" s="4">
        <v>46048</v>
      </c>
      <c r="E646" s="3" t="s">
        <v>2207</v>
      </c>
      <c r="F646" s="3" t="s">
        <v>2553</v>
      </c>
    </row>
    <row r="647" spans="1:6" x14ac:dyDescent="0.3">
      <c r="A647" s="3" t="s">
        <v>185</v>
      </c>
      <c r="B647" s="3" t="s">
        <v>30</v>
      </c>
      <c r="C647" s="3" t="str">
        <f t="shared" si="10"/>
        <v>450011825610</v>
      </c>
      <c r="D647" s="4">
        <v>46049</v>
      </c>
      <c r="E647" s="3" t="s">
        <v>2196</v>
      </c>
      <c r="F647" s="3" t="s">
        <v>2554</v>
      </c>
    </row>
    <row r="648" spans="1:6" x14ac:dyDescent="0.3">
      <c r="A648" s="3" t="s">
        <v>2063</v>
      </c>
      <c r="B648" s="3" t="s">
        <v>30</v>
      </c>
      <c r="C648" s="3" t="str">
        <f t="shared" si="10"/>
        <v>450011833410</v>
      </c>
      <c r="D648" s="4">
        <v>46326</v>
      </c>
      <c r="E648" s="3" t="s">
        <v>2210</v>
      </c>
      <c r="F648" s="3" t="s">
        <v>2446</v>
      </c>
    </row>
    <row r="649" spans="1:6" x14ac:dyDescent="0.3">
      <c r="A649" s="3" t="s">
        <v>2063</v>
      </c>
      <c r="B649" s="3" t="s">
        <v>22</v>
      </c>
      <c r="C649" s="3" t="str">
        <f t="shared" si="10"/>
        <v>450011833420</v>
      </c>
      <c r="D649" s="4">
        <v>46265</v>
      </c>
      <c r="E649" s="3" t="s">
        <v>2210</v>
      </c>
      <c r="F649" s="3" t="s">
        <v>2446</v>
      </c>
    </row>
    <row r="650" spans="1:6" x14ac:dyDescent="0.3">
      <c r="A650" s="3" t="s">
        <v>2063</v>
      </c>
      <c r="B650" s="3" t="s">
        <v>35</v>
      </c>
      <c r="C650" s="3" t="str">
        <f t="shared" si="10"/>
        <v>450011833430</v>
      </c>
      <c r="D650" s="4">
        <v>46326</v>
      </c>
      <c r="E650" s="3" t="s">
        <v>2210</v>
      </c>
      <c r="F650" s="3" t="s">
        <v>2446</v>
      </c>
    </row>
    <row r="651" spans="1:6" x14ac:dyDescent="0.3">
      <c r="A651" s="3" t="s">
        <v>2063</v>
      </c>
      <c r="B651" s="3" t="s">
        <v>23</v>
      </c>
      <c r="C651" s="3" t="str">
        <f t="shared" si="10"/>
        <v>450011833440</v>
      </c>
      <c r="D651" s="4">
        <v>46326</v>
      </c>
      <c r="E651" s="3" t="s">
        <v>2210</v>
      </c>
      <c r="F651" s="3" t="s">
        <v>2446</v>
      </c>
    </row>
    <row r="652" spans="1:6" x14ac:dyDescent="0.3">
      <c r="A652" s="3" t="s">
        <v>2063</v>
      </c>
      <c r="B652" s="3" t="s">
        <v>141</v>
      </c>
      <c r="C652" s="3" t="str">
        <f t="shared" si="10"/>
        <v>450011833460</v>
      </c>
      <c r="D652" s="4">
        <v>46265</v>
      </c>
      <c r="E652" s="3" t="s">
        <v>2210</v>
      </c>
      <c r="F652" s="3" t="s">
        <v>2446</v>
      </c>
    </row>
    <row r="653" spans="1:6" x14ac:dyDescent="0.3">
      <c r="A653" s="3" t="s">
        <v>2063</v>
      </c>
      <c r="B653" s="3" t="s">
        <v>134</v>
      </c>
      <c r="C653" s="3" t="str">
        <f t="shared" si="10"/>
        <v>450011833470</v>
      </c>
      <c r="D653" s="4">
        <v>46265</v>
      </c>
      <c r="E653" s="3" t="s">
        <v>2210</v>
      </c>
      <c r="F653" s="3" t="s">
        <v>2446</v>
      </c>
    </row>
    <row r="654" spans="1:6" x14ac:dyDescent="0.3">
      <c r="A654" s="3" t="s">
        <v>2063</v>
      </c>
      <c r="B654" s="3" t="s">
        <v>142</v>
      </c>
      <c r="C654" s="3" t="str">
        <f t="shared" si="10"/>
        <v>4500118334130</v>
      </c>
      <c r="D654" s="4">
        <v>46265</v>
      </c>
      <c r="E654" s="3" t="s">
        <v>2210</v>
      </c>
      <c r="F654" s="3" t="s">
        <v>2446</v>
      </c>
    </row>
    <row r="655" spans="1:6" x14ac:dyDescent="0.3">
      <c r="A655" s="3" t="s">
        <v>196</v>
      </c>
      <c r="B655" s="3" t="s">
        <v>30</v>
      </c>
      <c r="C655" s="3" t="str">
        <f t="shared" si="10"/>
        <v>450011854310</v>
      </c>
      <c r="D655" s="4">
        <v>45930</v>
      </c>
      <c r="E655" s="3" t="s">
        <v>2258</v>
      </c>
      <c r="F655" s="3" t="s">
        <v>2528</v>
      </c>
    </row>
    <row r="656" spans="1:6" x14ac:dyDescent="0.3">
      <c r="A656" s="3" t="s">
        <v>196</v>
      </c>
      <c r="B656" s="3" t="s">
        <v>22</v>
      </c>
      <c r="C656" s="3" t="str">
        <f t="shared" si="10"/>
        <v>450011854320</v>
      </c>
      <c r="D656" s="4">
        <v>45930</v>
      </c>
      <c r="E656" s="3" t="s">
        <v>2258</v>
      </c>
      <c r="F656" s="3" t="s">
        <v>2528</v>
      </c>
    </row>
    <row r="657" spans="1:6" x14ac:dyDescent="0.3">
      <c r="A657" s="3" t="s">
        <v>196</v>
      </c>
      <c r="B657" s="3" t="s">
        <v>35</v>
      </c>
      <c r="C657" s="3" t="str">
        <f t="shared" si="10"/>
        <v>450011854330</v>
      </c>
      <c r="D657" s="4">
        <v>45930</v>
      </c>
      <c r="E657" s="3" t="s">
        <v>2258</v>
      </c>
      <c r="F657" s="3" t="s">
        <v>2528</v>
      </c>
    </row>
    <row r="658" spans="1:6" x14ac:dyDescent="0.3">
      <c r="A658" s="3" t="s">
        <v>196</v>
      </c>
      <c r="B658" s="3" t="s">
        <v>23</v>
      </c>
      <c r="C658" s="3" t="str">
        <f t="shared" si="10"/>
        <v>450011854340</v>
      </c>
      <c r="D658" s="4">
        <v>45930</v>
      </c>
      <c r="E658" s="3" t="s">
        <v>2258</v>
      </c>
      <c r="F658" s="3" t="s">
        <v>2528</v>
      </c>
    </row>
    <row r="659" spans="1:6" x14ac:dyDescent="0.3">
      <c r="A659" s="3" t="s">
        <v>196</v>
      </c>
      <c r="B659" s="3" t="s">
        <v>144</v>
      </c>
      <c r="C659" s="3" t="str">
        <f t="shared" si="10"/>
        <v>450011854350</v>
      </c>
      <c r="D659" s="4">
        <v>45930</v>
      </c>
      <c r="E659" s="3" t="s">
        <v>2258</v>
      </c>
      <c r="F659" s="3" t="s">
        <v>2528</v>
      </c>
    </row>
    <row r="660" spans="1:6" x14ac:dyDescent="0.3">
      <c r="A660" s="3" t="s">
        <v>196</v>
      </c>
      <c r="B660" s="3" t="s">
        <v>141</v>
      </c>
      <c r="C660" s="3" t="str">
        <f t="shared" si="10"/>
        <v>450011854360</v>
      </c>
      <c r="D660" s="4">
        <v>45930</v>
      </c>
      <c r="E660" s="3" t="s">
        <v>2258</v>
      </c>
      <c r="F660" s="3" t="s">
        <v>2528</v>
      </c>
    </row>
    <row r="661" spans="1:6" x14ac:dyDescent="0.3">
      <c r="A661" s="3" t="s">
        <v>196</v>
      </c>
      <c r="B661" s="3" t="s">
        <v>134</v>
      </c>
      <c r="C661" s="3" t="str">
        <f t="shared" si="10"/>
        <v>450011854370</v>
      </c>
      <c r="D661" s="4">
        <v>45930</v>
      </c>
      <c r="E661" s="3" t="s">
        <v>2258</v>
      </c>
      <c r="F661" s="3" t="s">
        <v>2528</v>
      </c>
    </row>
    <row r="662" spans="1:6" x14ac:dyDescent="0.3">
      <c r="A662" s="3" t="s">
        <v>196</v>
      </c>
      <c r="B662" s="3" t="s">
        <v>52</v>
      </c>
      <c r="C662" s="3" t="str">
        <f t="shared" si="10"/>
        <v>450011854380</v>
      </c>
      <c r="D662" s="4">
        <v>45930</v>
      </c>
      <c r="E662" s="3" t="s">
        <v>2258</v>
      </c>
      <c r="F662" s="3" t="s">
        <v>2528</v>
      </c>
    </row>
    <row r="663" spans="1:6" x14ac:dyDescent="0.3">
      <c r="A663" s="3" t="s">
        <v>196</v>
      </c>
      <c r="B663" s="3" t="s">
        <v>138</v>
      </c>
      <c r="C663" s="3" t="str">
        <f t="shared" si="10"/>
        <v>450011854390</v>
      </c>
      <c r="D663" s="4">
        <v>45930</v>
      </c>
      <c r="E663" s="3" t="s">
        <v>2258</v>
      </c>
      <c r="F663" s="3" t="s">
        <v>2528</v>
      </c>
    </row>
    <row r="664" spans="1:6" x14ac:dyDescent="0.3">
      <c r="A664" s="3" t="s">
        <v>2360</v>
      </c>
      <c r="B664" s="3" t="s">
        <v>30</v>
      </c>
      <c r="C664" s="3" t="str">
        <f t="shared" si="10"/>
        <v>450011860710</v>
      </c>
      <c r="D664" s="4">
        <v>46407</v>
      </c>
      <c r="E664" s="3" t="s">
        <v>2194</v>
      </c>
      <c r="F664" s="3" t="s">
        <v>2418</v>
      </c>
    </row>
    <row r="665" spans="1:6" x14ac:dyDescent="0.3">
      <c r="A665" s="3" t="s">
        <v>517</v>
      </c>
      <c r="B665" s="3" t="s">
        <v>30</v>
      </c>
      <c r="C665" s="3" t="str">
        <f t="shared" si="10"/>
        <v>450011871210</v>
      </c>
      <c r="D665" s="4">
        <v>46050</v>
      </c>
      <c r="E665" s="3" t="s">
        <v>2198</v>
      </c>
      <c r="F665" s="3" t="s">
        <v>2542</v>
      </c>
    </row>
    <row r="666" spans="1:6" x14ac:dyDescent="0.3">
      <c r="A666" s="3" t="s">
        <v>517</v>
      </c>
      <c r="B666" s="3" t="s">
        <v>22</v>
      </c>
      <c r="C666" s="3" t="str">
        <f t="shared" si="10"/>
        <v>450011871220</v>
      </c>
      <c r="D666" s="4">
        <v>46050</v>
      </c>
      <c r="E666" s="3" t="s">
        <v>2198</v>
      </c>
      <c r="F666" s="3" t="s">
        <v>2542</v>
      </c>
    </row>
    <row r="667" spans="1:6" x14ac:dyDescent="0.3">
      <c r="A667" s="3" t="s">
        <v>222</v>
      </c>
      <c r="B667" s="3" t="s">
        <v>30</v>
      </c>
      <c r="C667" s="3" t="str">
        <f t="shared" si="10"/>
        <v>450011874510</v>
      </c>
      <c r="D667" s="4">
        <v>46387</v>
      </c>
      <c r="E667" s="3" t="s">
        <v>2195</v>
      </c>
      <c r="F667" s="3" t="s">
        <v>2555</v>
      </c>
    </row>
    <row r="668" spans="1:6" x14ac:dyDescent="0.3">
      <c r="A668" s="3" t="s">
        <v>222</v>
      </c>
      <c r="B668" s="3" t="s">
        <v>22</v>
      </c>
      <c r="C668" s="3" t="str">
        <f t="shared" si="10"/>
        <v>450011874520</v>
      </c>
      <c r="D668" s="4">
        <v>46387</v>
      </c>
      <c r="E668" s="3" t="s">
        <v>2195</v>
      </c>
      <c r="F668" s="3" t="s">
        <v>2555</v>
      </c>
    </row>
    <row r="669" spans="1:6" x14ac:dyDescent="0.3">
      <c r="A669" s="3" t="s">
        <v>717</v>
      </c>
      <c r="B669" s="3" t="s">
        <v>30</v>
      </c>
      <c r="C669" s="3" t="str">
        <f t="shared" si="10"/>
        <v>450011882910</v>
      </c>
      <c r="D669" s="4">
        <v>46175</v>
      </c>
      <c r="E669" s="3" t="s">
        <v>2196</v>
      </c>
      <c r="F669" s="3" t="s">
        <v>2491</v>
      </c>
    </row>
    <row r="670" spans="1:6" x14ac:dyDescent="0.3">
      <c r="A670" s="3" t="s">
        <v>523</v>
      </c>
      <c r="B670" s="3" t="s">
        <v>30</v>
      </c>
      <c r="C670" s="3" t="str">
        <f t="shared" si="10"/>
        <v>450011893210</v>
      </c>
      <c r="D670" s="4">
        <v>46058</v>
      </c>
      <c r="E670" s="3" t="s">
        <v>2196</v>
      </c>
      <c r="F670" s="3" t="s">
        <v>2550</v>
      </c>
    </row>
    <row r="671" spans="1:6" x14ac:dyDescent="0.3">
      <c r="A671" s="3" t="s">
        <v>523</v>
      </c>
      <c r="B671" s="3" t="s">
        <v>22</v>
      </c>
      <c r="C671" s="3" t="str">
        <f t="shared" si="10"/>
        <v>450011893220</v>
      </c>
      <c r="D671" s="4">
        <v>46058</v>
      </c>
      <c r="E671" s="3" t="s">
        <v>2196</v>
      </c>
      <c r="F671" s="3" t="s">
        <v>2550</v>
      </c>
    </row>
    <row r="672" spans="1:6" x14ac:dyDescent="0.3">
      <c r="A672" s="3" t="s">
        <v>523</v>
      </c>
      <c r="B672" s="3" t="s">
        <v>35</v>
      </c>
      <c r="C672" s="3" t="str">
        <f t="shared" si="10"/>
        <v>450011893230</v>
      </c>
      <c r="D672" s="4">
        <v>46058</v>
      </c>
      <c r="E672" s="3" t="s">
        <v>2196</v>
      </c>
      <c r="F672" s="3" t="s">
        <v>2550</v>
      </c>
    </row>
    <row r="673" spans="1:6" x14ac:dyDescent="0.3">
      <c r="A673" s="3" t="s">
        <v>523</v>
      </c>
      <c r="B673" s="3" t="s">
        <v>23</v>
      </c>
      <c r="C673" s="3" t="str">
        <f t="shared" si="10"/>
        <v>450011893240</v>
      </c>
      <c r="D673" s="4">
        <v>46058</v>
      </c>
      <c r="E673" s="3" t="s">
        <v>2196</v>
      </c>
      <c r="F673" s="3" t="s">
        <v>2550</v>
      </c>
    </row>
    <row r="674" spans="1:6" x14ac:dyDescent="0.3">
      <c r="A674" s="3" t="s">
        <v>523</v>
      </c>
      <c r="B674" s="3" t="s">
        <v>144</v>
      </c>
      <c r="C674" s="3" t="str">
        <f t="shared" si="10"/>
        <v>450011893250</v>
      </c>
      <c r="D674" s="4">
        <v>46058</v>
      </c>
      <c r="E674" s="3" t="s">
        <v>2196</v>
      </c>
      <c r="F674" s="3" t="s">
        <v>2550</v>
      </c>
    </row>
    <row r="675" spans="1:6" x14ac:dyDescent="0.3">
      <c r="A675" s="3" t="s">
        <v>523</v>
      </c>
      <c r="B675" s="3" t="s">
        <v>141</v>
      </c>
      <c r="C675" s="3" t="str">
        <f t="shared" si="10"/>
        <v>450011893260</v>
      </c>
      <c r="D675" s="4">
        <v>46058</v>
      </c>
      <c r="E675" s="3" t="s">
        <v>2196</v>
      </c>
      <c r="F675" s="3" t="s">
        <v>2550</v>
      </c>
    </row>
    <row r="676" spans="1:6" x14ac:dyDescent="0.3">
      <c r="A676" s="3" t="s">
        <v>523</v>
      </c>
      <c r="B676" s="3" t="s">
        <v>134</v>
      </c>
      <c r="C676" s="3" t="str">
        <f t="shared" si="10"/>
        <v>450011893270</v>
      </c>
      <c r="D676" s="4">
        <v>46058</v>
      </c>
      <c r="E676" s="3" t="s">
        <v>2196</v>
      </c>
      <c r="F676" s="3" t="s">
        <v>2550</v>
      </c>
    </row>
    <row r="677" spans="1:6" x14ac:dyDescent="0.3">
      <c r="A677" s="3" t="s">
        <v>523</v>
      </c>
      <c r="B677" s="3" t="s">
        <v>52</v>
      </c>
      <c r="C677" s="3" t="str">
        <f t="shared" si="10"/>
        <v>450011893280</v>
      </c>
      <c r="D677" s="4">
        <v>46058</v>
      </c>
      <c r="E677" s="3" t="s">
        <v>2196</v>
      </c>
      <c r="F677" s="3" t="s">
        <v>2550</v>
      </c>
    </row>
    <row r="678" spans="1:6" x14ac:dyDescent="0.3">
      <c r="A678" s="3" t="s">
        <v>523</v>
      </c>
      <c r="B678" s="3" t="s">
        <v>138</v>
      </c>
      <c r="C678" s="3" t="str">
        <f t="shared" si="10"/>
        <v>450011893290</v>
      </c>
      <c r="D678" s="4">
        <v>46058</v>
      </c>
      <c r="E678" s="3" t="s">
        <v>2196</v>
      </c>
      <c r="F678" s="3" t="s">
        <v>2550</v>
      </c>
    </row>
    <row r="679" spans="1:6" x14ac:dyDescent="0.3">
      <c r="A679" s="3" t="s">
        <v>531</v>
      </c>
      <c r="B679" s="3" t="s">
        <v>30</v>
      </c>
      <c r="C679" s="3" t="str">
        <f t="shared" si="10"/>
        <v>450011903110</v>
      </c>
      <c r="D679" s="4">
        <v>46048</v>
      </c>
      <c r="E679" s="3" t="s">
        <v>2196</v>
      </c>
      <c r="F679" s="3" t="s">
        <v>2556</v>
      </c>
    </row>
    <row r="680" spans="1:6" x14ac:dyDescent="0.3">
      <c r="A680" s="3" t="s">
        <v>751</v>
      </c>
      <c r="B680" s="3" t="s">
        <v>30</v>
      </c>
      <c r="C680" s="3" t="str">
        <f t="shared" si="10"/>
        <v>450011905710</v>
      </c>
      <c r="D680" s="4">
        <v>46307</v>
      </c>
      <c r="E680" s="3" t="s">
        <v>2196</v>
      </c>
      <c r="F680" s="3" t="s">
        <v>2459</v>
      </c>
    </row>
    <row r="681" spans="1:6" x14ac:dyDescent="0.3">
      <c r="A681" s="3" t="s">
        <v>751</v>
      </c>
      <c r="B681" s="3" t="s">
        <v>22</v>
      </c>
      <c r="C681" s="3" t="str">
        <f t="shared" si="10"/>
        <v>450011905720</v>
      </c>
      <c r="D681" s="4">
        <v>46307</v>
      </c>
      <c r="E681" s="3" t="s">
        <v>2196</v>
      </c>
      <c r="F681" s="3" t="s">
        <v>2459</v>
      </c>
    </row>
    <row r="682" spans="1:6" x14ac:dyDescent="0.3">
      <c r="A682" s="3" t="s">
        <v>751</v>
      </c>
      <c r="B682" s="3" t="s">
        <v>23</v>
      </c>
      <c r="C682" s="3" t="str">
        <f t="shared" si="10"/>
        <v>450011905740</v>
      </c>
      <c r="D682" s="4">
        <v>46307</v>
      </c>
      <c r="E682" s="3" t="s">
        <v>2196</v>
      </c>
      <c r="F682" s="3" t="s">
        <v>2459</v>
      </c>
    </row>
    <row r="683" spans="1:6" x14ac:dyDescent="0.3">
      <c r="A683" s="3" t="s">
        <v>751</v>
      </c>
      <c r="B683" s="3" t="s">
        <v>144</v>
      </c>
      <c r="C683" s="3" t="str">
        <f t="shared" si="10"/>
        <v>450011905750</v>
      </c>
      <c r="D683" s="4">
        <v>46307</v>
      </c>
      <c r="E683" s="3" t="s">
        <v>2196</v>
      </c>
      <c r="F683" s="3" t="s">
        <v>2459</v>
      </c>
    </row>
    <row r="684" spans="1:6" x14ac:dyDescent="0.3">
      <c r="A684" s="3" t="s">
        <v>751</v>
      </c>
      <c r="B684" s="3" t="s">
        <v>141</v>
      </c>
      <c r="C684" s="3" t="str">
        <f t="shared" si="10"/>
        <v>450011905760</v>
      </c>
      <c r="D684" s="4">
        <v>46307</v>
      </c>
      <c r="E684" s="3" t="s">
        <v>2196</v>
      </c>
      <c r="F684" s="3" t="s">
        <v>2459</v>
      </c>
    </row>
    <row r="685" spans="1:6" x14ac:dyDescent="0.3">
      <c r="A685" s="3" t="s">
        <v>751</v>
      </c>
      <c r="B685" s="3" t="s">
        <v>134</v>
      </c>
      <c r="C685" s="3" t="str">
        <f t="shared" si="10"/>
        <v>450011905770</v>
      </c>
      <c r="D685" s="4">
        <v>46307</v>
      </c>
      <c r="E685" s="3" t="s">
        <v>2196</v>
      </c>
      <c r="F685" s="3" t="s">
        <v>2459</v>
      </c>
    </row>
    <row r="686" spans="1:6" x14ac:dyDescent="0.3">
      <c r="A686" s="3" t="s">
        <v>751</v>
      </c>
      <c r="B686" s="3" t="s">
        <v>52</v>
      </c>
      <c r="C686" s="3" t="str">
        <f t="shared" si="10"/>
        <v>450011905780</v>
      </c>
      <c r="D686" s="4">
        <v>46307</v>
      </c>
      <c r="E686" s="3" t="s">
        <v>2196</v>
      </c>
      <c r="F686" s="3" t="s">
        <v>2459</v>
      </c>
    </row>
    <row r="687" spans="1:6" x14ac:dyDescent="0.3">
      <c r="A687" s="3" t="s">
        <v>751</v>
      </c>
      <c r="B687" s="3" t="s">
        <v>138</v>
      </c>
      <c r="C687" s="3" t="str">
        <f t="shared" si="10"/>
        <v>450011905790</v>
      </c>
      <c r="D687" s="4">
        <v>46307</v>
      </c>
      <c r="E687" s="3" t="s">
        <v>2196</v>
      </c>
      <c r="F687" s="3" t="s">
        <v>2459</v>
      </c>
    </row>
    <row r="688" spans="1:6" x14ac:dyDescent="0.3">
      <c r="A688" s="3" t="s">
        <v>751</v>
      </c>
      <c r="B688" s="3" t="s">
        <v>45</v>
      </c>
      <c r="C688" s="3" t="str">
        <f t="shared" si="10"/>
        <v>4500119057100</v>
      </c>
      <c r="D688" s="4">
        <v>46307</v>
      </c>
      <c r="E688" s="3" t="s">
        <v>2196</v>
      </c>
      <c r="F688" s="3" t="s">
        <v>2459</v>
      </c>
    </row>
    <row r="689" spans="1:6" x14ac:dyDescent="0.3">
      <c r="A689" s="3" t="s">
        <v>751</v>
      </c>
      <c r="B689" s="3" t="s">
        <v>132</v>
      </c>
      <c r="C689" s="3" t="str">
        <f t="shared" si="10"/>
        <v>4500119057120</v>
      </c>
      <c r="D689" s="4">
        <v>46307</v>
      </c>
      <c r="E689" s="3" t="s">
        <v>2196</v>
      </c>
      <c r="F689" s="3" t="s">
        <v>2459</v>
      </c>
    </row>
    <row r="690" spans="1:6" x14ac:dyDescent="0.3">
      <c r="A690" s="3" t="s">
        <v>751</v>
      </c>
      <c r="B690" s="3" t="s">
        <v>142</v>
      </c>
      <c r="C690" s="3" t="str">
        <f t="shared" si="10"/>
        <v>4500119057130</v>
      </c>
      <c r="D690" s="4">
        <v>46307</v>
      </c>
      <c r="E690" s="3" t="s">
        <v>2196</v>
      </c>
      <c r="F690" s="3" t="s">
        <v>2459</v>
      </c>
    </row>
    <row r="691" spans="1:6" x14ac:dyDescent="0.3">
      <c r="A691" s="3" t="s">
        <v>751</v>
      </c>
      <c r="B691" s="3" t="s">
        <v>131</v>
      </c>
      <c r="C691" s="3" t="str">
        <f t="shared" si="10"/>
        <v>4500119057140</v>
      </c>
      <c r="D691" s="4">
        <v>46307</v>
      </c>
      <c r="E691" s="3" t="s">
        <v>2196</v>
      </c>
      <c r="F691" s="3" t="s">
        <v>2459</v>
      </c>
    </row>
    <row r="692" spans="1:6" x14ac:dyDescent="0.3">
      <c r="A692" s="3" t="s">
        <v>751</v>
      </c>
      <c r="B692" s="3" t="s">
        <v>53</v>
      </c>
      <c r="C692" s="3" t="str">
        <f t="shared" si="10"/>
        <v>4500119057170</v>
      </c>
      <c r="D692" s="4">
        <v>46307</v>
      </c>
      <c r="E692" s="3" t="s">
        <v>2196</v>
      </c>
      <c r="F692" s="3" t="s">
        <v>2459</v>
      </c>
    </row>
    <row r="693" spans="1:6" x14ac:dyDescent="0.3">
      <c r="A693" s="3" t="s">
        <v>751</v>
      </c>
      <c r="B693" s="3" t="s">
        <v>130</v>
      </c>
      <c r="C693" s="3" t="str">
        <f t="shared" si="10"/>
        <v>4500119057180</v>
      </c>
      <c r="D693" s="4">
        <v>46307</v>
      </c>
      <c r="E693" s="3" t="s">
        <v>2196</v>
      </c>
      <c r="F693" s="3" t="s">
        <v>2459</v>
      </c>
    </row>
    <row r="694" spans="1:6" x14ac:dyDescent="0.3">
      <c r="A694" s="3" t="s">
        <v>751</v>
      </c>
      <c r="B694" s="3" t="s">
        <v>127</v>
      </c>
      <c r="C694" s="3" t="str">
        <f t="shared" si="10"/>
        <v>4500119057190</v>
      </c>
      <c r="D694" s="4">
        <v>46307</v>
      </c>
      <c r="E694" s="3" t="s">
        <v>2196</v>
      </c>
      <c r="F694" s="3" t="s">
        <v>2459</v>
      </c>
    </row>
    <row r="695" spans="1:6" x14ac:dyDescent="0.3">
      <c r="A695" s="3" t="s">
        <v>751</v>
      </c>
      <c r="B695" s="3" t="s">
        <v>161</v>
      </c>
      <c r="C695" s="3" t="str">
        <f t="shared" si="10"/>
        <v>4500119057200</v>
      </c>
      <c r="D695" s="4">
        <v>46307</v>
      </c>
      <c r="E695" s="3" t="s">
        <v>2196</v>
      </c>
      <c r="F695" s="3" t="s">
        <v>2459</v>
      </c>
    </row>
    <row r="696" spans="1:6" x14ac:dyDescent="0.3">
      <c r="A696" s="3" t="s">
        <v>751</v>
      </c>
      <c r="B696" s="3" t="s">
        <v>136</v>
      </c>
      <c r="C696" s="3" t="str">
        <f t="shared" si="10"/>
        <v>4500119057210</v>
      </c>
      <c r="D696" s="4">
        <v>46307</v>
      </c>
      <c r="E696" s="3" t="s">
        <v>2196</v>
      </c>
      <c r="F696" s="3" t="s">
        <v>2459</v>
      </c>
    </row>
    <row r="697" spans="1:6" x14ac:dyDescent="0.3">
      <c r="A697" s="3" t="s">
        <v>751</v>
      </c>
      <c r="B697" s="3" t="s">
        <v>137</v>
      </c>
      <c r="C697" s="3" t="str">
        <f t="shared" si="10"/>
        <v>4500119057230</v>
      </c>
      <c r="D697" s="4">
        <v>46307</v>
      </c>
      <c r="E697" s="3" t="s">
        <v>2196</v>
      </c>
      <c r="F697" s="3" t="s">
        <v>2459</v>
      </c>
    </row>
    <row r="698" spans="1:6" x14ac:dyDescent="0.3">
      <c r="A698" s="3" t="s">
        <v>751</v>
      </c>
      <c r="B698" s="3" t="s">
        <v>143</v>
      </c>
      <c r="C698" s="3" t="str">
        <f t="shared" si="10"/>
        <v>4500119057240</v>
      </c>
      <c r="D698" s="4">
        <v>46307</v>
      </c>
      <c r="E698" s="3" t="s">
        <v>2196</v>
      </c>
      <c r="F698" s="3" t="s">
        <v>2459</v>
      </c>
    </row>
    <row r="699" spans="1:6" x14ac:dyDescent="0.3">
      <c r="A699" s="3" t="s">
        <v>751</v>
      </c>
      <c r="B699" s="3" t="s">
        <v>126</v>
      </c>
      <c r="C699" s="3" t="str">
        <f t="shared" si="10"/>
        <v>4500119057260</v>
      </c>
      <c r="D699" s="4">
        <v>46307</v>
      </c>
      <c r="E699" s="3" t="s">
        <v>2196</v>
      </c>
      <c r="F699" s="3" t="s">
        <v>2459</v>
      </c>
    </row>
    <row r="700" spans="1:6" x14ac:dyDescent="0.3">
      <c r="A700" s="3" t="s">
        <v>751</v>
      </c>
      <c r="B700" s="3" t="s">
        <v>133</v>
      </c>
      <c r="C700" s="3" t="str">
        <f t="shared" si="10"/>
        <v>4500119057280</v>
      </c>
      <c r="D700" s="4">
        <v>46307</v>
      </c>
      <c r="E700" s="3" t="s">
        <v>2196</v>
      </c>
      <c r="F700" s="3" t="s">
        <v>2459</v>
      </c>
    </row>
    <row r="701" spans="1:6" x14ac:dyDescent="0.3">
      <c r="A701" s="3" t="s">
        <v>751</v>
      </c>
      <c r="B701" s="3" t="s">
        <v>173</v>
      </c>
      <c r="C701" s="3" t="str">
        <f t="shared" si="10"/>
        <v>4500119057290</v>
      </c>
      <c r="D701" s="4">
        <v>46307</v>
      </c>
      <c r="E701" s="3" t="s">
        <v>2196</v>
      </c>
      <c r="F701" s="3" t="s">
        <v>2459</v>
      </c>
    </row>
    <row r="702" spans="1:6" x14ac:dyDescent="0.3">
      <c r="A702" s="3" t="s">
        <v>751</v>
      </c>
      <c r="B702" s="3" t="s">
        <v>145</v>
      </c>
      <c r="C702" s="3" t="str">
        <f t="shared" si="10"/>
        <v>4500119057300</v>
      </c>
      <c r="D702" s="4">
        <v>46307</v>
      </c>
      <c r="E702" s="3" t="s">
        <v>2196</v>
      </c>
      <c r="F702" s="3" t="s">
        <v>2459</v>
      </c>
    </row>
    <row r="703" spans="1:6" x14ac:dyDescent="0.3">
      <c r="A703" s="3" t="s">
        <v>751</v>
      </c>
      <c r="B703" s="3" t="s">
        <v>147</v>
      </c>
      <c r="C703" s="3" t="str">
        <f t="shared" si="10"/>
        <v>4500119057310</v>
      </c>
      <c r="D703" s="4">
        <v>46307</v>
      </c>
      <c r="E703" s="3" t="s">
        <v>2196</v>
      </c>
      <c r="F703" s="3" t="s">
        <v>2459</v>
      </c>
    </row>
    <row r="704" spans="1:6" x14ac:dyDescent="0.3">
      <c r="A704" s="3" t="s">
        <v>751</v>
      </c>
      <c r="B704" s="3" t="s">
        <v>154</v>
      </c>
      <c r="C704" s="3" t="str">
        <f t="shared" si="10"/>
        <v>4500119057330</v>
      </c>
      <c r="D704" s="4">
        <v>46307</v>
      </c>
      <c r="E704" s="3" t="s">
        <v>2196</v>
      </c>
      <c r="F704" s="3" t="s">
        <v>2459</v>
      </c>
    </row>
    <row r="705" spans="1:6" x14ac:dyDescent="0.3">
      <c r="A705" s="3" t="s">
        <v>751</v>
      </c>
      <c r="B705" s="3" t="s">
        <v>135</v>
      </c>
      <c r="C705" s="3" t="str">
        <f t="shared" si="10"/>
        <v>4500119057340</v>
      </c>
      <c r="D705" s="4">
        <v>46307</v>
      </c>
      <c r="E705" s="3" t="s">
        <v>2196</v>
      </c>
      <c r="F705" s="3" t="s">
        <v>2459</v>
      </c>
    </row>
    <row r="706" spans="1:6" x14ac:dyDescent="0.3">
      <c r="A706" s="3" t="s">
        <v>751</v>
      </c>
      <c r="B706" s="3" t="s">
        <v>139</v>
      </c>
      <c r="C706" s="3" t="str">
        <f t="shared" si="10"/>
        <v>4500119057350</v>
      </c>
      <c r="D706" s="4">
        <v>46307</v>
      </c>
      <c r="E706" s="3" t="s">
        <v>2196</v>
      </c>
      <c r="F706" s="3" t="s">
        <v>2459</v>
      </c>
    </row>
    <row r="707" spans="1:6" x14ac:dyDescent="0.3">
      <c r="A707" s="3" t="s">
        <v>751</v>
      </c>
      <c r="B707" s="3" t="s">
        <v>168</v>
      </c>
      <c r="C707" s="3" t="str">
        <f t="shared" ref="C707:C770" si="11">_xlfn.CONCAT(A707:B707)</f>
        <v>4500119057360</v>
      </c>
      <c r="D707" s="4">
        <v>46307</v>
      </c>
      <c r="E707" s="3" t="s">
        <v>2196</v>
      </c>
      <c r="F707" s="3" t="s">
        <v>2459</v>
      </c>
    </row>
    <row r="708" spans="1:6" x14ac:dyDescent="0.3">
      <c r="A708" s="3" t="s">
        <v>751</v>
      </c>
      <c r="B708" s="3" t="s">
        <v>162</v>
      </c>
      <c r="C708" s="3" t="str">
        <f t="shared" si="11"/>
        <v>4500119057370</v>
      </c>
      <c r="D708" s="4">
        <v>46307</v>
      </c>
      <c r="E708" s="3" t="s">
        <v>2196</v>
      </c>
      <c r="F708" s="3" t="s">
        <v>2459</v>
      </c>
    </row>
    <row r="709" spans="1:6" x14ac:dyDescent="0.3">
      <c r="A709" s="3" t="s">
        <v>751</v>
      </c>
      <c r="B709" s="3" t="s">
        <v>1132</v>
      </c>
      <c r="C709" s="3" t="str">
        <f t="shared" si="11"/>
        <v>4500119057380</v>
      </c>
      <c r="D709" s="4">
        <v>46307</v>
      </c>
      <c r="E709" s="3" t="s">
        <v>2196</v>
      </c>
      <c r="F709" s="3" t="s">
        <v>2459</v>
      </c>
    </row>
    <row r="710" spans="1:6" x14ac:dyDescent="0.3">
      <c r="A710" s="3" t="s">
        <v>751</v>
      </c>
      <c r="B710" s="3" t="s">
        <v>178</v>
      </c>
      <c r="C710" s="3" t="str">
        <f t="shared" si="11"/>
        <v>4500119057400</v>
      </c>
      <c r="D710" s="4">
        <v>46307</v>
      </c>
      <c r="E710" s="3" t="s">
        <v>2196</v>
      </c>
      <c r="F710" s="3" t="s">
        <v>2459</v>
      </c>
    </row>
    <row r="711" spans="1:6" x14ac:dyDescent="0.3">
      <c r="A711" s="3" t="s">
        <v>751</v>
      </c>
      <c r="B711" s="3" t="s">
        <v>157</v>
      </c>
      <c r="C711" s="3" t="str">
        <f t="shared" si="11"/>
        <v>4500119057410</v>
      </c>
      <c r="D711" s="4">
        <v>46307</v>
      </c>
      <c r="E711" s="3" t="s">
        <v>2196</v>
      </c>
      <c r="F711" s="3" t="s">
        <v>2459</v>
      </c>
    </row>
    <row r="712" spans="1:6" x14ac:dyDescent="0.3">
      <c r="A712" s="3" t="s">
        <v>751</v>
      </c>
      <c r="B712" s="3" t="s">
        <v>166</v>
      </c>
      <c r="C712" s="3" t="str">
        <f t="shared" si="11"/>
        <v>4500119057430</v>
      </c>
      <c r="D712" s="4">
        <v>46307</v>
      </c>
      <c r="E712" s="3" t="s">
        <v>2196</v>
      </c>
      <c r="F712" s="3" t="s">
        <v>2459</v>
      </c>
    </row>
    <row r="713" spans="1:6" x14ac:dyDescent="0.3">
      <c r="A713" s="3" t="s">
        <v>751</v>
      </c>
      <c r="B713" s="3" t="s">
        <v>164</v>
      </c>
      <c r="C713" s="3" t="str">
        <f t="shared" si="11"/>
        <v>4500119057440</v>
      </c>
      <c r="D713" s="4">
        <v>46307</v>
      </c>
      <c r="E713" s="3" t="s">
        <v>2196</v>
      </c>
      <c r="F713" s="3" t="s">
        <v>2459</v>
      </c>
    </row>
    <row r="714" spans="1:6" x14ac:dyDescent="0.3">
      <c r="A714" s="3" t="s">
        <v>751</v>
      </c>
      <c r="B714" s="3" t="s">
        <v>169</v>
      </c>
      <c r="C714" s="3" t="str">
        <f t="shared" si="11"/>
        <v>4500119057450</v>
      </c>
      <c r="D714" s="4">
        <v>46307</v>
      </c>
      <c r="E714" s="3" t="s">
        <v>2196</v>
      </c>
      <c r="F714" s="3" t="s">
        <v>2459</v>
      </c>
    </row>
    <row r="715" spans="1:6" x14ac:dyDescent="0.3">
      <c r="A715" s="3" t="s">
        <v>751</v>
      </c>
      <c r="B715" s="3" t="s">
        <v>170</v>
      </c>
      <c r="C715" s="3" t="str">
        <f t="shared" si="11"/>
        <v>4500119057460</v>
      </c>
      <c r="D715" s="4">
        <v>46307</v>
      </c>
      <c r="E715" s="3" t="s">
        <v>2196</v>
      </c>
      <c r="F715" s="3" t="s">
        <v>2459</v>
      </c>
    </row>
    <row r="716" spans="1:6" x14ac:dyDescent="0.3">
      <c r="A716" s="3" t="s">
        <v>751</v>
      </c>
      <c r="B716" s="3" t="s">
        <v>171</v>
      </c>
      <c r="C716" s="3" t="str">
        <f t="shared" si="11"/>
        <v>4500119057470</v>
      </c>
      <c r="D716" s="4">
        <v>46138</v>
      </c>
      <c r="E716" s="3" t="s">
        <v>2196</v>
      </c>
      <c r="F716" s="3" t="s">
        <v>2459</v>
      </c>
    </row>
    <row r="717" spans="1:6" x14ac:dyDescent="0.3">
      <c r="A717" s="3" t="s">
        <v>751</v>
      </c>
      <c r="B717" s="3" t="s">
        <v>172</v>
      </c>
      <c r="C717" s="3" t="str">
        <f t="shared" si="11"/>
        <v>4500119057480</v>
      </c>
      <c r="D717" s="4">
        <v>46307</v>
      </c>
      <c r="E717" s="3" t="s">
        <v>2196</v>
      </c>
      <c r="F717" s="3" t="s">
        <v>2459</v>
      </c>
    </row>
    <row r="718" spans="1:6" x14ac:dyDescent="0.3">
      <c r="A718" s="3" t="s">
        <v>751</v>
      </c>
      <c r="B718" s="3" t="s">
        <v>159</v>
      </c>
      <c r="C718" s="3" t="str">
        <f t="shared" si="11"/>
        <v>4500119057510</v>
      </c>
      <c r="D718" s="4">
        <v>46307</v>
      </c>
      <c r="E718" s="3" t="s">
        <v>2196</v>
      </c>
      <c r="F718" s="3" t="s">
        <v>2459</v>
      </c>
    </row>
    <row r="719" spans="1:6" x14ac:dyDescent="0.3">
      <c r="A719" s="3" t="s">
        <v>751</v>
      </c>
      <c r="B719" s="3" t="s">
        <v>1134</v>
      </c>
      <c r="C719" s="3" t="str">
        <f t="shared" si="11"/>
        <v>4500119057520</v>
      </c>
      <c r="D719" s="4">
        <v>46307</v>
      </c>
      <c r="E719" s="3" t="s">
        <v>2196</v>
      </c>
      <c r="F719" s="3" t="s">
        <v>2459</v>
      </c>
    </row>
    <row r="720" spans="1:6" x14ac:dyDescent="0.3">
      <c r="A720" s="3" t="s">
        <v>751</v>
      </c>
      <c r="B720" s="3" t="s">
        <v>167</v>
      </c>
      <c r="C720" s="3" t="str">
        <f t="shared" si="11"/>
        <v>4500119057530</v>
      </c>
      <c r="D720" s="4">
        <v>46307</v>
      </c>
      <c r="E720" s="3" t="s">
        <v>2196</v>
      </c>
      <c r="F720" s="3" t="s">
        <v>2459</v>
      </c>
    </row>
    <row r="721" spans="1:6" x14ac:dyDescent="0.3">
      <c r="A721" s="3" t="s">
        <v>751</v>
      </c>
      <c r="B721" s="3" t="s">
        <v>151</v>
      </c>
      <c r="C721" s="3" t="str">
        <f t="shared" si="11"/>
        <v>4500119057540</v>
      </c>
      <c r="D721" s="4">
        <v>46307</v>
      </c>
      <c r="E721" s="3" t="s">
        <v>2196</v>
      </c>
      <c r="F721" s="3" t="s">
        <v>2459</v>
      </c>
    </row>
    <row r="722" spans="1:6" x14ac:dyDescent="0.3">
      <c r="A722" s="3" t="s">
        <v>751</v>
      </c>
      <c r="B722" s="3" t="s">
        <v>153</v>
      </c>
      <c r="C722" s="3" t="str">
        <f t="shared" si="11"/>
        <v>4500119057550</v>
      </c>
      <c r="D722" s="4">
        <v>46307</v>
      </c>
      <c r="E722" s="3" t="s">
        <v>2196</v>
      </c>
      <c r="F722" s="3" t="s">
        <v>2459</v>
      </c>
    </row>
    <row r="723" spans="1:6" x14ac:dyDescent="0.3">
      <c r="A723" s="3" t="s">
        <v>751</v>
      </c>
      <c r="B723" s="3" t="s">
        <v>176</v>
      </c>
      <c r="C723" s="3" t="str">
        <f t="shared" si="11"/>
        <v>4500119057560</v>
      </c>
      <c r="D723" s="4">
        <v>46307</v>
      </c>
      <c r="E723" s="3" t="s">
        <v>2196</v>
      </c>
      <c r="F723" s="3" t="s">
        <v>2459</v>
      </c>
    </row>
    <row r="724" spans="1:6" x14ac:dyDescent="0.3">
      <c r="A724" s="3" t="s">
        <v>751</v>
      </c>
      <c r="B724" s="3" t="s">
        <v>177</v>
      </c>
      <c r="C724" s="3" t="str">
        <f t="shared" si="11"/>
        <v>4500119057570</v>
      </c>
      <c r="D724" s="4">
        <v>46307</v>
      </c>
      <c r="E724" s="3" t="s">
        <v>2196</v>
      </c>
      <c r="F724" s="3" t="s">
        <v>2459</v>
      </c>
    </row>
    <row r="725" spans="1:6" x14ac:dyDescent="0.3">
      <c r="A725" s="3" t="s">
        <v>751</v>
      </c>
      <c r="B725" s="3" t="s">
        <v>163</v>
      </c>
      <c r="C725" s="3" t="str">
        <f t="shared" si="11"/>
        <v>4500119057580</v>
      </c>
      <c r="D725" s="4">
        <v>46307</v>
      </c>
      <c r="E725" s="3" t="s">
        <v>2196</v>
      </c>
      <c r="F725" s="3" t="s">
        <v>2459</v>
      </c>
    </row>
    <row r="726" spans="1:6" x14ac:dyDescent="0.3">
      <c r="A726" s="3" t="s">
        <v>751</v>
      </c>
      <c r="B726" s="3" t="s">
        <v>119</v>
      </c>
      <c r="C726" s="3" t="str">
        <f t="shared" si="11"/>
        <v>4500119057590</v>
      </c>
      <c r="D726" s="4">
        <v>46307</v>
      </c>
      <c r="E726" s="3" t="s">
        <v>2196</v>
      </c>
      <c r="F726" s="3" t="s">
        <v>2459</v>
      </c>
    </row>
    <row r="727" spans="1:6" x14ac:dyDescent="0.3">
      <c r="A727" s="3" t="s">
        <v>751</v>
      </c>
      <c r="B727" s="3" t="s">
        <v>152</v>
      </c>
      <c r="C727" s="3" t="str">
        <f t="shared" si="11"/>
        <v>4500119057600</v>
      </c>
      <c r="D727" s="4">
        <v>46307</v>
      </c>
      <c r="E727" s="3" t="s">
        <v>2196</v>
      </c>
      <c r="F727" s="3" t="s">
        <v>2459</v>
      </c>
    </row>
    <row r="728" spans="1:6" x14ac:dyDescent="0.3">
      <c r="A728" s="3" t="s">
        <v>751</v>
      </c>
      <c r="B728" s="3" t="s">
        <v>148</v>
      </c>
      <c r="C728" s="3" t="str">
        <f t="shared" si="11"/>
        <v>4500119057610</v>
      </c>
      <c r="D728" s="4">
        <v>46307</v>
      </c>
      <c r="E728" s="3" t="s">
        <v>2196</v>
      </c>
      <c r="F728" s="3" t="s">
        <v>2459</v>
      </c>
    </row>
    <row r="729" spans="1:6" x14ac:dyDescent="0.3">
      <c r="A729" s="3" t="s">
        <v>751</v>
      </c>
      <c r="B729" s="3" t="s">
        <v>175</v>
      </c>
      <c r="C729" s="3" t="str">
        <f t="shared" si="11"/>
        <v>4500119057620</v>
      </c>
      <c r="D729" s="4">
        <v>46307</v>
      </c>
      <c r="E729" s="3" t="s">
        <v>2196</v>
      </c>
      <c r="F729" s="3" t="s">
        <v>2459</v>
      </c>
    </row>
    <row r="730" spans="1:6" x14ac:dyDescent="0.3">
      <c r="A730" s="3" t="s">
        <v>751</v>
      </c>
      <c r="B730" s="3" t="s">
        <v>165</v>
      </c>
      <c r="C730" s="3" t="str">
        <f t="shared" si="11"/>
        <v>4500119057630</v>
      </c>
      <c r="D730" s="4">
        <v>46307</v>
      </c>
      <c r="E730" s="3" t="s">
        <v>2196</v>
      </c>
      <c r="F730" s="3" t="s">
        <v>2459</v>
      </c>
    </row>
    <row r="731" spans="1:6" x14ac:dyDescent="0.3">
      <c r="A731" s="3" t="s">
        <v>751</v>
      </c>
      <c r="B731" s="3" t="s">
        <v>149</v>
      </c>
      <c r="C731" s="3" t="str">
        <f t="shared" si="11"/>
        <v>4500119057640</v>
      </c>
      <c r="D731" s="4">
        <v>46307</v>
      </c>
      <c r="E731" s="3" t="s">
        <v>2196</v>
      </c>
      <c r="F731" s="3" t="s">
        <v>2459</v>
      </c>
    </row>
    <row r="732" spans="1:6" x14ac:dyDescent="0.3">
      <c r="A732" s="3" t="s">
        <v>751</v>
      </c>
      <c r="B732" s="3" t="s">
        <v>174</v>
      </c>
      <c r="C732" s="3" t="str">
        <f t="shared" si="11"/>
        <v>4500119057650</v>
      </c>
      <c r="D732" s="4">
        <v>46307</v>
      </c>
      <c r="E732" s="3" t="s">
        <v>2196</v>
      </c>
      <c r="F732" s="3" t="s">
        <v>2459</v>
      </c>
    </row>
    <row r="733" spans="1:6" x14ac:dyDescent="0.3">
      <c r="A733" s="3" t="s">
        <v>751</v>
      </c>
      <c r="B733" s="3" t="s">
        <v>179</v>
      </c>
      <c r="C733" s="3" t="str">
        <f t="shared" si="11"/>
        <v>4500119057660</v>
      </c>
      <c r="D733" s="4">
        <v>46307</v>
      </c>
      <c r="E733" s="3" t="s">
        <v>2196</v>
      </c>
      <c r="F733" s="3" t="s">
        <v>2459</v>
      </c>
    </row>
    <row r="734" spans="1:6" x14ac:dyDescent="0.3">
      <c r="A734" s="3" t="s">
        <v>751</v>
      </c>
      <c r="B734" s="3" t="s">
        <v>180</v>
      </c>
      <c r="C734" s="3" t="str">
        <f t="shared" si="11"/>
        <v>4500119057670</v>
      </c>
      <c r="D734" s="4">
        <v>46307</v>
      </c>
      <c r="E734" s="3" t="s">
        <v>2196</v>
      </c>
      <c r="F734" s="3" t="s">
        <v>2459</v>
      </c>
    </row>
    <row r="735" spans="1:6" x14ac:dyDescent="0.3">
      <c r="A735" s="3" t="s">
        <v>751</v>
      </c>
      <c r="B735" s="3" t="s">
        <v>1598</v>
      </c>
      <c r="C735" s="3" t="str">
        <f t="shared" si="11"/>
        <v>4500119057680</v>
      </c>
      <c r="D735" s="4">
        <v>46307</v>
      </c>
      <c r="E735" s="3" t="s">
        <v>2196</v>
      </c>
      <c r="F735" s="3" t="s">
        <v>2459</v>
      </c>
    </row>
    <row r="736" spans="1:6" x14ac:dyDescent="0.3">
      <c r="A736" s="3" t="s">
        <v>751</v>
      </c>
      <c r="B736" s="3" t="s">
        <v>818</v>
      </c>
      <c r="C736" s="3" t="str">
        <f t="shared" si="11"/>
        <v>4500119057690</v>
      </c>
      <c r="D736" s="4">
        <v>46307</v>
      </c>
      <c r="E736" s="3" t="s">
        <v>2196</v>
      </c>
      <c r="F736" s="3" t="s">
        <v>2459</v>
      </c>
    </row>
    <row r="737" spans="1:6" x14ac:dyDescent="0.3">
      <c r="A737" s="3" t="s">
        <v>751</v>
      </c>
      <c r="B737" s="3" t="s">
        <v>1162</v>
      </c>
      <c r="C737" s="3" t="str">
        <f t="shared" si="11"/>
        <v>4500119057700</v>
      </c>
      <c r="D737" s="4">
        <v>46307</v>
      </c>
      <c r="E737" s="3" t="s">
        <v>2196</v>
      </c>
      <c r="F737" s="3" t="s">
        <v>2459</v>
      </c>
    </row>
    <row r="738" spans="1:6" x14ac:dyDescent="0.3">
      <c r="A738" s="3" t="s">
        <v>751</v>
      </c>
      <c r="B738" s="3" t="s">
        <v>1599</v>
      </c>
      <c r="C738" s="3" t="str">
        <f t="shared" si="11"/>
        <v>4500119057710</v>
      </c>
      <c r="D738" s="4">
        <v>46307</v>
      </c>
      <c r="E738" s="3" t="s">
        <v>2196</v>
      </c>
      <c r="F738" s="3" t="s">
        <v>2459</v>
      </c>
    </row>
    <row r="739" spans="1:6" x14ac:dyDescent="0.3">
      <c r="A739" s="3" t="s">
        <v>751</v>
      </c>
      <c r="B739" s="3" t="s">
        <v>1600</v>
      </c>
      <c r="C739" s="3" t="str">
        <f t="shared" si="11"/>
        <v>4500119057720</v>
      </c>
      <c r="D739" s="4">
        <v>46307</v>
      </c>
      <c r="E739" s="3" t="s">
        <v>2196</v>
      </c>
      <c r="F739" s="3" t="s">
        <v>2459</v>
      </c>
    </row>
    <row r="740" spans="1:6" x14ac:dyDescent="0.3">
      <c r="A740" s="3" t="s">
        <v>751</v>
      </c>
      <c r="B740" s="3" t="s">
        <v>1601</v>
      </c>
      <c r="C740" s="3" t="str">
        <f t="shared" si="11"/>
        <v>4500119057730</v>
      </c>
      <c r="D740" s="4">
        <v>46307</v>
      </c>
      <c r="E740" s="3" t="s">
        <v>2196</v>
      </c>
      <c r="F740" s="3" t="s">
        <v>2459</v>
      </c>
    </row>
    <row r="741" spans="1:6" x14ac:dyDescent="0.3">
      <c r="A741" s="3" t="s">
        <v>751</v>
      </c>
      <c r="B741" s="3" t="s">
        <v>1595</v>
      </c>
      <c r="C741" s="3" t="str">
        <f t="shared" si="11"/>
        <v>4500119057740</v>
      </c>
      <c r="D741" s="4">
        <v>46307</v>
      </c>
      <c r="E741" s="3" t="s">
        <v>2196</v>
      </c>
      <c r="F741" s="3" t="s">
        <v>2459</v>
      </c>
    </row>
    <row r="742" spans="1:6" x14ac:dyDescent="0.3">
      <c r="A742" s="3" t="s">
        <v>751</v>
      </c>
      <c r="B742" s="3" t="s">
        <v>1594</v>
      </c>
      <c r="C742" s="3" t="str">
        <f t="shared" si="11"/>
        <v>4500119057750</v>
      </c>
      <c r="D742" s="4">
        <v>46307</v>
      </c>
      <c r="E742" s="3" t="s">
        <v>2196</v>
      </c>
      <c r="F742" s="3" t="s">
        <v>2459</v>
      </c>
    </row>
    <row r="743" spans="1:6" x14ac:dyDescent="0.3">
      <c r="A743" s="3" t="s">
        <v>751</v>
      </c>
      <c r="B743" s="3" t="s">
        <v>1597</v>
      </c>
      <c r="C743" s="3" t="str">
        <f t="shared" si="11"/>
        <v>4500119057770</v>
      </c>
      <c r="D743" s="4">
        <v>46307</v>
      </c>
      <c r="E743" s="3" t="s">
        <v>2196</v>
      </c>
      <c r="F743" s="3" t="s">
        <v>2459</v>
      </c>
    </row>
    <row r="744" spans="1:6" x14ac:dyDescent="0.3">
      <c r="A744" s="3" t="s">
        <v>751</v>
      </c>
      <c r="B744" s="3" t="s">
        <v>807</v>
      </c>
      <c r="C744" s="3" t="str">
        <f t="shared" si="11"/>
        <v>4500119057780</v>
      </c>
      <c r="D744" s="4">
        <v>46307</v>
      </c>
      <c r="E744" s="3" t="s">
        <v>2196</v>
      </c>
      <c r="F744" s="3" t="s">
        <v>2459</v>
      </c>
    </row>
    <row r="745" spans="1:6" x14ac:dyDescent="0.3">
      <c r="A745" s="3" t="s">
        <v>751</v>
      </c>
      <c r="B745" s="3" t="s">
        <v>578</v>
      </c>
      <c r="C745" s="3" t="str">
        <f t="shared" si="11"/>
        <v>4500119057790</v>
      </c>
      <c r="D745" s="4">
        <v>46307</v>
      </c>
      <c r="E745" s="3" t="s">
        <v>2196</v>
      </c>
      <c r="F745" s="3" t="s">
        <v>2459</v>
      </c>
    </row>
    <row r="746" spans="1:6" x14ac:dyDescent="0.3">
      <c r="A746" s="3" t="s">
        <v>751</v>
      </c>
      <c r="B746" s="3" t="s">
        <v>1590</v>
      </c>
      <c r="C746" s="3" t="str">
        <f t="shared" si="11"/>
        <v>4500119057800</v>
      </c>
      <c r="D746" s="4">
        <v>46307</v>
      </c>
      <c r="E746" s="3" t="s">
        <v>2196</v>
      </c>
      <c r="F746" s="3" t="s">
        <v>2459</v>
      </c>
    </row>
    <row r="747" spans="1:6" x14ac:dyDescent="0.3">
      <c r="A747" s="3" t="s">
        <v>751</v>
      </c>
      <c r="B747" s="3" t="s">
        <v>1602</v>
      </c>
      <c r="C747" s="3" t="str">
        <f t="shared" si="11"/>
        <v>4500119057810</v>
      </c>
      <c r="D747" s="4">
        <v>46307</v>
      </c>
      <c r="E747" s="3" t="s">
        <v>2196</v>
      </c>
      <c r="F747" s="3" t="s">
        <v>2459</v>
      </c>
    </row>
    <row r="748" spans="1:6" x14ac:dyDescent="0.3">
      <c r="A748" s="3" t="s">
        <v>751</v>
      </c>
      <c r="B748" s="3" t="s">
        <v>813</v>
      </c>
      <c r="C748" s="3" t="str">
        <f t="shared" si="11"/>
        <v>4500119057830</v>
      </c>
      <c r="D748" s="4">
        <v>46307</v>
      </c>
      <c r="E748" s="3" t="s">
        <v>2196</v>
      </c>
      <c r="F748" s="3" t="s">
        <v>2459</v>
      </c>
    </row>
    <row r="749" spans="1:6" x14ac:dyDescent="0.3">
      <c r="A749" s="3" t="s">
        <v>751</v>
      </c>
      <c r="B749" s="3" t="s">
        <v>1604</v>
      </c>
      <c r="C749" s="3" t="str">
        <f t="shared" si="11"/>
        <v>4500119057840</v>
      </c>
      <c r="D749" s="4">
        <v>46138</v>
      </c>
      <c r="E749" s="3" t="s">
        <v>2196</v>
      </c>
      <c r="F749" s="3" t="s">
        <v>2459</v>
      </c>
    </row>
    <row r="750" spans="1:6" x14ac:dyDescent="0.3">
      <c r="A750" s="3" t="s">
        <v>205</v>
      </c>
      <c r="B750" s="3" t="s">
        <v>30</v>
      </c>
      <c r="C750" s="3" t="str">
        <f t="shared" si="11"/>
        <v>450011906510</v>
      </c>
      <c r="D750" s="4">
        <v>46063</v>
      </c>
      <c r="E750" s="3" t="s">
        <v>2209</v>
      </c>
      <c r="F750" s="3" t="s">
        <v>2557</v>
      </c>
    </row>
    <row r="751" spans="1:6" x14ac:dyDescent="0.3">
      <c r="A751" s="3" t="s">
        <v>205</v>
      </c>
      <c r="B751" s="3" t="s">
        <v>22</v>
      </c>
      <c r="C751" s="3" t="str">
        <f t="shared" si="11"/>
        <v>450011906520</v>
      </c>
      <c r="D751" s="4">
        <v>46063</v>
      </c>
      <c r="E751" s="3" t="s">
        <v>2209</v>
      </c>
      <c r="F751" s="3" t="s">
        <v>2557</v>
      </c>
    </row>
    <row r="752" spans="1:6" x14ac:dyDescent="0.3">
      <c r="A752" s="3" t="s">
        <v>205</v>
      </c>
      <c r="B752" s="3" t="s">
        <v>35</v>
      </c>
      <c r="C752" s="3" t="str">
        <f t="shared" si="11"/>
        <v>450011906530</v>
      </c>
      <c r="D752" s="4">
        <v>46063</v>
      </c>
      <c r="E752" s="3" t="s">
        <v>2209</v>
      </c>
      <c r="F752" s="3" t="s">
        <v>2557</v>
      </c>
    </row>
    <row r="753" spans="1:6" x14ac:dyDescent="0.3">
      <c r="A753" s="3" t="s">
        <v>205</v>
      </c>
      <c r="B753" s="3" t="s">
        <v>23</v>
      </c>
      <c r="C753" s="3" t="str">
        <f t="shared" si="11"/>
        <v>450011906540</v>
      </c>
      <c r="D753" s="4">
        <v>46063</v>
      </c>
      <c r="E753" s="3" t="s">
        <v>2209</v>
      </c>
      <c r="F753" s="3" t="s">
        <v>2557</v>
      </c>
    </row>
    <row r="754" spans="1:6" x14ac:dyDescent="0.3">
      <c r="A754" s="3" t="s">
        <v>642</v>
      </c>
      <c r="B754" s="3" t="s">
        <v>30</v>
      </c>
      <c r="C754" s="3" t="str">
        <f t="shared" si="11"/>
        <v>450011914210</v>
      </c>
      <c r="D754" s="4">
        <v>46068</v>
      </c>
      <c r="E754" s="3" t="s">
        <v>2239</v>
      </c>
      <c r="F754" s="3" t="s">
        <v>2457</v>
      </c>
    </row>
    <row r="755" spans="1:6" x14ac:dyDescent="0.3">
      <c r="A755" s="3" t="s">
        <v>642</v>
      </c>
      <c r="B755" s="3" t="s">
        <v>22</v>
      </c>
      <c r="C755" s="3" t="str">
        <f t="shared" si="11"/>
        <v>450011914220</v>
      </c>
      <c r="D755" s="4">
        <v>46068</v>
      </c>
      <c r="E755" s="3" t="s">
        <v>2239</v>
      </c>
      <c r="F755" s="3" t="s">
        <v>2457</v>
      </c>
    </row>
    <row r="756" spans="1:6" x14ac:dyDescent="0.3">
      <c r="A756" s="3" t="s">
        <v>642</v>
      </c>
      <c r="B756" s="3" t="s">
        <v>35</v>
      </c>
      <c r="C756" s="3" t="str">
        <f t="shared" si="11"/>
        <v>450011914230</v>
      </c>
      <c r="D756" s="4">
        <v>46068</v>
      </c>
      <c r="E756" s="3" t="s">
        <v>2239</v>
      </c>
      <c r="F756" s="3" t="s">
        <v>2457</v>
      </c>
    </row>
    <row r="757" spans="1:6" x14ac:dyDescent="0.3">
      <c r="A757" s="3" t="s">
        <v>525</v>
      </c>
      <c r="B757" s="3" t="s">
        <v>30</v>
      </c>
      <c r="C757" s="3" t="str">
        <f t="shared" si="11"/>
        <v>450011919810</v>
      </c>
      <c r="D757" s="4">
        <v>46073</v>
      </c>
      <c r="E757" s="3" t="s">
        <v>2203</v>
      </c>
      <c r="F757" s="3" t="s">
        <v>2558</v>
      </c>
    </row>
    <row r="758" spans="1:6" x14ac:dyDescent="0.3">
      <c r="A758" s="3" t="s">
        <v>244</v>
      </c>
      <c r="B758" s="3" t="s">
        <v>30</v>
      </c>
      <c r="C758" s="3" t="str">
        <f t="shared" si="11"/>
        <v>450011932910</v>
      </c>
      <c r="D758" s="4">
        <v>46234</v>
      </c>
      <c r="E758" s="3" t="s">
        <v>2203</v>
      </c>
      <c r="F758" s="3" t="s">
        <v>2558</v>
      </c>
    </row>
    <row r="759" spans="1:6" x14ac:dyDescent="0.3">
      <c r="A759" s="3" t="s">
        <v>211</v>
      </c>
      <c r="B759" s="3" t="s">
        <v>30</v>
      </c>
      <c r="C759" s="3" t="str">
        <f t="shared" si="11"/>
        <v>450011934010</v>
      </c>
      <c r="D759" s="4">
        <v>46060</v>
      </c>
      <c r="E759" s="3" t="s">
        <v>2196</v>
      </c>
      <c r="F759" s="3" t="s">
        <v>2559</v>
      </c>
    </row>
    <row r="760" spans="1:6" x14ac:dyDescent="0.3">
      <c r="A760" s="3" t="s">
        <v>211</v>
      </c>
      <c r="B760" s="3" t="s">
        <v>22</v>
      </c>
      <c r="C760" s="3" t="str">
        <f t="shared" si="11"/>
        <v>450011934020</v>
      </c>
      <c r="D760" s="4">
        <v>46060</v>
      </c>
      <c r="E760" s="3" t="s">
        <v>2196</v>
      </c>
      <c r="F760" s="3" t="s">
        <v>2559</v>
      </c>
    </row>
    <row r="761" spans="1:6" x14ac:dyDescent="0.3">
      <c r="A761" s="3" t="s">
        <v>211</v>
      </c>
      <c r="B761" s="3" t="s">
        <v>35</v>
      </c>
      <c r="C761" s="3" t="str">
        <f t="shared" si="11"/>
        <v>450011934030</v>
      </c>
      <c r="D761" s="4">
        <v>46060</v>
      </c>
      <c r="E761" s="3" t="s">
        <v>2196</v>
      </c>
      <c r="F761" s="3" t="s">
        <v>2559</v>
      </c>
    </row>
    <row r="762" spans="1:6" x14ac:dyDescent="0.3">
      <c r="A762" s="3" t="s">
        <v>214</v>
      </c>
      <c r="B762" s="3" t="s">
        <v>23</v>
      </c>
      <c r="C762" s="3" t="str">
        <f t="shared" si="11"/>
        <v>450011936540</v>
      </c>
      <c r="D762" s="4">
        <v>46066</v>
      </c>
      <c r="E762" s="3" t="s">
        <v>2200</v>
      </c>
      <c r="F762" s="3" t="s">
        <v>2560</v>
      </c>
    </row>
    <row r="763" spans="1:6" x14ac:dyDescent="0.3">
      <c r="A763" s="3" t="s">
        <v>214</v>
      </c>
      <c r="B763" s="3" t="s">
        <v>144</v>
      </c>
      <c r="C763" s="3" t="str">
        <f t="shared" si="11"/>
        <v>450011936550</v>
      </c>
      <c r="D763" s="4">
        <v>46066</v>
      </c>
      <c r="E763" s="3" t="s">
        <v>2200</v>
      </c>
      <c r="F763" s="3" t="s">
        <v>2560</v>
      </c>
    </row>
    <row r="764" spans="1:6" x14ac:dyDescent="0.3">
      <c r="A764" s="3" t="s">
        <v>214</v>
      </c>
      <c r="B764" s="3" t="s">
        <v>141</v>
      </c>
      <c r="C764" s="3" t="str">
        <f t="shared" si="11"/>
        <v>450011936560</v>
      </c>
      <c r="D764" s="4">
        <v>46066</v>
      </c>
      <c r="E764" s="3" t="s">
        <v>2200</v>
      </c>
      <c r="F764" s="3" t="s">
        <v>2560</v>
      </c>
    </row>
    <row r="765" spans="1:6" x14ac:dyDescent="0.3">
      <c r="A765" s="3" t="s">
        <v>214</v>
      </c>
      <c r="B765" s="3" t="s">
        <v>134</v>
      </c>
      <c r="C765" s="3" t="str">
        <f t="shared" si="11"/>
        <v>450011936570</v>
      </c>
      <c r="D765" s="4">
        <v>46066</v>
      </c>
      <c r="E765" s="3" t="s">
        <v>2200</v>
      </c>
      <c r="F765" s="3" t="s">
        <v>2560</v>
      </c>
    </row>
    <row r="766" spans="1:6" x14ac:dyDescent="0.3">
      <c r="A766" s="3" t="s">
        <v>214</v>
      </c>
      <c r="B766" s="3" t="s">
        <v>52</v>
      </c>
      <c r="C766" s="3" t="str">
        <f t="shared" si="11"/>
        <v>450011936580</v>
      </c>
      <c r="D766" s="4">
        <v>46066</v>
      </c>
      <c r="E766" s="3" t="s">
        <v>2200</v>
      </c>
      <c r="F766" s="3" t="s">
        <v>2560</v>
      </c>
    </row>
    <row r="767" spans="1:6" x14ac:dyDescent="0.3">
      <c r="A767" s="3" t="s">
        <v>199</v>
      </c>
      <c r="B767" s="3" t="s">
        <v>30</v>
      </c>
      <c r="C767" s="3" t="str">
        <f t="shared" si="11"/>
        <v>450011945010</v>
      </c>
      <c r="D767" s="4">
        <v>46061</v>
      </c>
      <c r="E767" s="3" t="s">
        <v>2236</v>
      </c>
      <c r="F767" s="3" t="s">
        <v>2460</v>
      </c>
    </row>
    <row r="768" spans="1:6" x14ac:dyDescent="0.3">
      <c r="A768" s="3" t="s">
        <v>561</v>
      </c>
      <c r="B768" s="3" t="s">
        <v>30</v>
      </c>
      <c r="C768" s="3" t="str">
        <f t="shared" si="11"/>
        <v>450011952910</v>
      </c>
      <c r="D768" s="4">
        <v>46076</v>
      </c>
      <c r="E768" s="3" t="s">
        <v>2211</v>
      </c>
      <c r="F768" s="3" t="s">
        <v>2561</v>
      </c>
    </row>
    <row r="769" spans="1:6" x14ac:dyDescent="0.3">
      <c r="A769" s="3" t="s">
        <v>41</v>
      </c>
      <c r="B769" s="3" t="s">
        <v>30</v>
      </c>
      <c r="C769" s="3" t="str">
        <f t="shared" si="11"/>
        <v>450011983110</v>
      </c>
      <c r="D769" s="4">
        <v>46140</v>
      </c>
      <c r="E769" s="3" t="s">
        <v>2203</v>
      </c>
      <c r="F769" s="3" t="s">
        <v>2408</v>
      </c>
    </row>
    <row r="770" spans="1:6" x14ac:dyDescent="0.3">
      <c r="A770" s="3" t="s">
        <v>558</v>
      </c>
      <c r="B770" s="3" t="s">
        <v>30</v>
      </c>
      <c r="C770" s="3" t="str">
        <f t="shared" si="11"/>
        <v>450011984810</v>
      </c>
      <c r="D770" s="4">
        <v>46073</v>
      </c>
      <c r="E770" s="3" t="s">
        <v>2200</v>
      </c>
      <c r="F770" s="3" t="s">
        <v>2562</v>
      </c>
    </row>
    <row r="771" spans="1:6" x14ac:dyDescent="0.3">
      <c r="A771" s="3" t="s">
        <v>89</v>
      </c>
      <c r="B771" s="3" t="s">
        <v>30</v>
      </c>
      <c r="C771" s="3" t="str">
        <f t="shared" ref="C771:C834" si="12">_xlfn.CONCAT(A771:B771)</f>
        <v>450011990410</v>
      </c>
      <c r="D771" s="4">
        <v>46284</v>
      </c>
      <c r="E771" s="3" t="s">
        <v>2203</v>
      </c>
      <c r="F771" s="3" t="s">
        <v>2563</v>
      </c>
    </row>
    <row r="772" spans="1:6" x14ac:dyDescent="0.3">
      <c r="A772" s="3" t="s">
        <v>620</v>
      </c>
      <c r="B772" s="3" t="s">
        <v>30</v>
      </c>
      <c r="C772" s="3" t="str">
        <f t="shared" si="12"/>
        <v>450011992810</v>
      </c>
      <c r="D772" s="4">
        <v>46108</v>
      </c>
      <c r="E772" s="3" t="s">
        <v>2196</v>
      </c>
      <c r="F772" s="3" t="s">
        <v>2454</v>
      </c>
    </row>
    <row r="773" spans="1:6" x14ac:dyDescent="0.3">
      <c r="A773" s="3" t="s">
        <v>620</v>
      </c>
      <c r="B773" s="3" t="s">
        <v>22</v>
      </c>
      <c r="C773" s="3" t="str">
        <f t="shared" si="12"/>
        <v>450011992820</v>
      </c>
      <c r="D773" s="4">
        <v>46108</v>
      </c>
      <c r="E773" s="3" t="s">
        <v>2196</v>
      </c>
      <c r="F773" s="3" t="s">
        <v>2454</v>
      </c>
    </row>
    <row r="774" spans="1:6" x14ac:dyDescent="0.3">
      <c r="A774" s="3" t="s">
        <v>620</v>
      </c>
      <c r="B774" s="3" t="s">
        <v>35</v>
      </c>
      <c r="C774" s="3" t="str">
        <f t="shared" si="12"/>
        <v>450011992830</v>
      </c>
      <c r="D774" s="4">
        <v>46108</v>
      </c>
      <c r="E774" s="3" t="s">
        <v>2196</v>
      </c>
      <c r="F774" s="3" t="s">
        <v>2454</v>
      </c>
    </row>
    <row r="775" spans="1:6" x14ac:dyDescent="0.3">
      <c r="A775" s="3" t="s">
        <v>620</v>
      </c>
      <c r="B775" s="3" t="s">
        <v>23</v>
      </c>
      <c r="C775" s="3" t="str">
        <f t="shared" si="12"/>
        <v>450011992840</v>
      </c>
      <c r="D775" s="4">
        <v>46108</v>
      </c>
      <c r="E775" s="3" t="s">
        <v>2196</v>
      </c>
      <c r="F775" s="3" t="s">
        <v>2454</v>
      </c>
    </row>
    <row r="776" spans="1:6" x14ac:dyDescent="0.3">
      <c r="A776" s="3" t="s">
        <v>620</v>
      </c>
      <c r="B776" s="3" t="s">
        <v>144</v>
      </c>
      <c r="C776" s="3" t="str">
        <f t="shared" si="12"/>
        <v>450011992850</v>
      </c>
      <c r="D776" s="4">
        <v>46108</v>
      </c>
      <c r="E776" s="3" t="s">
        <v>2196</v>
      </c>
      <c r="F776" s="3" t="s">
        <v>2454</v>
      </c>
    </row>
    <row r="777" spans="1:6" x14ac:dyDescent="0.3">
      <c r="A777" s="3" t="s">
        <v>620</v>
      </c>
      <c r="B777" s="3" t="s">
        <v>141</v>
      </c>
      <c r="C777" s="3" t="str">
        <f t="shared" si="12"/>
        <v>450011992860</v>
      </c>
      <c r="D777" s="4">
        <v>46108</v>
      </c>
      <c r="E777" s="3" t="s">
        <v>2196</v>
      </c>
      <c r="F777" s="3" t="s">
        <v>2454</v>
      </c>
    </row>
    <row r="778" spans="1:6" x14ac:dyDescent="0.3">
      <c r="A778" s="3" t="s">
        <v>620</v>
      </c>
      <c r="B778" s="3" t="s">
        <v>52</v>
      </c>
      <c r="C778" s="3" t="str">
        <f t="shared" si="12"/>
        <v>450011992880</v>
      </c>
      <c r="D778" s="4">
        <v>46108</v>
      </c>
      <c r="E778" s="3" t="s">
        <v>2196</v>
      </c>
      <c r="F778" s="3" t="s">
        <v>2454</v>
      </c>
    </row>
    <row r="779" spans="1:6" x14ac:dyDescent="0.3">
      <c r="A779" s="3" t="s">
        <v>620</v>
      </c>
      <c r="B779" s="3" t="s">
        <v>138</v>
      </c>
      <c r="C779" s="3" t="str">
        <f t="shared" si="12"/>
        <v>450011992890</v>
      </c>
      <c r="D779" s="4">
        <v>46108</v>
      </c>
      <c r="E779" s="3" t="s">
        <v>2196</v>
      </c>
      <c r="F779" s="3" t="s">
        <v>2454</v>
      </c>
    </row>
    <row r="780" spans="1:6" x14ac:dyDescent="0.3">
      <c r="A780" s="3" t="s">
        <v>620</v>
      </c>
      <c r="B780" s="3" t="s">
        <v>45</v>
      </c>
      <c r="C780" s="3" t="str">
        <f t="shared" si="12"/>
        <v>4500119928100</v>
      </c>
      <c r="D780" s="4">
        <v>46108</v>
      </c>
      <c r="E780" s="3" t="s">
        <v>2196</v>
      </c>
      <c r="F780" s="3" t="s">
        <v>2454</v>
      </c>
    </row>
    <row r="781" spans="1:6" x14ac:dyDescent="0.3">
      <c r="A781" s="3" t="s">
        <v>620</v>
      </c>
      <c r="B781" s="3" t="s">
        <v>156</v>
      </c>
      <c r="C781" s="3" t="str">
        <f t="shared" si="12"/>
        <v>4500119928110</v>
      </c>
      <c r="D781" s="4">
        <v>46108</v>
      </c>
      <c r="E781" s="3" t="s">
        <v>2196</v>
      </c>
      <c r="F781" s="3" t="s">
        <v>2454</v>
      </c>
    </row>
    <row r="782" spans="1:6" x14ac:dyDescent="0.3">
      <c r="A782" s="3" t="s">
        <v>620</v>
      </c>
      <c r="B782" s="3" t="s">
        <v>132</v>
      </c>
      <c r="C782" s="3" t="str">
        <f t="shared" si="12"/>
        <v>4500119928120</v>
      </c>
      <c r="D782" s="4">
        <v>46108</v>
      </c>
      <c r="E782" s="3" t="s">
        <v>2196</v>
      </c>
      <c r="F782" s="3" t="s">
        <v>2454</v>
      </c>
    </row>
    <row r="783" spans="1:6" x14ac:dyDescent="0.3">
      <c r="A783" s="3" t="s">
        <v>620</v>
      </c>
      <c r="B783" s="3" t="s">
        <v>142</v>
      </c>
      <c r="C783" s="3" t="str">
        <f t="shared" si="12"/>
        <v>4500119928130</v>
      </c>
      <c r="D783" s="4">
        <v>46108</v>
      </c>
      <c r="E783" s="3" t="s">
        <v>2196</v>
      </c>
      <c r="F783" s="3" t="s">
        <v>2454</v>
      </c>
    </row>
    <row r="784" spans="1:6" x14ac:dyDescent="0.3">
      <c r="A784" s="3" t="s">
        <v>620</v>
      </c>
      <c r="B784" s="3" t="s">
        <v>131</v>
      </c>
      <c r="C784" s="3" t="str">
        <f t="shared" si="12"/>
        <v>4500119928140</v>
      </c>
      <c r="D784" s="4">
        <v>46108</v>
      </c>
      <c r="E784" s="3" t="s">
        <v>2196</v>
      </c>
      <c r="F784" s="3" t="s">
        <v>2454</v>
      </c>
    </row>
    <row r="785" spans="1:6" x14ac:dyDescent="0.3">
      <c r="A785" s="3" t="s">
        <v>620</v>
      </c>
      <c r="B785" s="3" t="s">
        <v>68</v>
      </c>
      <c r="C785" s="3" t="str">
        <f t="shared" si="12"/>
        <v>4500119928150</v>
      </c>
      <c r="D785" s="4">
        <v>46108</v>
      </c>
      <c r="E785" s="3" t="s">
        <v>2196</v>
      </c>
      <c r="F785" s="3" t="s">
        <v>2454</v>
      </c>
    </row>
    <row r="786" spans="1:6" x14ac:dyDescent="0.3">
      <c r="A786" s="3" t="s">
        <v>620</v>
      </c>
      <c r="B786" s="3" t="s">
        <v>129</v>
      </c>
      <c r="C786" s="3" t="str">
        <f t="shared" si="12"/>
        <v>4500119928160</v>
      </c>
      <c r="D786" s="4">
        <v>46108</v>
      </c>
      <c r="E786" s="3" t="s">
        <v>2196</v>
      </c>
      <c r="F786" s="3" t="s">
        <v>2454</v>
      </c>
    </row>
    <row r="787" spans="1:6" x14ac:dyDescent="0.3">
      <c r="A787" s="3" t="s">
        <v>620</v>
      </c>
      <c r="B787" s="3" t="s">
        <v>53</v>
      </c>
      <c r="C787" s="3" t="str">
        <f t="shared" si="12"/>
        <v>4500119928170</v>
      </c>
      <c r="D787" s="4">
        <v>46108</v>
      </c>
      <c r="E787" s="3" t="s">
        <v>2196</v>
      </c>
      <c r="F787" s="3" t="s">
        <v>2454</v>
      </c>
    </row>
    <row r="788" spans="1:6" x14ac:dyDescent="0.3">
      <c r="A788" s="3" t="s">
        <v>620</v>
      </c>
      <c r="B788" s="3" t="s">
        <v>130</v>
      </c>
      <c r="C788" s="3" t="str">
        <f t="shared" si="12"/>
        <v>4500119928180</v>
      </c>
      <c r="D788" s="4">
        <v>46108</v>
      </c>
      <c r="E788" s="3" t="s">
        <v>2196</v>
      </c>
      <c r="F788" s="3" t="s">
        <v>2454</v>
      </c>
    </row>
    <row r="789" spans="1:6" x14ac:dyDescent="0.3">
      <c r="A789" s="3" t="s">
        <v>620</v>
      </c>
      <c r="B789" s="3" t="s">
        <v>127</v>
      </c>
      <c r="C789" s="3" t="str">
        <f t="shared" si="12"/>
        <v>4500119928190</v>
      </c>
      <c r="D789" s="4">
        <v>46108</v>
      </c>
      <c r="E789" s="3" t="s">
        <v>2196</v>
      </c>
      <c r="F789" s="3" t="s">
        <v>2454</v>
      </c>
    </row>
    <row r="790" spans="1:6" x14ac:dyDescent="0.3">
      <c r="A790" s="3" t="s">
        <v>620</v>
      </c>
      <c r="B790" s="3" t="s">
        <v>161</v>
      </c>
      <c r="C790" s="3" t="str">
        <f t="shared" si="12"/>
        <v>4500119928200</v>
      </c>
      <c r="D790" s="4">
        <v>46108</v>
      </c>
      <c r="E790" s="3" t="s">
        <v>2196</v>
      </c>
      <c r="F790" s="3" t="s">
        <v>2454</v>
      </c>
    </row>
    <row r="791" spans="1:6" x14ac:dyDescent="0.3">
      <c r="A791" s="3" t="s">
        <v>620</v>
      </c>
      <c r="B791" s="3" t="s">
        <v>140</v>
      </c>
      <c r="C791" s="3" t="str">
        <f t="shared" si="12"/>
        <v>4500119928220</v>
      </c>
      <c r="D791" s="4">
        <v>46108</v>
      </c>
      <c r="E791" s="3" t="s">
        <v>2196</v>
      </c>
      <c r="F791" s="3" t="s">
        <v>2454</v>
      </c>
    </row>
    <row r="792" spans="1:6" x14ac:dyDescent="0.3">
      <c r="A792" s="3" t="s">
        <v>620</v>
      </c>
      <c r="B792" s="3" t="s">
        <v>137</v>
      </c>
      <c r="C792" s="3" t="str">
        <f t="shared" si="12"/>
        <v>4500119928230</v>
      </c>
      <c r="D792" s="4">
        <v>46108</v>
      </c>
      <c r="E792" s="3" t="s">
        <v>2196</v>
      </c>
      <c r="F792" s="3" t="s">
        <v>2454</v>
      </c>
    </row>
    <row r="793" spans="1:6" x14ac:dyDescent="0.3">
      <c r="A793" s="3" t="s">
        <v>620</v>
      </c>
      <c r="B793" s="3" t="s">
        <v>143</v>
      </c>
      <c r="C793" s="3" t="str">
        <f t="shared" si="12"/>
        <v>4500119928240</v>
      </c>
      <c r="D793" s="4">
        <v>46108</v>
      </c>
      <c r="E793" s="3" t="s">
        <v>2196</v>
      </c>
      <c r="F793" s="3" t="s">
        <v>2454</v>
      </c>
    </row>
    <row r="794" spans="1:6" x14ac:dyDescent="0.3">
      <c r="A794" s="3" t="s">
        <v>620</v>
      </c>
      <c r="B794" s="3" t="s">
        <v>128</v>
      </c>
      <c r="C794" s="3" t="str">
        <f t="shared" si="12"/>
        <v>4500119928250</v>
      </c>
      <c r="D794" s="4">
        <v>46108</v>
      </c>
      <c r="E794" s="3" t="s">
        <v>2196</v>
      </c>
      <c r="F794" s="3" t="s">
        <v>2454</v>
      </c>
    </row>
    <row r="795" spans="1:6" x14ac:dyDescent="0.3">
      <c r="A795" s="3" t="s">
        <v>620</v>
      </c>
      <c r="B795" s="3" t="s">
        <v>126</v>
      </c>
      <c r="C795" s="3" t="str">
        <f t="shared" si="12"/>
        <v>4500119928260</v>
      </c>
      <c r="D795" s="4">
        <v>46108</v>
      </c>
      <c r="E795" s="3" t="s">
        <v>2196</v>
      </c>
      <c r="F795" s="3" t="s">
        <v>2454</v>
      </c>
    </row>
    <row r="796" spans="1:6" x14ac:dyDescent="0.3">
      <c r="A796" s="3" t="s">
        <v>620</v>
      </c>
      <c r="B796" s="3" t="s">
        <v>146</v>
      </c>
      <c r="C796" s="3" t="str">
        <f t="shared" si="12"/>
        <v>4500119928270</v>
      </c>
      <c r="D796" s="4">
        <v>46108</v>
      </c>
      <c r="E796" s="3" t="s">
        <v>2196</v>
      </c>
      <c r="F796" s="3" t="s">
        <v>2454</v>
      </c>
    </row>
    <row r="797" spans="1:6" x14ac:dyDescent="0.3">
      <c r="A797" s="3" t="s">
        <v>620</v>
      </c>
      <c r="B797" s="3" t="s">
        <v>133</v>
      </c>
      <c r="C797" s="3" t="str">
        <f t="shared" si="12"/>
        <v>4500119928280</v>
      </c>
      <c r="D797" s="4">
        <v>46108</v>
      </c>
      <c r="E797" s="3" t="s">
        <v>2196</v>
      </c>
      <c r="F797" s="3" t="s">
        <v>2454</v>
      </c>
    </row>
    <row r="798" spans="1:6" x14ac:dyDescent="0.3">
      <c r="A798" s="3" t="s">
        <v>620</v>
      </c>
      <c r="B798" s="3" t="s">
        <v>173</v>
      </c>
      <c r="C798" s="3" t="str">
        <f t="shared" si="12"/>
        <v>4500119928290</v>
      </c>
      <c r="D798" s="4">
        <v>46108</v>
      </c>
      <c r="E798" s="3" t="s">
        <v>2196</v>
      </c>
      <c r="F798" s="3" t="s">
        <v>2454</v>
      </c>
    </row>
    <row r="799" spans="1:6" x14ac:dyDescent="0.3">
      <c r="A799" s="3" t="s">
        <v>620</v>
      </c>
      <c r="B799" s="3" t="s">
        <v>145</v>
      </c>
      <c r="C799" s="3" t="str">
        <f t="shared" si="12"/>
        <v>4500119928300</v>
      </c>
      <c r="D799" s="4">
        <v>46108</v>
      </c>
      <c r="E799" s="3" t="s">
        <v>2196</v>
      </c>
      <c r="F799" s="3" t="s">
        <v>2454</v>
      </c>
    </row>
    <row r="800" spans="1:6" x14ac:dyDescent="0.3">
      <c r="A800" s="3" t="s">
        <v>620</v>
      </c>
      <c r="B800" s="3" t="s">
        <v>147</v>
      </c>
      <c r="C800" s="3" t="str">
        <f t="shared" si="12"/>
        <v>4500119928310</v>
      </c>
      <c r="D800" s="4">
        <v>46108</v>
      </c>
      <c r="E800" s="3" t="s">
        <v>2196</v>
      </c>
      <c r="F800" s="3" t="s">
        <v>2454</v>
      </c>
    </row>
    <row r="801" spans="1:6" x14ac:dyDescent="0.3">
      <c r="A801" s="3" t="s">
        <v>620</v>
      </c>
      <c r="B801" s="3" t="s">
        <v>150</v>
      </c>
      <c r="C801" s="3" t="str">
        <f t="shared" si="12"/>
        <v>4500119928320</v>
      </c>
      <c r="D801" s="4">
        <v>46108</v>
      </c>
      <c r="E801" s="3" t="s">
        <v>2196</v>
      </c>
      <c r="F801" s="3" t="s">
        <v>2454</v>
      </c>
    </row>
    <row r="802" spans="1:6" x14ac:dyDescent="0.3">
      <c r="A802" s="3" t="s">
        <v>620</v>
      </c>
      <c r="B802" s="3" t="s">
        <v>154</v>
      </c>
      <c r="C802" s="3" t="str">
        <f t="shared" si="12"/>
        <v>4500119928330</v>
      </c>
      <c r="D802" s="4">
        <v>46108</v>
      </c>
      <c r="E802" s="3" t="s">
        <v>2196</v>
      </c>
      <c r="F802" s="3" t="s">
        <v>2454</v>
      </c>
    </row>
    <row r="803" spans="1:6" x14ac:dyDescent="0.3">
      <c r="A803" s="3" t="s">
        <v>620</v>
      </c>
      <c r="B803" s="3" t="s">
        <v>135</v>
      </c>
      <c r="C803" s="3" t="str">
        <f t="shared" si="12"/>
        <v>4500119928340</v>
      </c>
      <c r="D803" s="4">
        <v>46108</v>
      </c>
      <c r="E803" s="3" t="s">
        <v>2196</v>
      </c>
      <c r="F803" s="3" t="s">
        <v>2454</v>
      </c>
    </row>
    <row r="804" spans="1:6" x14ac:dyDescent="0.3">
      <c r="A804" s="3" t="s">
        <v>620</v>
      </c>
      <c r="B804" s="3" t="s">
        <v>139</v>
      </c>
      <c r="C804" s="3" t="str">
        <f t="shared" si="12"/>
        <v>4500119928350</v>
      </c>
      <c r="D804" s="4">
        <v>46108</v>
      </c>
      <c r="E804" s="3" t="s">
        <v>2196</v>
      </c>
      <c r="F804" s="3" t="s">
        <v>2454</v>
      </c>
    </row>
    <row r="805" spans="1:6" x14ac:dyDescent="0.3">
      <c r="A805" s="3" t="s">
        <v>620</v>
      </c>
      <c r="B805" s="3" t="s">
        <v>168</v>
      </c>
      <c r="C805" s="3" t="str">
        <f t="shared" si="12"/>
        <v>4500119928360</v>
      </c>
      <c r="D805" s="4">
        <v>46108</v>
      </c>
      <c r="E805" s="3" t="s">
        <v>2196</v>
      </c>
      <c r="F805" s="3" t="s">
        <v>2454</v>
      </c>
    </row>
    <row r="806" spans="1:6" x14ac:dyDescent="0.3">
      <c r="A806" s="3" t="s">
        <v>620</v>
      </c>
      <c r="B806" s="3" t="s">
        <v>162</v>
      </c>
      <c r="C806" s="3" t="str">
        <f t="shared" si="12"/>
        <v>4500119928370</v>
      </c>
      <c r="D806" s="4">
        <v>46108</v>
      </c>
      <c r="E806" s="3" t="s">
        <v>2196</v>
      </c>
      <c r="F806" s="3" t="s">
        <v>2454</v>
      </c>
    </row>
    <row r="807" spans="1:6" x14ac:dyDescent="0.3">
      <c r="A807" s="3" t="s">
        <v>620</v>
      </c>
      <c r="B807" s="3" t="s">
        <v>1132</v>
      </c>
      <c r="C807" s="3" t="str">
        <f t="shared" si="12"/>
        <v>4500119928380</v>
      </c>
      <c r="D807" s="4">
        <v>46108</v>
      </c>
      <c r="E807" s="3" t="s">
        <v>2196</v>
      </c>
      <c r="F807" s="3" t="s">
        <v>2454</v>
      </c>
    </row>
    <row r="808" spans="1:6" x14ac:dyDescent="0.3">
      <c r="A808" s="3" t="s">
        <v>620</v>
      </c>
      <c r="B808" s="3" t="s">
        <v>158</v>
      </c>
      <c r="C808" s="3" t="str">
        <f t="shared" si="12"/>
        <v>4500119928390</v>
      </c>
      <c r="D808" s="4">
        <v>46108</v>
      </c>
      <c r="E808" s="3" t="s">
        <v>2196</v>
      </c>
      <c r="F808" s="3" t="s">
        <v>2454</v>
      </c>
    </row>
    <row r="809" spans="1:6" x14ac:dyDescent="0.3">
      <c r="A809" s="3" t="s">
        <v>620</v>
      </c>
      <c r="B809" s="3" t="s">
        <v>178</v>
      </c>
      <c r="C809" s="3" t="str">
        <f t="shared" si="12"/>
        <v>4500119928400</v>
      </c>
      <c r="D809" s="4">
        <v>46108</v>
      </c>
      <c r="E809" s="3" t="s">
        <v>2196</v>
      </c>
      <c r="F809" s="3" t="s">
        <v>2454</v>
      </c>
    </row>
    <row r="810" spans="1:6" x14ac:dyDescent="0.3">
      <c r="A810" s="3" t="s">
        <v>620</v>
      </c>
      <c r="B810" s="3" t="s">
        <v>157</v>
      </c>
      <c r="C810" s="3" t="str">
        <f t="shared" si="12"/>
        <v>4500119928410</v>
      </c>
      <c r="D810" s="4">
        <v>46108</v>
      </c>
      <c r="E810" s="3" t="s">
        <v>2196</v>
      </c>
      <c r="F810" s="3" t="s">
        <v>2454</v>
      </c>
    </row>
    <row r="811" spans="1:6" x14ac:dyDescent="0.3">
      <c r="A811" s="3" t="s">
        <v>620</v>
      </c>
      <c r="B811" s="3" t="s">
        <v>155</v>
      </c>
      <c r="C811" s="3" t="str">
        <f t="shared" si="12"/>
        <v>4500119928420</v>
      </c>
      <c r="D811" s="4">
        <v>46108</v>
      </c>
      <c r="E811" s="3" t="s">
        <v>2196</v>
      </c>
      <c r="F811" s="3" t="s">
        <v>2454</v>
      </c>
    </row>
    <row r="812" spans="1:6" x14ac:dyDescent="0.3">
      <c r="A812" s="3" t="s">
        <v>620</v>
      </c>
      <c r="B812" s="3" t="s">
        <v>166</v>
      </c>
      <c r="C812" s="3" t="str">
        <f t="shared" si="12"/>
        <v>4500119928430</v>
      </c>
      <c r="D812" s="4">
        <v>46108</v>
      </c>
      <c r="E812" s="3" t="s">
        <v>2196</v>
      </c>
      <c r="F812" s="3" t="s">
        <v>2454</v>
      </c>
    </row>
    <row r="813" spans="1:6" x14ac:dyDescent="0.3">
      <c r="A813" s="3" t="s">
        <v>620</v>
      </c>
      <c r="B813" s="3" t="s">
        <v>164</v>
      </c>
      <c r="C813" s="3" t="str">
        <f t="shared" si="12"/>
        <v>4500119928440</v>
      </c>
      <c r="D813" s="4">
        <v>46108</v>
      </c>
      <c r="E813" s="3" t="s">
        <v>2196</v>
      </c>
      <c r="F813" s="3" t="s">
        <v>2454</v>
      </c>
    </row>
    <row r="814" spans="1:6" x14ac:dyDescent="0.3">
      <c r="A814" s="3" t="s">
        <v>620</v>
      </c>
      <c r="B814" s="3" t="s">
        <v>169</v>
      </c>
      <c r="C814" s="3" t="str">
        <f t="shared" si="12"/>
        <v>4500119928450</v>
      </c>
      <c r="D814" s="4">
        <v>46108</v>
      </c>
      <c r="E814" s="3" t="s">
        <v>2196</v>
      </c>
      <c r="F814" s="3" t="s">
        <v>2454</v>
      </c>
    </row>
    <row r="815" spans="1:6" x14ac:dyDescent="0.3">
      <c r="A815" s="3" t="s">
        <v>2272</v>
      </c>
      <c r="B815" s="3" t="s">
        <v>144</v>
      </c>
      <c r="C815" s="3" t="str">
        <f t="shared" si="12"/>
        <v>450011993050</v>
      </c>
      <c r="D815" s="4">
        <v>46326</v>
      </c>
      <c r="E815" s="3" t="s">
        <v>2194</v>
      </c>
      <c r="F815" s="3" t="s">
        <v>2435</v>
      </c>
    </row>
    <row r="816" spans="1:6" x14ac:dyDescent="0.3">
      <c r="A816" s="3" t="s">
        <v>2272</v>
      </c>
      <c r="B816" s="3" t="s">
        <v>141</v>
      </c>
      <c r="C816" s="3" t="str">
        <f t="shared" si="12"/>
        <v>450011993060</v>
      </c>
      <c r="D816" s="4">
        <v>46326</v>
      </c>
      <c r="E816" s="3" t="s">
        <v>2194</v>
      </c>
      <c r="F816" s="3" t="s">
        <v>2435</v>
      </c>
    </row>
    <row r="817" spans="1:6" x14ac:dyDescent="0.3">
      <c r="A817" s="3" t="s">
        <v>2272</v>
      </c>
      <c r="B817" s="3" t="s">
        <v>134</v>
      </c>
      <c r="C817" s="3" t="str">
        <f t="shared" si="12"/>
        <v>450011993070</v>
      </c>
      <c r="D817" s="4">
        <v>46326</v>
      </c>
      <c r="E817" s="3" t="s">
        <v>2194</v>
      </c>
      <c r="F817" s="3" t="s">
        <v>2435</v>
      </c>
    </row>
    <row r="818" spans="1:6" x14ac:dyDescent="0.3">
      <c r="A818" s="3" t="s">
        <v>3156</v>
      </c>
      <c r="B818" s="3" t="s">
        <v>30</v>
      </c>
      <c r="C818" s="3" t="str">
        <f t="shared" si="12"/>
        <v>450011996310</v>
      </c>
      <c r="D818" s="4">
        <v>46387</v>
      </c>
      <c r="E818" s="3" t="s">
        <v>2194</v>
      </c>
      <c r="F818" s="3" t="s">
        <v>3220</v>
      </c>
    </row>
    <row r="819" spans="1:6" x14ac:dyDescent="0.3">
      <c r="A819" s="3" t="s">
        <v>34</v>
      </c>
      <c r="B819" s="3" t="s">
        <v>35</v>
      </c>
      <c r="C819" s="3" t="str">
        <f t="shared" si="12"/>
        <v>450012017730</v>
      </c>
      <c r="D819" s="4">
        <v>46097</v>
      </c>
      <c r="E819" s="3" t="s">
        <v>2208</v>
      </c>
      <c r="F819" s="3" t="s">
        <v>2564</v>
      </c>
    </row>
    <row r="820" spans="1:6" x14ac:dyDescent="0.3">
      <c r="A820" s="3" t="s">
        <v>37</v>
      </c>
      <c r="B820" s="3" t="s">
        <v>22</v>
      </c>
      <c r="C820" s="3" t="str">
        <f t="shared" si="12"/>
        <v>450012017820</v>
      </c>
      <c r="D820" s="4">
        <v>46097</v>
      </c>
      <c r="E820" s="3" t="s">
        <v>2208</v>
      </c>
      <c r="F820" s="3" t="s">
        <v>2564</v>
      </c>
    </row>
    <row r="821" spans="1:6" x14ac:dyDescent="0.3">
      <c r="A821" s="3" t="s">
        <v>44</v>
      </c>
      <c r="B821" s="3" t="s">
        <v>30</v>
      </c>
      <c r="C821" s="3" t="str">
        <f t="shared" si="12"/>
        <v>450012057010</v>
      </c>
      <c r="D821" s="4">
        <v>46092</v>
      </c>
      <c r="E821" s="3" t="s">
        <v>2212</v>
      </c>
      <c r="F821" s="3" t="s">
        <v>2551</v>
      </c>
    </row>
    <row r="822" spans="1:6" x14ac:dyDescent="0.3">
      <c r="A822" s="3" t="s">
        <v>44</v>
      </c>
      <c r="B822" s="3" t="s">
        <v>22</v>
      </c>
      <c r="C822" s="3" t="str">
        <f t="shared" si="12"/>
        <v>450012057020</v>
      </c>
      <c r="D822" s="4">
        <v>46092</v>
      </c>
      <c r="E822" s="3" t="s">
        <v>2212</v>
      </c>
      <c r="F822" s="3" t="s">
        <v>2551</v>
      </c>
    </row>
    <row r="823" spans="1:6" x14ac:dyDescent="0.3">
      <c r="A823" s="3" t="s">
        <v>44</v>
      </c>
      <c r="B823" s="3" t="s">
        <v>35</v>
      </c>
      <c r="C823" s="3" t="str">
        <f t="shared" si="12"/>
        <v>450012057030</v>
      </c>
      <c r="D823" s="4">
        <v>46092</v>
      </c>
      <c r="E823" s="3" t="s">
        <v>2212</v>
      </c>
      <c r="F823" s="3" t="s">
        <v>2551</v>
      </c>
    </row>
    <row r="824" spans="1:6" x14ac:dyDescent="0.3">
      <c r="A824" s="3" t="s">
        <v>44</v>
      </c>
      <c r="B824" s="3" t="s">
        <v>23</v>
      </c>
      <c r="C824" s="3" t="str">
        <f t="shared" si="12"/>
        <v>450012057040</v>
      </c>
      <c r="D824" s="4">
        <v>46092</v>
      </c>
      <c r="E824" s="3" t="s">
        <v>2212</v>
      </c>
      <c r="F824" s="3" t="s">
        <v>2551</v>
      </c>
    </row>
    <row r="825" spans="1:6" x14ac:dyDescent="0.3">
      <c r="A825" s="3" t="s">
        <v>44</v>
      </c>
      <c r="B825" s="3" t="s">
        <v>52</v>
      </c>
      <c r="C825" s="3" t="str">
        <f t="shared" si="12"/>
        <v>450012057080</v>
      </c>
      <c r="D825" s="4">
        <v>46092</v>
      </c>
      <c r="E825" s="3" t="s">
        <v>2212</v>
      </c>
      <c r="F825" s="3" t="s">
        <v>2551</v>
      </c>
    </row>
    <row r="826" spans="1:6" x14ac:dyDescent="0.3">
      <c r="A826" s="3" t="s">
        <v>44</v>
      </c>
      <c r="B826" s="3" t="s">
        <v>138</v>
      </c>
      <c r="C826" s="3" t="str">
        <f t="shared" si="12"/>
        <v>450012057090</v>
      </c>
      <c r="D826" s="4">
        <v>46092</v>
      </c>
      <c r="E826" s="3" t="s">
        <v>2212</v>
      </c>
      <c r="F826" s="3" t="s">
        <v>2551</v>
      </c>
    </row>
    <row r="827" spans="1:6" x14ac:dyDescent="0.3">
      <c r="A827" s="3" t="s">
        <v>44</v>
      </c>
      <c r="B827" s="3" t="s">
        <v>45</v>
      </c>
      <c r="C827" s="3" t="str">
        <f t="shared" si="12"/>
        <v>4500120570100</v>
      </c>
      <c r="D827" s="4">
        <v>46092</v>
      </c>
      <c r="E827" s="3" t="s">
        <v>2212</v>
      </c>
      <c r="F827" s="3" t="s">
        <v>2551</v>
      </c>
    </row>
    <row r="828" spans="1:6" x14ac:dyDescent="0.3">
      <c r="A828" s="3" t="s">
        <v>44</v>
      </c>
      <c r="B828" s="3" t="s">
        <v>156</v>
      </c>
      <c r="C828" s="3" t="str">
        <f t="shared" si="12"/>
        <v>4500120570110</v>
      </c>
      <c r="D828" s="4">
        <v>46092</v>
      </c>
      <c r="E828" s="3" t="s">
        <v>2212</v>
      </c>
      <c r="F828" s="3" t="s">
        <v>2551</v>
      </c>
    </row>
    <row r="829" spans="1:6" x14ac:dyDescent="0.3">
      <c r="A829" s="3" t="s">
        <v>44</v>
      </c>
      <c r="B829" s="3" t="s">
        <v>131</v>
      </c>
      <c r="C829" s="3" t="str">
        <f t="shared" si="12"/>
        <v>4500120570140</v>
      </c>
      <c r="D829" s="4">
        <v>46092</v>
      </c>
      <c r="E829" s="3" t="s">
        <v>2212</v>
      </c>
      <c r="F829" s="3" t="s">
        <v>2551</v>
      </c>
    </row>
    <row r="830" spans="1:6" x14ac:dyDescent="0.3">
      <c r="A830" s="3" t="s">
        <v>44</v>
      </c>
      <c r="B830" s="3" t="s">
        <v>68</v>
      </c>
      <c r="C830" s="3" t="str">
        <f t="shared" si="12"/>
        <v>4500120570150</v>
      </c>
      <c r="D830" s="4">
        <v>46092</v>
      </c>
      <c r="E830" s="3" t="s">
        <v>2212</v>
      </c>
      <c r="F830" s="3" t="s">
        <v>2551</v>
      </c>
    </row>
    <row r="831" spans="1:6" x14ac:dyDescent="0.3">
      <c r="A831" s="3" t="s">
        <v>552</v>
      </c>
      <c r="B831" s="3" t="s">
        <v>30</v>
      </c>
      <c r="C831" s="3" t="str">
        <f t="shared" si="12"/>
        <v>450012060410</v>
      </c>
      <c r="D831" s="4">
        <v>45869</v>
      </c>
      <c r="E831" s="3" t="s">
        <v>2258</v>
      </c>
      <c r="F831" s="3" t="s">
        <v>2547</v>
      </c>
    </row>
    <row r="832" spans="1:6" x14ac:dyDescent="0.3">
      <c r="A832" s="3" t="s">
        <v>552</v>
      </c>
      <c r="B832" s="3" t="s">
        <v>22</v>
      </c>
      <c r="C832" s="3" t="str">
        <f t="shared" si="12"/>
        <v>450012060420</v>
      </c>
      <c r="D832" s="4">
        <v>45869</v>
      </c>
      <c r="E832" s="3" t="s">
        <v>2258</v>
      </c>
      <c r="F832" s="3" t="s">
        <v>2547</v>
      </c>
    </row>
    <row r="833" spans="1:6" x14ac:dyDescent="0.3">
      <c r="A833" s="3" t="s">
        <v>552</v>
      </c>
      <c r="B833" s="3" t="s">
        <v>35</v>
      </c>
      <c r="C833" s="3" t="str">
        <f t="shared" si="12"/>
        <v>450012060430</v>
      </c>
      <c r="D833" s="4">
        <v>45869</v>
      </c>
      <c r="E833" s="3" t="s">
        <v>2258</v>
      </c>
      <c r="F833" s="3" t="s">
        <v>2547</v>
      </c>
    </row>
    <row r="834" spans="1:6" x14ac:dyDescent="0.3">
      <c r="A834" s="3" t="s">
        <v>552</v>
      </c>
      <c r="B834" s="3" t="s">
        <v>23</v>
      </c>
      <c r="C834" s="3" t="str">
        <f t="shared" si="12"/>
        <v>450012060440</v>
      </c>
      <c r="D834" s="4">
        <v>45869</v>
      </c>
      <c r="E834" s="3" t="s">
        <v>2258</v>
      </c>
      <c r="F834" s="3" t="s">
        <v>2547</v>
      </c>
    </row>
    <row r="835" spans="1:6" x14ac:dyDescent="0.3">
      <c r="A835" s="3" t="s">
        <v>552</v>
      </c>
      <c r="B835" s="3" t="s">
        <v>144</v>
      </c>
      <c r="C835" s="3" t="str">
        <f t="shared" ref="C835:C898" si="13">_xlfn.CONCAT(A835:B835)</f>
        <v>450012060450</v>
      </c>
      <c r="D835" s="4">
        <v>45869</v>
      </c>
      <c r="E835" s="3" t="s">
        <v>2258</v>
      </c>
      <c r="F835" s="3" t="s">
        <v>2547</v>
      </c>
    </row>
    <row r="836" spans="1:6" x14ac:dyDescent="0.3">
      <c r="A836" s="3" t="s">
        <v>552</v>
      </c>
      <c r="B836" s="3" t="s">
        <v>141</v>
      </c>
      <c r="C836" s="3" t="str">
        <f t="shared" si="13"/>
        <v>450012060460</v>
      </c>
      <c r="D836" s="4">
        <v>45869</v>
      </c>
      <c r="E836" s="3" t="s">
        <v>2258</v>
      </c>
      <c r="F836" s="3" t="s">
        <v>2547</v>
      </c>
    </row>
    <row r="837" spans="1:6" x14ac:dyDescent="0.3">
      <c r="A837" s="3" t="s">
        <v>552</v>
      </c>
      <c r="B837" s="3" t="s">
        <v>134</v>
      </c>
      <c r="C837" s="3" t="str">
        <f t="shared" si="13"/>
        <v>450012060470</v>
      </c>
      <c r="D837" s="4">
        <v>45869</v>
      </c>
      <c r="E837" s="3" t="s">
        <v>2258</v>
      </c>
      <c r="F837" s="3" t="s">
        <v>2547</v>
      </c>
    </row>
    <row r="838" spans="1:6" x14ac:dyDescent="0.3">
      <c r="A838" s="3" t="s">
        <v>552</v>
      </c>
      <c r="B838" s="3" t="s">
        <v>52</v>
      </c>
      <c r="C838" s="3" t="str">
        <f t="shared" si="13"/>
        <v>450012060480</v>
      </c>
      <c r="D838" s="4">
        <v>45869</v>
      </c>
      <c r="E838" s="3" t="s">
        <v>2258</v>
      </c>
      <c r="F838" s="3" t="s">
        <v>2547</v>
      </c>
    </row>
    <row r="839" spans="1:6" x14ac:dyDescent="0.3">
      <c r="A839" s="3" t="s">
        <v>552</v>
      </c>
      <c r="B839" s="3" t="s">
        <v>138</v>
      </c>
      <c r="C839" s="3" t="str">
        <f t="shared" si="13"/>
        <v>450012060490</v>
      </c>
      <c r="D839" s="4">
        <v>45869</v>
      </c>
      <c r="E839" s="3" t="s">
        <v>2258</v>
      </c>
      <c r="F839" s="3" t="s">
        <v>2547</v>
      </c>
    </row>
    <row r="840" spans="1:6" x14ac:dyDescent="0.3">
      <c r="A840" s="3" t="s">
        <v>552</v>
      </c>
      <c r="B840" s="3" t="s">
        <v>45</v>
      </c>
      <c r="C840" s="3" t="str">
        <f t="shared" si="13"/>
        <v>4500120604100</v>
      </c>
      <c r="D840" s="4">
        <v>45869</v>
      </c>
      <c r="E840" s="3" t="s">
        <v>2258</v>
      </c>
      <c r="F840" s="3" t="s">
        <v>2547</v>
      </c>
    </row>
    <row r="841" spans="1:6" x14ac:dyDescent="0.3">
      <c r="A841" s="3" t="s">
        <v>552</v>
      </c>
      <c r="B841" s="3" t="s">
        <v>156</v>
      </c>
      <c r="C841" s="3" t="str">
        <f t="shared" si="13"/>
        <v>4500120604110</v>
      </c>
      <c r="D841" s="4">
        <v>45869</v>
      </c>
      <c r="E841" s="3" t="s">
        <v>2258</v>
      </c>
      <c r="F841" s="3" t="s">
        <v>2547</v>
      </c>
    </row>
    <row r="842" spans="1:6" x14ac:dyDescent="0.3">
      <c r="A842" s="3" t="s">
        <v>552</v>
      </c>
      <c r="B842" s="3" t="s">
        <v>132</v>
      </c>
      <c r="C842" s="3" t="str">
        <f t="shared" si="13"/>
        <v>4500120604120</v>
      </c>
      <c r="D842" s="4">
        <v>45869</v>
      </c>
      <c r="E842" s="3" t="s">
        <v>2258</v>
      </c>
      <c r="F842" s="3" t="s">
        <v>2547</v>
      </c>
    </row>
    <row r="843" spans="1:6" x14ac:dyDescent="0.3">
      <c r="A843" s="3" t="s">
        <v>552</v>
      </c>
      <c r="B843" s="3" t="s">
        <v>142</v>
      </c>
      <c r="C843" s="3" t="str">
        <f t="shared" si="13"/>
        <v>4500120604130</v>
      </c>
      <c r="D843" s="4">
        <v>45869</v>
      </c>
      <c r="E843" s="3" t="s">
        <v>2258</v>
      </c>
      <c r="F843" s="3" t="s">
        <v>2547</v>
      </c>
    </row>
    <row r="844" spans="1:6" x14ac:dyDescent="0.3">
      <c r="A844" s="3" t="s">
        <v>552</v>
      </c>
      <c r="B844" s="3" t="s">
        <v>131</v>
      </c>
      <c r="C844" s="3" t="str">
        <f t="shared" si="13"/>
        <v>4500120604140</v>
      </c>
      <c r="D844" s="4">
        <v>45869</v>
      </c>
      <c r="E844" s="3" t="s">
        <v>2258</v>
      </c>
      <c r="F844" s="3" t="s">
        <v>2547</v>
      </c>
    </row>
    <row r="845" spans="1:6" x14ac:dyDescent="0.3">
      <c r="A845" s="3" t="s">
        <v>552</v>
      </c>
      <c r="B845" s="3" t="s">
        <v>68</v>
      </c>
      <c r="C845" s="3" t="str">
        <f t="shared" si="13"/>
        <v>4500120604150</v>
      </c>
      <c r="D845" s="4">
        <v>45869</v>
      </c>
      <c r="E845" s="3" t="s">
        <v>2258</v>
      </c>
      <c r="F845" s="3" t="s">
        <v>2547</v>
      </c>
    </row>
    <row r="846" spans="1:6" x14ac:dyDescent="0.3">
      <c r="A846" s="3" t="s">
        <v>552</v>
      </c>
      <c r="B846" s="3" t="s">
        <v>129</v>
      </c>
      <c r="C846" s="3" t="str">
        <f t="shared" si="13"/>
        <v>4500120604160</v>
      </c>
      <c r="D846" s="4">
        <v>45869</v>
      </c>
      <c r="E846" s="3" t="s">
        <v>2258</v>
      </c>
      <c r="F846" s="3" t="s">
        <v>2547</v>
      </c>
    </row>
    <row r="847" spans="1:6" x14ac:dyDescent="0.3">
      <c r="A847" s="3" t="s">
        <v>552</v>
      </c>
      <c r="B847" s="3" t="s">
        <v>53</v>
      </c>
      <c r="C847" s="3" t="str">
        <f t="shared" si="13"/>
        <v>4500120604170</v>
      </c>
      <c r="D847" s="4">
        <v>45869</v>
      </c>
      <c r="E847" s="3" t="s">
        <v>2258</v>
      </c>
      <c r="F847" s="3" t="s">
        <v>2547</v>
      </c>
    </row>
    <row r="848" spans="1:6" x14ac:dyDescent="0.3">
      <c r="A848" s="3" t="s">
        <v>552</v>
      </c>
      <c r="B848" s="3" t="s">
        <v>130</v>
      </c>
      <c r="C848" s="3" t="str">
        <f t="shared" si="13"/>
        <v>4500120604180</v>
      </c>
      <c r="D848" s="4">
        <v>45869</v>
      </c>
      <c r="E848" s="3" t="s">
        <v>2258</v>
      </c>
      <c r="F848" s="3" t="s">
        <v>2547</v>
      </c>
    </row>
    <row r="849" spans="1:6" x14ac:dyDescent="0.3">
      <c r="A849" s="3" t="s">
        <v>552</v>
      </c>
      <c r="B849" s="3" t="s">
        <v>127</v>
      </c>
      <c r="C849" s="3" t="str">
        <f t="shared" si="13"/>
        <v>4500120604190</v>
      </c>
      <c r="D849" s="4">
        <v>45869</v>
      </c>
      <c r="E849" s="3" t="s">
        <v>2258</v>
      </c>
      <c r="F849" s="3" t="s">
        <v>2547</v>
      </c>
    </row>
    <row r="850" spans="1:6" x14ac:dyDescent="0.3">
      <c r="A850" s="3" t="s">
        <v>552</v>
      </c>
      <c r="B850" s="3" t="s">
        <v>161</v>
      </c>
      <c r="C850" s="3" t="str">
        <f t="shared" si="13"/>
        <v>4500120604200</v>
      </c>
      <c r="D850" s="4">
        <v>45869</v>
      </c>
      <c r="E850" s="3" t="s">
        <v>2258</v>
      </c>
      <c r="F850" s="3" t="s">
        <v>2547</v>
      </c>
    </row>
    <row r="851" spans="1:6" x14ac:dyDescent="0.3">
      <c r="A851" s="3" t="s">
        <v>2321</v>
      </c>
      <c r="B851" s="3" t="s">
        <v>30</v>
      </c>
      <c r="C851" s="3" t="str">
        <f t="shared" si="13"/>
        <v>450012062910</v>
      </c>
      <c r="D851" s="4">
        <v>46326</v>
      </c>
      <c r="E851" s="3" t="s">
        <v>2194</v>
      </c>
      <c r="F851" s="3" t="s">
        <v>2565</v>
      </c>
    </row>
    <row r="852" spans="1:6" x14ac:dyDescent="0.3">
      <c r="A852" s="3" t="s">
        <v>64</v>
      </c>
      <c r="B852" s="3" t="s">
        <v>30</v>
      </c>
      <c r="C852" s="3" t="str">
        <f t="shared" si="13"/>
        <v>450012074410</v>
      </c>
      <c r="D852" s="4">
        <v>46121</v>
      </c>
      <c r="E852" s="3" t="s">
        <v>2212</v>
      </c>
      <c r="F852" s="3" t="s">
        <v>2436</v>
      </c>
    </row>
    <row r="853" spans="1:6" x14ac:dyDescent="0.3">
      <c r="A853" s="3" t="s">
        <v>64</v>
      </c>
      <c r="B853" s="3" t="s">
        <v>22</v>
      </c>
      <c r="C853" s="3" t="str">
        <f t="shared" si="13"/>
        <v>450012074420</v>
      </c>
      <c r="D853" s="4">
        <v>46121</v>
      </c>
      <c r="E853" s="3" t="s">
        <v>2212</v>
      </c>
      <c r="F853" s="3" t="s">
        <v>2436</v>
      </c>
    </row>
    <row r="854" spans="1:6" x14ac:dyDescent="0.3">
      <c r="A854" s="3" t="s">
        <v>64</v>
      </c>
      <c r="B854" s="3" t="s">
        <v>35</v>
      </c>
      <c r="C854" s="3" t="str">
        <f t="shared" si="13"/>
        <v>450012074430</v>
      </c>
      <c r="D854" s="4">
        <v>46121</v>
      </c>
      <c r="E854" s="3" t="s">
        <v>2212</v>
      </c>
      <c r="F854" s="3" t="s">
        <v>2436</v>
      </c>
    </row>
    <row r="855" spans="1:6" x14ac:dyDescent="0.3">
      <c r="A855" s="3" t="s">
        <v>64</v>
      </c>
      <c r="B855" s="3" t="s">
        <v>23</v>
      </c>
      <c r="C855" s="3" t="str">
        <f t="shared" si="13"/>
        <v>450012074440</v>
      </c>
      <c r="D855" s="4">
        <v>46121</v>
      </c>
      <c r="E855" s="3" t="s">
        <v>2212</v>
      </c>
      <c r="F855" s="3" t="s">
        <v>2436</v>
      </c>
    </row>
    <row r="856" spans="1:6" x14ac:dyDescent="0.3">
      <c r="A856" s="3" t="s">
        <v>64</v>
      </c>
      <c r="B856" s="3" t="s">
        <v>144</v>
      </c>
      <c r="C856" s="3" t="str">
        <f t="shared" si="13"/>
        <v>450012074450</v>
      </c>
      <c r="D856" s="4">
        <v>46121</v>
      </c>
      <c r="E856" s="3" t="s">
        <v>2212</v>
      </c>
      <c r="F856" s="3" t="s">
        <v>2436</v>
      </c>
    </row>
    <row r="857" spans="1:6" x14ac:dyDescent="0.3">
      <c r="A857" s="3" t="s">
        <v>64</v>
      </c>
      <c r="B857" s="3" t="s">
        <v>141</v>
      </c>
      <c r="C857" s="3" t="str">
        <f t="shared" si="13"/>
        <v>450012074460</v>
      </c>
      <c r="D857" s="4">
        <v>46121</v>
      </c>
      <c r="E857" s="3" t="s">
        <v>2212</v>
      </c>
      <c r="F857" s="3" t="s">
        <v>2436</v>
      </c>
    </row>
    <row r="858" spans="1:6" x14ac:dyDescent="0.3">
      <c r="A858" s="3" t="s">
        <v>64</v>
      </c>
      <c r="B858" s="3" t="s">
        <v>134</v>
      </c>
      <c r="C858" s="3" t="str">
        <f t="shared" si="13"/>
        <v>450012074470</v>
      </c>
      <c r="D858" s="4">
        <v>46182</v>
      </c>
      <c r="E858" s="3" t="s">
        <v>2212</v>
      </c>
      <c r="F858" s="3" t="s">
        <v>2436</v>
      </c>
    </row>
    <row r="859" spans="1:6" x14ac:dyDescent="0.3">
      <c r="A859" s="3" t="s">
        <v>64</v>
      </c>
      <c r="B859" s="3" t="s">
        <v>52</v>
      </c>
      <c r="C859" s="3" t="str">
        <f t="shared" si="13"/>
        <v>450012074480</v>
      </c>
      <c r="D859" s="4">
        <v>46121</v>
      </c>
      <c r="E859" s="3" t="s">
        <v>2212</v>
      </c>
      <c r="F859" s="3" t="s">
        <v>2436</v>
      </c>
    </row>
    <row r="860" spans="1:6" x14ac:dyDescent="0.3">
      <c r="A860" s="3" t="s">
        <v>64</v>
      </c>
      <c r="B860" s="3" t="s">
        <v>138</v>
      </c>
      <c r="C860" s="3" t="str">
        <f t="shared" si="13"/>
        <v>450012074490</v>
      </c>
      <c r="D860" s="4">
        <v>46121</v>
      </c>
      <c r="E860" s="3" t="s">
        <v>2212</v>
      </c>
      <c r="F860" s="3" t="s">
        <v>2436</v>
      </c>
    </row>
    <row r="861" spans="1:6" x14ac:dyDescent="0.3">
      <c r="A861" s="3" t="s">
        <v>64</v>
      </c>
      <c r="B861" s="3" t="s">
        <v>45</v>
      </c>
      <c r="C861" s="3" t="str">
        <f t="shared" si="13"/>
        <v>4500120744100</v>
      </c>
      <c r="D861" s="4">
        <v>46121</v>
      </c>
      <c r="E861" s="3" t="s">
        <v>2212</v>
      </c>
      <c r="F861" s="3" t="s">
        <v>2436</v>
      </c>
    </row>
    <row r="862" spans="1:6" x14ac:dyDescent="0.3">
      <c r="A862" s="3" t="s">
        <v>615</v>
      </c>
      <c r="B862" s="3" t="s">
        <v>30</v>
      </c>
      <c r="C862" s="3" t="str">
        <f t="shared" si="13"/>
        <v>450012083010</v>
      </c>
      <c r="D862" s="4">
        <v>46132</v>
      </c>
      <c r="E862" s="3" t="s">
        <v>2196</v>
      </c>
      <c r="F862" s="3" t="s">
        <v>2566</v>
      </c>
    </row>
    <row r="863" spans="1:6" x14ac:dyDescent="0.3">
      <c r="A863" s="3" t="s">
        <v>615</v>
      </c>
      <c r="B863" s="3" t="s">
        <v>22</v>
      </c>
      <c r="C863" s="3" t="str">
        <f t="shared" si="13"/>
        <v>450012083020</v>
      </c>
      <c r="D863" s="4">
        <v>46132</v>
      </c>
      <c r="E863" s="3" t="s">
        <v>2196</v>
      </c>
      <c r="F863" s="3" t="s">
        <v>2566</v>
      </c>
    </row>
    <row r="864" spans="1:6" x14ac:dyDescent="0.3">
      <c r="A864" s="3" t="s">
        <v>282</v>
      </c>
      <c r="B864" s="3" t="s">
        <v>22</v>
      </c>
      <c r="C864" s="3" t="str">
        <f t="shared" si="13"/>
        <v>450012100420</v>
      </c>
      <c r="D864" s="4">
        <v>46121</v>
      </c>
      <c r="E864" s="3" t="s">
        <v>2212</v>
      </c>
      <c r="F864" s="3" t="s">
        <v>2436</v>
      </c>
    </row>
    <row r="865" spans="1:6" x14ac:dyDescent="0.3">
      <c r="A865" s="3" t="s">
        <v>282</v>
      </c>
      <c r="B865" s="3" t="s">
        <v>35</v>
      </c>
      <c r="C865" s="3" t="str">
        <f t="shared" si="13"/>
        <v>450012100430</v>
      </c>
      <c r="D865" s="4">
        <v>46121</v>
      </c>
      <c r="E865" s="3" t="s">
        <v>2212</v>
      </c>
      <c r="F865" s="3" t="s">
        <v>2436</v>
      </c>
    </row>
    <row r="866" spans="1:6" x14ac:dyDescent="0.3">
      <c r="A866" s="3" t="s">
        <v>282</v>
      </c>
      <c r="B866" s="3" t="s">
        <v>23</v>
      </c>
      <c r="C866" s="3" t="str">
        <f t="shared" si="13"/>
        <v>450012100440</v>
      </c>
      <c r="D866" s="4">
        <v>46121</v>
      </c>
      <c r="E866" s="3" t="s">
        <v>2212</v>
      </c>
      <c r="F866" s="3" t="s">
        <v>2436</v>
      </c>
    </row>
    <row r="867" spans="1:6" x14ac:dyDescent="0.3">
      <c r="A867" s="3" t="s">
        <v>282</v>
      </c>
      <c r="B867" s="3" t="s">
        <v>144</v>
      </c>
      <c r="C867" s="3" t="str">
        <f t="shared" si="13"/>
        <v>450012100450</v>
      </c>
      <c r="D867" s="4">
        <v>46121</v>
      </c>
      <c r="E867" s="3" t="s">
        <v>2212</v>
      </c>
      <c r="F867" s="3" t="s">
        <v>2436</v>
      </c>
    </row>
    <row r="868" spans="1:6" x14ac:dyDescent="0.3">
      <c r="A868" s="3" t="s">
        <v>48</v>
      </c>
      <c r="B868" s="3" t="s">
        <v>22</v>
      </c>
      <c r="C868" s="3" t="str">
        <f t="shared" si="13"/>
        <v>450012116620</v>
      </c>
      <c r="D868" s="4">
        <v>46090</v>
      </c>
      <c r="E868" s="3" t="s">
        <v>2200</v>
      </c>
      <c r="F868" s="3" t="s">
        <v>2549</v>
      </c>
    </row>
    <row r="869" spans="1:6" x14ac:dyDescent="0.3">
      <c r="A869" s="3" t="s">
        <v>1656</v>
      </c>
      <c r="B869" s="3" t="s">
        <v>30</v>
      </c>
      <c r="C869" s="3" t="str">
        <f t="shared" si="13"/>
        <v>450012141110</v>
      </c>
      <c r="D869" s="4">
        <v>46387</v>
      </c>
      <c r="E869" s="3" t="s">
        <v>2194</v>
      </c>
      <c r="F869" s="3" t="s">
        <v>2567</v>
      </c>
    </row>
    <row r="870" spans="1:6" x14ac:dyDescent="0.3">
      <c r="A870" s="3" t="s">
        <v>21</v>
      </c>
      <c r="B870" s="3" t="s">
        <v>30</v>
      </c>
      <c r="C870" s="3" t="str">
        <f t="shared" si="13"/>
        <v>450012159810</v>
      </c>
      <c r="D870" s="4">
        <v>46091</v>
      </c>
      <c r="E870" s="3" t="s">
        <v>2196</v>
      </c>
      <c r="F870" s="3" t="s">
        <v>2490</v>
      </c>
    </row>
    <row r="871" spans="1:6" x14ac:dyDescent="0.3">
      <c r="A871" s="3" t="s">
        <v>21</v>
      </c>
      <c r="B871" s="3" t="s">
        <v>22</v>
      </c>
      <c r="C871" s="3" t="str">
        <f t="shared" si="13"/>
        <v>450012159820</v>
      </c>
      <c r="D871" s="4">
        <v>46091</v>
      </c>
      <c r="E871" s="3" t="s">
        <v>2196</v>
      </c>
      <c r="F871" s="3" t="s">
        <v>2490</v>
      </c>
    </row>
    <row r="872" spans="1:6" x14ac:dyDescent="0.3">
      <c r="A872" s="3" t="s">
        <v>21</v>
      </c>
      <c r="B872" s="3" t="s">
        <v>35</v>
      </c>
      <c r="C872" s="3" t="str">
        <f t="shared" si="13"/>
        <v>450012159830</v>
      </c>
      <c r="D872" s="4">
        <v>46091</v>
      </c>
      <c r="E872" s="3" t="s">
        <v>2196</v>
      </c>
      <c r="F872" s="3" t="s">
        <v>2490</v>
      </c>
    </row>
    <row r="873" spans="1:6" x14ac:dyDescent="0.3">
      <c r="A873" s="3" t="s">
        <v>21</v>
      </c>
      <c r="B873" s="3" t="s">
        <v>23</v>
      </c>
      <c r="C873" s="3" t="str">
        <f t="shared" si="13"/>
        <v>450012159840</v>
      </c>
      <c r="D873" s="4">
        <v>46091</v>
      </c>
      <c r="E873" s="3" t="s">
        <v>2196</v>
      </c>
      <c r="F873" s="3" t="s">
        <v>2490</v>
      </c>
    </row>
    <row r="874" spans="1:6" x14ac:dyDescent="0.3">
      <c r="A874" s="3" t="s">
        <v>21</v>
      </c>
      <c r="B874" s="3" t="s">
        <v>144</v>
      </c>
      <c r="C874" s="3" t="str">
        <f t="shared" si="13"/>
        <v>450012159850</v>
      </c>
      <c r="D874" s="4">
        <v>46091</v>
      </c>
      <c r="E874" s="3" t="s">
        <v>2196</v>
      </c>
      <c r="F874" s="3" t="s">
        <v>2490</v>
      </c>
    </row>
    <row r="875" spans="1:6" x14ac:dyDescent="0.3">
      <c r="A875" s="3" t="s">
        <v>1061</v>
      </c>
      <c r="B875" s="3" t="s">
        <v>30</v>
      </c>
      <c r="C875" s="3" t="str">
        <f t="shared" si="13"/>
        <v>450012162110</v>
      </c>
      <c r="D875" s="4">
        <v>46293</v>
      </c>
      <c r="E875" s="3" t="s">
        <v>2196</v>
      </c>
      <c r="F875" s="3" t="s">
        <v>2566</v>
      </c>
    </row>
    <row r="876" spans="1:6" x14ac:dyDescent="0.3">
      <c r="A876" s="3" t="s">
        <v>1061</v>
      </c>
      <c r="B876" s="3" t="s">
        <v>22</v>
      </c>
      <c r="C876" s="3" t="str">
        <f t="shared" si="13"/>
        <v>450012162120</v>
      </c>
      <c r="D876" s="4">
        <v>46293</v>
      </c>
      <c r="E876" s="3" t="s">
        <v>2196</v>
      </c>
      <c r="F876" s="3" t="s">
        <v>2566</v>
      </c>
    </row>
    <row r="877" spans="1:6" x14ac:dyDescent="0.3">
      <c r="A877" s="3" t="s">
        <v>1061</v>
      </c>
      <c r="B877" s="3" t="s">
        <v>35</v>
      </c>
      <c r="C877" s="3" t="str">
        <f t="shared" si="13"/>
        <v>450012162130</v>
      </c>
      <c r="D877" s="4">
        <v>46293</v>
      </c>
      <c r="E877" s="3" t="s">
        <v>2196</v>
      </c>
      <c r="F877" s="3" t="s">
        <v>2566</v>
      </c>
    </row>
    <row r="878" spans="1:6" x14ac:dyDescent="0.3">
      <c r="A878" s="3" t="s">
        <v>1061</v>
      </c>
      <c r="B878" s="3" t="s">
        <v>23</v>
      </c>
      <c r="C878" s="3" t="str">
        <f t="shared" si="13"/>
        <v>450012162140</v>
      </c>
      <c r="D878" s="4">
        <v>46293</v>
      </c>
      <c r="E878" s="3" t="s">
        <v>2196</v>
      </c>
      <c r="F878" s="3" t="s">
        <v>2566</v>
      </c>
    </row>
    <row r="879" spans="1:6" x14ac:dyDescent="0.3">
      <c r="A879" s="3" t="s">
        <v>1061</v>
      </c>
      <c r="B879" s="3" t="s">
        <v>144</v>
      </c>
      <c r="C879" s="3" t="str">
        <f t="shared" si="13"/>
        <v>450012162150</v>
      </c>
      <c r="D879" s="4">
        <v>46293</v>
      </c>
      <c r="E879" s="3" t="s">
        <v>2196</v>
      </c>
      <c r="F879" s="3" t="s">
        <v>2566</v>
      </c>
    </row>
    <row r="880" spans="1:6" x14ac:dyDescent="0.3">
      <c r="A880" s="3" t="s">
        <v>1061</v>
      </c>
      <c r="B880" s="3" t="s">
        <v>141</v>
      </c>
      <c r="C880" s="3" t="str">
        <f t="shared" si="13"/>
        <v>450012162160</v>
      </c>
      <c r="D880" s="4">
        <v>46293</v>
      </c>
      <c r="E880" s="3" t="s">
        <v>2196</v>
      </c>
      <c r="F880" s="3" t="s">
        <v>2566</v>
      </c>
    </row>
    <row r="881" spans="1:6" x14ac:dyDescent="0.3">
      <c r="A881" s="3" t="s">
        <v>1061</v>
      </c>
      <c r="B881" s="3" t="s">
        <v>134</v>
      </c>
      <c r="C881" s="3" t="str">
        <f t="shared" si="13"/>
        <v>450012162170</v>
      </c>
      <c r="D881" s="4">
        <v>46293</v>
      </c>
      <c r="E881" s="3" t="s">
        <v>2196</v>
      </c>
      <c r="F881" s="3" t="s">
        <v>2566</v>
      </c>
    </row>
    <row r="882" spans="1:6" x14ac:dyDescent="0.3">
      <c r="A882" s="3" t="s">
        <v>1061</v>
      </c>
      <c r="B882" s="3" t="s">
        <v>52</v>
      </c>
      <c r="C882" s="3" t="str">
        <f t="shared" si="13"/>
        <v>450012162180</v>
      </c>
      <c r="D882" s="4">
        <v>46293</v>
      </c>
      <c r="E882" s="3" t="s">
        <v>2196</v>
      </c>
      <c r="F882" s="3" t="s">
        <v>2566</v>
      </c>
    </row>
    <row r="883" spans="1:6" x14ac:dyDescent="0.3">
      <c r="A883" s="3" t="s">
        <v>1061</v>
      </c>
      <c r="B883" s="3" t="s">
        <v>138</v>
      </c>
      <c r="C883" s="3" t="str">
        <f t="shared" si="13"/>
        <v>450012162190</v>
      </c>
      <c r="D883" s="4">
        <v>46293</v>
      </c>
      <c r="E883" s="3" t="s">
        <v>2196</v>
      </c>
      <c r="F883" s="3" t="s">
        <v>2566</v>
      </c>
    </row>
    <row r="884" spans="1:6" x14ac:dyDescent="0.3">
      <c r="A884" s="3" t="s">
        <v>1061</v>
      </c>
      <c r="B884" s="3" t="s">
        <v>45</v>
      </c>
      <c r="C884" s="3" t="str">
        <f t="shared" si="13"/>
        <v>4500121621100</v>
      </c>
      <c r="D884" s="4">
        <v>46293</v>
      </c>
      <c r="E884" s="3" t="s">
        <v>2196</v>
      </c>
      <c r="F884" s="3" t="s">
        <v>2566</v>
      </c>
    </row>
    <row r="885" spans="1:6" x14ac:dyDescent="0.3">
      <c r="A885" s="3" t="s">
        <v>1061</v>
      </c>
      <c r="B885" s="3" t="s">
        <v>156</v>
      </c>
      <c r="C885" s="3" t="str">
        <f t="shared" si="13"/>
        <v>4500121621110</v>
      </c>
      <c r="D885" s="4">
        <v>46293</v>
      </c>
      <c r="E885" s="3" t="s">
        <v>2196</v>
      </c>
      <c r="F885" s="3" t="s">
        <v>2566</v>
      </c>
    </row>
    <row r="886" spans="1:6" x14ac:dyDescent="0.3">
      <c r="A886" s="3" t="s">
        <v>1061</v>
      </c>
      <c r="B886" s="3" t="s">
        <v>132</v>
      </c>
      <c r="C886" s="3" t="str">
        <f t="shared" si="13"/>
        <v>4500121621120</v>
      </c>
      <c r="D886" s="4">
        <v>46293</v>
      </c>
      <c r="E886" s="3" t="s">
        <v>2196</v>
      </c>
      <c r="F886" s="3" t="s">
        <v>2566</v>
      </c>
    </row>
    <row r="887" spans="1:6" x14ac:dyDescent="0.3">
      <c r="A887" s="3" t="s">
        <v>1061</v>
      </c>
      <c r="B887" s="3" t="s">
        <v>142</v>
      </c>
      <c r="C887" s="3" t="str">
        <f t="shared" si="13"/>
        <v>4500121621130</v>
      </c>
      <c r="D887" s="4">
        <v>46293</v>
      </c>
      <c r="E887" s="3" t="s">
        <v>2196</v>
      </c>
      <c r="F887" s="3" t="s">
        <v>2566</v>
      </c>
    </row>
    <row r="888" spans="1:6" x14ac:dyDescent="0.3">
      <c r="A888" s="3" t="s">
        <v>1061</v>
      </c>
      <c r="B888" s="3" t="s">
        <v>131</v>
      </c>
      <c r="C888" s="3" t="str">
        <f t="shared" si="13"/>
        <v>4500121621140</v>
      </c>
      <c r="D888" s="4">
        <v>46293</v>
      </c>
      <c r="E888" s="3" t="s">
        <v>2196</v>
      </c>
      <c r="F888" s="3" t="s">
        <v>2566</v>
      </c>
    </row>
    <row r="889" spans="1:6" x14ac:dyDescent="0.3">
      <c r="A889" s="3" t="s">
        <v>1061</v>
      </c>
      <c r="B889" s="3" t="s">
        <v>68</v>
      </c>
      <c r="C889" s="3" t="str">
        <f t="shared" si="13"/>
        <v>4500121621150</v>
      </c>
      <c r="D889" s="4">
        <v>46293</v>
      </c>
      <c r="E889" s="3" t="s">
        <v>2196</v>
      </c>
      <c r="F889" s="3" t="s">
        <v>2566</v>
      </c>
    </row>
    <row r="890" spans="1:6" x14ac:dyDescent="0.3">
      <c r="A890" s="3" t="s">
        <v>1061</v>
      </c>
      <c r="B890" s="3" t="s">
        <v>129</v>
      </c>
      <c r="C890" s="3" t="str">
        <f t="shared" si="13"/>
        <v>4500121621160</v>
      </c>
      <c r="D890" s="4">
        <v>46293</v>
      </c>
      <c r="E890" s="3" t="s">
        <v>2196</v>
      </c>
      <c r="F890" s="3" t="s">
        <v>2566</v>
      </c>
    </row>
    <row r="891" spans="1:6" x14ac:dyDescent="0.3">
      <c r="A891" s="3" t="s">
        <v>1061</v>
      </c>
      <c r="B891" s="3" t="s">
        <v>53</v>
      </c>
      <c r="C891" s="3" t="str">
        <f t="shared" si="13"/>
        <v>4500121621170</v>
      </c>
      <c r="D891" s="4">
        <v>46293</v>
      </c>
      <c r="E891" s="3" t="s">
        <v>2196</v>
      </c>
      <c r="F891" s="3" t="s">
        <v>2566</v>
      </c>
    </row>
    <row r="892" spans="1:6" x14ac:dyDescent="0.3">
      <c r="A892" s="3" t="s">
        <v>1061</v>
      </c>
      <c r="B892" s="3" t="s">
        <v>130</v>
      </c>
      <c r="C892" s="3" t="str">
        <f t="shared" si="13"/>
        <v>4500121621180</v>
      </c>
      <c r="D892" s="4">
        <v>46293</v>
      </c>
      <c r="E892" s="3" t="s">
        <v>2196</v>
      </c>
      <c r="F892" s="3" t="s">
        <v>2566</v>
      </c>
    </row>
    <row r="893" spans="1:6" x14ac:dyDescent="0.3">
      <c r="A893" s="3" t="s">
        <v>1061</v>
      </c>
      <c r="B893" s="3" t="s">
        <v>127</v>
      </c>
      <c r="C893" s="3" t="str">
        <f t="shared" si="13"/>
        <v>4500121621190</v>
      </c>
      <c r="D893" s="4">
        <v>46293</v>
      </c>
      <c r="E893" s="3" t="s">
        <v>2196</v>
      </c>
      <c r="F893" s="3" t="s">
        <v>2566</v>
      </c>
    </row>
    <row r="894" spans="1:6" x14ac:dyDescent="0.3">
      <c r="A894" s="3" t="s">
        <v>1061</v>
      </c>
      <c r="B894" s="3" t="s">
        <v>161</v>
      </c>
      <c r="C894" s="3" t="str">
        <f t="shared" si="13"/>
        <v>4500121621200</v>
      </c>
      <c r="D894" s="4">
        <v>46293</v>
      </c>
      <c r="E894" s="3" t="s">
        <v>2196</v>
      </c>
      <c r="F894" s="3" t="s">
        <v>2566</v>
      </c>
    </row>
    <row r="895" spans="1:6" x14ac:dyDescent="0.3">
      <c r="A895" s="3" t="s">
        <v>1061</v>
      </c>
      <c r="B895" s="3" t="s">
        <v>136</v>
      </c>
      <c r="C895" s="3" t="str">
        <f t="shared" si="13"/>
        <v>4500121621210</v>
      </c>
      <c r="D895" s="4">
        <v>46293</v>
      </c>
      <c r="E895" s="3" t="s">
        <v>2196</v>
      </c>
      <c r="F895" s="3" t="s">
        <v>2566</v>
      </c>
    </row>
    <row r="896" spans="1:6" x14ac:dyDescent="0.3">
      <c r="A896" s="3" t="s">
        <v>1061</v>
      </c>
      <c r="B896" s="3" t="s">
        <v>140</v>
      </c>
      <c r="C896" s="3" t="str">
        <f t="shared" si="13"/>
        <v>4500121621220</v>
      </c>
      <c r="D896" s="4">
        <v>46293</v>
      </c>
      <c r="E896" s="3" t="s">
        <v>2196</v>
      </c>
      <c r="F896" s="3" t="s">
        <v>2566</v>
      </c>
    </row>
    <row r="897" spans="1:6" x14ac:dyDescent="0.3">
      <c r="A897" s="3" t="s">
        <v>1061</v>
      </c>
      <c r="B897" s="3" t="s">
        <v>137</v>
      </c>
      <c r="C897" s="3" t="str">
        <f t="shared" si="13"/>
        <v>4500121621230</v>
      </c>
      <c r="D897" s="4">
        <v>46293</v>
      </c>
      <c r="E897" s="3" t="s">
        <v>2196</v>
      </c>
      <c r="F897" s="3" t="s">
        <v>2566</v>
      </c>
    </row>
    <row r="898" spans="1:6" x14ac:dyDescent="0.3">
      <c r="A898" s="3" t="s">
        <v>1061</v>
      </c>
      <c r="B898" s="3" t="s">
        <v>143</v>
      </c>
      <c r="C898" s="3" t="str">
        <f t="shared" si="13"/>
        <v>4500121621240</v>
      </c>
      <c r="D898" s="4">
        <v>46293</v>
      </c>
      <c r="E898" s="3" t="s">
        <v>2196</v>
      </c>
      <c r="F898" s="3" t="s">
        <v>2566</v>
      </c>
    </row>
    <row r="899" spans="1:6" x14ac:dyDescent="0.3">
      <c r="A899" s="3" t="s">
        <v>1061</v>
      </c>
      <c r="B899" s="3" t="s">
        <v>128</v>
      </c>
      <c r="C899" s="3" t="str">
        <f t="shared" ref="C899:C962" si="14">_xlfn.CONCAT(A899:B899)</f>
        <v>4500121621250</v>
      </c>
      <c r="D899" s="4">
        <v>46293</v>
      </c>
      <c r="E899" s="3" t="s">
        <v>2196</v>
      </c>
      <c r="F899" s="3" t="s">
        <v>2566</v>
      </c>
    </row>
    <row r="900" spans="1:6" x14ac:dyDescent="0.3">
      <c r="A900" s="3" t="s">
        <v>1061</v>
      </c>
      <c r="B900" s="3" t="s">
        <v>126</v>
      </c>
      <c r="C900" s="3" t="str">
        <f t="shared" si="14"/>
        <v>4500121621260</v>
      </c>
      <c r="D900" s="4">
        <v>46293</v>
      </c>
      <c r="E900" s="3" t="s">
        <v>2196</v>
      </c>
      <c r="F900" s="3" t="s">
        <v>2566</v>
      </c>
    </row>
    <row r="901" spans="1:6" x14ac:dyDescent="0.3">
      <c r="A901" s="3" t="s">
        <v>1061</v>
      </c>
      <c r="B901" s="3" t="s">
        <v>133</v>
      </c>
      <c r="C901" s="3" t="str">
        <f t="shared" si="14"/>
        <v>4500121621280</v>
      </c>
      <c r="D901" s="4">
        <v>46293</v>
      </c>
      <c r="E901" s="3" t="s">
        <v>2196</v>
      </c>
      <c r="F901" s="3" t="s">
        <v>2566</v>
      </c>
    </row>
    <row r="902" spans="1:6" x14ac:dyDescent="0.3">
      <c r="A902" s="3" t="s">
        <v>1061</v>
      </c>
      <c r="B902" s="3" t="s">
        <v>173</v>
      </c>
      <c r="C902" s="3" t="str">
        <f t="shared" si="14"/>
        <v>4500121621290</v>
      </c>
      <c r="D902" s="4">
        <v>46293</v>
      </c>
      <c r="E902" s="3" t="s">
        <v>2196</v>
      </c>
      <c r="F902" s="3" t="s">
        <v>2566</v>
      </c>
    </row>
    <row r="903" spans="1:6" x14ac:dyDescent="0.3">
      <c r="A903" s="3" t="s">
        <v>1061</v>
      </c>
      <c r="B903" s="3" t="s">
        <v>145</v>
      </c>
      <c r="C903" s="3" t="str">
        <f t="shared" si="14"/>
        <v>4500121621300</v>
      </c>
      <c r="D903" s="4">
        <v>46293</v>
      </c>
      <c r="E903" s="3" t="s">
        <v>2196</v>
      </c>
      <c r="F903" s="3" t="s">
        <v>2566</v>
      </c>
    </row>
    <row r="904" spans="1:6" x14ac:dyDescent="0.3">
      <c r="A904" s="3" t="s">
        <v>1061</v>
      </c>
      <c r="B904" s="3" t="s">
        <v>147</v>
      </c>
      <c r="C904" s="3" t="str">
        <f t="shared" si="14"/>
        <v>4500121621310</v>
      </c>
      <c r="D904" s="4">
        <v>46293</v>
      </c>
      <c r="E904" s="3" t="s">
        <v>2196</v>
      </c>
      <c r="F904" s="3" t="s">
        <v>2566</v>
      </c>
    </row>
    <row r="905" spans="1:6" x14ac:dyDescent="0.3">
      <c r="A905" s="3" t="s">
        <v>1061</v>
      </c>
      <c r="B905" s="3" t="s">
        <v>150</v>
      </c>
      <c r="C905" s="3" t="str">
        <f t="shared" si="14"/>
        <v>4500121621320</v>
      </c>
      <c r="D905" s="4">
        <v>46293</v>
      </c>
      <c r="E905" s="3" t="s">
        <v>2196</v>
      </c>
      <c r="F905" s="3" t="s">
        <v>2566</v>
      </c>
    </row>
    <row r="906" spans="1:6" x14ac:dyDescent="0.3">
      <c r="A906" s="3" t="s">
        <v>566</v>
      </c>
      <c r="B906" s="3" t="s">
        <v>30</v>
      </c>
      <c r="C906" s="3" t="str">
        <f t="shared" si="14"/>
        <v>450012188510</v>
      </c>
      <c r="D906" s="4">
        <v>46091</v>
      </c>
      <c r="E906" s="3" t="s">
        <v>2198</v>
      </c>
      <c r="F906" s="3" t="s">
        <v>2568</v>
      </c>
    </row>
    <row r="907" spans="1:6" x14ac:dyDescent="0.3">
      <c r="A907" s="3" t="s">
        <v>660</v>
      </c>
      <c r="B907" s="3" t="s">
        <v>30</v>
      </c>
      <c r="C907" s="3" t="str">
        <f t="shared" si="14"/>
        <v>450012190210</v>
      </c>
      <c r="D907" s="4">
        <v>46097</v>
      </c>
      <c r="E907" s="3" t="s">
        <v>2200</v>
      </c>
      <c r="F907" s="3" t="s">
        <v>2453</v>
      </c>
    </row>
    <row r="908" spans="1:6" x14ac:dyDescent="0.3">
      <c r="A908" s="3" t="s">
        <v>660</v>
      </c>
      <c r="B908" s="3" t="s">
        <v>22</v>
      </c>
      <c r="C908" s="3" t="str">
        <f t="shared" si="14"/>
        <v>450012190220</v>
      </c>
      <c r="D908" s="4">
        <v>46097</v>
      </c>
      <c r="E908" s="3" t="s">
        <v>2200</v>
      </c>
      <c r="F908" s="3" t="s">
        <v>2453</v>
      </c>
    </row>
    <row r="909" spans="1:6" x14ac:dyDescent="0.3">
      <c r="A909" s="3" t="s">
        <v>660</v>
      </c>
      <c r="B909" s="3" t="s">
        <v>35</v>
      </c>
      <c r="C909" s="3" t="str">
        <f t="shared" si="14"/>
        <v>450012190230</v>
      </c>
      <c r="D909" s="4">
        <v>46097</v>
      </c>
      <c r="E909" s="3" t="s">
        <v>2200</v>
      </c>
      <c r="F909" s="3" t="s">
        <v>2453</v>
      </c>
    </row>
    <row r="910" spans="1:6" x14ac:dyDescent="0.3">
      <c r="A910" s="3" t="s">
        <v>660</v>
      </c>
      <c r="B910" s="3" t="s">
        <v>23</v>
      </c>
      <c r="C910" s="3" t="str">
        <f t="shared" si="14"/>
        <v>450012190240</v>
      </c>
      <c r="D910" s="4">
        <v>46097</v>
      </c>
      <c r="E910" s="3" t="s">
        <v>2200</v>
      </c>
      <c r="F910" s="3" t="s">
        <v>2453</v>
      </c>
    </row>
    <row r="911" spans="1:6" x14ac:dyDescent="0.3">
      <c r="A911" s="3" t="s">
        <v>660</v>
      </c>
      <c r="B911" s="3" t="s">
        <v>144</v>
      </c>
      <c r="C911" s="3" t="str">
        <f t="shared" si="14"/>
        <v>450012190250</v>
      </c>
      <c r="D911" s="4">
        <v>46097</v>
      </c>
      <c r="E911" s="3" t="s">
        <v>2200</v>
      </c>
      <c r="F911" s="3" t="s">
        <v>2453</v>
      </c>
    </row>
    <row r="912" spans="1:6" x14ac:dyDescent="0.3">
      <c r="A912" s="3" t="s">
        <v>660</v>
      </c>
      <c r="B912" s="3" t="s">
        <v>141</v>
      </c>
      <c r="C912" s="3" t="str">
        <f t="shared" si="14"/>
        <v>450012190260</v>
      </c>
      <c r="D912" s="4">
        <v>46097</v>
      </c>
      <c r="E912" s="3" t="s">
        <v>2200</v>
      </c>
      <c r="F912" s="3" t="s">
        <v>2453</v>
      </c>
    </row>
    <row r="913" spans="1:6" x14ac:dyDescent="0.3">
      <c r="A913" s="3" t="s">
        <v>660</v>
      </c>
      <c r="B913" s="3" t="s">
        <v>134</v>
      </c>
      <c r="C913" s="3" t="str">
        <f t="shared" si="14"/>
        <v>450012190270</v>
      </c>
      <c r="D913" s="4">
        <v>46097</v>
      </c>
      <c r="E913" s="3" t="s">
        <v>2200</v>
      </c>
      <c r="F913" s="3" t="s">
        <v>2453</v>
      </c>
    </row>
    <row r="914" spans="1:6" x14ac:dyDescent="0.3">
      <c r="A914" s="3" t="s">
        <v>660</v>
      </c>
      <c r="B914" s="3" t="s">
        <v>52</v>
      </c>
      <c r="C914" s="3" t="str">
        <f t="shared" si="14"/>
        <v>450012190280</v>
      </c>
      <c r="D914" s="4">
        <v>46097</v>
      </c>
      <c r="E914" s="3" t="s">
        <v>2200</v>
      </c>
      <c r="F914" s="3" t="s">
        <v>2453</v>
      </c>
    </row>
    <row r="915" spans="1:6" x14ac:dyDescent="0.3">
      <c r="A915" s="3" t="s">
        <v>660</v>
      </c>
      <c r="B915" s="3" t="s">
        <v>138</v>
      </c>
      <c r="C915" s="3" t="str">
        <f t="shared" si="14"/>
        <v>450012190290</v>
      </c>
      <c r="D915" s="4">
        <v>46097</v>
      </c>
      <c r="E915" s="3" t="s">
        <v>2200</v>
      </c>
      <c r="F915" s="3" t="s">
        <v>2453</v>
      </c>
    </row>
    <row r="916" spans="1:6" x14ac:dyDescent="0.3">
      <c r="A916" s="3" t="s">
        <v>660</v>
      </c>
      <c r="B916" s="3" t="s">
        <v>45</v>
      </c>
      <c r="C916" s="3" t="str">
        <f t="shared" si="14"/>
        <v>4500121902100</v>
      </c>
      <c r="D916" s="4">
        <v>46097</v>
      </c>
      <c r="E916" s="3" t="s">
        <v>2200</v>
      </c>
      <c r="F916" s="3" t="s">
        <v>2453</v>
      </c>
    </row>
    <row r="917" spans="1:6" x14ac:dyDescent="0.3">
      <c r="A917" s="3" t="s">
        <v>660</v>
      </c>
      <c r="B917" s="3" t="s">
        <v>156</v>
      </c>
      <c r="C917" s="3" t="str">
        <f t="shared" si="14"/>
        <v>4500121902110</v>
      </c>
      <c r="D917" s="4">
        <v>46097</v>
      </c>
      <c r="E917" s="3" t="s">
        <v>2200</v>
      </c>
      <c r="F917" s="3" t="s">
        <v>2453</v>
      </c>
    </row>
    <row r="918" spans="1:6" x14ac:dyDescent="0.3">
      <c r="A918" s="3" t="s">
        <v>660</v>
      </c>
      <c r="B918" s="3" t="s">
        <v>132</v>
      </c>
      <c r="C918" s="3" t="str">
        <f t="shared" si="14"/>
        <v>4500121902120</v>
      </c>
      <c r="D918" s="4">
        <v>46097</v>
      </c>
      <c r="E918" s="3" t="s">
        <v>2200</v>
      </c>
      <c r="F918" s="3" t="s">
        <v>2453</v>
      </c>
    </row>
    <row r="919" spans="1:6" x14ac:dyDescent="0.3">
      <c r="A919" s="3" t="s">
        <v>660</v>
      </c>
      <c r="B919" s="3" t="s">
        <v>142</v>
      </c>
      <c r="C919" s="3" t="str">
        <f t="shared" si="14"/>
        <v>4500121902130</v>
      </c>
      <c r="D919" s="4">
        <v>46097</v>
      </c>
      <c r="E919" s="3" t="s">
        <v>2200</v>
      </c>
      <c r="F919" s="3" t="s">
        <v>2453</v>
      </c>
    </row>
    <row r="920" spans="1:6" x14ac:dyDescent="0.3">
      <c r="A920" s="3" t="s">
        <v>666</v>
      </c>
      <c r="B920" s="3" t="s">
        <v>30</v>
      </c>
      <c r="C920" s="3" t="str">
        <f t="shared" si="14"/>
        <v>450012196710</v>
      </c>
      <c r="D920" s="4">
        <v>46107</v>
      </c>
      <c r="E920" s="3" t="s">
        <v>2212</v>
      </c>
      <c r="F920" s="3" t="s">
        <v>2569</v>
      </c>
    </row>
    <row r="921" spans="1:6" x14ac:dyDescent="0.3">
      <c r="A921" s="3" t="s">
        <v>569</v>
      </c>
      <c r="B921" s="3" t="s">
        <v>30</v>
      </c>
      <c r="C921" s="3" t="str">
        <f t="shared" si="14"/>
        <v>450012208310</v>
      </c>
      <c r="D921" s="4">
        <v>46093</v>
      </c>
      <c r="E921" s="3" t="s">
        <v>2212</v>
      </c>
      <c r="F921" s="3" t="s">
        <v>2434</v>
      </c>
    </row>
    <row r="922" spans="1:6" x14ac:dyDescent="0.3">
      <c r="A922" s="3" t="s">
        <v>569</v>
      </c>
      <c r="B922" s="3" t="s">
        <v>22</v>
      </c>
      <c r="C922" s="3" t="str">
        <f t="shared" si="14"/>
        <v>450012208320</v>
      </c>
      <c r="D922" s="4">
        <v>46093</v>
      </c>
      <c r="E922" s="3" t="s">
        <v>2212</v>
      </c>
      <c r="F922" s="3" t="s">
        <v>2434</v>
      </c>
    </row>
    <row r="923" spans="1:6" x14ac:dyDescent="0.3">
      <c r="A923" s="3" t="s">
        <v>569</v>
      </c>
      <c r="B923" s="3" t="s">
        <v>35</v>
      </c>
      <c r="C923" s="3" t="str">
        <f t="shared" si="14"/>
        <v>450012208330</v>
      </c>
      <c r="D923" s="4">
        <v>46093</v>
      </c>
      <c r="E923" s="3" t="s">
        <v>2212</v>
      </c>
      <c r="F923" s="3" t="s">
        <v>2434</v>
      </c>
    </row>
    <row r="924" spans="1:6" x14ac:dyDescent="0.3">
      <c r="A924" s="3" t="s">
        <v>569</v>
      </c>
      <c r="B924" s="3" t="s">
        <v>23</v>
      </c>
      <c r="C924" s="3" t="str">
        <f t="shared" si="14"/>
        <v>450012208340</v>
      </c>
      <c r="D924" s="4">
        <v>46093</v>
      </c>
      <c r="E924" s="3" t="s">
        <v>2212</v>
      </c>
      <c r="F924" s="3" t="s">
        <v>2434</v>
      </c>
    </row>
    <row r="925" spans="1:6" x14ac:dyDescent="0.3">
      <c r="A925" s="3" t="s">
        <v>569</v>
      </c>
      <c r="B925" s="3" t="s">
        <v>144</v>
      </c>
      <c r="C925" s="3" t="str">
        <f t="shared" si="14"/>
        <v>450012208350</v>
      </c>
      <c r="D925" s="4">
        <v>46093</v>
      </c>
      <c r="E925" s="3" t="s">
        <v>2212</v>
      </c>
      <c r="F925" s="3" t="s">
        <v>2434</v>
      </c>
    </row>
    <row r="926" spans="1:6" x14ac:dyDescent="0.3">
      <c r="A926" s="3" t="s">
        <v>569</v>
      </c>
      <c r="B926" s="3" t="s">
        <v>141</v>
      </c>
      <c r="C926" s="3" t="str">
        <f t="shared" si="14"/>
        <v>450012208360</v>
      </c>
      <c r="D926" s="4">
        <v>46093</v>
      </c>
      <c r="E926" s="3" t="s">
        <v>2212</v>
      </c>
      <c r="F926" s="3" t="s">
        <v>2434</v>
      </c>
    </row>
    <row r="927" spans="1:6" x14ac:dyDescent="0.3">
      <c r="A927" s="3" t="s">
        <v>569</v>
      </c>
      <c r="B927" s="3" t="s">
        <v>134</v>
      </c>
      <c r="C927" s="3" t="str">
        <f t="shared" si="14"/>
        <v>450012208370</v>
      </c>
      <c r="D927" s="4">
        <v>46093</v>
      </c>
      <c r="E927" s="3" t="s">
        <v>2212</v>
      </c>
      <c r="F927" s="3" t="s">
        <v>2434</v>
      </c>
    </row>
    <row r="928" spans="1:6" x14ac:dyDescent="0.3">
      <c r="A928" s="3" t="s">
        <v>569</v>
      </c>
      <c r="B928" s="3" t="s">
        <v>52</v>
      </c>
      <c r="C928" s="3" t="str">
        <f t="shared" si="14"/>
        <v>450012208380</v>
      </c>
      <c r="D928" s="4">
        <v>46093</v>
      </c>
      <c r="E928" s="3" t="s">
        <v>2212</v>
      </c>
      <c r="F928" s="3" t="s">
        <v>2434</v>
      </c>
    </row>
    <row r="929" spans="1:6" x14ac:dyDescent="0.3">
      <c r="A929" s="3" t="s">
        <v>569</v>
      </c>
      <c r="B929" s="3" t="s">
        <v>138</v>
      </c>
      <c r="C929" s="3" t="str">
        <f t="shared" si="14"/>
        <v>450012208390</v>
      </c>
      <c r="D929" s="4">
        <v>46093</v>
      </c>
      <c r="E929" s="3" t="s">
        <v>2212</v>
      </c>
      <c r="F929" s="3" t="s">
        <v>2434</v>
      </c>
    </row>
    <row r="930" spans="1:6" x14ac:dyDescent="0.3">
      <c r="A930" s="3" t="s">
        <v>569</v>
      </c>
      <c r="B930" s="3" t="s">
        <v>45</v>
      </c>
      <c r="C930" s="3" t="str">
        <f t="shared" si="14"/>
        <v>4500122083100</v>
      </c>
      <c r="D930" s="4">
        <v>46093</v>
      </c>
      <c r="E930" s="3" t="s">
        <v>2212</v>
      </c>
      <c r="F930" s="3" t="s">
        <v>2434</v>
      </c>
    </row>
    <row r="931" spans="1:6" x14ac:dyDescent="0.3">
      <c r="A931" s="3" t="s">
        <v>569</v>
      </c>
      <c r="B931" s="3" t="s">
        <v>156</v>
      </c>
      <c r="C931" s="3" t="str">
        <f t="shared" si="14"/>
        <v>4500122083110</v>
      </c>
      <c r="D931" s="4">
        <v>46093</v>
      </c>
      <c r="E931" s="3" t="s">
        <v>2212</v>
      </c>
      <c r="F931" s="3" t="s">
        <v>2434</v>
      </c>
    </row>
    <row r="932" spans="1:6" x14ac:dyDescent="0.3">
      <c r="A932" s="3" t="s">
        <v>569</v>
      </c>
      <c r="B932" s="3" t="s">
        <v>132</v>
      </c>
      <c r="C932" s="3" t="str">
        <f t="shared" si="14"/>
        <v>4500122083120</v>
      </c>
      <c r="D932" s="4">
        <v>46093</v>
      </c>
      <c r="E932" s="3" t="s">
        <v>2212</v>
      </c>
      <c r="F932" s="3" t="s">
        <v>2434</v>
      </c>
    </row>
    <row r="933" spans="1:6" x14ac:dyDescent="0.3">
      <c r="A933" s="3" t="s">
        <v>569</v>
      </c>
      <c r="B933" s="3" t="s">
        <v>142</v>
      </c>
      <c r="C933" s="3" t="str">
        <f t="shared" si="14"/>
        <v>4500122083130</v>
      </c>
      <c r="D933" s="4">
        <v>46093</v>
      </c>
      <c r="E933" s="3" t="s">
        <v>2212</v>
      </c>
      <c r="F933" s="3" t="s">
        <v>2434</v>
      </c>
    </row>
    <row r="934" spans="1:6" x14ac:dyDescent="0.3">
      <c r="A934" s="3" t="s">
        <v>569</v>
      </c>
      <c r="B934" s="3" t="s">
        <v>131</v>
      </c>
      <c r="C934" s="3" t="str">
        <f t="shared" si="14"/>
        <v>4500122083140</v>
      </c>
      <c r="D934" s="4">
        <v>46093</v>
      </c>
      <c r="E934" s="3" t="s">
        <v>2212</v>
      </c>
      <c r="F934" s="3" t="s">
        <v>2434</v>
      </c>
    </row>
    <row r="935" spans="1:6" x14ac:dyDescent="0.3">
      <c r="A935" s="3" t="s">
        <v>569</v>
      </c>
      <c r="B935" s="3" t="s">
        <v>68</v>
      </c>
      <c r="C935" s="3" t="str">
        <f t="shared" si="14"/>
        <v>4500122083150</v>
      </c>
      <c r="D935" s="4">
        <v>46093</v>
      </c>
      <c r="E935" s="3" t="s">
        <v>2212</v>
      </c>
      <c r="F935" s="3" t="s">
        <v>2434</v>
      </c>
    </row>
    <row r="936" spans="1:6" x14ac:dyDescent="0.3">
      <c r="A936" s="3" t="s">
        <v>569</v>
      </c>
      <c r="B936" s="3" t="s">
        <v>129</v>
      </c>
      <c r="C936" s="3" t="str">
        <f t="shared" si="14"/>
        <v>4500122083160</v>
      </c>
      <c r="D936" s="4">
        <v>46093</v>
      </c>
      <c r="E936" s="3" t="s">
        <v>2212</v>
      </c>
      <c r="F936" s="3" t="s">
        <v>2434</v>
      </c>
    </row>
    <row r="937" spans="1:6" x14ac:dyDescent="0.3">
      <c r="A937" s="3" t="s">
        <v>569</v>
      </c>
      <c r="B937" s="3" t="s">
        <v>53</v>
      </c>
      <c r="C937" s="3" t="str">
        <f t="shared" si="14"/>
        <v>4500122083170</v>
      </c>
      <c r="D937" s="4">
        <v>46093</v>
      </c>
      <c r="E937" s="3" t="s">
        <v>2212</v>
      </c>
      <c r="F937" s="3" t="s">
        <v>2434</v>
      </c>
    </row>
    <row r="938" spans="1:6" x14ac:dyDescent="0.3">
      <c r="A938" s="3" t="s">
        <v>569</v>
      </c>
      <c r="B938" s="3" t="s">
        <v>130</v>
      </c>
      <c r="C938" s="3" t="str">
        <f t="shared" si="14"/>
        <v>4500122083180</v>
      </c>
      <c r="D938" s="4">
        <v>46093</v>
      </c>
      <c r="E938" s="3" t="s">
        <v>2212</v>
      </c>
      <c r="F938" s="3" t="s">
        <v>2434</v>
      </c>
    </row>
    <row r="939" spans="1:6" x14ac:dyDescent="0.3">
      <c r="A939" s="3" t="s">
        <v>569</v>
      </c>
      <c r="B939" s="3" t="s">
        <v>127</v>
      </c>
      <c r="C939" s="3" t="str">
        <f t="shared" si="14"/>
        <v>4500122083190</v>
      </c>
      <c r="D939" s="4">
        <v>46093</v>
      </c>
      <c r="E939" s="3" t="s">
        <v>2212</v>
      </c>
      <c r="F939" s="3" t="s">
        <v>2434</v>
      </c>
    </row>
    <row r="940" spans="1:6" x14ac:dyDescent="0.3">
      <c r="A940" s="3" t="s">
        <v>569</v>
      </c>
      <c r="B940" s="3" t="s">
        <v>161</v>
      </c>
      <c r="C940" s="3" t="str">
        <f t="shared" si="14"/>
        <v>4500122083200</v>
      </c>
      <c r="D940" s="4">
        <v>46093</v>
      </c>
      <c r="E940" s="3" t="s">
        <v>2212</v>
      </c>
      <c r="F940" s="3" t="s">
        <v>2434</v>
      </c>
    </row>
    <row r="941" spans="1:6" x14ac:dyDescent="0.3">
      <c r="A941" s="3" t="s">
        <v>569</v>
      </c>
      <c r="B941" s="3" t="s">
        <v>136</v>
      </c>
      <c r="C941" s="3" t="str">
        <f t="shared" si="14"/>
        <v>4500122083210</v>
      </c>
      <c r="D941" s="4">
        <v>46093</v>
      </c>
      <c r="E941" s="3" t="s">
        <v>2212</v>
      </c>
      <c r="F941" s="3" t="s">
        <v>2434</v>
      </c>
    </row>
    <row r="942" spans="1:6" x14ac:dyDescent="0.3">
      <c r="A942" s="3" t="s">
        <v>569</v>
      </c>
      <c r="B942" s="3" t="s">
        <v>140</v>
      </c>
      <c r="C942" s="3" t="str">
        <f t="shared" si="14"/>
        <v>4500122083220</v>
      </c>
      <c r="D942" s="4">
        <v>46093</v>
      </c>
      <c r="E942" s="3" t="s">
        <v>2212</v>
      </c>
      <c r="F942" s="3" t="s">
        <v>2434</v>
      </c>
    </row>
    <row r="943" spans="1:6" x14ac:dyDescent="0.3">
      <c r="A943" s="3" t="s">
        <v>569</v>
      </c>
      <c r="B943" s="3" t="s">
        <v>137</v>
      </c>
      <c r="C943" s="3" t="str">
        <f t="shared" si="14"/>
        <v>4500122083230</v>
      </c>
      <c r="D943" s="4">
        <v>46093</v>
      </c>
      <c r="E943" s="3" t="s">
        <v>2212</v>
      </c>
      <c r="F943" s="3" t="s">
        <v>2434</v>
      </c>
    </row>
    <row r="944" spans="1:6" x14ac:dyDescent="0.3">
      <c r="A944" s="3" t="s">
        <v>569</v>
      </c>
      <c r="B944" s="3" t="s">
        <v>143</v>
      </c>
      <c r="C944" s="3" t="str">
        <f t="shared" si="14"/>
        <v>4500122083240</v>
      </c>
      <c r="D944" s="4">
        <v>46093</v>
      </c>
      <c r="E944" s="3" t="s">
        <v>2212</v>
      </c>
      <c r="F944" s="3" t="s">
        <v>2434</v>
      </c>
    </row>
    <row r="945" spans="1:6" x14ac:dyDescent="0.3">
      <c r="A945" s="3" t="s">
        <v>569</v>
      </c>
      <c r="B945" s="3" t="s">
        <v>128</v>
      </c>
      <c r="C945" s="3" t="str">
        <f t="shared" si="14"/>
        <v>4500122083250</v>
      </c>
      <c r="D945" s="4">
        <v>46093</v>
      </c>
      <c r="E945" s="3" t="s">
        <v>2212</v>
      </c>
      <c r="F945" s="3" t="s">
        <v>2434</v>
      </c>
    </row>
    <row r="946" spans="1:6" x14ac:dyDescent="0.3">
      <c r="A946" s="3" t="s">
        <v>569</v>
      </c>
      <c r="B946" s="3" t="s">
        <v>126</v>
      </c>
      <c r="C946" s="3" t="str">
        <f t="shared" si="14"/>
        <v>4500122083260</v>
      </c>
      <c r="D946" s="4">
        <v>46093</v>
      </c>
      <c r="E946" s="3" t="s">
        <v>2212</v>
      </c>
      <c r="F946" s="3" t="s">
        <v>2434</v>
      </c>
    </row>
    <row r="947" spans="1:6" x14ac:dyDescent="0.3">
      <c r="A947" s="3" t="s">
        <v>569</v>
      </c>
      <c r="B947" s="3" t="s">
        <v>146</v>
      </c>
      <c r="C947" s="3" t="str">
        <f t="shared" si="14"/>
        <v>4500122083270</v>
      </c>
      <c r="D947" s="4">
        <v>46093</v>
      </c>
      <c r="E947" s="3" t="s">
        <v>2212</v>
      </c>
      <c r="F947" s="3" t="s">
        <v>2434</v>
      </c>
    </row>
    <row r="948" spans="1:6" x14ac:dyDescent="0.3">
      <c r="A948" s="3" t="s">
        <v>569</v>
      </c>
      <c r="B948" s="3" t="s">
        <v>133</v>
      </c>
      <c r="C948" s="3" t="str">
        <f t="shared" si="14"/>
        <v>4500122083280</v>
      </c>
      <c r="D948" s="4">
        <v>46093</v>
      </c>
      <c r="E948" s="3" t="s">
        <v>2212</v>
      </c>
      <c r="F948" s="3" t="s">
        <v>2434</v>
      </c>
    </row>
    <row r="949" spans="1:6" x14ac:dyDescent="0.3">
      <c r="A949" s="3" t="s">
        <v>569</v>
      </c>
      <c r="B949" s="3" t="s">
        <v>173</v>
      </c>
      <c r="C949" s="3" t="str">
        <f t="shared" si="14"/>
        <v>4500122083290</v>
      </c>
      <c r="D949" s="4">
        <v>46093</v>
      </c>
      <c r="E949" s="3" t="s">
        <v>2212</v>
      </c>
      <c r="F949" s="3" t="s">
        <v>2434</v>
      </c>
    </row>
    <row r="950" spans="1:6" x14ac:dyDescent="0.3">
      <c r="A950" s="3" t="s">
        <v>569</v>
      </c>
      <c r="B950" s="3" t="s">
        <v>145</v>
      </c>
      <c r="C950" s="3" t="str">
        <f t="shared" si="14"/>
        <v>4500122083300</v>
      </c>
      <c r="D950" s="4">
        <v>46093</v>
      </c>
      <c r="E950" s="3" t="s">
        <v>2212</v>
      </c>
      <c r="F950" s="3" t="s">
        <v>2434</v>
      </c>
    </row>
    <row r="951" spans="1:6" x14ac:dyDescent="0.3">
      <c r="A951" s="3" t="s">
        <v>569</v>
      </c>
      <c r="B951" s="3" t="s">
        <v>147</v>
      </c>
      <c r="C951" s="3" t="str">
        <f t="shared" si="14"/>
        <v>4500122083310</v>
      </c>
      <c r="D951" s="4">
        <v>46093</v>
      </c>
      <c r="E951" s="3" t="s">
        <v>2212</v>
      </c>
      <c r="F951" s="3" t="s">
        <v>2434</v>
      </c>
    </row>
    <row r="952" spans="1:6" x14ac:dyDescent="0.3">
      <c r="A952" s="3" t="s">
        <v>569</v>
      </c>
      <c r="B952" s="3" t="s">
        <v>150</v>
      </c>
      <c r="C952" s="3" t="str">
        <f t="shared" si="14"/>
        <v>4500122083320</v>
      </c>
      <c r="D952" s="4">
        <v>46093</v>
      </c>
      <c r="E952" s="3" t="s">
        <v>2212</v>
      </c>
      <c r="F952" s="3" t="s">
        <v>2434</v>
      </c>
    </row>
    <row r="953" spans="1:6" x14ac:dyDescent="0.3">
      <c r="A953" s="3" t="s">
        <v>569</v>
      </c>
      <c r="B953" s="3" t="s">
        <v>154</v>
      </c>
      <c r="C953" s="3" t="str">
        <f t="shared" si="14"/>
        <v>4500122083330</v>
      </c>
      <c r="D953" s="4">
        <v>46093</v>
      </c>
      <c r="E953" s="3" t="s">
        <v>2212</v>
      </c>
      <c r="F953" s="3" t="s">
        <v>2434</v>
      </c>
    </row>
    <row r="954" spans="1:6" x14ac:dyDescent="0.3">
      <c r="A954" s="3" t="s">
        <v>569</v>
      </c>
      <c r="B954" s="3" t="s">
        <v>135</v>
      </c>
      <c r="C954" s="3" t="str">
        <f t="shared" si="14"/>
        <v>4500122083340</v>
      </c>
      <c r="D954" s="4">
        <v>46093</v>
      </c>
      <c r="E954" s="3" t="s">
        <v>2212</v>
      </c>
      <c r="F954" s="3" t="s">
        <v>2434</v>
      </c>
    </row>
    <row r="955" spans="1:6" x14ac:dyDescent="0.3">
      <c r="A955" s="3" t="s">
        <v>569</v>
      </c>
      <c r="B955" s="3" t="s">
        <v>139</v>
      </c>
      <c r="C955" s="3" t="str">
        <f t="shared" si="14"/>
        <v>4500122083350</v>
      </c>
      <c r="D955" s="4">
        <v>46093</v>
      </c>
      <c r="E955" s="3" t="s">
        <v>2212</v>
      </c>
      <c r="F955" s="3" t="s">
        <v>2434</v>
      </c>
    </row>
    <row r="956" spans="1:6" x14ac:dyDescent="0.3">
      <c r="A956" s="3" t="s">
        <v>569</v>
      </c>
      <c r="B956" s="3" t="s">
        <v>168</v>
      </c>
      <c r="C956" s="3" t="str">
        <f t="shared" si="14"/>
        <v>4500122083360</v>
      </c>
      <c r="D956" s="4">
        <v>46093</v>
      </c>
      <c r="E956" s="3" t="s">
        <v>2212</v>
      </c>
      <c r="F956" s="3" t="s">
        <v>2434</v>
      </c>
    </row>
    <row r="957" spans="1:6" x14ac:dyDescent="0.3">
      <c r="A957" s="3" t="s">
        <v>569</v>
      </c>
      <c r="B957" s="3" t="s">
        <v>162</v>
      </c>
      <c r="C957" s="3" t="str">
        <f t="shared" si="14"/>
        <v>4500122083370</v>
      </c>
      <c r="D957" s="4">
        <v>46093</v>
      </c>
      <c r="E957" s="3" t="s">
        <v>2212</v>
      </c>
      <c r="F957" s="3" t="s">
        <v>2434</v>
      </c>
    </row>
    <row r="958" spans="1:6" x14ac:dyDescent="0.3">
      <c r="A958" s="3" t="s">
        <v>569</v>
      </c>
      <c r="B958" s="3" t="s">
        <v>1132</v>
      </c>
      <c r="C958" s="3" t="str">
        <f t="shared" si="14"/>
        <v>4500122083380</v>
      </c>
      <c r="D958" s="4">
        <v>46093</v>
      </c>
      <c r="E958" s="3" t="s">
        <v>2212</v>
      </c>
      <c r="F958" s="3" t="s">
        <v>2434</v>
      </c>
    </row>
    <row r="959" spans="1:6" x14ac:dyDescent="0.3">
      <c r="A959" s="3" t="s">
        <v>569</v>
      </c>
      <c r="B959" s="3" t="s">
        <v>158</v>
      </c>
      <c r="C959" s="3" t="str">
        <f t="shared" si="14"/>
        <v>4500122083390</v>
      </c>
      <c r="D959" s="4">
        <v>46093</v>
      </c>
      <c r="E959" s="3" t="s">
        <v>2212</v>
      </c>
      <c r="F959" s="3" t="s">
        <v>2434</v>
      </c>
    </row>
    <row r="960" spans="1:6" x14ac:dyDescent="0.3">
      <c r="A960" s="3" t="s">
        <v>569</v>
      </c>
      <c r="B960" s="3" t="s">
        <v>178</v>
      </c>
      <c r="C960" s="3" t="str">
        <f t="shared" si="14"/>
        <v>4500122083400</v>
      </c>
      <c r="D960" s="4">
        <v>46093</v>
      </c>
      <c r="E960" s="3" t="s">
        <v>2212</v>
      </c>
      <c r="F960" s="3" t="s">
        <v>2434</v>
      </c>
    </row>
    <row r="961" spans="1:6" x14ac:dyDescent="0.3">
      <c r="A961" s="3" t="s">
        <v>569</v>
      </c>
      <c r="B961" s="3" t="s">
        <v>157</v>
      </c>
      <c r="C961" s="3" t="str">
        <f t="shared" si="14"/>
        <v>4500122083410</v>
      </c>
      <c r="D961" s="4">
        <v>46093</v>
      </c>
      <c r="E961" s="3" t="s">
        <v>2212</v>
      </c>
      <c r="F961" s="3" t="s">
        <v>2434</v>
      </c>
    </row>
    <row r="962" spans="1:6" x14ac:dyDescent="0.3">
      <c r="A962" s="3" t="s">
        <v>569</v>
      </c>
      <c r="B962" s="3" t="s">
        <v>155</v>
      </c>
      <c r="C962" s="3" t="str">
        <f t="shared" si="14"/>
        <v>4500122083420</v>
      </c>
      <c r="D962" s="4">
        <v>46093</v>
      </c>
      <c r="E962" s="3" t="s">
        <v>2212</v>
      </c>
      <c r="F962" s="3" t="s">
        <v>2434</v>
      </c>
    </row>
    <row r="963" spans="1:6" x14ac:dyDescent="0.3">
      <c r="A963" s="3" t="s">
        <v>569</v>
      </c>
      <c r="B963" s="3" t="s">
        <v>166</v>
      </c>
      <c r="C963" s="3" t="str">
        <f t="shared" ref="C963:C1026" si="15">_xlfn.CONCAT(A963:B963)</f>
        <v>4500122083430</v>
      </c>
      <c r="D963" s="4">
        <v>46093</v>
      </c>
      <c r="E963" s="3" t="s">
        <v>2212</v>
      </c>
      <c r="F963" s="3" t="s">
        <v>2434</v>
      </c>
    </row>
    <row r="964" spans="1:6" x14ac:dyDescent="0.3">
      <c r="A964" s="3" t="s">
        <v>569</v>
      </c>
      <c r="B964" s="3" t="s">
        <v>164</v>
      </c>
      <c r="C964" s="3" t="str">
        <f t="shared" si="15"/>
        <v>4500122083440</v>
      </c>
      <c r="D964" s="4">
        <v>46093</v>
      </c>
      <c r="E964" s="3" t="s">
        <v>2212</v>
      </c>
      <c r="F964" s="3" t="s">
        <v>2434</v>
      </c>
    </row>
    <row r="965" spans="1:6" x14ac:dyDescent="0.3">
      <c r="A965" s="3" t="s">
        <v>569</v>
      </c>
      <c r="B965" s="3" t="s">
        <v>169</v>
      </c>
      <c r="C965" s="3" t="str">
        <f t="shared" si="15"/>
        <v>4500122083450</v>
      </c>
      <c r="D965" s="4">
        <v>46093</v>
      </c>
      <c r="E965" s="3" t="s">
        <v>2212</v>
      </c>
      <c r="F965" s="3" t="s">
        <v>2434</v>
      </c>
    </row>
    <row r="966" spans="1:6" x14ac:dyDescent="0.3">
      <c r="A966" s="3" t="s">
        <v>569</v>
      </c>
      <c r="B966" s="3" t="s">
        <v>170</v>
      </c>
      <c r="C966" s="3" t="str">
        <f t="shared" si="15"/>
        <v>4500122083460</v>
      </c>
      <c r="D966" s="4">
        <v>46093</v>
      </c>
      <c r="E966" s="3" t="s">
        <v>2212</v>
      </c>
      <c r="F966" s="3" t="s">
        <v>2434</v>
      </c>
    </row>
    <row r="967" spans="1:6" x14ac:dyDescent="0.3">
      <c r="A967" s="3" t="s">
        <v>569</v>
      </c>
      <c r="B967" s="3" t="s">
        <v>171</v>
      </c>
      <c r="C967" s="3" t="str">
        <f t="shared" si="15"/>
        <v>4500122083470</v>
      </c>
      <c r="D967" s="4">
        <v>46093</v>
      </c>
      <c r="E967" s="3" t="s">
        <v>2212</v>
      </c>
      <c r="F967" s="3" t="s">
        <v>2434</v>
      </c>
    </row>
    <row r="968" spans="1:6" x14ac:dyDescent="0.3">
      <c r="A968" s="3" t="s">
        <v>569</v>
      </c>
      <c r="B968" s="3" t="s">
        <v>172</v>
      </c>
      <c r="C968" s="3" t="str">
        <f t="shared" si="15"/>
        <v>4500122083480</v>
      </c>
      <c r="D968" s="4">
        <v>46093</v>
      </c>
      <c r="E968" s="3" t="s">
        <v>2212</v>
      </c>
      <c r="F968" s="3" t="s">
        <v>2434</v>
      </c>
    </row>
    <row r="969" spans="1:6" x14ac:dyDescent="0.3">
      <c r="A969" s="3" t="s">
        <v>569</v>
      </c>
      <c r="B969" s="3" t="s">
        <v>1133</v>
      </c>
      <c r="C969" s="3" t="str">
        <f t="shared" si="15"/>
        <v>4500122083490</v>
      </c>
      <c r="D969" s="4">
        <v>46093</v>
      </c>
      <c r="E969" s="3" t="s">
        <v>2212</v>
      </c>
      <c r="F969" s="3" t="s">
        <v>2434</v>
      </c>
    </row>
    <row r="970" spans="1:6" x14ac:dyDescent="0.3">
      <c r="A970" s="3" t="s">
        <v>569</v>
      </c>
      <c r="B970" s="3" t="s">
        <v>160</v>
      </c>
      <c r="C970" s="3" t="str">
        <f t="shared" si="15"/>
        <v>4500122083500</v>
      </c>
      <c r="D970" s="4">
        <v>46093</v>
      </c>
      <c r="E970" s="3" t="s">
        <v>2212</v>
      </c>
      <c r="F970" s="3" t="s">
        <v>2434</v>
      </c>
    </row>
    <row r="971" spans="1:6" x14ac:dyDescent="0.3">
      <c r="A971" s="3" t="s">
        <v>569</v>
      </c>
      <c r="B971" s="3" t="s">
        <v>159</v>
      </c>
      <c r="C971" s="3" t="str">
        <f t="shared" si="15"/>
        <v>4500122083510</v>
      </c>
      <c r="D971" s="4">
        <v>46093</v>
      </c>
      <c r="E971" s="3" t="s">
        <v>2212</v>
      </c>
      <c r="F971" s="3" t="s">
        <v>2434</v>
      </c>
    </row>
    <row r="972" spans="1:6" x14ac:dyDescent="0.3">
      <c r="A972" s="3" t="s">
        <v>569</v>
      </c>
      <c r="B972" s="3" t="s">
        <v>167</v>
      </c>
      <c r="C972" s="3" t="str">
        <f t="shared" si="15"/>
        <v>4500122083530</v>
      </c>
      <c r="D972" s="4">
        <v>46093</v>
      </c>
      <c r="E972" s="3" t="s">
        <v>2212</v>
      </c>
      <c r="F972" s="3" t="s">
        <v>2434</v>
      </c>
    </row>
    <row r="973" spans="1:6" x14ac:dyDescent="0.3">
      <c r="A973" s="3" t="s">
        <v>569</v>
      </c>
      <c r="B973" s="3" t="s">
        <v>151</v>
      </c>
      <c r="C973" s="3" t="str">
        <f t="shared" si="15"/>
        <v>4500122083540</v>
      </c>
      <c r="D973" s="4">
        <v>46093</v>
      </c>
      <c r="E973" s="3" t="s">
        <v>2212</v>
      </c>
      <c r="F973" s="3" t="s">
        <v>2434</v>
      </c>
    </row>
    <row r="974" spans="1:6" x14ac:dyDescent="0.3">
      <c r="A974" s="3" t="s">
        <v>569</v>
      </c>
      <c r="B974" s="3" t="s">
        <v>153</v>
      </c>
      <c r="C974" s="3" t="str">
        <f t="shared" si="15"/>
        <v>4500122083550</v>
      </c>
      <c r="D974" s="4">
        <v>46093</v>
      </c>
      <c r="E974" s="3" t="s">
        <v>2212</v>
      </c>
      <c r="F974" s="3" t="s">
        <v>2434</v>
      </c>
    </row>
    <row r="975" spans="1:6" x14ac:dyDescent="0.3">
      <c r="A975" s="3" t="s">
        <v>569</v>
      </c>
      <c r="B975" s="3" t="s">
        <v>176</v>
      </c>
      <c r="C975" s="3" t="str">
        <f t="shared" si="15"/>
        <v>4500122083560</v>
      </c>
      <c r="D975" s="4">
        <v>46093</v>
      </c>
      <c r="E975" s="3" t="s">
        <v>2212</v>
      </c>
      <c r="F975" s="3" t="s">
        <v>2434</v>
      </c>
    </row>
    <row r="976" spans="1:6" x14ac:dyDescent="0.3">
      <c r="A976" s="3" t="s">
        <v>569</v>
      </c>
      <c r="B976" s="3" t="s">
        <v>177</v>
      </c>
      <c r="C976" s="3" t="str">
        <f t="shared" si="15"/>
        <v>4500122083570</v>
      </c>
      <c r="D976" s="4">
        <v>46093</v>
      </c>
      <c r="E976" s="3" t="s">
        <v>2212</v>
      </c>
      <c r="F976" s="3" t="s">
        <v>2434</v>
      </c>
    </row>
    <row r="977" spans="1:6" x14ac:dyDescent="0.3">
      <c r="A977" s="3" t="s">
        <v>569</v>
      </c>
      <c r="B977" s="3" t="s">
        <v>163</v>
      </c>
      <c r="C977" s="3" t="str">
        <f t="shared" si="15"/>
        <v>4500122083580</v>
      </c>
      <c r="D977" s="4">
        <v>46093</v>
      </c>
      <c r="E977" s="3" t="s">
        <v>2212</v>
      </c>
      <c r="F977" s="3" t="s">
        <v>2434</v>
      </c>
    </row>
    <row r="978" spans="1:6" x14ac:dyDescent="0.3">
      <c r="A978" s="3" t="s">
        <v>569</v>
      </c>
      <c r="B978" s="3" t="s">
        <v>119</v>
      </c>
      <c r="C978" s="3" t="str">
        <f t="shared" si="15"/>
        <v>4500122083590</v>
      </c>
      <c r="D978" s="4">
        <v>46093</v>
      </c>
      <c r="E978" s="3" t="s">
        <v>2212</v>
      </c>
      <c r="F978" s="3" t="s">
        <v>2434</v>
      </c>
    </row>
    <row r="979" spans="1:6" x14ac:dyDescent="0.3">
      <c r="A979" s="3" t="s">
        <v>569</v>
      </c>
      <c r="B979" s="3" t="s">
        <v>152</v>
      </c>
      <c r="C979" s="3" t="str">
        <f t="shared" si="15"/>
        <v>4500122083600</v>
      </c>
      <c r="D979" s="4">
        <v>46093</v>
      </c>
      <c r="E979" s="3" t="s">
        <v>2212</v>
      </c>
      <c r="F979" s="3" t="s">
        <v>2434</v>
      </c>
    </row>
    <row r="980" spans="1:6" x14ac:dyDescent="0.3">
      <c r="A980" s="3" t="s">
        <v>569</v>
      </c>
      <c r="B980" s="3" t="s">
        <v>148</v>
      </c>
      <c r="C980" s="3" t="str">
        <f t="shared" si="15"/>
        <v>4500122083610</v>
      </c>
      <c r="D980" s="4">
        <v>46093</v>
      </c>
      <c r="E980" s="3" t="s">
        <v>2212</v>
      </c>
      <c r="F980" s="3" t="s">
        <v>2434</v>
      </c>
    </row>
    <row r="981" spans="1:6" x14ac:dyDescent="0.3">
      <c r="A981" s="3" t="s">
        <v>569</v>
      </c>
      <c r="B981" s="3" t="s">
        <v>175</v>
      </c>
      <c r="C981" s="3" t="str">
        <f t="shared" si="15"/>
        <v>4500122083620</v>
      </c>
      <c r="D981" s="4">
        <v>46093</v>
      </c>
      <c r="E981" s="3" t="s">
        <v>2212</v>
      </c>
      <c r="F981" s="3" t="s">
        <v>2434</v>
      </c>
    </row>
    <row r="982" spans="1:6" x14ac:dyDescent="0.3">
      <c r="A982" s="3" t="s">
        <v>569</v>
      </c>
      <c r="B982" s="3" t="s">
        <v>165</v>
      </c>
      <c r="C982" s="3" t="str">
        <f t="shared" si="15"/>
        <v>4500122083630</v>
      </c>
      <c r="D982" s="4">
        <v>46093</v>
      </c>
      <c r="E982" s="3" t="s">
        <v>2212</v>
      </c>
      <c r="F982" s="3" t="s">
        <v>2434</v>
      </c>
    </row>
    <row r="983" spans="1:6" x14ac:dyDescent="0.3">
      <c r="A983" s="3" t="s">
        <v>569</v>
      </c>
      <c r="B983" s="3" t="s">
        <v>149</v>
      </c>
      <c r="C983" s="3" t="str">
        <f t="shared" si="15"/>
        <v>4500122083640</v>
      </c>
      <c r="D983" s="4">
        <v>46093</v>
      </c>
      <c r="E983" s="3" t="s">
        <v>2212</v>
      </c>
      <c r="F983" s="3" t="s">
        <v>2434</v>
      </c>
    </row>
    <row r="984" spans="1:6" x14ac:dyDescent="0.3">
      <c r="A984" s="3" t="s">
        <v>569</v>
      </c>
      <c r="B984" s="3" t="s">
        <v>174</v>
      </c>
      <c r="C984" s="3" t="str">
        <f t="shared" si="15"/>
        <v>4500122083650</v>
      </c>
      <c r="D984" s="4">
        <v>46093</v>
      </c>
      <c r="E984" s="3" t="s">
        <v>2212</v>
      </c>
      <c r="F984" s="3" t="s">
        <v>2434</v>
      </c>
    </row>
    <row r="985" spans="1:6" x14ac:dyDescent="0.3">
      <c r="A985" s="3" t="s">
        <v>569</v>
      </c>
      <c r="B985" s="3" t="s">
        <v>179</v>
      </c>
      <c r="C985" s="3" t="str">
        <f t="shared" si="15"/>
        <v>4500122083660</v>
      </c>
      <c r="D985" s="4">
        <v>46093</v>
      </c>
      <c r="E985" s="3" t="s">
        <v>2212</v>
      </c>
      <c r="F985" s="3" t="s">
        <v>2434</v>
      </c>
    </row>
    <row r="986" spans="1:6" x14ac:dyDescent="0.3">
      <c r="A986" s="3" t="s">
        <v>569</v>
      </c>
      <c r="B986" s="3" t="s">
        <v>180</v>
      </c>
      <c r="C986" s="3" t="str">
        <f t="shared" si="15"/>
        <v>4500122083670</v>
      </c>
      <c r="D986" s="4">
        <v>46093</v>
      </c>
      <c r="E986" s="3" t="s">
        <v>2212</v>
      </c>
      <c r="F986" s="3" t="s">
        <v>2434</v>
      </c>
    </row>
    <row r="987" spans="1:6" x14ac:dyDescent="0.3">
      <c r="A987" s="3" t="s">
        <v>569</v>
      </c>
      <c r="B987" s="3" t="s">
        <v>1598</v>
      </c>
      <c r="C987" s="3" t="str">
        <f t="shared" si="15"/>
        <v>4500122083680</v>
      </c>
      <c r="D987" s="4">
        <v>46093</v>
      </c>
      <c r="E987" s="3" t="s">
        <v>2212</v>
      </c>
      <c r="F987" s="3" t="s">
        <v>2434</v>
      </c>
    </row>
    <row r="988" spans="1:6" x14ac:dyDescent="0.3">
      <c r="A988" s="3" t="s">
        <v>569</v>
      </c>
      <c r="B988" s="3" t="s">
        <v>818</v>
      </c>
      <c r="C988" s="3" t="str">
        <f t="shared" si="15"/>
        <v>4500122083690</v>
      </c>
      <c r="D988" s="4">
        <v>46093</v>
      </c>
      <c r="E988" s="3" t="s">
        <v>2212</v>
      </c>
      <c r="F988" s="3" t="s">
        <v>2434</v>
      </c>
    </row>
    <row r="989" spans="1:6" x14ac:dyDescent="0.3">
      <c r="A989" s="3" t="s">
        <v>569</v>
      </c>
      <c r="B989" s="3" t="s">
        <v>1162</v>
      </c>
      <c r="C989" s="3" t="str">
        <f t="shared" si="15"/>
        <v>4500122083700</v>
      </c>
      <c r="D989" s="4">
        <v>46093</v>
      </c>
      <c r="E989" s="3" t="s">
        <v>2212</v>
      </c>
      <c r="F989" s="3" t="s">
        <v>2434</v>
      </c>
    </row>
    <row r="990" spans="1:6" x14ac:dyDescent="0.3">
      <c r="A990" s="3" t="s">
        <v>569</v>
      </c>
      <c r="B990" s="3" t="s">
        <v>1599</v>
      </c>
      <c r="C990" s="3" t="str">
        <f t="shared" si="15"/>
        <v>4500122083710</v>
      </c>
      <c r="D990" s="4">
        <v>46093</v>
      </c>
      <c r="E990" s="3" t="s">
        <v>2212</v>
      </c>
      <c r="F990" s="3" t="s">
        <v>2434</v>
      </c>
    </row>
    <row r="991" spans="1:6" x14ac:dyDescent="0.3">
      <c r="A991" s="3" t="s">
        <v>569</v>
      </c>
      <c r="B991" s="3" t="s">
        <v>1600</v>
      </c>
      <c r="C991" s="3" t="str">
        <f t="shared" si="15"/>
        <v>4500122083720</v>
      </c>
      <c r="D991" s="4">
        <v>46093</v>
      </c>
      <c r="E991" s="3" t="s">
        <v>2212</v>
      </c>
      <c r="F991" s="3" t="s">
        <v>2434</v>
      </c>
    </row>
    <row r="992" spans="1:6" x14ac:dyDescent="0.3">
      <c r="A992" s="3" t="s">
        <v>569</v>
      </c>
      <c r="B992" s="3" t="s">
        <v>1601</v>
      </c>
      <c r="C992" s="3" t="str">
        <f t="shared" si="15"/>
        <v>4500122083730</v>
      </c>
      <c r="D992" s="4">
        <v>46093</v>
      </c>
      <c r="E992" s="3" t="s">
        <v>2212</v>
      </c>
      <c r="F992" s="3" t="s">
        <v>2434</v>
      </c>
    </row>
    <row r="993" spans="1:6" x14ac:dyDescent="0.3">
      <c r="A993" s="3" t="s">
        <v>569</v>
      </c>
      <c r="B993" s="3" t="s">
        <v>1595</v>
      </c>
      <c r="C993" s="3" t="str">
        <f t="shared" si="15"/>
        <v>4500122083740</v>
      </c>
      <c r="D993" s="4">
        <v>46093</v>
      </c>
      <c r="E993" s="3" t="s">
        <v>2212</v>
      </c>
      <c r="F993" s="3" t="s">
        <v>2434</v>
      </c>
    </row>
    <row r="994" spans="1:6" x14ac:dyDescent="0.3">
      <c r="A994" s="3" t="s">
        <v>569</v>
      </c>
      <c r="B994" s="3" t="s">
        <v>1594</v>
      </c>
      <c r="C994" s="3" t="str">
        <f t="shared" si="15"/>
        <v>4500122083750</v>
      </c>
      <c r="D994" s="4">
        <v>46093</v>
      </c>
      <c r="E994" s="3" t="s">
        <v>2212</v>
      </c>
      <c r="F994" s="3" t="s">
        <v>2434</v>
      </c>
    </row>
    <row r="995" spans="1:6" x14ac:dyDescent="0.3">
      <c r="A995" s="3" t="s">
        <v>569</v>
      </c>
      <c r="B995" s="3" t="s">
        <v>1596</v>
      </c>
      <c r="C995" s="3" t="str">
        <f t="shared" si="15"/>
        <v>4500122083760</v>
      </c>
      <c r="D995" s="4">
        <v>46093</v>
      </c>
      <c r="E995" s="3" t="s">
        <v>2212</v>
      </c>
      <c r="F995" s="3" t="s">
        <v>2434</v>
      </c>
    </row>
    <row r="996" spans="1:6" x14ac:dyDescent="0.3">
      <c r="A996" s="3" t="s">
        <v>569</v>
      </c>
      <c r="B996" s="3" t="s">
        <v>1597</v>
      </c>
      <c r="C996" s="3" t="str">
        <f t="shared" si="15"/>
        <v>4500122083770</v>
      </c>
      <c r="D996" s="4">
        <v>46093</v>
      </c>
      <c r="E996" s="3" t="s">
        <v>2212</v>
      </c>
      <c r="F996" s="3" t="s">
        <v>2434</v>
      </c>
    </row>
    <row r="997" spans="1:6" x14ac:dyDescent="0.3">
      <c r="A997" s="3" t="s">
        <v>569</v>
      </c>
      <c r="B997" s="3" t="s">
        <v>807</v>
      </c>
      <c r="C997" s="3" t="str">
        <f t="shared" si="15"/>
        <v>4500122083780</v>
      </c>
      <c r="D997" s="4">
        <v>46093</v>
      </c>
      <c r="E997" s="3" t="s">
        <v>2212</v>
      </c>
      <c r="F997" s="3" t="s">
        <v>2434</v>
      </c>
    </row>
    <row r="998" spans="1:6" x14ac:dyDescent="0.3">
      <c r="A998" s="3" t="s">
        <v>569</v>
      </c>
      <c r="B998" s="3" t="s">
        <v>578</v>
      </c>
      <c r="C998" s="3" t="str">
        <f t="shared" si="15"/>
        <v>4500122083790</v>
      </c>
      <c r="D998" s="4">
        <v>46093</v>
      </c>
      <c r="E998" s="3" t="s">
        <v>2212</v>
      </c>
      <c r="F998" s="3" t="s">
        <v>2434</v>
      </c>
    </row>
    <row r="999" spans="1:6" x14ac:dyDescent="0.3">
      <c r="A999" s="3" t="s">
        <v>569</v>
      </c>
      <c r="B999" s="3" t="s">
        <v>1590</v>
      </c>
      <c r="C999" s="3" t="str">
        <f t="shared" si="15"/>
        <v>4500122083800</v>
      </c>
      <c r="D999" s="4">
        <v>46093</v>
      </c>
      <c r="E999" s="3" t="s">
        <v>2212</v>
      </c>
      <c r="F999" s="3" t="s">
        <v>2434</v>
      </c>
    </row>
    <row r="1000" spans="1:6" x14ac:dyDescent="0.3">
      <c r="A1000" s="3" t="s">
        <v>569</v>
      </c>
      <c r="B1000" s="3" t="s">
        <v>1602</v>
      </c>
      <c r="C1000" s="3" t="str">
        <f t="shared" si="15"/>
        <v>4500122083810</v>
      </c>
      <c r="D1000" s="4">
        <v>46093</v>
      </c>
      <c r="E1000" s="3" t="s">
        <v>2212</v>
      </c>
      <c r="F1000" s="3" t="s">
        <v>2434</v>
      </c>
    </row>
    <row r="1001" spans="1:6" x14ac:dyDescent="0.3">
      <c r="A1001" s="3" t="s">
        <v>569</v>
      </c>
      <c r="B1001" s="3" t="s">
        <v>1603</v>
      </c>
      <c r="C1001" s="3" t="str">
        <f t="shared" si="15"/>
        <v>4500122083820</v>
      </c>
      <c r="D1001" s="4">
        <v>46093</v>
      </c>
      <c r="E1001" s="3" t="s">
        <v>2212</v>
      </c>
      <c r="F1001" s="3" t="s">
        <v>2434</v>
      </c>
    </row>
    <row r="1002" spans="1:6" x14ac:dyDescent="0.3">
      <c r="A1002" s="3" t="s">
        <v>569</v>
      </c>
      <c r="B1002" s="3" t="s">
        <v>813</v>
      </c>
      <c r="C1002" s="3" t="str">
        <f t="shared" si="15"/>
        <v>4500122083830</v>
      </c>
      <c r="D1002" s="4">
        <v>46093</v>
      </c>
      <c r="E1002" s="3" t="s">
        <v>2212</v>
      </c>
      <c r="F1002" s="3" t="s">
        <v>2434</v>
      </c>
    </row>
    <row r="1003" spans="1:6" x14ac:dyDescent="0.3">
      <c r="A1003" s="3" t="s">
        <v>569</v>
      </c>
      <c r="B1003" s="3" t="s">
        <v>1604</v>
      </c>
      <c r="C1003" s="3" t="str">
        <f t="shared" si="15"/>
        <v>4500122083840</v>
      </c>
      <c r="D1003" s="4">
        <v>46093</v>
      </c>
      <c r="E1003" s="3" t="s">
        <v>2212</v>
      </c>
      <c r="F1003" s="3" t="s">
        <v>2434</v>
      </c>
    </row>
    <row r="1004" spans="1:6" x14ac:dyDescent="0.3">
      <c r="A1004" s="3" t="s">
        <v>569</v>
      </c>
      <c r="B1004" s="3" t="s">
        <v>1591</v>
      </c>
      <c r="C1004" s="3" t="str">
        <f t="shared" si="15"/>
        <v>4500122083850</v>
      </c>
      <c r="D1004" s="4">
        <v>46093</v>
      </c>
      <c r="E1004" s="3" t="s">
        <v>2212</v>
      </c>
      <c r="F1004" s="3" t="s">
        <v>2434</v>
      </c>
    </row>
    <row r="1005" spans="1:6" x14ac:dyDescent="0.3">
      <c r="A1005" s="3" t="s">
        <v>569</v>
      </c>
      <c r="B1005" s="3" t="s">
        <v>1592</v>
      </c>
      <c r="C1005" s="3" t="str">
        <f t="shared" si="15"/>
        <v>4500122083860</v>
      </c>
      <c r="D1005" s="4">
        <v>46093</v>
      </c>
      <c r="E1005" s="3" t="s">
        <v>2212</v>
      </c>
      <c r="F1005" s="3" t="s">
        <v>2434</v>
      </c>
    </row>
    <row r="1006" spans="1:6" x14ac:dyDescent="0.3">
      <c r="A1006" s="3" t="s">
        <v>569</v>
      </c>
      <c r="B1006" s="3" t="s">
        <v>1605</v>
      </c>
      <c r="C1006" s="3" t="str">
        <f t="shared" si="15"/>
        <v>4500122083870</v>
      </c>
      <c r="D1006" s="4">
        <v>46093</v>
      </c>
      <c r="E1006" s="3" t="s">
        <v>2212</v>
      </c>
      <c r="F1006" s="3" t="s">
        <v>2434</v>
      </c>
    </row>
    <row r="1007" spans="1:6" x14ac:dyDescent="0.3">
      <c r="A1007" s="3" t="s">
        <v>569</v>
      </c>
      <c r="B1007" s="3" t="s">
        <v>1606</v>
      </c>
      <c r="C1007" s="3" t="str">
        <f t="shared" si="15"/>
        <v>4500122083880</v>
      </c>
      <c r="D1007" s="4">
        <v>46093</v>
      </c>
      <c r="E1007" s="3" t="s">
        <v>2212</v>
      </c>
      <c r="F1007" s="3" t="s">
        <v>2434</v>
      </c>
    </row>
    <row r="1008" spans="1:6" x14ac:dyDescent="0.3">
      <c r="A1008" s="3" t="s">
        <v>569</v>
      </c>
      <c r="B1008" s="3" t="s">
        <v>1593</v>
      </c>
      <c r="C1008" s="3" t="str">
        <f t="shared" si="15"/>
        <v>4500122083890</v>
      </c>
      <c r="D1008" s="4">
        <v>46093</v>
      </c>
      <c r="E1008" s="3" t="s">
        <v>2212</v>
      </c>
      <c r="F1008" s="3" t="s">
        <v>2434</v>
      </c>
    </row>
    <row r="1009" spans="1:6" x14ac:dyDescent="0.3">
      <c r="A1009" s="3" t="s">
        <v>569</v>
      </c>
      <c r="B1009" s="3" t="s">
        <v>1607</v>
      </c>
      <c r="C1009" s="3" t="str">
        <f t="shared" si="15"/>
        <v>4500122083900</v>
      </c>
      <c r="D1009" s="4">
        <v>46093</v>
      </c>
      <c r="E1009" s="3" t="s">
        <v>2212</v>
      </c>
      <c r="F1009" s="3" t="s">
        <v>2434</v>
      </c>
    </row>
    <row r="1010" spans="1:6" x14ac:dyDescent="0.3">
      <c r="A1010" s="3" t="s">
        <v>569</v>
      </c>
      <c r="B1010" s="3" t="s">
        <v>2214</v>
      </c>
      <c r="C1010" s="3" t="str">
        <f t="shared" si="15"/>
        <v>4500122083910</v>
      </c>
      <c r="D1010" s="4">
        <v>46093</v>
      </c>
      <c r="E1010" s="3" t="s">
        <v>2212</v>
      </c>
      <c r="F1010" s="3" t="s">
        <v>2434</v>
      </c>
    </row>
    <row r="1011" spans="1:6" x14ac:dyDescent="0.3">
      <c r="A1011" s="3" t="s">
        <v>569</v>
      </c>
      <c r="B1011" s="3" t="s">
        <v>2215</v>
      </c>
      <c r="C1011" s="3" t="str">
        <f t="shared" si="15"/>
        <v>4500122083920</v>
      </c>
      <c r="D1011" s="4">
        <v>46093</v>
      </c>
      <c r="E1011" s="3" t="s">
        <v>2212</v>
      </c>
      <c r="F1011" s="3" t="s">
        <v>2434</v>
      </c>
    </row>
    <row r="1012" spans="1:6" x14ac:dyDescent="0.3">
      <c r="A1012" s="3" t="s">
        <v>569</v>
      </c>
      <c r="B1012" s="3" t="s">
        <v>2216</v>
      </c>
      <c r="C1012" s="3" t="str">
        <f t="shared" si="15"/>
        <v>4500122083930</v>
      </c>
      <c r="D1012" s="4">
        <v>46093</v>
      </c>
      <c r="E1012" s="3" t="s">
        <v>2212</v>
      </c>
      <c r="F1012" s="3" t="s">
        <v>2434</v>
      </c>
    </row>
    <row r="1013" spans="1:6" x14ac:dyDescent="0.3">
      <c r="A1013" s="3" t="s">
        <v>569</v>
      </c>
      <c r="B1013" s="3" t="s">
        <v>2217</v>
      </c>
      <c r="C1013" s="3" t="str">
        <f t="shared" si="15"/>
        <v>4500122083940</v>
      </c>
      <c r="D1013" s="4">
        <v>46093</v>
      </c>
      <c r="E1013" s="3" t="s">
        <v>2212</v>
      </c>
      <c r="F1013" s="3" t="s">
        <v>2434</v>
      </c>
    </row>
    <row r="1014" spans="1:6" x14ac:dyDescent="0.3">
      <c r="A1014" s="3" t="s">
        <v>569</v>
      </c>
      <c r="B1014" s="3" t="s">
        <v>2219</v>
      </c>
      <c r="C1014" s="3" t="str">
        <f t="shared" si="15"/>
        <v>4500122083950</v>
      </c>
      <c r="D1014" s="4">
        <v>46093</v>
      </c>
      <c r="E1014" s="3" t="s">
        <v>2212</v>
      </c>
      <c r="F1014" s="3" t="s">
        <v>2434</v>
      </c>
    </row>
    <row r="1015" spans="1:6" x14ac:dyDescent="0.3">
      <c r="A1015" s="3" t="s">
        <v>569</v>
      </c>
      <c r="B1015" s="3" t="s">
        <v>2218</v>
      </c>
      <c r="C1015" s="3" t="str">
        <f t="shared" si="15"/>
        <v>4500122083960</v>
      </c>
      <c r="D1015" s="4">
        <v>46093</v>
      </c>
      <c r="E1015" s="3" t="s">
        <v>2212</v>
      </c>
      <c r="F1015" s="3" t="s">
        <v>2434</v>
      </c>
    </row>
    <row r="1016" spans="1:6" x14ac:dyDescent="0.3">
      <c r="A1016" s="3" t="s">
        <v>569</v>
      </c>
      <c r="B1016" s="3" t="s">
        <v>2220</v>
      </c>
      <c r="C1016" s="3" t="str">
        <f t="shared" si="15"/>
        <v>4500122083970</v>
      </c>
      <c r="D1016" s="4">
        <v>46093</v>
      </c>
      <c r="E1016" s="3" t="s">
        <v>2212</v>
      </c>
      <c r="F1016" s="3" t="s">
        <v>2434</v>
      </c>
    </row>
    <row r="1017" spans="1:6" x14ac:dyDescent="0.3">
      <c r="A1017" s="3" t="s">
        <v>569</v>
      </c>
      <c r="B1017" s="3" t="s">
        <v>2221</v>
      </c>
      <c r="C1017" s="3" t="str">
        <f t="shared" si="15"/>
        <v>4500122083980</v>
      </c>
      <c r="D1017" s="4">
        <v>46093</v>
      </c>
      <c r="E1017" s="3" t="s">
        <v>2212</v>
      </c>
      <c r="F1017" s="3" t="s">
        <v>2434</v>
      </c>
    </row>
    <row r="1018" spans="1:6" x14ac:dyDescent="0.3">
      <c r="A1018" s="3" t="s">
        <v>569</v>
      </c>
      <c r="B1018" s="3" t="s">
        <v>2222</v>
      </c>
      <c r="C1018" s="3" t="str">
        <f t="shared" si="15"/>
        <v>4500122083990</v>
      </c>
      <c r="D1018" s="4">
        <v>46093</v>
      </c>
      <c r="E1018" s="3" t="s">
        <v>2212</v>
      </c>
      <c r="F1018" s="3" t="s">
        <v>2434</v>
      </c>
    </row>
    <row r="1019" spans="1:6" x14ac:dyDescent="0.3">
      <c r="A1019" s="3" t="s">
        <v>569</v>
      </c>
      <c r="B1019" s="3" t="s">
        <v>2223</v>
      </c>
      <c r="C1019" s="3" t="str">
        <f t="shared" si="15"/>
        <v>45001220831000</v>
      </c>
      <c r="D1019" s="4">
        <v>46093</v>
      </c>
      <c r="E1019" s="3" t="s">
        <v>2212</v>
      </c>
      <c r="F1019" s="3" t="s">
        <v>2434</v>
      </c>
    </row>
    <row r="1020" spans="1:6" x14ac:dyDescent="0.3">
      <c r="A1020" s="3" t="s">
        <v>569</v>
      </c>
      <c r="B1020" s="3" t="s">
        <v>2224</v>
      </c>
      <c r="C1020" s="3" t="str">
        <f t="shared" si="15"/>
        <v>45001220831010</v>
      </c>
      <c r="D1020" s="4">
        <v>46093</v>
      </c>
      <c r="E1020" s="3" t="s">
        <v>2212</v>
      </c>
      <c r="F1020" s="3" t="s">
        <v>2434</v>
      </c>
    </row>
    <row r="1021" spans="1:6" x14ac:dyDescent="0.3">
      <c r="A1021" s="3" t="s">
        <v>569</v>
      </c>
      <c r="B1021" s="3" t="s">
        <v>2225</v>
      </c>
      <c r="C1021" s="3" t="str">
        <f t="shared" si="15"/>
        <v>45001220831020</v>
      </c>
      <c r="D1021" s="4">
        <v>46093</v>
      </c>
      <c r="E1021" s="3" t="s">
        <v>2212</v>
      </c>
      <c r="F1021" s="3" t="s">
        <v>2434</v>
      </c>
    </row>
    <row r="1022" spans="1:6" x14ac:dyDescent="0.3">
      <c r="A1022" s="3" t="s">
        <v>569</v>
      </c>
      <c r="B1022" s="3" t="s">
        <v>2226</v>
      </c>
      <c r="C1022" s="3" t="str">
        <f t="shared" si="15"/>
        <v>45001220831030</v>
      </c>
      <c r="D1022" s="4">
        <v>46093</v>
      </c>
      <c r="E1022" s="3" t="s">
        <v>2212</v>
      </c>
      <c r="F1022" s="3" t="s">
        <v>2434</v>
      </c>
    </row>
    <row r="1023" spans="1:6" x14ac:dyDescent="0.3">
      <c r="A1023" s="3" t="s">
        <v>569</v>
      </c>
      <c r="B1023" s="3" t="s">
        <v>2227</v>
      </c>
      <c r="C1023" s="3" t="str">
        <f t="shared" si="15"/>
        <v>45001220831040</v>
      </c>
      <c r="D1023" s="4">
        <v>46093</v>
      </c>
      <c r="E1023" s="3" t="s">
        <v>2212</v>
      </c>
      <c r="F1023" s="3" t="s">
        <v>2434</v>
      </c>
    </row>
    <row r="1024" spans="1:6" x14ac:dyDescent="0.3">
      <c r="A1024" s="3" t="s">
        <v>569</v>
      </c>
      <c r="B1024" s="3" t="s">
        <v>2228</v>
      </c>
      <c r="C1024" s="3" t="str">
        <f t="shared" si="15"/>
        <v>45001220831050</v>
      </c>
      <c r="D1024" s="4">
        <v>46093</v>
      </c>
      <c r="E1024" s="3" t="s">
        <v>2212</v>
      </c>
      <c r="F1024" s="3" t="s">
        <v>2434</v>
      </c>
    </row>
    <row r="1025" spans="1:6" x14ac:dyDescent="0.3">
      <c r="A1025" s="3" t="s">
        <v>569</v>
      </c>
      <c r="B1025" s="3" t="s">
        <v>2229</v>
      </c>
      <c r="C1025" s="3" t="str">
        <f t="shared" si="15"/>
        <v>45001220831060</v>
      </c>
      <c r="D1025" s="4">
        <v>46093</v>
      </c>
      <c r="E1025" s="3" t="s">
        <v>2212</v>
      </c>
      <c r="F1025" s="3" t="s">
        <v>2434</v>
      </c>
    </row>
    <row r="1026" spans="1:6" x14ac:dyDescent="0.3">
      <c r="A1026" s="3" t="s">
        <v>569</v>
      </c>
      <c r="B1026" s="3" t="s">
        <v>2230</v>
      </c>
      <c r="C1026" s="3" t="str">
        <f t="shared" si="15"/>
        <v>45001220831070</v>
      </c>
      <c r="D1026" s="4">
        <v>46093</v>
      </c>
      <c r="E1026" s="3" t="s">
        <v>2212</v>
      </c>
      <c r="F1026" s="3" t="s">
        <v>2434</v>
      </c>
    </row>
    <row r="1027" spans="1:6" x14ac:dyDescent="0.3">
      <c r="A1027" s="3" t="s">
        <v>569</v>
      </c>
      <c r="B1027" s="3" t="s">
        <v>2231</v>
      </c>
      <c r="C1027" s="3" t="str">
        <f t="shared" ref="C1027:C1090" si="16">_xlfn.CONCAT(A1027:B1027)</f>
        <v>45001220831080</v>
      </c>
      <c r="D1027" s="4">
        <v>46093</v>
      </c>
      <c r="E1027" s="3" t="s">
        <v>2212</v>
      </c>
      <c r="F1027" s="3" t="s">
        <v>2434</v>
      </c>
    </row>
    <row r="1028" spans="1:6" x14ac:dyDescent="0.3">
      <c r="A1028" s="3" t="s">
        <v>569</v>
      </c>
      <c r="B1028" s="3" t="s">
        <v>570</v>
      </c>
      <c r="C1028" s="3" t="str">
        <f t="shared" si="16"/>
        <v>45001220831090</v>
      </c>
      <c r="D1028" s="4">
        <v>46093</v>
      </c>
      <c r="E1028" s="3" t="s">
        <v>2212</v>
      </c>
      <c r="F1028" s="3" t="s">
        <v>2434</v>
      </c>
    </row>
    <row r="1029" spans="1:6" x14ac:dyDescent="0.3">
      <c r="A1029" s="3" t="s">
        <v>569</v>
      </c>
      <c r="B1029" s="3" t="s">
        <v>2232</v>
      </c>
      <c r="C1029" s="3" t="str">
        <f t="shared" si="16"/>
        <v>45001220831100</v>
      </c>
      <c r="D1029" s="4">
        <v>46093</v>
      </c>
      <c r="E1029" s="3" t="s">
        <v>2212</v>
      </c>
      <c r="F1029" s="3" t="s">
        <v>2434</v>
      </c>
    </row>
    <row r="1030" spans="1:6" x14ac:dyDescent="0.3">
      <c r="A1030" s="3" t="s">
        <v>237</v>
      </c>
      <c r="B1030" s="3" t="s">
        <v>30</v>
      </c>
      <c r="C1030" s="3" t="str">
        <f t="shared" si="16"/>
        <v>450012209710</v>
      </c>
      <c r="D1030" s="4">
        <v>46122</v>
      </c>
      <c r="E1030" s="3" t="s">
        <v>2196</v>
      </c>
      <c r="F1030" s="3" t="s">
        <v>2488</v>
      </c>
    </row>
    <row r="1031" spans="1:6" x14ac:dyDescent="0.3">
      <c r="A1031" s="3" t="s">
        <v>934</v>
      </c>
      <c r="B1031" s="3" t="s">
        <v>30</v>
      </c>
      <c r="C1031" s="3" t="str">
        <f t="shared" si="16"/>
        <v>450012232710</v>
      </c>
      <c r="D1031" s="4">
        <v>46231</v>
      </c>
      <c r="E1031" s="3" t="s">
        <v>2206</v>
      </c>
      <c r="F1031" s="3" t="s">
        <v>2570</v>
      </c>
    </row>
    <row r="1032" spans="1:6" x14ac:dyDescent="0.3">
      <c r="A1032" s="3" t="s">
        <v>934</v>
      </c>
      <c r="B1032" s="3" t="s">
        <v>22</v>
      </c>
      <c r="C1032" s="3" t="str">
        <f t="shared" si="16"/>
        <v>450012232720</v>
      </c>
      <c r="D1032" s="4">
        <v>46231</v>
      </c>
      <c r="E1032" s="3" t="s">
        <v>2206</v>
      </c>
      <c r="F1032" s="3" t="s">
        <v>2570</v>
      </c>
    </row>
    <row r="1033" spans="1:6" x14ac:dyDescent="0.3">
      <c r="A1033" s="3" t="s">
        <v>261</v>
      </c>
      <c r="B1033" s="3" t="s">
        <v>30</v>
      </c>
      <c r="C1033" s="3" t="str">
        <f t="shared" si="16"/>
        <v>450012237610</v>
      </c>
      <c r="D1033" s="4">
        <v>46174</v>
      </c>
      <c r="E1033" s="3" t="s">
        <v>2207</v>
      </c>
      <c r="F1033" s="3" t="s">
        <v>2445</v>
      </c>
    </row>
    <row r="1034" spans="1:6" x14ac:dyDescent="0.3">
      <c r="A1034" s="3" t="s">
        <v>261</v>
      </c>
      <c r="B1034" s="3" t="s">
        <v>22</v>
      </c>
      <c r="C1034" s="3" t="str">
        <f t="shared" si="16"/>
        <v>450012237620</v>
      </c>
      <c r="D1034" s="4">
        <v>46174</v>
      </c>
      <c r="E1034" s="3" t="s">
        <v>2207</v>
      </c>
      <c r="F1034" s="3" t="s">
        <v>2445</v>
      </c>
    </row>
    <row r="1035" spans="1:6" x14ac:dyDescent="0.3">
      <c r="A1035" s="3" t="s">
        <v>261</v>
      </c>
      <c r="B1035" s="3" t="s">
        <v>35</v>
      </c>
      <c r="C1035" s="3" t="str">
        <f t="shared" si="16"/>
        <v>450012237630</v>
      </c>
      <c r="D1035" s="4">
        <v>46174</v>
      </c>
      <c r="E1035" s="3" t="s">
        <v>2207</v>
      </c>
      <c r="F1035" s="3" t="s">
        <v>2445</v>
      </c>
    </row>
    <row r="1036" spans="1:6" x14ac:dyDescent="0.3">
      <c r="A1036" s="3" t="s">
        <v>261</v>
      </c>
      <c r="B1036" s="3" t="s">
        <v>23</v>
      </c>
      <c r="C1036" s="3" t="str">
        <f t="shared" si="16"/>
        <v>450012237640</v>
      </c>
      <c r="D1036" s="4">
        <v>46174</v>
      </c>
      <c r="E1036" s="3" t="s">
        <v>2207</v>
      </c>
      <c r="F1036" s="3" t="s">
        <v>2445</v>
      </c>
    </row>
    <row r="1037" spans="1:6" x14ac:dyDescent="0.3">
      <c r="A1037" s="3" t="s">
        <v>261</v>
      </c>
      <c r="B1037" s="3" t="s">
        <v>144</v>
      </c>
      <c r="C1037" s="3" t="str">
        <f t="shared" si="16"/>
        <v>450012237650</v>
      </c>
      <c r="D1037" s="4">
        <v>46174</v>
      </c>
      <c r="E1037" s="3" t="s">
        <v>2207</v>
      </c>
      <c r="F1037" s="3" t="s">
        <v>2445</v>
      </c>
    </row>
    <row r="1038" spans="1:6" x14ac:dyDescent="0.3">
      <c r="A1038" s="3" t="s">
        <v>261</v>
      </c>
      <c r="B1038" s="3" t="s">
        <v>141</v>
      </c>
      <c r="C1038" s="3" t="str">
        <f t="shared" si="16"/>
        <v>450012237660</v>
      </c>
      <c r="D1038" s="4">
        <v>46174</v>
      </c>
      <c r="E1038" s="3" t="s">
        <v>2207</v>
      </c>
      <c r="F1038" s="3" t="s">
        <v>2445</v>
      </c>
    </row>
    <row r="1039" spans="1:6" x14ac:dyDescent="0.3">
      <c r="A1039" s="3" t="s">
        <v>261</v>
      </c>
      <c r="B1039" s="3" t="s">
        <v>134</v>
      </c>
      <c r="C1039" s="3" t="str">
        <f t="shared" si="16"/>
        <v>450012237670</v>
      </c>
      <c r="D1039" s="4">
        <v>46174</v>
      </c>
      <c r="E1039" s="3" t="s">
        <v>2207</v>
      </c>
      <c r="F1039" s="3" t="s">
        <v>2445</v>
      </c>
    </row>
    <row r="1040" spans="1:6" x14ac:dyDescent="0.3">
      <c r="A1040" s="3" t="s">
        <v>261</v>
      </c>
      <c r="B1040" s="3" t="s">
        <v>52</v>
      </c>
      <c r="C1040" s="3" t="str">
        <f t="shared" si="16"/>
        <v>450012237680</v>
      </c>
      <c r="D1040" s="4">
        <v>46174</v>
      </c>
      <c r="E1040" s="3" t="s">
        <v>2207</v>
      </c>
      <c r="F1040" s="3" t="s">
        <v>2445</v>
      </c>
    </row>
    <row r="1041" spans="1:6" x14ac:dyDescent="0.3">
      <c r="A1041" s="3" t="s">
        <v>261</v>
      </c>
      <c r="B1041" s="3" t="s">
        <v>138</v>
      </c>
      <c r="C1041" s="3" t="str">
        <f t="shared" si="16"/>
        <v>450012237690</v>
      </c>
      <c r="D1041" s="4">
        <v>46174</v>
      </c>
      <c r="E1041" s="3" t="s">
        <v>2207</v>
      </c>
      <c r="F1041" s="3" t="s">
        <v>2445</v>
      </c>
    </row>
    <row r="1042" spans="1:6" x14ac:dyDescent="0.3">
      <c r="A1042" s="3" t="s">
        <v>261</v>
      </c>
      <c r="B1042" s="3" t="s">
        <v>45</v>
      </c>
      <c r="C1042" s="3" t="str">
        <f t="shared" si="16"/>
        <v>4500122376100</v>
      </c>
      <c r="D1042" s="4">
        <v>46174</v>
      </c>
      <c r="E1042" s="3" t="s">
        <v>2207</v>
      </c>
      <c r="F1042" s="3" t="s">
        <v>2445</v>
      </c>
    </row>
    <row r="1043" spans="1:6" x14ac:dyDescent="0.3">
      <c r="A1043" s="3" t="s">
        <v>261</v>
      </c>
      <c r="B1043" s="3" t="s">
        <v>156</v>
      </c>
      <c r="C1043" s="3" t="str">
        <f t="shared" si="16"/>
        <v>4500122376110</v>
      </c>
      <c r="D1043" s="4">
        <v>46174</v>
      </c>
      <c r="E1043" s="3" t="s">
        <v>2207</v>
      </c>
      <c r="F1043" s="3" t="s">
        <v>2445</v>
      </c>
    </row>
    <row r="1044" spans="1:6" x14ac:dyDescent="0.3">
      <c r="A1044" s="3" t="s">
        <v>261</v>
      </c>
      <c r="B1044" s="3" t="s">
        <v>132</v>
      </c>
      <c r="C1044" s="3" t="str">
        <f t="shared" si="16"/>
        <v>4500122376120</v>
      </c>
      <c r="D1044" s="4">
        <v>46174</v>
      </c>
      <c r="E1044" s="3" t="s">
        <v>2207</v>
      </c>
      <c r="F1044" s="3" t="s">
        <v>2445</v>
      </c>
    </row>
    <row r="1045" spans="1:6" x14ac:dyDescent="0.3">
      <c r="A1045" s="3" t="s">
        <v>261</v>
      </c>
      <c r="B1045" s="3" t="s">
        <v>142</v>
      </c>
      <c r="C1045" s="3" t="str">
        <f t="shared" si="16"/>
        <v>4500122376130</v>
      </c>
      <c r="D1045" s="4">
        <v>46174</v>
      </c>
      <c r="E1045" s="3" t="s">
        <v>2207</v>
      </c>
      <c r="F1045" s="3" t="s">
        <v>2445</v>
      </c>
    </row>
    <row r="1046" spans="1:6" x14ac:dyDescent="0.3">
      <c r="A1046" s="3" t="s">
        <v>261</v>
      </c>
      <c r="B1046" s="3" t="s">
        <v>131</v>
      </c>
      <c r="C1046" s="3" t="str">
        <f t="shared" si="16"/>
        <v>4500122376140</v>
      </c>
      <c r="D1046" s="4">
        <v>46174</v>
      </c>
      <c r="E1046" s="3" t="s">
        <v>2207</v>
      </c>
      <c r="F1046" s="3" t="s">
        <v>2445</v>
      </c>
    </row>
    <row r="1047" spans="1:6" x14ac:dyDescent="0.3">
      <c r="A1047" s="3" t="s">
        <v>261</v>
      </c>
      <c r="B1047" s="3" t="s">
        <v>68</v>
      </c>
      <c r="C1047" s="3" t="str">
        <f t="shared" si="16"/>
        <v>4500122376150</v>
      </c>
      <c r="D1047" s="4">
        <v>46174</v>
      </c>
      <c r="E1047" s="3" t="s">
        <v>2207</v>
      </c>
      <c r="F1047" s="3" t="s">
        <v>2445</v>
      </c>
    </row>
    <row r="1048" spans="1:6" x14ac:dyDescent="0.3">
      <c r="A1048" s="3" t="s">
        <v>261</v>
      </c>
      <c r="B1048" s="3" t="s">
        <v>129</v>
      </c>
      <c r="C1048" s="3" t="str">
        <f t="shared" si="16"/>
        <v>4500122376160</v>
      </c>
      <c r="D1048" s="4">
        <v>46174</v>
      </c>
      <c r="E1048" s="3" t="s">
        <v>2207</v>
      </c>
      <c r="F1048" s="3" t="s">
        <v>2445</v>
      </c>
    </row>
    <row r="1049" spans="1:6" x14ac:dyDescent="0.3">
      <c r="A1049" s="3" t="s">
        <v>217</v>
      </c>
      <c r="B1049" s="3" t="s">
        <v>30</v>
      </c>
      <c r="C1049" s="3" t="str">
        <f t="shared" si="16"/>
        <v>450012242410</v>
      </c>
      <c r="D1049" s="4">
        <v>46098</v>
      </c>
      <c r="E1049" s="3" t="s">
        <v>2207</v>
      </c>
      <c r="F1049" s="3" t="s">
        <v>2571</v>
      </c>
    </row>
    <row r="1050" spans="1:6" x14ac:dyDescent="0.3">
      <c r="A1050" s="3" t="s">
        <v>1243</v>
      </c>
      <c r="B1050" s="3" t="s">
        <v>22</v>
      </c>
      <c r="C1050" s="3" t="str">
        <f t="shared" si="16"/>
        <v>450012249620</v>
      </c>
      <c r="D1050" s="4">
        <v>46234</v>
      </c>
      <c r="E1050" s="3" t="s">
        <v>2213</v>
      </c>
      <c r="F1050" s="3" t="s">
        <v>2438</v>
      </c>
    </row>
    <row r="1051" spans="1:6" x14ac:dyDescent="0.3">
      <c r="A1051" s="3" t="s">
        <v>51</v>
      </c>
      <c r="B1051" s="3" t="s">
        <v>30</v>
      </c>
      <c r="C1051" s="3" t="str">
        <f t="shared" si="16"/>
        <v>450012251010</v>
      </c>
      <c r="D1051" s="4">
        <v>46122</v>
      </c>
      <c r="E1051" s="3" t="s">
        <v>2212</v>
      </c>
      <c r="F1051" s="3" t="s">
        <v>2569</v>
      </c>
    </row>
    <row r="1052" spans="1:6" x14ac:dyDescent="0.3">
      <c r="A1052" s="3" t="s">
        <v>51</v>
      </c>
      <c r="B1052" s="3" t="s">
        <v>22</v>
      </c>
      <c r="C1052" s="3" t="str">
        <f t="shared" si="16"/>
        <v>450012251020</v>
      </c>
      <c r="D1052" s="4">
        <v>46122</v>
      </c>
      <c r="E1052" s="3" t="s">
        <v>2212</v>
      </c>
      <c r="F1052" s="3" t="s">
        <v>2569</v>
      </c>
    </row>
    <row r="1053" spans="1:6" x14ac:dyDescent="0.3">
      <c r="A1053" s="3" t="s">
        <v>51</v>
      </c>
      <c r="B1053" s="3" t="s">
        <v>35</v>
      </c>
      <c r="C1053" s="3" t="str">
        <f t="shared" si="16"/>
        <v>450012251030</v>
      </c>
      <c r="D1053" s="4">
        <v>46122</v>
      </c>
      <c r="E1053" s="3" t="s">
        <v>2212</v>
      </c>
      <c r="F1053" s="3" t="s">
        <v>2569</v>
      </c>
    </row>
    <row r="1054" spans="1:6" x14ac:dyDescent="0.3">
      <c r="A1054" s="3" t="s">
        <v>51</v>
      </c>
      <c r="B1054" s="3" t="s">
        <v>52</v>
      </c>
      <c r="C1054" s="3" t="str">
        <f t="shared" si="16"/>
        <v>450012251080</v>
      </c>
      <c r="D1054" s="4">
        <v>46122</v>
      </c>
      <c r="E1054" s="3" t="s">
        <v>2212</v>
      </c>
      <c r="F1054" s="3" t="s">
        <v>2569</v>
      </c>
    </row>
    <row r="1055" spans="1:6" x14ac:dyDescent="0.3">
      <c r="A1055" s="3" t="s">
        <v>51</v>
      </c>
      <c r="B1055" s="3" t="s">
        <v>138</v>
      </c>
      <c r="C1055" s="3" t="str">
        <f t="shared" si="16"/>
        <v>450012251090</v>
      </c>
      <c r="D1055" s="4">
        <v>46122</v>
      </c>
      <c r="E1055" s="3" t="s">
        <v>2212</v>
      </c>
      <c r="F1055" s="3" t="s">
        <v>2569</v>
      </c>
    </row>
    <row r="1056" spans="1:6" x14ac:dyDescent="0.3">
      <c r="A1056" s="3" t="s">
        <v>51</v>
      </c>
      <c r="B1056" s="3" t="s">
        <v>45</v>
      </c>
      <c r="C1056" s="3" t="str">
        <f t="shared" si="16"/>
        <v>4500122510100</v>
      </c>
      <c r="D1056" s="4">
        <v>46122</v>
      </c>
      <c r="E1056" s="3" t="s">
        <v>2212</v>
      </c>
      <c r="F1056" s="3" t="s">
        <v>2569</v>
      </c>
    </row>
    <row r="1057" spans="1:6" x14ac:dyDescent="0.3">
      <c r="A1057" s="3" t="s">
        <v>51</v>
      </c>
      <c r="B1057" s="3" t="s">
        <v>156</v>
      </c>
      <c r="C1057" s="3" t="str">
        <f t="shared" si="16"/>
        <v>4500122510110</v>
      </c>
      <c r="D1057" s="4">
        <v>46122</v>
      </c>
      <c r="E1057" s="3" t="s">
        <v>2212</v>
      </c>
      <c r="F1057" s="3" t="s">
        <v>2569</v>
      </c>
    </row>
    <row r="1058" spans="1:6" x14ac:dyDescent="0.3">
      <c r="A1058" s="3" t="s">
        <v>51</v>
      </c>
      <c r="B1058" s="3" t="s">
        <v>132</v>
      </c>
      <c r="C1058" s="3" t="str">
        <f t="shared" si="16"/>
        <v>4500122510120</v>
      </c>
      <c r="D1058" s="4">
        <v>46122</v>
      </c>
      <c r="E1058" s="3" t="s">
        <v>2212</v>
      </c>
      <c r="F1058" s="3" t="s">
        <v>2569</v>
      </c>
    </row>
    <row r="1059" spans="1:6" x14ac:dyDescent="0.3">
      <c r="A1059" s="3" t="s">
        <v>51</v>
      </c>
      <c r="B1059" s="3" t="s">
        <v>142</v>
      </c>
      <c r="C1059" s="3" t="str">
        <f t="shared" si="16"/>
        <v>4500122510130</v>
      </c>
      <c r="D1059" s="4">
        <v>46122</v>
      </c>
      <c r="E1059" s="3" t="s">
        <v>2212</v>
      </c>
      <c r="F1059" s="3" t="s">
        <v>2569</v>
      </c>
    </row>
    <row r="1060" spans="1:6" x14ac:dyDescent="0.3">
      <c r="A1060" s="3" t="s">
        <v>51</v>
      </c>
      <c r="B1060" s="3" t="s">
        <v>129</v>
      </c>
      <c r="C1060" s="3" t="str">
        <f t="shared" si="16"/>
        <v>4500122510160</v>
      </c>
      <c r="D1060" s="4">
        <v>46122</v>
      </c>
      <c r="E1060" s="3" t="s">
        <v>2212</v>
      </c>
      <c r="F1060" s="3" t="s">
        <v>2569</v>
      </c>
    </row>
    <row r="1061" spans="1:6" x14ac:dyDescent="0.3">
      <c r="A1061" s="3" t="s">
        <v>51</v>
      </c>
      <c r="B1061" s="3" t="s">
        <v>53</v>
      </c>
      <c r="C1061" s="3" t="str">
        <f t="shared" si="16"/>
        <v>4500122510170</v>
      </c>
      <c r="D1061" s="4">
        <v>46122</v>
      </c>
      <c r="E1061" s="3" t="s">
        <v>2212</v>
      </c>
      <c r="F1061" s="3" t="s">
        <v>2569</v>
      </c>
    </row>
    <row r="1062" spans="1:6" x14ac:dyDescent="0.3">
      <c r="A1062" s="3" t="s">
        <v>51</v>
      </c>
      <c r="B1062" s="3" t="s">
        <v>130</v>
      </c>
      <c r="C1062" s="3" t="str">
        <f t="shared" si="16"/>
        <v>4500122510180</v>
      </c>
      <c r="D1062" s="4">
        <v>46122</v>
      </c>
      <c r="E1062" s="3" t="s">
        <v>2212</v>
      </c>
      <c r="F1062" s="3" t="s">
        <v>2569</v>
      </c>
    </row>
    <row r="1063" spans="1:6" x14ac:dyDescent="0.3">
      <c r="A1063" s="3" t="s">
        <v>51</v>
      </c>
      <c r="B1063" s="3" t="s">
        <v>127</v>
      </c>
      <c r="C1063" s="3" t="str">
        <f t="shared" si="16"/>
        <v>4500122510190</v>
      </c>
      <c r="D1063" s="4">
        <v>46122</v>
      </c>
      <c r="E1063" s="3" t="s">
        <v>2212</v>
      </c>
      <c r="F1063" s="3" t="s">
        <v>2569</v>
      </c>
    </row>
    <row r="1064" spans="1:6" x14ac:dyDescent="0.3">
      <c r="A1064" s="3" t="s">
        <v>51</v>
      </c>
      <c r="B1064" s="3" t="s">
        <v>136</v>
      </c>
      <c r="C1064" s="3" t="str">
        <f t="shared" si="16"/>
        <v>4500122510210</v>
      </c>
      <c r="D1064" s="4">
        <v>46122</v>
      </c>
      <c r="E1064" s="3" t="s">
        <v>2212</v>
      </c>
      <c r="F1064" s="3" t="s">
        <v>2569</v>
      </c>
    </row>
    <row r="1065" spans="1:6" x14ac:dyDescent="0.3">
      <c r="A1065" s="3" t="s">
        <v>576</v>
      </c>
      <c r="B1065" s="3" t="s">
        <v>30</v>
      </c>
      <c r="C1065" s="3" t="str">
        <f t="shared" si="16"/>
        <v>450012263710</v>
      </c>
      <c r="D1065" s="4">
        <v>46097</v>
      </c>
      <c r="E1065" s="3" t="s">
        <v>2207</v>
      </c>
      <c r="F1065" s="3" t="s">
        <v>2544</v>
      </c>
    </row>
    <row r="1066" spans="1:6" x14ac:dyDescent="0.3">
      <c r="A1066" s="3" t="s">
        <v>593</v>
      </c>
      <c r="B1066" s="3" t="s">
        <v>30</v>
      </c>
      <c r="C1066" s="3" t="str">
        <f t="shared" si="16"/>
        <v>450012297910</v>
      </c>
      <c r="D1066" s="4">
        <v>46113</v>
      </c>
      <c r="E1066" s="3" t="s">
        <v>2247</v>
      </c>
      <c r="F1066" s="3" t="s">
        <v>2572</v>
      </c>
    </row>
    <row r="1067" spans="1:6" x14ac:dyDescent="0.3">
      <c r="A1067" s="3" t="s">
        <v>593</v>
      </c>
      <c r="B1067" s="3" t="s">
        <v>22</v>
      </c>
      <c r="C1067" s="3" t="str">
        <f t="shared" si="16"/>
        <v>450012297920</v>
      </c>
      <c r="D1067" s="4">
        <v>46113</v>
      </c>
      <c r="E1067" s="3" t="s">
        <v>2247</v>
      </c>
      <c r="F1067" s="3" t="s">
        <v>2572</v>
      </c>
    </row>
    <row r="1068" spans="1:6" x14ac:dyDescent="0.3">
      <c r="A1068" s="3" t="s">
        <v>593</v>
      </c>
      <c r="B1068" s="3" t="s">
        <v>35</v>
      </c>
      <c r="C1068" s="3" t="str">
        <f t="shared" si="16"/>
        <v>450012297930</v>
      </c>
      <c r="D1068" s="4">
        <v>46113</v>
      </c>
      <c r="E1068" s="3" t="s">
        <v>2247</v>
      </c>
      <c r="F1068" s="3" t="s">
        <v>2572</v>
      </c>
    </row>
    <row r="1069" spans="1:6" x14ac:dyDescent="0.3">
      <c r="A1069" s="3" t="s">
        <v>593</v>
      </c>
      <c r="B1069" s="3" t="s">
        <v>23</v>
      </c>
      <c r="C1069" s="3" t="str">
        <f t="shared" si="16"/>
        <v>450012297940</v>
      </c>
      <c r="D1069" s="4">
        <v>46113</v>
      </c>
      <c r="E1069" s="3" t="s">
        <v>2247</v>
      </c>
      <c r="F1069" s="3" t="s">
        <v>2572</v>
      </c>
    </row>
    <row r="1070" spans="1:6" x14ac:dyDescent="0.3">
      <c r="A1070" s="3" t="s">
        <v>607</v>
      </c>
      <c r="B1070" s="3" t="s">
        <v>30</v>
      </c>
      <c r="C1070" s="3" t="str">
        <f t="shared" si="16"/>
        <v>450012317310</v>
      </c>
      <c r="D1070" s="4">
        <v>46118</v>
      </c>
      <c r="E1070" s="3" t="s">
        <v>2212</v>
      </c>
      <c r="F1070" s="3" t="s">
        <v>2573</v>
      </c>
    </row>
    <row r="1071" spans="1:6" x14ac:dyDescent="0.3">
      <c r="A1071" s="3" t="s">
        <v>582</v>
      </c>
      <c r="B1071" s="3" t="s">
        <v>30</v>
      </c>
      <c r="C1071" s="3" t="str">
        <f t="shared" si="16"/>
        <v>450012321510</v>
      </c>
      <c r="D1071" s="4">
        <v>46132</v>
      </c>
      <c r="E1071" s="3" t="s">
        <v>2203</v>
      </c>
      <c r="F1071" s="3" t="s">
        <v>2563</v>
      </c>
    </row>
    <row r="1072" spans="1:6" x14ac:dyDescent="0.3">
      <c r="A1072" s="3" t="s">
        <v>582</v>
      </c>
      <c r="B1072" s="3" t="s">
        <v>22</v>
      </c>
      <c r="C1072" s="3" t="str">
        <f t="shared" si="16"/>
        <v>450012321520</v>
      </c>
      <c r="D1072" s="4">
        <v>46132</v>
      </c>
      <c r="E1072" s="3" t="s">
        <v>2203</v>
      </c>
      <c r="F1072" s="3" t="s">
        <v>2563</v>
      </c>
    </row>
    <row r="1073" spans="1:6" x14ac:dyDescent="0.3">
      <c r="A1073" s="3" t="s">
        <v>1029</v>
      </c>
      <c r="B1073" s="3" t="s">
        <v>30</v>
      </c>
      <c r="C1073" s="3" t="str">
        <f t="shared" si="16"/>
        <v>450012325010</v>
      </c>
      <c r="D1073" s="4">
        <v>46252</v>
      </c>
      <c r="E1073" s="3" t="s">
        <v>2239</v>
      </c>
      <c r="F1073" s="3" t="s">
        <v>2574</v>
      </c>
    </row>
    <row r="1074" spans="1:6" x14ac:dyDescent="0.3">
      <c r="A1074" s="3" t="s">
        <v>584</v>
      </c>
      <c r="B1074" s="3" t="s">
        <v>30</v>
      </c>
      <c r="C1074" s="3" t="str">
        <f t="shared" si="16"/>
        <v>450012325410</v>
      </c>
      <c r="D1074" s="4">
        <v>45702</v>
      </c>
      <c r="E1074" s="3" t="s">
        <v>2258</v>
      </c>
      <c r="F1074" s="3" t="s">
        <v>2547</v>
      </c>
    </row>
    <row r="1075" spans="1:6" x14ac:dyDescent="0.3">
      <c r="A1075" s="3" t="s">
        <v>584</v>
      </c>
      <c r="B1075" s="3" t="s">
        <v>22</v>
      </c>
      <c r="C1075" s="3" t="str">
        <f t="shared" si="16"/>
        <v>450012325420</v>
      </c>
      <c r="D1075" s="4">
        <v>45702</v>
      </c>
      <c r="E1075" s="3" t="s">
        <v>2258</v>
      </c>
      <c r="F1075" s="3" t="s">
        <v>2547</v>
      </c>
    </row>
    <row r="1076" spans="1:6" x14ac:dyDescent="0.3">
      <c r="A1076" s="3" t="s">
        <v>584</v>
      </c>
      <c r="B1076" s="3" t="s">
        <v>35</v>
      </c>
      <c r="C1076" s="3" t="str">
        <f t="shared" si="16"/>
        <v>450012325430</v>
      </c>
      <c r="D1076" s="4">
        <v>45702</v>
      </c>
      <c r="E1076" s="3" t="s">
        <v>2258</v>
      </c>
      <c r="F1076" s="3" t="s">
        <v>2547</v>
      </c>
    </row>
    <row r="1077" spans="1:6" x14ac:dyDescent="0.3">
      <c r="A1077" s="3" t="s">
        <v>584</v>
      </c>
      <c r="B1077" s="3" t="s">
        <v>23</v>
      </c>
      <c r="C1077" s="3" t="str">
        <f t="shared" si="16"/>
        <v>450012325440</v>
      </c>
      <c r="D1077" s="4">
        <v>45702</v>
      </c>
      <c r="E1077" s="3" t="s">
        <v>2258</v>
      </c>
      <c r="F1077" s="3" t="s">
        <v>2547</v>
      </c>
    </row>
    <row r="1078" spans="1:6" x14ac:dyDescent="0.3">
      <c r="A1078" s="3" t="s">
        <v>584</v>
      </c>
      <c r="B1078" s="3" t="s">
        <v>144</v>
      </c>
      <c r="C1078" s="3" t="str">
        <f t="shared" si="16"/>
        <v>450012325450</v>
      </c>
      <c r="D1078" s="4">
        <v>45702</v>
      </c>
      <c r="E1078" s="3" t="s">
        <v>2258</v>
      </c>
      <c r="F1078" s="3" t="s">
        <v>2547</v>
      </c>
    </row>
    <row r="1079" spans="1:6" x14ac:dyDescent="0.3">
      <c r="A1079" s="3" t="s">
        <v>584</v>
      </c>
      <c r="B1079" s="3" t="s">
        <v>141</v>
      </c>
      <c r="C1079" s="3" t="str">
        <f t="shared" si="16"/>
        <v>450012325460</v>
      </c>
      <c r="D1079" s="4">
        <v>45702</v>
      </c>
      <c r="E1079" s="3" t="s">
        <v>2258</v>
      </c>
      <c r="F1079" s="3" t="s">
        <v>2547</v>
      </c>
    </row>
    <row r="1080" spans="1:6" x14ac:dyDescent="0.3">
      <c r="A1080" s="3" t="s">
        <v>584</v>
      </c>
      <c r="B1080" s="3" t="s">
        <v>134</v>
      </c>
      <c r="C1080" s="3" t="str">
        <f t="shared" si="16"/>
        <v>450012325470</v>
      </c>
      <c r="D1080" s="4">
        <v>45702</v>
      </c>
      <c r="E1080" s="3" t="s">
        <v>2258</v>
      </c>
      <c r="F1080" s="3" t="s">
        <v>2547</v>
      </c>
    </row>
    <row r="1081" spans="1:6" x14ac:dyDescent="0.3">
      <c r="A1081" s="3" t="s">
        <v>584</v>
      </c>
      <c r="B1081" s="3" t="s">
        <v>52</v>
      </c>
      <c r="C1081" s="3" t="str">
        <f t="shared" si="16"/>
        <v>450012325480</v>
      </c>
      <c r="D1081" s="4">
        <v>45702</v>
      </c>
      <c r="E1081" s="3" t="s">
        <v>2258</v>
      </c>
      <c r="F1081" s="3" t="s">
        <v>2547</v>
      </c>
    </row>
    <row r="1082" spans="1:6" x14ac:dyDescent="0.3">
      <c r="A1082" s="3" t="s">
        <v>584</v>
      </c>
      <c r="B1082" s="3" t="s">
        <v>138</v>
      </c>
      <c r="C1082" s="3" t="str">
        <f t="shared" si="16"/>
        <v>450012325490</v>
      </c>
      <c r="D1082" s="4">
        <v>45702</v>
      </c>
      <c r="E1082" s="3" t="s">
        <v>2258</v>
      </c>
      <c r="F1082" s="3" t="s">
        <v>2547</v>
      </c>
    </row>
    <row r="1083" spans="1:6" x14ac:dyDescent="0.3">
      <c r="A1083" s="3" t="s">
        <v>584</v>
      </c>
      <c r="B1083" s="3" t="s">
        <v>45</v>
      </c>
      <c r="C1083" s="3" t="str">
        <f t="shared" si="16"/>
        <v>4500123254100</v>
      </c>
      <c r="D1083" s="4">
        <v>45702</v>
      </c>
      <c r="E1083" s="3" t="s">
        <v>2258</v>
      </c>
      <c r="F1083" s="3" t="s">
        <v>2547</v>
      </c>
    </row>
    <row r="1084" spans="1:6" x14ac:dyDescent="0.3">
      <c r="A1084" s="3" t="s">
        <v>584</v>
      </c>
      <c r="B1084" s="3" t="s">
        <v>156</v>
      </c>
      <c r="C1084" s="3" t="str">
        <f t="shared" si="16"/>
        <v>4500123254110</v>
      </c>
      <c r="D1084" s="4">
        <v>45702</v>
      </c>
      <c r="E1084" s="3" t="s">
        <v>2258</v>
      </c>
      <c r="F1084" s="3" t="s">
        <v>2547</v>
      </c>
    </row>
    <row r="1085" spans="1:6" x14ac:dyDescent="0.3">
      <c r="A1085" s="3" t="s">
        <v>584</v>
      </c>
      <c r="B1085" s="3" t="s">
        <v>132</v>
      </c>
      <c r="C1085" s="3" t="str">
        <f t="shared" si="16"/>
        <v>4500123254120</v>
      </c>
      <c r="D1085" s="4">
        <v>45702</v>
      </c>
      <c r="E1085" s="3" t="s">
        <v>2258</v>
      </c>
      <c r="F1085" s="3" t="s">
        <v>2547</v>
      </c>
    </row>
    <row r="1086" spans="1:6" x14ac:dyDescent="0.3">
      <c r="A1086" s="3" t="s">
        <v>584</v>
      </c>
      <c r="B1086" s="3" t="s">
        <v>142</v>
      </c>
      <c r="C1086" s="3" t="str">
        <f t="shared" si="16"/>
        <v>4500123254130</v>
      </c>
      <c r="D1086" s="4">
        <v>45702</v>
      </c>
      <c r="E1086" s="3" t="s">
        <v>2258</v>
      </c>
      <c r="F1086" s="3" t="s">
        <v>2547</v>
      </c>
    </row>
    <row r="1087" spans="1:6" x14ac:dyDescent="0.3">
      <c r="A1087" s="3" t="s">
        <v>584</v>
      </c>
      <c r="B1087" s="3" t="s">
        <v>131</v>
      </c>
      <c r="C1087" s="3" t="str">
        <f t="shared" si="16"/>
        <v>4500123254140</v>
      </c>
      <c r="D1087" s="4">
        <v>45702</v>
      </c>
      <c r="E1087" s="3" t="s">
        <v>2258</v>
      </c>
      <c r="F1087" s="3" t="s">
        <v>2547</v>
      </c>
    </row>
    <row r="1088" spans="1:6" x14ac:dyDescent="0.3">
      <c r="A1088" s="3" t="s">
        <v>584</v>
      </c>
      <c r="B1088" s="3" t="s">
        <v>68</v>
      </c>
      <c r="C1088" s="3" t="str">
        <f t="shared" si="16"/>
        <v>4500123254150</v>
      </c>
      <c r="D1088" s="4">
        <v>45702</v>
      </c>
      <c r="E1088" s="3" t="s">
        <v>2258</v>
      </c>
      <c r="F1088" s="3" t="s">
        <v>2547</v>
      </c>
    </row>
    <row r="1089" spans="1:6" x14ac:dyDescent="0.3">
      <c r="A1089" s="3" t="s">
        <v>584</v>
      </c>
      <c r="B1089" s="3" t="s">
        <v>129</v>
      </c>
      <c r="C1089" s="3" t="str">
        <f t="shared" si="16"/>
        <v>4500123254160</v>
      </c>
      <c r="D1089" s="4">
        <v>45702</v>
      </c>
      <c r="E1089" s="3" t="s">
        <v>2258</v>
      </c>
      <c r="F1089" s="3" t="s">
        <v>2547</v>
      </c>
    </row>
    <row r="1090" spans="1:6" x14ac:dyDescent="0.3">
      <c r="A1090" s="3" t="s">
        <v>584</v>
      </c>
      <c r="B1090" s="3" t="s">
        <v>53</v>
      </c>
      <c r="C1090" s="3" t="str">
        <f t="shared" si="16"/>
        <v>4500123254170</v>
      </c>
      <c r="D1090" s="4">
        <v>45702</v>
      </c>
      <c r="E1090" s="3" t="s">
        <v>2258</v>
      </c>
      <c r="F1090" s="3" t="s">
        <v>2547</v>
      </c>
    </row>
    <row r="1091" spans="1:6" x14ac:dyDescent="0.3">
      <c r="A1091" s="3" t="s">
        <v>56</v>
      </c>
      <c r="B1091" s="3" t="s">
        <v>22</v>
      </c>
      <c r="C1091" s="3" t="str">
        <f t="shared" ref="C1091:C1154" si="17">_xlfn.CONCAT(A1091:B1091)</f>
        <v>450012332120</v>
      </c>
      <c r="D1091" s="4">
        <v>46142</v>
      </c>
      <c r="E1091" s="3" t="s">
        <v>2201</v>
      </c>
      <c r="F1091" s="3" t="s">
        <v>2575</v>
      </c>
    </row>
    <row r="1092" spans="1:6" x14ac:dyDescent="0.3">
      <c r="A1092" s="3" t="s">
        <v>56</v>
      </c>
      <c r="B1092" s="3" t="s">
        <v>35</v>
      </c>
      <c r="C1092" s="3" t="str">
        <f t="shared" si="17"/>
        <v>450012332130</v>
      </c>
      <c r="D1092" s="4">
        <v>46234</v>
      </c>
      <c r="E1092" s="3" t="s">
        <v>2201</v>
      </c>
      <c r="F1092" s="3" t="s">
        <v>2575</v>
      </c>
    </row>
    <row r="1093" spans="1:6" x14ac:dyDescent="0.3">
      <c r="A1093" s="3" t="s">
        <v>598</v>
      </c>
      <c r="B1093" s="3" t="s">
        <v>30</v>
      </c>
      <c r="C1093" s="3" t="str">
        <f t="shared" si="17"/>
        <v>450012347610</v>
      </c>
      <c r="D1093" s="4">
        <v>46121</v>
      </c>
      <c r="E1093" s="3" t="s">
        <v>2212</v>
      </c>
      <c r="F1093" s="3" t="s">
        <v>2447</v>
      </c>
    </row>
    <row r="1094" spans="1:6" x14ac:dyDescent="0.3">
      <c r="A1094" s="3" t="s">
        <v>598</v>
      </c>
      <c r="B1094" s="3" t="s">
        <v>22</v>
      </c>
      <c r="C1094" s="3" t="str">
        <f t="shared" si="17"/>
        <v>450012347620</v>
      </c>
      <c r="D1094" s="4">
        <v>46121</v>
      </c>
      <c r="E1094" s="3" t="s">
        <v>2212</v>
      </c>
      <c r="F1094" s="3" t="s">
        <v>2447</v>
      </c>
    </row>
    <row r="1095" spans="1:6" x14ac:dyDescent="0.3">
      <c r="A1095" s="3" t="s">
        <v>598</v>
      </c>
      <c r="B1095" s="3" t="s">
        <v>35</v>
      </c>
      <c r="C1095" s="3" t="str">
        <f t="shared" si="17"/>
        <v>450012347630</v>
      </c>
      <c r="D1095" s="4">
        <v>46128</v>
      </c>
      <c r="E1095" s="3" t="s">
        <v>2212</v>
      </c>
      <c r="F1095" s="3" t="s">
        <v>2447</v>
      </c>
    </row>
    <row r="1096" spans="1:6" x14ac:dyDescent="0.3">
      <c r="A1096" s="3" t="s">
        <v>598</v>
      </c>
      <c r="B1096" s="3" t="s">
        <v>23</v>
      </c>
      <c r="C1096" s="3" t="str">
        <f t="shared" si="17"/>
        <v>450012347640</v>
      </c>
      <c r="D1096" s="4">
        <v>46128</v>
      </c>
      <c r="E1096" s="3" t="s">
        <v>2212</v>
      </c>
      <c r="F1096" s="3" t="s">
        <v>2447</v>
      </c>
    </row>
    <row r="1097" spans="1:6" x14ac:dyDescent="0.3">
      <c r="A1097" s="3" t="s">
        <v>79</v>
      </c>
      <c r="B1097" s="3" t="s">
        <v>30</v>
      </c>
      <c r="C1097" s="3" t="str">
        <f t="shared" si="17"/>
        <v>450012347710</v>
      </c>
      <c r="D1097" s="4">
        <v>46122</v>
      </c>
      <c r="E1097" s="3" t="s">
        <v>2204</v>
      </c>
      <c r="F1097" s="3" t="s">
        <v>2576</v>
      </c>
    </row>
    <row r="1098" spans="1:6" x14ac:dyDescent="0.3">
      <c r="A1098" s="3" t="s">
        <v>79</v>
      </c>
      <c r="B1098" s="3" t="s">
        <v>22</v>
      </c>
      <c r="C1098" s="3" t="str">
        <f t="shared" si="17"/>
        <v>450012347720</v>
      </c>
      <c r="D1098" s="4">
        <v>46122</v>
      </c>
      <c r="E1098" s="3" t="s">
        <v>2204</v>
      </c>
      <c r="F1098" s="3" t="s">
        <v>2576</v>
      </c>
    </row>
    <row r="1099" spans="1:6" x14ac:dyDescent="0.3">
      <c r="A1099" s="3" t="s">
        <v>79</v>
      </c>
      <c r="B1099" s="3" t="s">
        <v>35</v>
      </c>
      <c r="C1099" s="3" t="str">
        <f t="shared" si="17"/>
        <v>450012347730</v>
      </c>
      <c r="D1099" s="4">
        <v>46122</v>
      </c>
      <c r="E1099" s="3" t="s">
        <v>2204</v>
      </c>
      <c r="F1099" s="3" t="s">
        <v>2576</v>
      </c>
    </row>
    <row r="1100" spans="1:6" x14ac:dyDescent="0.3">
      <c r="A1100" s="3" t="s">
        <v>79</v>
      </c>
      <c r="B1100" s="3" t="s">
        <v>23</v>
      </c>
      <c r="C1100" s="3" t="str">
        <f t="shared" si="17"/>
        <v>450012347740</v>
      </c>
      <c r="D1100" s="4">
        <v>46122</v>
      </c>
      <c r="E1100" s="3" t="s">
        <v>2204</v>
      </c>
      <c r="F1100" s="3" t="s">
        <v>2576</v>
      </c>
    </row>
    <row r="1101" spans="1:6" x14ac:dyDescent="0.3">
      <c r="A1101" s="3" t="s">
        <v>79</v>
      </c>
      <c r="B1101" s="3" t="s">
        <v>144</v>
      </c>
      <c r="C1101" s="3" t="str">
        <f t="shared" si="17"/>
        <v>450012347750</v>
      </c>
      <c r="D1101" s="4">
        <v>46122</v>
      </c>
      <c r="E1101" s="3" t="s">
        <v>2204</v>
      </c>
      <c r="F1101" s="3" t="s">
        <v>2576</v>
      </c>
    </row>
    <row r="1102" spans="1:6" x14ac:dyDescent="0.3">
      <c r="A1102" s="3" t="s">
        <v>79</v>
      </c>
      <c r="B1102" s="3" t="s">
        <v>141</v>
      </c>
      <c r="C1102" s="3" t="str">
        <f t="shared" si="17"/>
        <v>450012347760</v>
      </c>
      <c r="D1102" s="4">
        <v>46136</v>
      </c>
      <c r="E1102" s="3" t="s">
        <v>2204</v>
      </c>
      <c r="F1102" s="3" t="s">
        <v>2576</v>
      </c>
    </row>
    <row r="1103" spans="1:6" x14ac:dyDescent="0.3">
      <c r="A1103" s="3" t="s">
        <v>79</v>
      </c>
      <c r="B1103" s="3" t="s">
        <v>134</v>
      </c>
      <c r="C1103" s="3" t="str">
        <f t="shared" si="17"/>
        <v>450012347770</v>
      </c>
      <c r="D1103" s="4">
        <v>46136</v>
      </c>
      <c r="E1103" s="3" t="s">
        <v>2204</v>
      </c>
      <c r="F1103" s="3" t="s">
        <v>2576</v>
      </c>
    </row>
    <row r="1104" spans="1:6" x14ac:dyDescent="0.3">
      <c r="A1104" s="3" t="s">
        <v>79</v>
      </c>
      <c r="B1104" s="3" t="s">
        <v>52</v>
      </c>
      <c r="C1104" s="3" t="str">
        <f t="shared" si="17"/>
        <v>450012347780</v>
      </c>
      <c r="D1104" s="4">
        <v>46122</v>
      </c>
      <c r="E1104" s="3" t="s">
        <v>2204</v>
      </c>
      <c r="F1104" s="3" t="s">
        <v>2576</v>
      </c>
    </row>
    <row r="1105" spans="1:6" x14ac:dyDescent="0.3">
      <c r="A1105" s="3" t="s">
        <v>79</v>
      </c>
      <c r="B1105" s="3" t="s">
        <v>138</v>
      </c>
      <c r="C1105" s="3" t="str">
        <f t="shared" si="17"/>
        <v>450012347790</v>
      </c>
      <c r="D1105" s="4">
        <v>46122</v>
      </c>
      <c r="E1105" s="3" t="s">
        <v>2204</v>
      </c>
      <c r="F1105" s="3" t="s">
        <v>2576</v>
      </c>
    </row>
    <row r="1106" spans="1:6" x14ac:dyDescent="0.3">
      <c r="A1106" s="3" t="s">
        <v>79</v>
      </c>
      <c r="B1106" s="3" t="s">
        <v>45</v>
      </c>
      <c r="C1106" s="3" t="str">
        <f t="shared" si="17"/>
        <v>4500123477100</v>
      </c>
      <c r="D1106" s="4">
        <v>46122</v>
      </c>
      <c r="E1106" s="3" t="s">
        <v>2204</v>
      </c>
      <c r="F1106" s="3" t="s">
        <v>2576</v>
      </c>
    </row>
    <row r="1107" spans="1:6" x14ac:dyDescent="0.3">
      <c r="A1107" s="3" t="s">
        <v>612</v>
      </c>
      <c r="B1107" s="3" t="s">
        <v>22</v>
      </c>
      <c r="C1107" s="3" t="str">
        <f t="shared" si="17"/>
        <v>450012347820</v>
      </c>
      <c r="D1107" s="4">
        <v>46112</v>
      </c>
      <c r="E1107" s="3" t="s">
        <v>2200</v>
      </c>
      <c r="F1107" s="3" t="s">
        <v>2577</v>
      </c>
    </row>
    <row r="1108" spans="1:6" x14ac:dyDescent="0.3">
      <c r="A1108" s="3" t="s">
        <v>612</v>
      </c>
      <c r="B1108" s="3" t="s">
        <v>35</v>
      </c>
      <c r="C1108" s="3" t="str">
        <f t="shared" si="17"/>
        <v>450012347830</v>
      </c>
      <c r="D1108" s="4">
        <v>46112</v>
      </c>
      <c r="E1108" s="3" t="s">
        <v>2200</v>
      </c>
      <c r="F1108" s="3" t="s">
        <v>2577</v>
      </c>
    </row>
    <row r="1109" spans="1:6" x14ac:dyDescent="0.3">
      <c r="A1109" s="3" t="s">
        <v>612</v>
      </c>
      <c r="B1109" s="3" t="s">
        <v>23</v>
      </c>
      <c r="C1109" s="3" t="str">
        <f t="shared" si="17"/>
        <v>450012347840</v>
      </c>
      <c r="D1109" s="4">
        <v>46112</v>
      </c>
      <c r="E1109" s="3" t="s">
        <v>2200</v>
      </c>
      <c r="F1109" s="3" t="s">
        <v>2577</v>
      </c>
    </row>
    <row r="1110" spans="1:6" x14ac:dyDescent="0.3">
      <c r="A1110" s="3" t="s">
        <v>612</v>
      </c>
      <c r="B1110" s="3" t="s">
        <v>144</v>
      </c>
      <c r="C1110" s="3" t="str">
        <f t="shared" si="17"/>
        <v>450012347850</v>
      </c>
      <c r="D1110" s="4">
        <v>46112</v>
      </c>
      <c r="E1110" s="3" t="s">
        <v>2200</v>
      </c>
      <c r="F1110" s="3" t="s">
        <v>2577</v>
      </c>
    </row>
    <row r="1111" spans="1:6" x14ac:dyDescent="0.3">
      <c r="A1111" s="3" t="s">
        <v>1066</v>
      </c>
      <c r="B1111" s="3" t="s">
        <v>30</v>
      </c>
      <c r="C1111" s="3" t="str">
        <f t="shared" si="17"/>
        <v>450012360810</v>
      </c>
      <c r="D1111" s="4">
        <v>46299</v>
      </c>
      <c r="E1111" s="3" t="s">
        <v>2196</v>
      </c>
      <c r="F1111" s="3" t="s">
        <v>2448</v>
      </c>
    </row>
    <row r="1112" spans="1:6" x14ac:dyDescent="0.3">
      <c r="A1112" s="3" t="s">
        <v>1066</v>
      </c>
      <c r="B1112" s="3" t="s">
        <v>22</v>
      </c>
      <c r="C1112" s="3" t="str">
        <f t="shared" si="17"/>
        <v>450012360820</v>
      </c>
      <c r="D1112" s="4">
        <v>46299</v>
      </c>
      <c r="E1112" s="3" t="s">
        <v>2196</v>
      </c>
      <c r="F1112" s="3" t="s">
        <v>2448</v>
      </c>
    </row>
    <row r="1113" spans="1:6" x14ac:dyDescent="0.3">
      <c r="A1113" s="3" t="s">
        <v>1066</v>
      </c>
      <c r="B1113" s="3" t="s">
        <v>35</v>
      </c>
      <c r="C1113" s="3" t="str">
        <f t="shared" si="17"/>
        <v>450012360830</v>
      </c>
      <c r="D1113" s="4">
        <v>46299</v>
      </c>
      <c r="E1113" s="3" t="s">
        <v>2196</v>
      </c>
      <c r="F1113" s="3" t="s">
        <v>2448</v>
      </c>
    </row>
    <row r="1114" spans="1:6" x14ac:dyDescent="0.3">
      <c r="A1114" s="3" t="s">
        <v>1066</v>
      </c>
      <c r="B1114" s="3" t="s">
        <v>23</v>
      </c>
      <c r="C1114" s="3" t="str">
        <f t="shared" si="17"/>
        <v>450012360840</v>
      </c>
      <c r="D1114" s="4">
        <v>46299</v>
      </c>
      <c r="E1114" s="3" t="s">
        <v>2196</v>
      </c>
      <c r="F1114" s="3" t="s">
        <v>2448</v>
      </c>
    </row>
    <row r="1115" spans="1:6" x14ac:dyDescent="0.3">
      <c r="A1115" s="3" t="s">
        <v>1066</v>
      </c>
      <c r="B1115" s="3" t="s">
        <v>144</v>
      </c>
      <c r="C1115" s="3" t="str">
        <f t="shared" si="17"/>
        <v>450012360850</v>
      </c>
      <c r="D1115" s="4">
        <v>46299</v>
      </c>
      <c r="E1115" s="3" t="s">
        <v>2196</v>
      </c>
      <c r="F1115" s="3" t="s">
        <v>2448</v>
      </c>
    </row>
    <row r="1116" spans="1:6" x14ac:dyDescent="0.3">
      <c r="A1116" s="3" t="s">
        <v>1066</v>
      </c>
      <c r="B1116" s="3" t="s">
        <v>141</v>
      </c>
      <c r="C1116" s="3" t="str">
        <f t="shared" si="17"/>
        <v>450012360860</v>
      </c>
      <c r="D1116" s="4">
        <v>46299</v>
      </c>
      <c r="E1116" s="3" t="s">
        <v>2196</v>
      </c>
      <c r="F1116" s="3" t="s">
        <v>2448</v>
      </c>
    </row>
    <row r="1117" spans="1:6" x14ac:dyDescent="0.3">
      <c r="A1117" s="3" t="s">
        <v>1066</v>
      </c>
      <c r="B1117" s="3" t="s">
        <v>134</v>
      </c>
      <c r="C1117" s="3" t="str">
        <f t="shared" si="17"/>
        <v>450012360870</v>
      </c>
      <c r="D1117" s="4">
        <v>46299</v>
      </c>
      <c r="E1117" s="3" t="s">
        <v>2196</v>
      </c>
      <c r="F1117" s="3" t="s">
        <v>2448</v>
      </c>
    </row>
    <row r="1118" spans="1:6" x14ac:dyDescent="0.3">
      <c r="A1118" s="3" t="s">
        <v>1066</v>
      </c>
      <c r="B1118" s="3" t="s">
        <v>52</v>
      </c>
      <c r="C1118" s="3" t="str">
        <f t="shared" si="17"/>
        <v>450012360880</v>
      </c>
      <c r="D1118" s="4">
        <v>46299</v>
      </c>
      <c r="E1118" s="3" t="s">
        <v>2196</v>
      </c>
      <c r="F1118" s="3" t="s">
        <v>2448</v>
      </c>
    </row>
    <row r="1119" spans="1:6" x14ac:dyDescent="0.3">
      <c r="A1119" s="3" t="s">
        <v>1066</v>
      </c>
      <c r="B1119" s="3" t="s">
        <v>138</v>
      </c>
      <c r="C1119" s="3" t="str">
        <f t="shared" si="17"/>
        <v>450012360890</v>
      </c>
      <c r="D1119" s="4">
        <v>46299</v>
      </c>
      <c r="E1119" s="3" t="s">
        <v>2196</v>
      </c>
      <c r="F1119" s="3" t="s">
        <v>2448</v>
      </c>
    </row>
    <row r="1120" spans="1:6" x14ac:dyDescent="0.3">
      <c r="A1120" s="3" t="s">
        <v>1066</v>
      </c>
      <c r="B1120" s="3" t="s">
        <v>45</v>
      </c>
      <c r="C1120" s="3" t="str">
        <f t="shared" si="17"/>
        <v>4500123608100</v>
      </c>
      <c r="D1120" s="4">
        <v>46299</v>
      </c>
      <c r="E1120" s="3" t="s">
        <v>2196</v>
      </c>
      <c r="F1120" s="3" t="s">
        <v>2448</v>
      </c>
    </row>
    <row r="1121" spans="1:6" x14ac:dyDescent="0.3">
      <c r="A1121" s="3" t="s">
        <v>1066</v>
      </c>
      <c r="B1121" s="3" t="s">
        <v>156</v>
      </c>
      <c r="C1121" s="3" t="str">
        <f t="shared" si="17"/>
        <v>4500123608110</v>
      </c>
      <c r="D1121" s="4">
        <v>46299</v>
      </c>
      <c r="E1121" s="3" t="s">
        <v>2196</v>
      </c>
      <c r="F1121" s="3" t="s">
        <v>2448</v>
      </c>
    </row>
    <row r="1122" spans="1:6" x14ac:dyDescent="0.3">
      <c r="A1122" s="3" t="s">
        <v>1066</v>
      </c>
      <c r="B1122" s="3" t="s">
        <v>132</v>
      </c>
      <c r="C1122" s="3" t="str">
        <f t="shared" si="17"/>
        <v>4500123608120</v>
      </c>
      <c r="D1122" s="4">
        <v>46299</v>
      </c>
      <c r="E1122" s="3" t="s">
        <v>2196</v>
      </c>
      <c r="F1122" s="3" t="s">
        <v>2448</v>
      </c>
    </row>
    <row r="1123" spans="1:6" x14ac:dyDescent="0.3">
      <c r="A1123" s="3" t="s">
        <v>1066</v>
      </c>
      <c r="B1123" s="3" t="s">
        <v>142</v>
      </c>
      <c r="C1123" s="3" t="str">
        <f t="shared" si="17"/>
        <v>4500123608130</v>
      </c>
      <c r="D1123" s="4">
        <v>46299</v>
      </c>
      <c r="E1123" s="3" t="s">
        <v>2196</v>
      </c>
      <c r="F1123" s="3" t="s">
        <v>2448</v>
      </c>
    </row>
    <row r="1124" spans="1:6" x14ac:dyDescent="0.3">
      <c r="A1124" s="3" t="s">
        <v>1066</v>
      </c>
      <c r="B1124" s="3" t="s">
        <v>131</v>
      </c>
      <c r="C1124" s="3" t="str">
        <f t="shared" si="17"/>
        <v>4500123608140</v>
      </c>
      <c r="D1124" s="4">
        <v>46299</v>
      </c>
      <c r="E1124" s="3" t="s">
        <v>2196</v>
      </c>
      <c r="F1124" s="3" t="s">
        <v>2448</v>
      </c>
    </row>
    <row r="1125" spans="1:6" x14ac:dyDescent="0.3">
      <c r="A1125" s="3" t="s">
        <v>604</v>
      </c>
      <c r="B1125" s="3" t="s">
        <v>30</v>
      </c>
      <c r="C1125" s="3" t="str">
        <f t="shared" si="17"/>
        <v>450012362010</v>
      </c>
      <c r="D1125" s="4">
        <v>46118</v>
      </c>
      <c r="E1125" s="3" t="s">
        <v>2239</v>
      </c>
      <c r="F1125" s="3" t="s">
        <v>2440</v>
      </c>
    </row>
    <row r="1126" spans="1:6" x14ac:dyDescent="0.3">
      <c r="A1126" s="3" t="s">
        <v>219</v>
      </c>
      <c r="B1126" s="3" t="s">
        <v>30</v>
      </c>
      <c r="C1126" s="3" t="str">
        <f t="shared" si="17"/>
        <v>450012370410</v>
      </c>
      <c r="D1126" s="4">
        <v>46198</v>
      </c>
      <c r="E1126" s="3" t="s">
        <v>2203</v>
      </c>
      <c r="F1126" s="3" t="s">
        <v>2410</v>
      </c>
    </row>
    <row r="1127" spans="1:6" x14ac:dyDescent="0.3">
      <c r="A1127" s="3" t="s">
        <v>1079</v>
      </c>
      <c r="B1127" s="3" t="s">
        <v>30</v>
      </c>
      <c r="C1127" s="3" t="str">
        <f t="shared" si="17"/>
        <v>450012387810</v>
      </c>
      <c r="D1127" s="4">
        <v>46236</v>
      </c>
      <c r="E1127" s="3" t="s">
        <v>2239</v>
      </c>
      <c r="F1127" s="3" t="s">
        <v>2578</v>
      </c>
    </row>
    <row r="1128" spans="1:6" x14ac:dyDescent="0.3">
      <c r="A1128" s="3" t="s">
        <v>1079</v>
      </c>
      <c r="B1128" s="3" t="s">
        <v>22</v>
      </c>
      <c r="C1128" s="3" t="str">
        <f t="shared" si="17"/>
        <v>450012387820</v>
      </c>
      <c r="D1128" s="4">
        <v>46262</v>
      </c>
      <c r="E1128" s="3" t="s">
        <v>2239</v>
      </c>
      <c r="F1128" s="3" t="s">
        <v>2578</v>
      </c>
    </row>
    <row r="1129" spans="1:6" x14ac:dyDescent="0.3">
      <c r="A1129" s="3" t="s">
        <v>1079</v>
      </c>
      <c r="B1129" s="3" t="s">
        <v>35</v>
      </c>
      <c r="C1129" s="3" t="str">
        <f t="shared" si="17"/>
        <v>450012387830</v>
      </c>
      <c r="D1129" s="4">
        <v>46262</v>
      </c>
      <c r="E1129" s="3" t="s">
        <v>2239</v>
      </c>
      <c r="F1129" s="3" t="s">
        <v>2578</v>
      </c>
    </row>
    <row r="1130" spans="1:6" x14ac:dyDescent="0.3">
      <c r="A1130" s="3" t="s">
        <v>668</v>
      </c>
      <c r="B1130" s="3" t="s">
        <v>30</v>
      </c>
      <c r="C1130" s="3" t="str">
        <f t="shared" si="17"/>
        <v>450012391910</v>
      </c>
      <c r="D1130" s="4">
        <v>46043</v>
      </c>
      <c r="E1130" s="3" t="s">
        <v>2207</v>
      </c>
      <c r="F1130" s="3" t="s">
        <v>2549</v>
      </c>
    </row>
    <row r="1131" spans="1:6" x14ac:dyDescent="0.3">
      <c r="A1131" s="3" t="s">
        <v>977</v>
      </c>
      <c r="B1131" s="3" t="s">
        <v>30</v>
      </c>
      <c r="C1131" s="3" t="str">
        <f t="shared" si="17"/>
        <v>450012394410</v>
      </c>
      <c r="D1131" s="4">
        <v>46113</v>
      </c>
      <c r="E1131" s="3" t="s">
        <v>2194</v>
      </c>
      <c r="F1131" s="3" t="s">
        <v>2481</v>
      </c>
    </row>
    <row r="1132" spans="1:6" x14ac:dyDescent="0.3">
      <c r="A1132" s="3" t="s">
        <v>977</v>
      </c>
      <c r="B1132" s="3" t="s">
        <v>22</v>
      </c>
      <c r="C1132" s="3" t="str">
        <f t="shared" si="17"/>
        <v>450012394420</v>
      </c>
      <c r="D1132" s="4">
        <v>46264</v>
      </c>
      <c r="E1132" s="3" t="s">
        <v>2194</v>
      </c>
      <c r="F1132" s="3" t="s">
        <v>2481</v>
      </c>
    </row>
    <row r="1133" spans="1:6" x14ac:dyDescent="0.3">
      <c r="A1133" s="3" t="s">
        <v>601</v>
      </c>
      <c r="B1133" s="3" t="s">
        <v>30</v>
      </c>
      <c r="C1133" s="3" t="str">
        <f t="shared" si="17"/>
        <v>450012395610</v>
      </c>
      <c r="D1133" s="4">
        <v>46112</v>
      </c>
      <c r="E1133" s="3" t="s">
        <v>2207</v>
      </c>
      <c r="F1133" s="3" t="s">
        <v>2553</v>
      </c>
    </row>
    <row r="1134" spans="1:6" x14ac:dyDescent="0.3">
      <c r="A1134" s="3" t="s">
        <v>601</v>
      </c>
      <c r="B1134" s="3" t="s">
        <v>22</v>
      </c>
      <c r="C1134" s="3" t="str">
        <f t="shared" si="17"/>
        <v>450012395620</v>
      </c>
      <c r="D1134" s="4">
        <v>46112</v>
      </c>
      <c r="E1134" s="3" t="s">
        <v>2207</v>
      </c>
      <c r="F1134" s="3" t="s">
        <v>2553</v>
      </c>
    </row>
    <row r="1135" spans="1:6" x14ac:dyDescent="0.3">
      <c r="A1135" s="3" t="s">
        <v>227</v>
      </c>
      <c r="B1135" s="3" t="s">
        <v>30</v>
      </c>
      <c r="C1135" s="3" t="str">
        <f t="shared" si="17"/>
        <v>450012398410</v>
      </c>
      <c r="D1135" s="4">
        <v>46132</v>
      </c>
      <c r="E1135" s="3" t="s">
        <v>2207</v>
      </c>
      <c r="F1135" s="3" t="s">
        <v>2501</v>
      </c>
    </row>
    <row r="1136" spans="1:6" x14ac:dyDescent="0.3">
      <c r="A1136" s="3" t="s">
        <v>1031</v>
      </c>
      <c r="B1136" s="3" t="s">
        <v>30</v>
      </c>
      <c r="C1136" s="3" t="str">
        <f t="shared" si="17"/>
        <v>450012398810</v>
      </c>
      <c r="D1136" s="4">
        <v>46119</v>
      </c>
      <c r="E1136" s="3" t="s">
        <v>2207</v>
      </c>
      <c r="F1136" s="3" t="s">
        <v>2579</v>
      </c>
    </row>
    <row r="1137" spans="1:6" x14ac:dyDescent="0.3">
      <c r="A1137" s="3" t="s">
        <v>945</v>
      </c>
      <c r="B1137" s="3" t="s">
        <v>30</v>
      </c>
      <c r="C1137" s="3" t="str">
        <f t="shared" si="17"/>
        <v>450012429010</v>
      </c>
      <c r="D1137" s="4">
        <v>46132</v>
      </c>
      <c r="E1137" s="3" t="s">
        <v>2207</v>
      </c>
      <c r="F1137" s="3" t="s">
        <v>2580</v>
      </c>
    </row>
    <row r="1138" spans="1:6" x14ac:dyDescent="0.3">
      <c r="A1138" s="3" t="s">
        <v>945</v>
      </c>
      <c r="B1138" s="3" t="s">
        <v>22</v>
      </c>
      <c r="C1138" s="3" t="str">
        <f t="shared" si="17"/>
        <v>450012429020</v>
      </c>
      <c r="D1138" s="4">
        <v>46132</v>
      </c>
      <c r="E1138" s="3" t="s">
        <v>2207</v>
      </c>
      <c r="F1138" s="3" t="s">
        <v>2580</v>
      </c>
    </row>
    <row r="1139" spans="1:6" x14ac:dyDescent="0.3">
      <c r="A1139" s="3" t="s">
        <v>947</v>
      </c>
      <c r="B1139" s="3" t="s">
        <v>30</v>
      </c>
      <c r="C1139" s="3" t="str">
        <f t="shared" si="17"/>
        <v>450012429110</v>
      </c>
      <c r="D1139" s="4">
        <v>46132</v>
      </c>
      <c r="E1139" s="3" t="s">
        <v>2207</v>
      </c>
      <c r="F1139" s="3" t="s">
        <v>2501</v>
      </c>
    </row>
    <row r="1140" spans="1:6" x14ac:dyDescent="0.3">
      <c r="A1140" s="3" t="s">
        <v>1172</v>
      </c>
      <c r="B1140" s="3" t="s">
        <v>22</v>
      </c>
      <c r="C1140" s="3" t="str">
        <f t="shared" si="17"/>
        <v>450012464920</v>
      </c>
      <c r="D1140" s="4">
        <v>46265</v>
      </c>
      <c r="E1140" s="3" t="s">
        <v>2207</v>
      </c>
      <c r="F1140" s="3" t="s">
        <v>2511</v>
      </c>
    </row>
    <row r="1141" spans="1:6" x14ac:dyDescent="0.3">
      <c r="A1141" s="3" t="s">
        <v>618</v>
      </c>
      <c r="B1141" s="3" t="s">
        <v>30</v>
      </c>
      <c r="C1141" s="3" t="str">
        <f t="shared" si="17"/>
        <v>450012472910</v>
      </c>
      <c r="D1141" s="4">
        <v>46127</v>
      </c>
      <c r="E1141" s="3" t="s">
        <v>2207</v>
      </c>
      <c r="F1141" s="3" t="s">
        <v>2581</v>
      </c>
    </row>
    <row r="1142" spans="1:6" x14ac:dyDescent="0.3">
      <c r="A1142" s="3" t="s">
        <v>687</v>
      </c>
      <c r="B1142" s="3" t="s">
        <v>30</v>
      </c>
      <c r="C1142" s="3" t="str">
        <f t="shared" si="17"/>
        <v>450012487410</v>
      </c>
      <c r="D1142" s="4">
        <v>46142</v>
      </c>
      <c r="E1142" s="3" t="s">
        <v>2212</v>
      </c>
      <c r="F1142" s="3" t="s">
        <v>2436</v>
      </c>
    </row>
    <row r="1143" spans="1:6" x14ac:dyDescent="0.3">
      <c r="A1143" s="3" t="s">
        <v>687</v>
      </c>
      <c r="B1143" s="3" t="s">
        <v>22</v>
      </c>
      <c r="C1143" s="3" t="str">
        <f t="shared" si="17"/>
        <v>450012487420</v>
      </c>
      <c r="D1143" s="4">
        <v>46142</v>
      </c>
      <c r="E1143" s="3" t="s">
        <v>2212</v>
      </c>
      <c r="F1143" s="3" t="s">
        <v>2436</v>
      </c>
    </row>
    <row r="1144" spans="1:6" x14ac:dyDescent="0.3">
      <c r="A1144" s="3" t="s">
        <v>687</v>
      </c>
      <c r="B1144" s="3" t="s">
        <v>35</v>
      </c>
      <c r="C1144" s="3" t="str">
        <f t="shared" si="17"/>
        <v>450012487430</v>
      </c>
      <c r="D1144" s="4">
        <v>46142</v>
      </c>
      <c r="E1144" s="3" t="s">
        <v>2212</v>
      </c>
      <c r="F1144" s="3" t="s">
        <v>2436</v>
      </c>
    </row>
    <row r="1145" spans="1:6" x14ac:dyDescent="0.3">
      <c r="A1145" s="3" t="s">
        <v>738</v>
      </c>
      <c r="B1145" s="3" t="s">
        <v>30</v>
      </c>
      <c r="C1145" s="3" t="str">
        <f t="shared" si="17"/>
        <v>450012488010</v>
      </c>
      <c r="D1145" s="4">
        <v>46142</v>
      </c>
      <c r="E1145" s="3" t="s">
        <v>2198</v>
      </c>
      <c r="F1145" s="3" t="s">
        <v>2582</v>
      </c>
    </row>
    <row r="1146" spans="1:6" x14ac:dyDescent="0.3">
      <c r="A1146" s="3" t="s">
        <v>738</v>
      </c>
      <c r="B1146" s="3" t="s">
        <v>22</v>
      </c>
      <c r="C1146" s="3" t="str">
        <f t="shared" si="17"/>
        <v>450012488020</v>
      </c>
      <c r="D1146" s="4">
        <v>46142</v>
      </c>
      <c r="E1146" s="3" t="s">
        <v>2198</v>
      </c>
      <c r="F1146" s="3" t="s">
        <v>2582</v>
      </c>
    </row>
    <row r="1147" spans="1:6" x14ac:dyDescent="0.3">
      <c r="A1147" s="3" t="s">
        <v>640</v>
      </c>
      <c r="B1147" s="3" t="s">
        <v>30</v>
      </c>
      <c r="C1147" s="3" t="str">
        <f t="shared" si="17"/>
        <v>450012502710</v>
      </c>
      <c r="D1147" s="4">
        <v>46142</v>
      </c>
      <c r="E1147" s="3" t="s">
        <v>2211</v>
      </c>
      <c r="F1147" s="3" t="s">
        <v>2583</v>
      </c>
    </row>
    <row r="1148" spans="1:6" x14ac:dyDescent="0.3">
      <c r="A1148" s="3" t="s">
        <v>1101</v>
      </c>
      <c r="B1148" s="3" t="s">
        <v>30</v>
      </c>
      <c r="C1148" s="3" t="str">
        <f t="shared" si="17"/>
        <v>450012505810</v>
      </c>
      <c r="D1148" s="4">
        <v>46146</v>
      </c>
      <c r="E1148" s="3" t="s">
        <v>2207</v>
      </c>
      <c r="F1148" s="3" t="s">
        <v>2584</v>
      </c>
    </row>
    <row r="1149" spans="1:6" x14ac:dyDescent="0.3">
      <c r="A1149" s="3" t="s">
        <v>286</v>
      </c>
      <c r="B1149" s="3" t="s">
        <v>30</v>
      </c>
      <c r="C1149" s="3" t="str">
        <f t="shared" si="17"/>
        <v>450012510110</v>
      </c>
      <c r="D1149" s="4">
        <v>46157</v>
      </c>
      <c r="E1149" s="3" t="s">
        <v>2236</v>
      </c>
      <c r="F1149" s="3" t="s">
        <v>2585</v>
      </c>
    </row>
    <row r="1150" spans="1:6" x14ac:dyDescent="0.3">
      <c r="A1150" s="3" t="s">
        <v>286</v>
      </c>
      <c r="B1150" s="3" t="s">
        <v>22</v>
      </c>
      <c r="C1150" s="3" t="str">
        <f t="shared" si="17"/>
        <v>450012510120</v>
      </c>
      <c r="D1150" s="4">
        <v>46157</v>
      </c>
      <c r="E1150" s="3" t="s">
        <v>2236</v>
      </c>
      <c r="F1150" s="3" t="s">
        <v>2585</v>
      </c>
    </row>
    <row r="1151" spans="1:6" x14ac:dyDescent="0.3">
      <c r="A1151" s="3" t="s">
        <v>286</v>
      </c>
      <c r="B1151" s="3" t="s">
        <v>35</v>
      </c>
      <c r="C1151" s="3" t="str">
        <f t="shared" si="17"/>
        <v>450012510130</v>
      </c>
      <c r="D1151" s="4">
        <v>46157</v>
      </c>
      <c r="E1151" s="3" t="s">
        <v>2236</v>
      </c>
      <c r="F1151" s="3" t="s">
        <v>2585</v>
      </c>
    </row>
    <row r="1152" spans="1:6" x14ac:dyDescent="0.3">
      <c r="A1152" s="3" t="s">
        <v>241</v>
      </c>
      <c r="B1152" s="3" t="s">
        <v>30</v>
      </c>
      <c r="C1152" s="3" t="str">
        <f t="shared" si="17"/>
        <v>450012511810</v>
      </c>
      <c r="D1152" s="4">
        <v>46133</v>
      </c>
      <c r="E1152" s="3" t="s">
        <v>2200</v>
      </c>
      <c r="F1152" s="3" t="s">
        <v>2453</v>
      </c>
    </row>
    <row r="1153" spans="1:6" x14ac:dyDescent="0.3">
      <c r="A1153" s="3" t="s">
        <v>241</v>
      </c>
      <c r="B1153" s="3" t="s">
        <v>35</v>
      </c>
      <c r="C1153" s="3" t="str">
        <f t="shared" si="17"/>
        <v>450012511830</v>
      </c>
      <c r="D1153" s="4">
        <v>46133</v>
      </c>
      <c r="E1153" s="3" t="s">
        <v>2200</v>
      </c>
      <c r="F1153" s="3" t="s">
        <v>2453</v>
      </c>
    </row>
    <row r="1154" spans="1:6" x14ac:dyDescent="0.3">
      <c r="A1154" s="3" t="s">
        <v>241</v>
      </c>
      <c r="B1154" s="3" t="s">
        <v>23</v>
      </c>
      <c r="C1154" s="3" t="str">
        <f t="shared" si="17"/>
        <v>450012511840</v>
      </c>
      <c r="D1154" s="4">
        <v>46133</v>
      </c>
      <c r="E1154" s="3" t="s">
        <v>2200</v>
      </c>
      <c r="F1154" s="3" t="s">
        <v>2453</v>
      </c>
    </row>
    <row r="1155" spans="1:6" x14ac:dyDescent="0.3">
      <c r="A1155" s="3" t="s">
        <v>241</v>
      </c>
      <c r="B1155" s="3" t="s">
        <v>144</v>
      </c>
      <c r="C1155" s="3" t="str">
        <f t="shared" ref="C1155:C1218" si="18">_xlfn.CONCAT(A1155:B1155)</f>
        <v>450012511850</v>
      </c>
      <c r="D1155" s="4">
        <v>46133</v>
      </c>
      <c r="E1155" s="3" t="s">
        <v>2200</v>
      </c>
      <c r="F1155" s="3" t="s">
        <v>2453</v>
      </c>
    </row>
    <row r="1156" spans="1:6" x14ac:dyDescent="0.3">
      <c r="A1156" s="3" t="s">
        <v>241</v>
      </c>
      <c r="B1156" s="3" t="s">
        <v>134</v>
      </c>
      <c r="C1156" s="3" t="str">
        <f t="shared" si="18"/>
        <v>450012511870</v>
      </c>
      <c r="D1156" s="4">
        <v>46133</v>
      </c>
      <c r="E1156" s="3" t="s">
        <v>2200</v>
      </c>
      <c r="F1156" s="3" t="s">
        <v>2453</v>
      </c>
    </row>
    <row r="1157" spans="1:6" x14ac:dyDescent="0.3">
      <c r="A1157" s="3" t="s">
        <v>241</v>
      </c>
      <c r="B1157" s="3" t="s">
        <v>52</v>
      </c>
      <c r="C1157" s="3" t="str">
        <f t="shared" si="18"/>
        <v>450012511880</v>
      </c>
      <c r="D1157" s="4">
        <v>46133</v>
      </c>
      <c r="E1157" s="3" t="s">
        <v>2200</v>
      </c>
      <c r="F1157" s="3" t="s">
        <v>2453</v>
      </c>
    </row>
    <row r="1158" spans="1:6" x14ac:dyDescent="0.3">
      <c r="A1158" s="3" t="s">
        <v>241</v>
      </c>
      <c r="B1158" s="3" t="s">
        <v>138</v>
      </c>
      <c r="C1158" s="3" t="str">
        <f t="shared" si="18"/>
        <v>450012511890</v>
      </c>
      <c r="D1158" s="4">
        <v>46133</v>
      </c>
      <c r="E1158" s="3" t="s">
        <v>2200</v>
      </c>
      <c r="F1158" s="3" t="s">
        <v>2453</v>
      </c>
    </row>
    <row r="1159" spans="1:6" x14ac:dyDescent="0.3">
      <c r="A1159" s="3" t="s">
        <v>241</v>
      </c>
      <c r="B1159" s="3" t="s">
        <v>45</v>
      </c>
      <c r="C1159" s="3" t="str">
        <f t="shared" si="18"/>
        <v>4500125118100</v>
      </c>
      <c r="D1159" s="4">
        <v>46133</v>
      </c>
      <c r="E1159" s="3" t="s">
        <v>2200</v>
      </c>
      <c r="F1159" s="3" t="s">
        <v>2453</v>
      </c>
    </row>
    <row r="1160" spans="1:6" x14ac:dyDescent="0.3">
      <c r="A1160" s="3" t="s">
        <v>241</v>
      </c>
      <c r="B1160" s="3" t="s">
        <v>132</v>
      </c>
      <c r="C1160" s="3" t="str">
        <f t="shared" si="18"/>
        <v>4500125118120</v>
      </c>
      <c r="D1160" s="4">
        <v>46133</v>
      </c>
      <c r="E1160" s="3" t="s">
        <v>2200</v>
      </c>
      <c r="F1160" s="3" t="s">
        <v>2453</v>
      </c>
    </row>
    <row r="1161" spans="1:6" x14ac:dyDescent="0.3">
      <c r="A1161" s="3" t="s">
        <v>241</v>
      </c>
      <c r="B1161" s="3" t="s">
        <v>142</v>
      </c>
      <c r="C1161" s="3" t="str">
        <f t="shared" si="18"/>
        <v>4500125118130</v>
      </c>
      <c r="D1161" s="4">
        <v>46133</v>
      </c>
      <c r="E1161" s="3" t="s">
        <v>2200</v>
      </c>
      <c r="F1161" s="3" t="s">
        <v>2453</v>
      </c>
    </row>
    <row r="1162" spans="1:6" x14ac:dyDescent="0.3">
      <c r="A1162" s="3" t="s">
        <v>241</v>
      </c>
      <c r="B1162" s="3" t="s">
        <v>53</v>
      </c>
      <c r="C1162" s="3" t="str">
        <f t="shared" si="18"/>
        <v>4500125118170</v>
      </c>
      <c r="D1162" s="4">
        <v>46133</v>
      </c>
      <c r="E1162" s="3" t="s">
        <v>2200</v>
      </c>
      <c r="F1162" s="3" t="s">
        <v>2453</v>
      </c>
    </row>
    <row r="1163" spans="1:6" x14ac:dyDescent="0.3">
      <c r="A1163" s="3" t="s">
        <v>241</v>
      </c>
      <c r="B1163" s="3" t="s">
        <v>173</v>
      </c>
      <c r="C1163" s="3" t="str">
        <f t="shared" si="18"/>
        <v>4500125118290</v>
      </c>
      <c r="D1163" s="4">
        <v>46133</v>
      </c>
      <c r="E1163" s="3" t="s">
        <v>2200</v>
      </c>
      <c r="F1163" s="3" t="s">
        <v>2453</v>
      </c>
    </row>
    <row r="1164" spans="1:6" x14ac:dyDescent="0.3">
      <c r="A1164" s="3" t="s">
        <v>241</v>
      </c>
      <c r="B1164" s="3" t="s">
        <v>145</v>
      </c>
      <c r="C1164" s="3" t="str">
        <f t="shared" si="18"/>
        <v>4500125118300</v>
      </c>
      <c r="D1164" s="4">
        <v>46133</v>
      </c>
      <c r="E1164" s="3" t="s">
        <v>2200</v>
      </c>
      <c r="F1164" s="3" t="s">
        <v>2453</v>
      </c>
    </row>
    <row r="1165" spans="1:6" x14ac:dyDescent="0.3">
      <c r="A1165" s="3" t="s">
        <v>241</v>
      </c>
      <c r="B1165" s="3" t="s">
        <v>147</v>
      </c>
      <c r="C1165" s="3" t="str">
        <f t="shared" si="18"/>
        <v>4500125118310</v>
      </c>
      <c r="D1165" s="4">
        <v>46133</v>
      </c>
      <c r="E1165" s="3" t="s">
        <v>2200</v>
      </c>
      <c r="F1165" s="3" t="s">
        <v>2453</v>
      </c>
    </row>
    <row r="1166" spans="1:6" x14ac:dyDescent="0.3">
      <c r="A1166" s="3" t="s">
        <v>241</v>
      </c>
      <c r="B1166" s="3" t="s">
        <v>154</v>
      </c>
      <c r="C1166" s="3" t="str">
        <f t="shared" si="18"/>
        <v>4500125118330</v>
      </c>
      <c r="D1166" s="4">
        <v>46133</v>
      </c>
      <c r="E1166" s="3" t="s">
        <v>2200</v>
      </c>
      <c r="F1166" s="3" t="s">
        <v>2453</v>
      </c>
    </row>
    <row r="1167" spans="1:6" x14ac:dyDescent="0.3">
      <c r="A1167" s="3" t="s">
        <v>241</v>
      </c>
      <c r="B1167" s="3" t="s">
        <v>135</v>
      </c>
      <c r="C1167" s="3" t="str">
        <f t="shared" si="18"/>
        <v>4500125118340</v>
      </c>
      <c r="D1167" s="4">
        <v>46133</v>
      </c>
      <c r="E1167" s="3" t="s">
        <v>2200</v>
      </c>
      <c r="F1167" s="3" t="s">
        <v>2453</v>
      </c>
    </row>
    <row r="1168" spans="1:6" x14ac:dyDescent="0.3">
      <c r="A1168" s="3" t="s">
        <v>241</v>
      </c>
      <c r="B1168" s="3" t="s">
        <v>139</v>
      </c>
      <c r="C1168" s="3" t="str">
        <f t="shared" si="18"/>
        <v>4500125118350</v>
      </c>
      <c r="D1168" s="4">
        <v>46133</v>
      </c>
      <c r="E1168" s="3" t="s">
        <v>2200</v>
      </c>
      <c r="F1168" s="3" t="s">
        <v>2453</v>
      </c>
    </row>
    <row r="1169" spans="1:6" x14ac:dyDescent="0.3">
      <c r="A1169" s="3" t="s">
        <v>241</v>
      </c>
      <c r="B1169" s="3" t="s">
        <v>168</v>
      </c>
      <c r="C1169" s="3" t="str">
        <f t="shared" si="18"/>
        <v>4500125118360</v>
      </c>
      <c r="D1169" s="4">
        <v>46133</v>
      </c>
      <c r="E1169" s="3" t="s">
        <v>2200</v>
      </c>
      <c r="F1169" s="3" t="s">
        <v>2453</v>
      </c>
    </row>
    <row r="1170" spans="1:6" x14ac:dyDescent="0.3">
      <c r="A1170" s="3" t="s">
        <v>241</v>
      </c>
      <c r="B1170" s="3" t="s">
        <v>162</v>
      </c>
      <c r="C1170" s="3" t="str">
        <f t="shared" si="18"/>
        <v>4500125118370</v>
      </c>
      <c r="D1170" s="4">
        <v>46133</v>
      </c>
      <c r="E1170" s="3" t="s">
        <v>2200</v>
      </c>
      <c r="F1170" s="3" t="s">
        <v>2453</v>
      </c>
    </row>
    <row r="1171" spans="1:6" x14ac:dyDescent="0.3">
      <c r="A1171" s="3" t="s">
        <v>241</v>
      </c>
      <c r="B1171" s="3" t="s">
        <v>158</v>
      </c>
      <c r="C1171" s="3" t="str">
        <f t="shared" si="18"/>
        <v>4500125118390</v>
      </c>
      <c r="D1171" s="4">
        <v>46133</v>
      </c>
      <c r="E1171" s="3" t="s">
        <v>2200</v>
      </c>
      <c r="F1171" s="3" t="s">
        <v>2453</v>
      </c>
    </row>
    <row r="1172" spans="1:6" x14ac:dyDescent="0.3">
      <c r="A1172" s="3" t="s">
        <v>241</v>
      </c>
      <c r="B1172" s="3" t="s">
        <v>178</v>
      </c>
      <c r="C1172" s="3" t="str">
        <f t="shared" si="18"/>
        <v>4500125118400</v>
      </c>
      <c r="D1172" s="4">
        <v>46133</v>
      </c>
      <c r="E1172" s="3" t="s">
        <v>2200</v>
      </c>
      <c r="F1172" s="3" t="s">
        <v>2453</v>
      </c>
    </row>
    <row r="1173" spans="1:6" x14ac:dyDescent="0.3">
      <c r="A1173" s="3" t="s">
        <v>241</v>
      </c>
      <c r="B1173" s="3" t="s">
        <v>166</v>
      </c>
      <c r="C1173" s="3" t="str">
        <f t="shared" si="18"/>
        <v>4500125118430</v>
      </c>
      <c r="D1173" s="4">
        <v>46133</v>
      </c>
      <c r="E1173" s="3" t="s">
        <v>2200</v>
      </c>
      <c r="F1173" s="3" t="s">
        <v>2453</v>
      </c>
    </row>
    <row r="1174" spans="1:6" x14ac:dyDescent="0.3">
      <c r="A1174" s="3" t="s">
        <v>241</v>
      </c>
      <c r="B1174" s="3" t="s">
        <v>164</v>
      </c>
      <c r="C1174" s="3" t="str">
        <f t="shared" si="18"/>
        <v>4500125118440</v>
      </c>
      <c r="D1174" s="4">
        <v>46133</v>
      </c>
      <c r="E1174" s="3" t="s">
        <v>2200</v>
      </c>
      <c r="F1174" s="3" t="s">
        <v>2453</v>
      </c>
    </row>
    <row r="1175" spans="1:6" x14ac:dyDescent="0.3">
      <c r="A1175" s="3" t="s">
        <v>241</v>
      </c>
      <c r="B1175" s="3" t="s">
        <v>169</v>
      </c>
      <c r="C1175" s="3" t="str">
        <f t="shared" si="18"/>
        <v>4500125118450</v>
      </c>
      <c r="D1175" s="4">
        <v>46133</v>
      </c>
      <c r="E1175" s="3" t="s">
        <v>2200</v>
      </c>
      <c r="F1175" s="3" t="s">
        <v>2453</v>
      </c>
    </row>
    <row r="1176" spans="1:6" x14ac:dyDescent="0.3">
      <c r="A1176" s="3" t="s">
        <v>241</v>
      </c>
      <c r="B1176" s="3" t="s">
        <v>170</v>
      </c>
      <c r="C1176" s="3" t="str">
        <f t="shared" si="18"/>
        <v>4500125118460</v>
      </c>
      <c r="D1176" s="4">
        <v>46133</v>
      </c>
      <c r="E1176" s="3" t="s">
        <v>2200</v>
      </c>
      <c r="F1176" s="3" t="s">
        <v>2453</v>
      </c>
    </row>
    <row r="1177" spans="1:6" x14ac:dyDescent="0.3">
      <c r="A1177" s="3" t="s">
        <v>241</v>
      </c>
      <c r="B1177" s="3" t="s">
        <v>171</v>
      </c>
      <c r="C1177" s="3" t="str">
        <f t="shared" si="18"/>
        <v>4500125118470</v>
      </c>
      <c r="D1177" s="4">
        <v>46133</v>
      </c>
      <c r="E1177" s="3" t="s">
        <v>2200</v>
      </c>
      <c r="F1177" s="3" t="s">
        <v>2453</v>
      </c>
    </row>
    <row r="1178" spans="1:6" x14ac:dyDescent="0.3">
      <c r="A1178" s="3" t="s">
        <v>241</v>
      </c>
      <c r="B1178" s="3" t="s">
        <v>172</v>
      </c>
      <c r="C1178" s="3" t="str">
        <f t="shared" si="18"/>
        <v>4500125118480</v>
      </c>
      <c r="D1178" s="4">
        <v>46133</v>
      </c>
      <c r="E1178" s="3" t="s">
        <v>2200</v>
      </c>
      <c r="F1178" s="3" t="s">
        <v>2453</v>
      </c>
    </row>
    <row r="1179" spans="1:6" x14ac:dyDescent="0.3">
      <c r="A1179" s="3" t="s">
        <v>241</v>
      </c>
      <c r="B1179" s="3" t="s">
        <v>1133</v>
      </c>
      <c r="C1179" s="3" t="str">
        <f t="shared" si="18"/>
        <v>4500125118490</v>
      </c>
      <c r="D1179" s="4">
        <v>46133</v>
      </c>
      <c r="E1179" s="3" t="s">
        <v>2200</v>
      </c>
      <c r="F1179" s="3" t="s">
        <v>2453</v>
      </c>
    </row>
    <row r="1180" spans="1:6" x14ac:dyDescent="0.3">
      <c r="A1180" s="3" t="s">
        <v>241</v>
      </c>
      <c r="B1180" s="3" t="s">
        <v>160</v>
      </c>
      <c r="C1180" s="3" t="str">
        <f t="shared" si="18"/>
        <v>4500125118500</v>
      </c>
      <c r="D1180" s="4">
        <v>46133</v>
      </c>
      <c r="E1180" s="3" t="s">
        <v>2200</v>
      </c>
      <c r="F1180" s="3" t="s">
        <v>2453</v>
      </c>
    </row>
    <row r="1181" spans="1:6" x14ac:dyDescent="0.3">
      <c r="A1181" s="3" t="s">
        <v>241</v>
      </c>
      <c r="B1181" s="3" t="s">
        <v>159</v>
      </c>
      <c r="C1181" s="3" t="str">
        <f t="shared" si="18"/>
        <v>4500125118510</v>
      </c>
      <c r="D1181" s="4">
        <v>46133</v>
      </c>
      <c r="E1181" s="3" t="s">
        <v>2200</v>
      </c>
      <c r="F1181" s="3" t="s">
        <v>2453</v>
      </c>
    </row>
    <row r="1182" spans="1:6" x14ac:dyDescent="0.3">
      <c r="A1182" s="3" t="s">
        <v>241</v>
      </c>
      <c r="B1182" s="3" t="s">
        <v>1134</v>
      </c>
      <c r="C1182" s="3" t="str">
        <f t="shared" si="18"/>
        <v>4500125118520</v>
      </c>
      <c r="D1182" s="4">
        <v>46133</v>
      </c>
      <c r="E1182" s="3" t="s">
        <v>2200</v>
      </c>
      <c r="F1182" s="3" t="s">
        <v>2453</v>
      </c>
    </row>
    <row r="1183" spans="1:6" x14ac:dyDescent="0.3">
      <c r="A1183" s="3" t="s">
        <v>241</v>
      </c>
      <c r="B1183" s="3" t="s">
        <v>167</v>
      </c>
      <c r="C1183" s="3" t="str">
        <f t="shared" si="18"/>
        <v>4500125118530</v>
      </c>
      <c r="D1183" s="4">
        <v>46133</v>
      </c>
      <c r="E1183" s="3" t="s">
        <v>2200</v>
      </c>
      <c r="F1183" s="3" t="s">
        <v>2453</v>
      </c>
    </row>
    <row r="1184" spans="1:6" x14ac:dyDescent="0.3">
      <c r="A1184" s="3" t="s">
        <v>241</v>
      </c>
      <c r="B1184" s="3" t="s">
        <v>151</v>
      </c>
      <c r="C1184" s="3" t="str">
        <f t="shared" si="18"/>
        <v>4500125118540</v>
      </c>
      <c r="D1184" s="4">
        <v>46133</v>
      </c>
      <c r="E1184" s="3" t="s">
        <v>2200</v>
      </c>
      <c r="F1184" s="3" t="s">
        <v>2453</v>
      </c>
    </row>
    <row r="1185" spans="1:6" x14ac:dyDescent="0.3">
      <c r="A1185" s="3" t="s">
        <v>241</v>
      </c>
      <c r="B1185" s="3" t="s">
        <v>153</v>
      </c>
      <c r="C1185" s="3" t="str">
        <f t="shared" si="18"/>
        <v>4500125118550</v>
      </c>
      <c r="D1185" s="4">
        <v>46133</v>
      </c>
      <c r="E1185" s="3" t="s">
        <v>2200</v>
      </c>
      <c r="F1185" s="3" t="s">
        <v>2453</v>
      </c>
    </row>
    <row r="1186" spans="1:6" x14ac:dyDescent="0.3">
      <c r="A1186" s="3" t="s">
        <v>241</v>
      </c>
      <c r="B1186" s="3" t="s">
        <v>176</v>
      </c>
      <c r="C1186" s="3" t="str">
        <f t="shared" si="18"/>
        <v>4500125118560</v>
      </c>
      <c r="D1186" s="4">
        <v>46133</v>
      </c>
      <c r="E1186" s="3" t="s">
        <v>2200</v>
      </c>
      <c r="F1186" s="3" t="s">
        <v>2453</v>
      </c>
    </row>
    <row r="1187" spans="1:6" x14ac:dyDescent="0.3">
      <c r="A1187" s="3" t="s">
        <v>241</v>
      </c>
      <c r="B1187" s="3" t="s">
        <v>119</v>
      </c>
      <c r="C1187" s="3" t="str">
        <f t="shared" si="18"/>
        <v>4500125118590</v>
      </c>
      <c r="D1187" s="4">
        <v>46133</v>
      </c>
      <c r="E1187" s="3" t="s">
        <v>2200</v>
      </c>
      <c r="F1187" s="3" t="s">
        <v>2453</v>
      </c>
    </row>
    <row r="1188" spans="1:6" x14ac:dyDescent="0.3">
      <c r="A1188" s="3" t="s">
        <v>241</v>
      </c>
      <c r="B1188" s="3" t="s">
        <v>152</v>
      </c>
      <c r="C1188" s="3" t="str">
        <f t="shared" si="18"/>
        <v>4500125118600</v>
      </c>
      <c r="D1188" s="4">
        <v>46133</v>
      </c>
      <c r="E1188" s="3" t="s">
        <v>2200</v>
      </c>
      <c r="F1188" s="3" t="s">
        <v>2453</v>
      </c>
    </row>
    <row r="1189" spans="1:6" x14ac:dyDescent="0.3">
      <c r="A1189" s="3" t="s">
        <v>241</v>
      </c>
      <c r="B1189" s="3" t="s">
        <v>148</v>
      </c>
      <c r="C1189" s="3" t="str">
        <f t="shared" si="18"/>
        <v>4500125118610</v>
      </c>
      <c r="D1189" s="4">
        <v>46133</v>
      </c>
      <c r="E1189" s="3" t="s">
        <v>2200</v>
      </c>
      <c r="F1189" s="3" t="s">
        <v>2453</v>
      </c>
    </row>
    <row r="1190" spans="1:6" x14ac:dyDescent="0.3">
      <c r="A1190" s="3" t="s">
        <v>241</v>
      </c>
      <c r="B1190" s="3" t="s">
        <v>149</v>
      </c>
      <c r="C1190" s="3" t="str">
        <f t="shared" si="18"/>
        <v>4500125118640</v>
      </c>
      <c r="D1190" s="4">
        <v>46133</v>
      </c>
      <c r="E1190" s="3" t="s">
        <v>2200</v>
      </c>
      <c r="F1190" s="3" t="s">
        <v>2453</v>
      </c>
    </row>
    <row r="1191" spans="1:6" x14ac:dyDescent="0.3">
      <c r="A1191" s="3" t="s">
        <v>241</v>
      </c>
      <c r="B1191" s="3" t="s">
        <v>174</v>
      </c>
      <c r="C1191" s="3" t="str">
        <f t="shared" si="18"/>
        <v>4500125118650</v>
      </c>
      <c r="D1191" s="4">
        <v>46133</v>
      </c>
      <c r="E1191" s="3" t="s">
        <v>2200</v>
      </c>
      <c r="F1191" s="3" t="s">
        <v>2453</v>
      </c>
    </row>
    <row r="1192" spans="1:6" x14ac:dyDescent="0.3">
      <c r="A1192" s="3" t="s">
        <v>2285</v>
      </c>
      <c r="B1192" s="3" t="s">
        <v>30</v>
      </c>
      <c r="C1192" s="3" t="str">
        <f t="shared" si="18"/>
        <v>450012523310</v>
      </c>
      <c r="D1192" s="4">
        <v>46295</v>
      </c>
      <c r="E1192" s="3" t="s">
        <v>2194</v>
      </c>
      <c r="F1192" s="3" t="s">
        <v>2481</v>
      </c>
    </row>
    <row r="1193" spans="1:6" x14ac:dyDescent="0.3">
      <c r="A1193" s="3" t="s">
        <v>638</v>
      </c>
      <c r="B1193" s="3" t="s">
        <v>30</v>
      </c>
      <c r="C1193" s="3" t="str">
        <f t="shared" si="18"/>
        <v>450012525010</v>
      </c>
      <c r="D1193" s="4">
        <v>46142</v>
      </c>
      <c r="E1193" s="3" t="s">
        <v>2203</v>
      </c>
      <c r="F1193" s="3" t="s">
        <v>2541</v>
      </c>
    </row>
    <row r="1194" spans="1:6" x14ac:dyDescent="0.3">
      <c r="A1194" s="3" t="s">
        <v>632</v>
      </c>
      <c r="B1194" s="3" t="s">
        <v>30</v>
      </c>
      <c r="C1194" s="3" t="str">
        <f t="shared" si="18"/>
        <v>450012534710</v>
      </c>
      <c r="D1194" s="4">
        <v>46132</v>
      </c>
      <c r="E1194" s="3" t="s">
        <v>2203</v>
      </c>
      <c r="F1194" s="3" t="s">
        <v>2563</v>
      </c>
    </row>
    <row r="1195" spans="1:6" x14ac:dyDescent="0.3">
      <c r="A1195" s="3" t="s">
        <v>658</v>
      </c>
      <c r="B1195" s="3" t="s">
        <v>30</v>
      </c>
      <c r="C1195" s="3" t="str">
        <f t="shared" si="18"/>
        <v>450012541610</v>
      </c>
      <c r="D1195" s="4">
        <v>46146</v>
      </c>
      <c r="E1195" s="3" t="s">
        <v>2239</v>
      </c>
      <c r="F1195" s="3" t="s">
        <v>2586</v>
      </c>
    </row>
    <row r="1196" spans="1:6" x14ac:dyDescent="0.3">
      <c r="A1196" s="3" t="s">
        <v>646</v>
      </c>
      <c r="B1196" s="3" t="s">
        <v>30</v>
      </c>
      <c r="C1196" s="3" t="str">
        <f t="shared" si="18"/>
        <v>450012546810</v>
      </c>
      <c r="D1196" s="4">
        <v>46274</v>
      </c>
      <c r="E1196" s="3" t="s">
        <v>2236</v>
      </c>
      <c r="F1196" s="3" t="s">
        <v>2440</v>
      </c>
    </row>
    <row r="1197" spans="1:6" x14ac:dyDescent="0.3">
      <c r="A1197" s="3" t="s">
        <v>255</v>
      </c>
      <c r="B1197" s="3" t="s">
        <v>30</v>
      </c>
      <c r="C1197" s="3" t="str">
        <f t="shared" si="18"/>
        <v>450012547210</v>
      </c>
      <c r="D1197" s="4">
        <v>46259</v>
      </c>
      <c r="E1197" s="3" t="s">
        <v>2239</v>
      </c>
      <c r="F1197" s="3" t="s">
        <v>2587</v>
      </c>
    </row>
    <row r="1198" spans="1:6" x14ac:dyDescent="0.3">
      <c r="A1198" s="3" t="s">
        <v>255</v>
      </c>
      <c r="B1198" s="3" t="s">
        <v>22</v>
      </c>
      <c r="C1198" s="3" t="str">
        <f t="shared" si="18"/>
        <v>450012547220</v>
      </c>
      <c r="D1198" s="4">
        <v>46259</v>
      </c>
      <c r="E1198" s="3" t="s">
        <v>2239</v>
      </c>
      <c r="F1198" s="3" t="s">
        <v>2587</v>
      </c>
    </row>
    <row r="1199" spans="1:6" x14ac:dyDescent="0.3">
      <c r="A1199" s="3" t="s">
        <v>267</v>
      </c>
      <c r="B1199" s="3" t="s">
        <v>30</v>
      </c>
      <c r="C1199" s="3" t="str">
        <f t="shared" si="18"/>
        <v>450012548310</v>
      </c>
      <c r="D1199" s="4">
        <v>46136</v>
      </c>
      <c r="E1199" s="3" t="s">
        <v>2234</v>
      </c>
      <c r="F1199" s="3" t="s">
        <v>2588</v>
      </c>
    </row>
    <row r="1200" spans="1:6" x14ac:dyDescent="0.3">
      <c r="A1200" s="3" t="s">
        <v>267</v>
      </c>
      <c r="B1200" s="3" t="s">
        <v>22</v>
      </c>
      <c r="C1200" s="3" t="str">
        <f t="shared" si="18"/>
        <v>450012548320</v>
      </c>
      <c r="D1200" s="4">
        <v>46136</v>
      </c>
      <c r="E1200" s="3" t="s">
        <v>2234</v>
      </c>
      <c r="F1200" s="3" t="s">
        <v>2588</v>
      </c>
    </row>
    <row r="1201" spans="1:6" x14ac:dyDescent="0.3">
      <c r="A1201" s="3" t="s">
        <v>267</v>
      </c>
      <c r="B1201" s="3" t="s">
        <v>35</v>
      </c>
      <c r="C1201" s="3" t="str">
        <f t="shared" si="18"/>
        <v>450012548330</v>
      </c>
      <c r="D1201" s="4">
        <v>46136</v>
      </c>
      <c r="E1201" s="3" t="s">
        <v>2234</v>
      </c>
      <c r="F1201" s="3" t="s">
        <v>2588</v>
      </c>
    </row>
    <row r="1202" spans="1:6" x14ac:dyDescent="0.3">
      <c r="A1202" s="3" t="s">
        <v>845</v>
      </c>
      <c r="B1202" s="3" t="s">
        <v>35</v>
      </c>
      <c r="C1202" s="3" t="str">
        <f t="shared" si="18"/>
        <v>450012548430</v>
      </c>
      <c r="D1202" s="4">
        <v>46147</v>
      </c>
      <c r="E1202" s="3" t="s">
        <v>2207</v>
      </c>
      <c r="F1202" s="3" t="s">
        <v>2489</v>
      </c>
    </row>
    <row r="1203" spans="1:6" x14ac:dyDescent="0.3">
      <c r="A1203" s="3" t="s">
        <v>938</v>
      </c>
      <c r="B1203" s="3" t="s">
        <v>30</v>
      </c>
      <c r="C1203" s="3" t="str">
        <f t="shared" si="18"/>
        <v>450012552910</v>
      </c>
      <c r="D1203" s="4">
        <v>46119</v>
      </c>
      <c r="E1203" s="3" t="s">
        <v>2207</v>
      </c>
      <c r="F1203" s="3" t="s">
        <v>2589</v>
      </c>
    </row>
    <row r="1204" spans="1:6" x14ac:dyDescent="0.3">
      <c r="A1204" s="3" t="s">
        <v>71</v>
      </c>
      <c r="B1204" s="3" t="s">
        <v>30</v>
      </c>
      <c r="C1204" s="3" t="str">
        <f t="shared" si="18"/>
        <v>450012556110</v>
      </c>
      <c r="D1204" s="4">
        <v>46171</v>
      </c>
      <c r="E1204" s="3" t="s">
        <v>2233</v>
      </c>
      <c r="F1204" s="3" t="s">
        <v>2590</v>
      </c>
    </row>
    <row r="1205" spans="1:6" x14ac:dyDescent="0.3">
      <c r="A1205" s="3" t="s">
        <v>71</v>
      </c>
      <c r="B1205" s="3" t="s">
        <v>22</v>
      </c>
      <c r="C1205" s="3" t="str">
        <f t="shared" si="18"/>
        <v>450012556120</v>
      </c>
      <c r="D1205" s="4">
        <v>46171</v>
      </c>
      <c r="E1205" s="3" t="s">
        <v>2233</v>
      </c>
      <c r="F1205" s="3" t="s">
        <v>2590</v>
      </c>
    </row>
    <row r="1206" spans="1:6" x14ac:dyDescent="0.3">
      <c r="A1206" s="3" t="s">
        <v>71</v>
      </c>
      <c r="B1206" s="3" t="s">
        <v>35</v>
      </c>
      <c r="C1206" s="3" t="str">
        <f t="shared" si="18"/>
        <v>450012556130</v>
      </c>
      <c r="D1206" s="4">
        <v>46171</v>
      </c>
      <c r="E1206" s="3" t="s">
        <v>2233</v>
      </c>
      <c r="F1206" s="3" t="s">
        <v>2590</v>
      </c>
    </row>
    <row r="1207" spans="1:6" x14ac:dyDescent="0.3">
      <c r="A1207" s="3" t="s">
        <v>71</v>
      </c>
      <c r="B1207" s="3" t="s">
        <v>23</v>
      </c>
      <c r="C1207" s="3" t="str">
        <f t="shared" si="18"/>
        <v>450012556140</v>
      </c>
      <c r="D1207" s="4">
        <v>46171</v>
      </c>
      <c r="E1207" s="3" t="s">
        <v>2233</v>
      </c>
      <c r="F1207" s="3" t="s">
        <v>2590</v>
      </c>
    </row>
    <row r="1208" spans="1:6" x14ac:dyDescent="0.3">
      <c r="A1208" s="3" t="s">
        <v>71</v>
      </c>
      <c r="B1208" s="3" t="s">
        <v>144</v>
      </c>
      <c r="C1208" s="3" t="str">
        <f t="shared" si="18"/>
        <v>450012556150</v>
      </c>
      <c r="D1208" s="4">
        <v>46171</v>
      </c>
      <c r="E1208" s="3" t="s">
        <v>2233</v>
      </c>
      <c r="F1208" s="3" t="s">
        <v>2590</v>
      </c>
    </row>
    <row r="1209" spans="1:6" x14ac:dyDescent="0.3">
      <c r="A1209" s="3" t="s">
        <v>71</v>
      </c>
      <c r="B1209" s="3" t="s">
        <v>141</v>
      </c>
      <c r="C1209" s="3" t="str">
        <f t="shared" si="18"/>
        <v>450012556160</v>
      </c>
      <c r="D1209" s="4">
        <v>46171</v>
      </c>
      <c r="E1209" s="3" t="s">
        <v>2233</v>
      </c>
      <c r="F1209" s="3" t="s">
        <v>2590</v>
      </c>
    </row>
    <row r="1210" spans="1:6" x14ac:dyDescent="0.3">
      <c r="A1210" s="3" t="s">
        <v>71</v>
      </c>
      <c r="B1210" s="3" t="s">
        <v>134</v>
      </c>
      <c r="C1210" s="3" t="str">
        <f t="shared" si="18"/>
        <v>450012556170</v>
      </c>
      <c r="D1210" s="4">
        <v>46171</v>
      </c>
      <c r="E1210" s="3" t="s">
        <v>2233</v>
      </c>
      <c r="F1210" s="3" t="s">
        <v>2590</v>
      </c>
    </row>
    <row r="1211" spans="1:6" x14ac:dyDescent="0.3">
      <c r="A1211" s="3" t="s">
        <v>252</v>
      </c>
      <c r="B1211" s="3" t="s">
        <v>30</v>
      </c>
      <c r="C1211" s="3" t="str">
        <f t="shared" si="18"/>
        <v>450012589410</v>
      </c>
      <c r="D1211" s="4">
        <v>46142</v>
      </c>
      <c r="E1211" s="3" t="s">
        <v>2236</v>
      </c>
      <c r="F1211" s="3" t="s">
        <v>2591</v>
      </c>
    </row>
    <row r="1212" spans="1:6" x14ac:dyDescent="0.3">
      <c r="A1212" s="3" t="s">
        <v>63</v>
      </c>
      <c r="B1212" s="3" t="s">
        <v>30</v>
      </c>
      <c r="C1212" s="3" t="str">
        <f t="shared" si="18"/>
        <v>450012595910</v>
      </c>
      <c r="D1212" s="4">
        <v>46156</v>
      </c>
      <c r="E1212" s="3" t="s">
        <v>2212</v>
      </c>
      <c r="F1212" s="3" t="s">
        <v>2436</v>
      </c>
    </row>
    <row r="1213" spans="1:6" x14ac:dyDescent="0.3">
      <c r="A1213" s="3" t="s">
        <v>63</v>
      </c>
      <c r="B1213" s="3" t="s">
        <v>22</v>
      </c>
      <c r="C1213" s="3" t="str">
        <f t="shared" si="18"/>
        <v>450012595920</v>
      </c>
      <c r="D1213" s="4">
        <v>46156</v>
      </c>
      <c r="E1213" s="3" t="s">
        <v>2212</v>
      </c>
      <c r="F1213" s="3" t="s">
        <v>2436</v>
      </c>
    </row>
    <row r="1214" spans="1:6" x14ac:dyDescent="0.3">
      <c r="A1214" s="3" t="s">
        <v>63</v>
      </c>
      <c r="B1214" s="3" t="s">
        <v>35</v>
      </c>
      <c r="C1214" s="3" t="str">
        <f t="shared" si="18"/>
        <v>450012595930</v>
      </c>
      <c r="D1214" s="4">
        <v>46156</v>
      </c>
      <c r="E1214" s="3" t="s">
        <v>2212</v>
      </c>
      <c r="F1214" s="3" t="s">
        <v>2436</v>
      </c>
    </row>
    <row r="1215" spans="1:6" x14ac:dyDescent="0.3">
      <c r="A1215" s="3" t="s">
        <v>74</v>
      </c>
      <c r="B1215" s="3" t="s">
        <v>30</v>
      </c>
      <c r="C1215" s="3" t="str">
        <f t="shared" si="18"/>
        <v>450012597910</v>
      </c>
      <c r="D1215" s="4">
        <v>46254</v>
      </c>
      <c r="E1215" s="3" t="s">
        <v>2203</v>
      </c>
      <c r="F1215" s="3" t="s">
        <v>2410</v>
      </c>
    </row>
    <row r="1216" spans="1:6" x14ac:dyDescent="0.3">
      <c r="A1216" s="3" t="s">
        <v>863</v>
      </c>
      <c r="B1216" s="3" t="s">
        <v>30</v>
      </c>
      <c r="C1216" s="3" t="str">
        <f t="shared" si="18"/>
        <v>450012608610</v>
      </c>
      <c r="D1216" s="4">
        <v>46182</v>
      </c>
      <c r="E1216" s="3" t="s">
        <v>2196</v>
      </c>
      <c r="F1216" s="3" t="s">
        <v>2439</v>
      </c>
    </row>
    <row r="1217" spans="1:6" x14ac:dyDescent="0.3">
      <c r="A1217" s="3" t="s">
        <v>863</v>
      </c>
      <c r="B1217" s="3" t="s">
        <v>22</v>
      </c>
      <c r="C1217" s="3" t="str">
        <f t="shared" si="18"/>
        <v>450012608620</v>
      </c>
      <c r="D1217" s="4">
        <v>46210</v>
      </c>
      <c r="E1217" s="3" t="s">
        <v>2196</v>
      </c>
      <c r="F1217" s="3" t="s">
        <v>2439</v>
      </c>
    </row>
    <row r="1218" spans="1:6" x14ac:dyDescent="0.3">
      <c r="A1218" s="3" t="s">
        <v>672</v>
      </c>
      <c r="B1218" s="3" t="s">
        <v>30</v>
      </c>
      <c r="C1218" s="3" t="str">
        <f t="shared" si="18"/>
        <v>450012623410</v>
      </c>
      <c r="D1218" s="4">
        <v>46146</v>
      </c>
      <c r="E1218" s="3" t="s">
        <v>2198</v>
      </c>
      <c r="F1218" s="3" t="s">
        <v>2592</v>
      </c>
    </row>
    <row r="1219" spans="1:6" x14ac:dyDescent="0.3">
      <c r="A1219" s="3" t="s">
        <v>754</v>
      </c>
      <c r="B1219" s="3" t="s">
        <v>30</v>
      </c>
      <c r="C1219" s="3" t="str">
        <f t="shared" ref="C1219:C1282" si="19">_xlfn.CONCAT(A1219:B1219)</f>
        <v>450012624410</v>
      </c>
      <c r="D1219" s="4">
        <v>46143</v>
      </c>
      <c r="E1219" s="3" t="s">
        <v>2207</v>
      </c>
      <c r="F1219" s="3" t="s">
        <v>2593</v>
      </c>
    </row>
    <row r="1220" spans="1:6" x14ac:dyDescent="0.3">
      <c r="A1220" s="3" t="s">
        <v>754</v>
      </c>
      <c r="B1220" s="3" t="s">
        <v>35</v>
      </c>
      <c r="C1220" s="3" t="str">
        <f t="shared" si="19"/>
        <v>450012624430</v>
      </c>
      <c r="D1220" s="4">
        <v>46143</v>
      </c>
      <c r="E1220" s="3" t="s">
        <v>2207</v>
      </c>
      <c r="F1220" s="3" t="s">
        <v>2593</v>
      </c>
    </row>
    <row r="1221" spans="1:6" x14ac:dyDescent="0.3">
      <c r="A1221" s="3" t="s">
        <v>1024</v>
      </c>
      <c r="B1221" s="3" t="s">
        <v>30</v>
      </c>
      <c r="C1221" s="3" t="str">
        <f t="shared" si="19"/>
        <v>450012632710</v>
      </c>
      <c r="D1221" s="4">
        <v>46142</v>
      </c>
      <c r="E1221" s="3" t="s">
        <v>2207</v>
      </c>
      <c r="F1221" s="3" t="s">
        <v>2594</v>
      </c>
    </row>
    <row r="1222" spans="1:6" x14ac:dyDescent="0.3">
      <c r="A1222" s="3" t="s">
        <v>676</v>
      </c>
      <c r="B1222" s="3" t="s">
        <v>30</v>
      </c>
      <c r="C1222" s="3" t="str">
        <f t="shared" si="19"/>
        <v>450012638110</v>
      </c>
      <c r="D1222" s="4">
        <v>46135</v>
      </c>
      <c r="E1222" s="3" t="s">
        <v>2207</v>
      </c>
      <c r="F1222" s="3" t="s">
        <v>2595</v>
      </c>
    </row>
    <row r="1223" spans="1:6" x14ac:dyDescent="0.3">
      <c r="A1223" s="3" t="s">
        <v>1253</v>
      </c>
      <c r="B1223" s="3" t="s">
        <v>30</v>
      </c>
      <c r="C1223" s="3" t="str">
        <f t="shared" si="19"/>
        <v>450012638210</v>
      </c>
      <c r="D1223" s="4">
        <v>46273</v>
      </c>
      <c r="E1223" s="3" t="s">
        <v>2196</v>
      </c>
      <c r="F1223" s="3" t="s">
        <v>2459</v>
      </c>
    </row>
    <row r="1224" spans="1:6" x14ac:dyDescent="0.3">
      <c r="A1224" s="3" t="s">
        <v>1169</v>
      </c>
      <c r="B1224" s="3" t="s">
        <v>144</v>
      </c>
      <c r="C1224" s="3" t="str">
        <f t="shared" si="19"/>
        <v>450012645250</v>
      </c>
      <c r="D1224" s="4">
        <v>46387</v>
      </c>
      <c r="E1224" s="3" t="s">
        <v>2206</v>
      </c>
      <c r="F1224" s="3" t="s">
        <v>2445</v>
      </c>
    </row>
    <row r="1225" spans="1:6" x14ac:dyDescent="0.3">
      <c r="A1225" s="3" t="s">
        <v>707</v>
      </c>
      <c r="B1225" s="3" t="s">
        <v>30</v>
      </c>
      <c r="C1225" s="3" t="str">
        <f t="shared" si="19"/>
        <v>450012648610</v>
      </c>
      <c r="D1225" s="4">
        <v>46194</v>
      </c>
      <c r="E1225" s="3" t="s">
        <v>2196</v>
      </c>
      <c r="F1225" s="3" t="s">
        <v>2423</v>
      </c>
    </row>
    <row r="1226" spans="1:6" x14ac:dyDescent="0.3">
      <c r="A1226" s="3" t="s">
        <v>707</v>
      </c>
      <c r="B1226" s="3" t="s">
        <v>22</v>
      </c>
      <c r="C1226" s="3" t="str">
        <f t="shared" si="19"/>
        <v>450012648620</v>
      </c>
      <c r="D1226" s="4">
        <v>46194</v>
      </c>
      <c r="E1226" s="3" t="s">
        <v>2196</v>
      </c>
      <c r="F1226" s="3" t="s">
        <v>2423</v>
      </c>
    </row>
    <row r="1227" spans="1:6" x14ac:dyDescent="0.3">
      <c r="A1227" s="3" t="s">
        <v>707</v>
      </c>
      <c r="B1227" s="3" t="s">
        <v>35</v>
      </c>
      <c r="C1227" s="3" t="str">
        <f t="shared" si="19"/>
        <v>450012648630</v>
      </c>
      <c r="D1227" s="4">
        <v>46167</v>
      </c>
      <c r="E1227" s="3" t="s">
        <v>2196</v>
      </c>
      <c r="F1227" s="3" t="s">
        <v>2423</v>
      </c>
    </row>
    <row r="1228" spans="1:6" x14ac:dyDescent="0.3">
      <c r="A1228" s="3" t="s">
        <v>707</v>
      </c>
      <c r="B1228" s="3" t="s">
        <v>23</v>
      </c>
      <c r="C1228" s="3" t="str">
        <f t="shared" si="19"/>
        <v>450012648640</v>
      </c>
      <c r="D1228" s="4">
        <v>46167</v>
      </c>
      <c r="E1228" s="3" t="s">
        <v>2196</v>
      </c>
      <c r="F1228" s="3" t="s">
        <v>2423</v>
      </c>
    </row>
    <row r="1229" spans="1:6" x14ac:dyDescent="0.3">
      <c r="A1229" s="3" t="s">
        <v>707</v>
      </c>
      <c r="B1229" s="3" t="s">
        <v>144</v>
      </c>
      <c r="C1229" s="3" t="str">
        <f t="shared" si="19"/>
        <v>450012648650</v>
      </c>
      <c r="D1229" s="4">
        <v>46194</v>
      </c>
      <c r="E1229" s="3" t="s">
        <v>2196</v>
      </c>
      <c r="F1229" s="3" t="s">
        <v>2423</v>
      </c>
    </row>
    <row r="1230" spans="1:6" x14ac:dyDescent="0.3">
      <c r="A1230" s="3" t="s">
        <v>707</v>
      </c>
      <c r="B1230" s="3" t="s">
        <v>141</v>
      </c>
      <c r="C1230" s="3" t="str">
        <f t="shared" si="19"/>
        <v>450012648660</v>
      </c>
      <c r="D1230" s="4">
        <v>46167</v>
      </c>
      <c r="E1230" s="3" t="s">
        <v>2196</v>
      </c>
      <c r="F1230" s="3" t="s">
        <v>2423</v>
      </c>
    </row>
    <row r="1231" spans="1:6" x14ac:dyDescent="0.3">
      <c r="A1231" s="3" t="s">
        <v>707</v>
      </c>
      <c r="B1231" s="3" t="s">
        <v>134</v>
      </c>
      <c r="C1231" s="3" t="str">
        <f t="shared" si="19"/>
        <v>450012648670</v>
      </c>
      <c r="D1231" s="4">
        <v>46167</v>
      </c>
      <c r="E1231" s="3" t="s">
        <v>2196</v>
      </c>
      <c r="F1231" s="3" t="s">
        <v>2423</v>
      </c>
    </row>
    <row r="1232" spans="1:6" x14ac:dyDescent="0.3">
      <c r="A1232" s="3" t="s">
        <v>707</v>
      </c>
      <c r="B1232" s="3" t="s">
        <v>52</v>
      </c>
      <c r="C1232" s="3" t="str">
        <f t="shared" si="19"/>
        <v>450012648680</v>
      </c>
      <c r="D1232" s="4">
        <v>46167</v>
      </c>
      <c r="E1232" s="3" t="s">
        <v>2196</v>
      </c>
      <c r="F1232" s="3" t="s">
        <v>2423</v>
      </c>
    </row>
    <row r="1233" spans="1:6" x14ac:dyDescent="0.3">
      <c r="A1233" s="3" t="s">
        <v>707</v>
      </c>
      <c r="B1233" s="3" t="s">
        <v>138</v>
      </c>
      <c r="C1233" s="3" t="str">
        <f t="shared" si="19"/>
        <v>450012648690</v>
      </c>
      <c r="D1233" s="4">
        <v>46167</v>
      </c>
      <c r="E1233" s="3" t="s">
        <v>2196</v>
      </c>
      <c r="F1233" s="3" t="s">
        <v>2423</v>
      </c>
    </row>
    <row r="1234" spans="1:6" x14ac:dyDescent="0.3">
      <c r="A1234" s="3" t="s">
        <v>707</v>
      </c>
      <c r="B1234" s="3" t="s">
        <v>45</v>
      </c>
      <c r="C1234" s="3" t="str">
        <f t="shared" si="19"/>
        <v>4500126486100</v>
      </c>
      <c r="D1234" s="4">
        <v>46167</v>
      </c>
      <c r="E1234" s="3" t="s">
        <v>2196</v>
      </c>
      <c r="F1234" s="3" t="s">
        <v>2423</v>
      </c>
    </row>
    <row r="1235" spans="1:6" x14ac:dyDescent="0.3">
      <c r="A1235" s="3" t="s">
        <v>707</v>
      </c>
      <c r="B1235" s="3" t="s">
        <v>156</v>
      </c>
      <c r="C1235" s="3" t="str">
        <f t="shared" si="19"/>
        <v>4500126486110</v>
      </c>
      <c r="D1235" s="4">
        <v>46167</v>
      </c>
      <c r="E1235" s="3" t="s">
        <v>2196</v>
      </c>
      <c r="F1235" s="3" t="s">
        <v>2423</v>
      </c>
    </row>
    <row r="1236" spans="1:6" x14ac:dyDescent="0.3">
      <c r="A1236" s="3" t="s">
        <v>707</v>
      </c>
      <c r="B1236" s="3" t="s">
        <v>132</v>
      </c>
      <c r="C1236" s="3" t="str">
        <f t="shared" si="19"/>
        <v>4500126486120</v>
      </c>
      <c r="D1236" s="4">
        <v>46167</v>
      </c>
      <c r="E1236" s="3" t="s">
        <v>2196</v>
      </c>
      <c r="F1236" s="3" t="s">
        <v>2423</v>
      </c>
    </row>
    <row r="1237" spans="1:6" x14ac:dyDescent="0.3">
      <c r="A1237" s="3" t="s">
        <v>707</v>
      </c>
      <c r="B1237" s="3" t="s">
        <v>142</v>
      </c>
      <c r="C1237" s="3" t="str">
        <f t="shared" si="19"/>
        <v>4500126486130</v>
      </c>
      <c r="D1237" s="4">
        <v>46167</v>
      </c>
      <c r="E1237" s="3" t="s">
        <v>2196</v>
      </c>
      <c r="F1237" s="3" t="s">
        <v>2423</v>
      </c>
    </row>
    <row r="1238" spans="1:6" x14ac:dyDescent="0.3">
      <c r="A1238" s="3" t="s">
        <v>707</v>
      </c>
      <c r="B1238" s="3" t="s">
        <v>131</v>
      </c>
      <c r="C1238" s="3" t="str">
        <f t="shared" si="19"/>
        <v>4500126486140</v>
      </c>
      <c r="D1238" s="4">
        <v>46167</v>
      </c>
      <c r="E1238" s="3" t="s">
        <v>2196</v>
      </c>
      <c r="F1238" s="3" t="s">
        <v>2423</v>
      </c>
    </row>
    <row r="1239" spans="1:6" x14ac:dyDescent="0.3">
      <c r="A1239" s="3" t="s">
        <v>1009</v>
      </c>
      <c r="B1239" s="3" t="s">
        <v>30</v>
      </c>
      <c r="C1239" s="3" t="str">
        <f t="shared" si="19"/>
        <v>450012653710</v>
      </c>
      <c r="D1239" s="4">
        <v>46245</v>
      </c>
      <c r="E1239" s="3" t="s">
        <v>2196</v>
      </c>
      <c r="F1239" s="3" t="s">
        <v>2596</v>
      </c>
    </row>
    <row r="1240" spans="1:6" x14ac:dyDescent="0.3">
      <c r="A1240" s="3" t="s">
        <v>691</v>
      </c>
      <c r="B1240" s="3" t="s">
        <v>30</v>
      </c>
      <c r="C1240" s="3" t="str">
        <f t="shared" si="19"/>
        <v>450012656510</v>
      </c>
      <c r="D1240" s="4">
        <v>46155</v>
      </c>
      <c r="E1240" s="3" t="s">
        <v>2233</v>
      </c>
      <c r="F1240" s="3" t="s">
        <v>2597</v>
      </c>
    </row>
    <row r="1241" spans="1:6" x14ac:dyDescent="0.3">
      <c r="A1241" s="3" t="s">
        <v>270</v>
      </c>
      <c r="B1241" s="3" t="s">
        <v>30</v>
      </c>
      <c r="C1241" s="3" t="str">
        <f t="shared" si="19"/>
        <v>450012692910</v>
      </c>
      <c r="D1241" s="4">
        <v>46162</v>
      </c>
      <c r="E1241" s="3" t="s">
        <v>2196</v>
      </c>
      <c r="F1241" s="3" t="s">
        <v>2439</v>
      </c>
    </row>
    <row r="1242" spans="1:6" x14ac:dyDescent="0.3">
      <c r="A1242" s="3" t="s">
        <v>270</v>
      </c>
      <c r="B1242" s="3" t="s">
        <v>22</v>
      </c>
      <c r="C1242" s="3" t="str">
        <f t="shared" si="19"/>
        <v>450012692920</v>
      </c>
      <c r="D1242" s="4">
        <v>46162</v>
      </c>
      <c r="E1242" s="3" t="s">
        <v>2196</v>
      </c>
      <c r="F1242" s="3" t="s">
        <v>2439</v>
      </c>
    </row>
    <row r="1243" spans="1:6" x14ac:dyDescent="0.3">
      <c r="A1243" s="3" t="s">
        <v>270</v>
      </c>
      <c r="B1243" s="3" t="s">
        <v>35</v>
      </c>
      <c r="C1243" s="3" t="str">
        <f t="shared" si="19"/>
        <v>450012692930</v>
      </c>
      <c r="D1243" s="4">
        <v>46162</v>
      </c>
      <c r="E1243" s="3" t="s">
        <v>2196</v>
      </c>
      <c r="F1243" s="3" t="s">
        <v>2439</v>
      </c>
    </row>
    <row r="1244" spans="1:6" x14ac:dyDescent="0.3">
      <c r="A1244" s="3" t="s">
        <v>270</v>
      </c>
      <c r="B1244" s="3" t="s">
        <v>23</v>
      </c>
      <c r="C1244" s="3" t="str">
        <f t="shared" si="19"/>
        <v>450012692940</v>
      </c>
      <c r="D1244" s="4">
        <v>46162</v>
      </c>
      <c r="E1244" s="3" t="s">
        <v>2196</v>
      </c>
      <c r="F1244" s="3" t="s">
        <v>2439</v>
      </c>
    </row>
    <row r="1245" spans="1:6" x14ac:dyDescent="0.3">
      <c r="A1245" s="3" t="s">
        <v>270</v>
      </c>
      <c r="B1245" s="3" t="s">
        <v>144</v>
      </c>
      <c r="C1245" s="3" t="str">
        <f t="shared" si="19"/>
        <v>450012692950</v>
      </c>
      <c r="D1245" s="4">
        <v>46162</v>
      </c>
      <c r="E1245" s="3" t="s">
        <v>2196</v>
      </c>
      <c r="F1245" s="3" t="s">
        <v>2439</v>
      </c>
    </row>
    <row r="1246" spans="1:6" x14ac:dyDescent="0.3">
      <c r="A1246" s="3" t="s">
        <v>270</v>
      </c>
      <c r="B1246" s="3" t="s">
        <v>141</v>
      </c>
      <c r="C1246" s="3" t="str">
        <f t="shared" si="19"/>
        <v>450012692960</v>
      </c>
      <c r="D1246" s="4">
        <v>46162</v>
      </c>
      <c r="E1246" s="3" t="s">
        <v>2196</v>
      </c>
      <c r="F1246" s="3" t="s">
        <v>2439</v>
      </c>
    </row>
    <row r="1247" spans="1:6" x14ac:dyDescent="0.3">
      <c r="A1247" s="3" t="s">
        <v>270</v>
      </c>
      <c r="B1247" s="3" t="s">
        <v>134</v>
      </c>
      <c r="C1247" s="3" t="str">
        <f t="shared" si="19"/>
        <v>450012692970</v>
      </c>
      <c r="D1247" s="4">
        <v>46162</v>
      </c>
      <c r="E1247" s="3" t="s">
        <v>2196</v>
      </c>
      <c r="F1247" s="3" t="s">
        <v>2439</v>
      </c>
    </row>
    <row r="1248" spans="1:6" x14ac:dyDescent="0.3">
      <c r="A1248" s="3" t="s">
        <v>270</v>
      </c>
      <c r="B1248" s="3" t="s">
        <v>52</v>
      </c>
      <c r="C1248" s="3" t="str">
        <f t="shared" si="19"/>
        <v>450012692980</v>
      </c>
      <c r="D1248" s="4">
        <v>46162</v>
      </c>
      <c r="E1248" s="3" t="s">
        <v>2196</v>
      </c>
      <c r="F1248" s="3" t="s">
        <v>2439</v>
      </c>
    </row>
    <row r="1249" spans="1:6" x14ac:dyDescent="0.3">
      <c r="A1249" s="3" t="s">
        <v>270</v>
      </c>
      <c r="B1249" s="3" t="s">
        <v>138</v>
      </c>
      <c r="C1249" s="3" t="str">
        <f t="shared" si="19"/>
        <v>450012692990</v>
      </c>
      <c r="D1249" s="4">
        <v>46162</v>
      </c>
      <c r="E1249" s="3" t="s">
        <v>2196</v>
      </c>
      <c r="F1249" s="3" t="s">
        <v>2439</v>
      </c>
    </row>
    <row r="1250" spans="1:6" x14ac:dyDescent="0.3">
      <c r="A1250" s="3" t="s">
        <v>270</v>
      </c>
      <c r="B1250" s="3" t="s">
        <v>45</v>
      </c>
      <c r="C1250" s="3" t="str">
        <f t="shared" si="19"/>
        <v>4500126929100</v>
      </c>
      <c r="D1250" s="4">
        <v>46162</v>
      </c>
      <c r="E1250" s="3" t="s">
        <v>2196</v>
      </c>
      <c r="F1250" s="3" t="s">
        <v>2439</v>
      </c>
    </row>
    <row r="1251" spans="1:6" x14ac:dyDescent="0.3">
      <c r="A1251" s="3" t="s">
        <v>270</v>
      </c>
      <c r="B1251" s="3" t="s">
        <v>156</v>
      </c>
      <c r="C1251" s="3" t="str">
        <f t="shared" si="19"/>
        <v>4500126929110</v>
      </c>
      <c r="D1251" s="4">
        <v>46162</v>
      </c>
      <c r="E1251" s="3" t="s">
        <v>2196</v>
      </c>
      <c r="F1251" s="3" t="s">
        <v>2439</v>
      </c>
    </row>
    <row r="1252" spans="1:6" x14ac:dyDescent="0.3">
      <c r="A1252" s="3" t="s">
        <v>270</v>
      </c>
      <c r="B1252" s="3" t="s">
        <v>132</v>
      </c>
      <c r="C1252" s="3" t="str">
        <f t="shared" si="19"/>
        <v>4500126929120</v>
      </c>
      <c r="D1252" s="4">
        <v>46162</v>
      </c>
      <c r="E1252" s="3" t="s">
        <v>2196</v>
      </c>
      <c r="F1252" s="3" t="s">
        <v>2439</v>
      </c>
    </row>
    <row r="1253" spans="1:6" x14ac:dyDescent="0.3">
      <c r="A1253" s="3" t="s">
        <v>270</v>
      </c>
      <c r="B1253" s="3" t="s">
        <v>142</v>
      </c>
      <c r="C1253" s="3" t="str">
        <f t="shared" si="19"/>
        <v>4500126929130</v>
      </c>
      <c r="D1253" s="4">
        <v>46162</v>
      </c>
      <c r="E1253" s="3" t="s">
        <v>2196</v>
      </c>
      <c r="F1253" s="3" t="s">
        <v>2439</v>
      </c>
    </row>
    <row r="1254" spans="1:6" x14ac:dyDescent="0.3">
      <c r="A1254" s="3" t="s">
        <v>270</v>
      </c>
      <c r="B1254" s="3" t="s">
        <v>131</v>
      </c>
      <c r="C1254" s="3" t="str">
        <f t="shared" si="19"/>
        <v>4500126929140</v>
      </c>
      <c r="D1254" s="4">
        <v>46162</v>
      </c>
      <c r="E1254" s="3" t="s">
        <v>2196</v>
      </c>
      <c r="F1254" s="3" t="s">
        <v>2439</v>
      </c>
    </row>
    <row r="1255" spans="1:6" x14ac:dyDescent="0.3">
      <c r="A1255" s="3" t="s">
        <v>270</v>
      </c>
      <c r="B1255" s="3" t="s">
        <v>68</v>
      </c>
      <c r="C1255" s="3" t="str">
        <f t="shared" si="19"/>
        <v>4500126929150</v>
      </c>
      <c r="D1255" s="4">
        <v>46162</v>
      </c>
      <c r="E1255" s="3" t="s">
        <v>2196</v>
      </c>
      <c r="F1255" s="3" t="s">
        <v>2439</v>
      </c>
    </row>
    <row r="1256" spans="1:6" x14ac:dyDescent="0.3">
      <c r="A1256" s="3" t="s">
        <v>270</v>
      </c>
      <c r="B1256" s="3" t="s">
        <v>129</v>
      </c>
      <c r="C1256" s="3" t="str">
        <f t="shared" si="19"/>
        <v>4500126929160</v>
      </c>
      <c r="D1256" s="4">
        <v>46162</v>
      </c>
      <c r="E1256" s="3" t="s">
        <v>2196</v>
      </c>
      <c r="F1256" s="3" t="s">
        <v>2439</v>
      </c>
    </row>
    <row r="1257" spans="1:6" x14ac:dyDescent="0.3">
      <c r="A1257" s="3" t="s">
        <v>270</v>
      </c>
      <c r="B1257" s="3" t="s">
        <v>53</v>
      </c>
      <c r="C1257" s="3" t="str">
        <f t="shared" si="19"/>
        <v>4500126929170</v>
      </c>
      <c r="D1257" s="4">
        <v>46162</v>
      </c>
      <c r="E1257" s="3" t="s">
        <v>2196</v>
      </c>
      <c r="F1257" s="3" t="s">
        <v>2439</v>
      </c>
    </row>
    <row r="1258" spans="1:6" x14ac:dyDescent="0.3">
      <c r="A1258" s="3" t="s">
        <v>270</v>
      </c>
      <c r="B1258" s="3" t="s">
        <v>130</v>
      </c>
      <c r="C1258" s="3" t="str">
        <f t="shared" si="19"/>
        <v>4500126929180</v>
      </c>
      <c r="D1258" s="4">
        <v>46162</v>
      </c>
      <c r="E1258" s="3" t="s">
        <v>2196</v>
      </c>
      <c r="F1258" s="3" t="s">
        <v>2439</v>
      </c>
    </row>
    <row r="1259" spans="1:6" x14ac:dyDescent="0.3">
      <c r="A1259" s="3" t="s">
        <v>270</v>
      </c>
      <c r="B1259" s="3" t="s">
        <v>127</v>
      </c>
      <c r="C1259" s="3" t="str">
        <f t="shared" si="19"/>
        <v>4500126929190</v>
      </c>
      <c r="D1259" s="4">
        <v>46162</v>
      </c>
      <c r="E1259" s="3" t="s">
        <v>2196</v>
      </c>
      <c r="F1259" s="3" t="s">
        <v>2439</v>
      </c>
    </row>
    <row r="1260" spans="1:6" x14ac:dyDescent="0.3">
      <c r="A1260" s="3" t="s">
        <v>270</v>
      </c>
      <c r="B1260" s="3" t="s">
        <v>161</v>
      </c>
      <c r="C1260" s="3" t="str">
        <f t="shared" si="19"/>
        <v>4500126929200</v>
      </c>
      <c r="D1260" s="4">
        <v>46162</v>
      </c>
      <c r="E1260" s="3" t="s">
        <v>2196</v>
      </c>
      <c r="F1260" s="3" t="s">
        <v>2439</v>
      </c>
    </row>
    <row r="1261" spans="1:6" x14ac:dyDescent="0.3">
      <c r="A1261" s="3" t="s">
        <v>270</v>
      </c>
      <c r="B1261" s="3" t="s">
        <v>136</v>
      </c>
      <c r="C1261" s="3" t="str">
        <f t="shared" si="19"/>
        <v>4500126929210</v>
      </c>
      <c r="D1261" s="4">
        <v>46162</v>
      </c>
      <c r="E1261" s="3" t="s">
        <v>2196</v>
      </c>
      <c r="F1261" s="3" t="s">
        <v>2439</v>
      </c>
    </row>
    <row r="1262" spans="1:6" x14ac:dyDescent="0.3">
      <c r="A1262" s="3" t="s">
        <v>270</v>
      </c>
      <c r="B1262" s="3" t="s">
        <v>140</v>
      </c>
      <c r="C1262" s="3" t="str">
        <f t="shared" si="19"/>
        <v>4500126929220</v>
      </c>
      <c r="D1262" s="4">
        <v>46162</v>
      </c>
      <c r="E1262" s="3" t="s">
        <v>2196</v>
      </c>
      <c r="F1262" s="3" t="s">
        <v>2439</v>
      </c>
    </row>
    <row r="1263" spans="1:6" x14ac:dyDescent="0.3">
      <c r="A1263" s="3" t="s">
        <v>270</v>
      </c>
      <c r="B1263" s="3" t="s">
        <v>137</v>
      </c>
      <c r="C1263" s="3" t="str">
        <f t="shared" si="19"/>
        <v>4500126929230</v>
      </c>
      <c r="D1263" s="4">
        <v>46162</v>
      </c>
      <c r="E1263" s="3" t="s">
        <v>2196</v>
      </c>
      <c r="F1263" s="3" t="s">
        <v>2439</v>
      </c>
    </row>
    <row r="1264" spans="1:6" x14ac:dyDescent="0.3">
      <c r="A1264" s="3" t="s">
        <v>270</v>
      </c>
      <c r="B1264" s="3" t="s">
        <v>143</v>
      </c>
      <c r="C1264" s="3" t="str">
        <f t="shared" si="19"/>
        <v>4500126929240</v>
      </c>
      <c r="D1264" s="4">
        <v>46162</v>
      </c>
      <c r="E1264" s="3" t="s">
        <v>2196</v>
      </c>
      <c r="F1264" s="3" t="s">
        <v>2439</v>
      </c>
    </row>
    <row r="1265" spans="1:6" x14ac:dyDescent="0.3">
      <c r="A1265" s="3" t="s">
        <v>270</v>
      </c>
      <c r="B1265" s="3" t="s">
        <v>128</v>
      </c>
      <c r="C1265" s="3" t="str">
        <f t="shared" si="19"/>
        <v>4500126929250</v>
      </c>
      <c r="D1265" s="4">
        <v>46162</v>
      </c>
      <c r="E1265" s="3" t="s">
        <v>2196</v>
      </c>
      <c r="F1265" s="3" t="s">
        <v>2439</v>
      </c>
    </row>
    <row r="1266" spans="1:6" x14ac:dyDescent="0.3">
      <c r="A1266" s="3" t="s">
        <v>270</v>
      </c>
      <c r="B1266" s="3" t="s">
        <v>126</v>
      </c>
      <c r="C1266" s="3" t="str">
        <f t="shared" si="19"/>
        <v>4500126929260</v>
      </c>
      <c r="D1266" s="4">
        <v>46162</v>
      </c>
      <c r="E1266" s="3" t="s">
        <v>2196</v>
      </c>
      <c r="F1266" s="3" t="s">
        <v>2439</v>
      </c>
    </row>
    <row r="1267" spans="1:6" x14ac:dyDescent="0.3">
      <c r="A1267" s="3" t="s">
        <v>270</v>
      </c>
      <c r="B1267" s="3" t="s">
        <v>146</v>
      </c>
      <c r="C1267" s="3" t="str">
        <f t="shared" si="19"/>
        <v>4500126929270</v>
      </c>
      <c r="D1267" s="4">
        <v>46182</v>
      </c>
      <c r="E1267" s="3" t="s">
        <v>2196</v>
      </c>
      <c r="F1267" s="3" t="s">
        <v>2439</v>
      </c>
    </row>
    <row r="1268" spans="1:6" x14ac:dyDescent="0.3">
      <c r="A1268" s="3" t="s">
        <v>270</v>
      </c>
      <c r="B1268" s="3" t="s">
        <v>133</v>
      </c>
      <c r="C1268" s="3" t="str">
        <f t="shared" si="19"/>
        <v>4500126929280</v>
      </c>
      <c r="D1268" s="4">
        <v>46162</v>
      </c>
      <c r="E1268" s="3" t="s">
        <v>2196</v>
      </c>
      <c r="F1268" s="3" t="s">
        <v>2439</v>
      </c>
    </row>
    <row r="1269" spans="1:6" x14ac:dyDescent="0.3">
      <c r="A1269" s="3" t="s">
        <v>270</v>
      </c>
      <c r="B1269" s="3" t="s">
        <v>173</v>
      </c>
      <c r="C1269" s="3" t="str">
        <f t="shared" si="19"/>
        <v>4500126929290</v>
      </c>
      <c r="D1269" s="4">
        <v>46203</v>
      </c>
      <c r="E1269" s="3" t="s">
        <v>2196</v>
      </c>
      <c r="F1269" s="3" t="s">
        <v>2439</v>
      </c>
    </row>
    <row r="1270" spans="1:6" x14ac:dyDescent="0.3">
      <c r="A1270" s="3" t="s">
        <v>270</v>
      </c>
      <c r="B1270" s="3" t="s">
        <v>145</v>
      </c>
      <c r="C1270" s="3" t="str">
        <f t="shared" si="19"/>
        <v>4500126929300</v>
      </c>
      <c r="D1270" s="4">
        <v>46162</v>
      </c>
      <c r="E1270" s="3" t="s">
        <v>2196</v>
      </c>
      <c r="F1270" s="3" t="s">
        <v>2439</v>
      </c>
    </row>
    <row r="1271" spans="1:6" x14ac:dyDescent="0.3">
      <c r="A1271" s="3" t="s">
        <v>270</v>
      </c>
      <c r="B1271" s="3" t="s">
        <v>147</v>
      </c>
      <c r="C1271" s="3" t="str">
        <f t="shared" si="19"/>
        <v>4500126929310</v>
      </c>
      <c r="D1271" s="4">
        <v>46162</v>
      </c>
      <c r="E1271" s="3" t="s">
        <v>2196</v>
      </c>
      <c r="F1271" s="3" t="s">
        <v>2439</v>
      </c>
    </row>
    <row r="1272" spans="1:6" x14ac:dyDescent="0.3">
      <c r="A1272" s="3" t="s">
        <v>270</v>
      </c>
      <c r="B1272" s="3" t="s">
        <v>150</v>
      </c>
      <c r="C1272" s="3" t="str">
        <f t="shared" si="19"/>
        <v>4500126929320</v>
      </c>
      <c r="D1272" s="4">
        <v>46162</v>
      </c>
      <c r="E1272" s="3" t="s">
        <v>2196</v>
      </c>
      <c r="F1272" s="3" t="s">
        <v>2439</v>
      </c>
    </row>
    <row r="1273" spans="1:6" x14ac:dyDescent="0.3">
      <c r="A1273" s="3" t="s">
        <v>270</v>
      </c>
      <c r="B1273" s="3" t="s">
        <v>154</v>
      </c>
      <c r="C1273" s="3" t="str">
        <f t="shared" si="19"/>
        <v>4500126929330</v>
      </c>
      <c r="D1273" s="4">
        <v>46162</v>
      </c>
      <c r="E1273" s="3" t="s">
        <v>2196</v>
      </c>
      <c r="F1273" s="3" t="s">
        <v>2439</v>
      </c>
    </row>
    <row r="1274" spans="1:6" x14ac:dyDescent="0.3">
      <c r="A1274" s="3" t="s">
        <v>270</v>
      </c>
      <c r="B1274" s="3" t="s">
        <v>135</v>
      </c>
      <c r="C1274" s="3" t="str">
        <f t="shared" si="19"/>
        <v>4500126929340</v>
      </c>
      <c r="D1274" s="4">
        <v>46182</v>
      </c>
      <c r="E1274" s="3" t="s">
        <v>2196</v>
      </c>
      <c r="F1274" s="3" t="s">
        <v>2439</v>
      </c>
    </row>
    <row r="1275" spans="1:6" x14ac:dyDescent="0.3">
      <c r="A1275" s="3" t="s">
        <v>270</v>
      </c>
      <c r="B1275" s="3" t="s">
        <v>139</v>
      </c>
      <c r="C1275" s="3" t="str">
        <f t="shared" si="19"/>
        <v>4500126929350</v>
      </c>
      <c r="D1275" s="4">
        <v>46162</v>
      </c>
      <c r="E1275" s="3" t="s">
        <v>2196</v>
      </c>
      <c r="F1275" s="3" t="s">
        <v>2439</v>
      </c>
    </row>
    <row r="1276" spans="1:6" x14ac:dyDescent="0.3">
      <c r="A1276" s="3" t="s">
        <v>270</v>
      </c>
      <c r="B1276" s="3" t="s">
        <v>168</v>
      </c>
      <c r="C1276" s="3" t="str">
        <f t="shared" si="19"/>
        <v>4500126929360</v>
      </c>
      <c r="D1276" s="4">
        <v>46162</v>
      </c>
      <c r="E1276" s="3" t="s">
        <v>2196</v>
      </c>
      <c r="F1276" s="3" t="s">
        <v>2439</v>
      </c>
    </row>
    <row r="1277" spans="1:6" x14ac:dyDescent="0.3">
      <c r="A1277" s="3" t="s">
        <v>270</v>
      </c>
      <c r="B1277" s="3" t="s">
        <v>162</v>
      </c>
      <c r="C1277" s="3" t="str">
        <f t="shared" si="19"/>
        <v>4500126929370</v>
      </c>
      <c r="D1277" s="4">
        <v>46162</v>
      </c>
      <c r="E1277" s="3" t="s">
        <v>2196</v>
      </c>
      <c r="F1277" s="3" t="s">
        <v>2439</v>
      </c>
    </row>
    <row r="1278" spans="1:6" x14ac:dyDescent="0.3">
      <c r="A1278" s="3" t="s">
        <v>270</v>
      </c>
      <c r="B1278" s="3" t="s">
        <v>1132</v>
      </c>
      <c r="C1278" s="3" t="str">
        <f t="shared" si="19"/>
        <v>4500126929380</v>
      </c>
      <c r="D1278" s="4">
        <v>46162</v>
      </c>
      <c r="E1278" s="3" t="s">
        <v>2196</v>
      </c>
      <c r="F1278" s="3" t="s">
        <v>2439</v>
      </c>
    </row>
    <row r="1279" spans="1:6" x14ac:dyDescent="0.3">
      <c r="A1279" s="3" t="s">
        <v>270</v>
      </c>
      <c r="B1279" s="3" t="s">
        <v>158</v>
      </c>
      <c r="C1279" s="3" t="str">
        <f t="shared" si="19"/>
        <v>4500126929390</v>
      </c>
      <c r="D1279" s="4">
        <v>46162</v>
      </c>
      <c r="E1279" s="3" t="s">
        <v>2196</v>
      </c>
      <c r="F1279" s="3" t="s">
        <v>2439</v>
      </c>
    </row>
    <row r="1280" spans="1:6" x14ac:dyDescent="0.3">
      <c r="A1280" s="3" t="s">
        <v>270</v>
      </c>
      <c r="B1280" s="3" t="s">
        <v>178</v>
      </c>
      <c r="C1280" s="3" t="str">
        <f t="shared" si="19"/>
        <v>4500126929400</v>
      </c>
      <c r="D1280" s="4">
        <v>46162</v>
      </c>
      <c r="E1280" s="3" t="s">
        <v>2196</v>
      </c>
      <c r="F1280" s="3" t="s">
        <v>2439</v>
      </c>
    </row>
    <row r="1281" spans="1:6" x14ac:dyDescent="0.3">
      <c r="A1281" s="3" t="s">
        <v>270</v>
      </c>
      <c r="B1281" s="3" t="s">
        <v>157</v>
      </c>
      <c r="C1281" s="3" t="str">
        <f t="shared" si="19"/>
        <v>4500126929410</v>
      </c>
      <c r="D1281" s="4">
        <v>46162</v>
      </c>
      <c r="E1281" s="3" t="s">
        <v>2196</v>
      </c>
      <c r="F1281" s="3" t="s">
        <v>2439</v>
      </c>
    </row>
    <row r="1282" spans="1:6" x14ac:dyDescent="0.3">
      <c r="A1282" s="3" t="s">
        <v>270</v>
      </c>
      <c r="B1282" s="3" t="s">
        <v>155</v>
      </c>
      <c r="C1282" s="3" t="str">
        <f t="shared" si="19"/>
        <v>4500126929420</v>
      </c>
      <c r="D1282" s="4">
        <v>46203</v>
      </c>
      <c r="E1282" s="3" t="s">
        <v>2196</v>
      </c>
      <c r="F1282" s="3" t="s">
        <v>2439</v>
      </c>
    </row>
    <row r="1283" spans="1:6" x14ac:dyDescent="0.3">
      <c r="A1283" s="3" t="s">
        <v>270</v>
      </c>
      <c r="B1283" s="3" t="s">
        <v>166</v>
      </c>
      <c r="C1283" s="3" t="str">
        <f t="shared" ref="C1283:C1346" si="20">_xlfn.CONCAT(A1283:B1283)</f>
        <v>4500126929430</v>
      </c>
      <c r="D1283" s="4">
        <v>46252</v>
      </c>
      <c r="E1283" s="3" t="s">
        <v>2196</v>
      </c>
      <c r="F1283" s="3" t="s">
        <v>2439</v>
      </c>
    </row>
    <row r="1284" spans="1:6" x14ac:dyDescent="0.3">
      <c r="A1284" s="3" t="s">
        <v>270</v>
      </c>
      <c r="B1284" s="3" t="s">
        <v>164</v>
      </c>
      <c r="C1284" s="3" t="str">
        <f t="shared" si="20"/>
        <v>4500126929440</v>
      </c>
      <c r="D1284" s="4">
        <v>46162</v>
      </c>
      <c r="E1284" s="3" t="s">
        <v>2196</v>
      </c>
      <c r="F1284" s="3" t="s">
        <v>2439</v>
      </c>
    </row>
    <row r="1285" spans="1:6" x14ac:dyDescent="0.3">
      <c r="A1285" s="3" t="s">
        <v>955</v>
      </c>
      <c r="B1285" s="3" t="s">
        <v>30</v>
      </c>
      <c r="C1285" s="3" t="str">
        <f t="shared" si="20"/>
        <v>450012702610</v>
      </c>
      <c r="D1285" s="4">
        <v>45702</v>
      </c>
      <c r="E1285" s="3" t="s">
        <v>2258</v>
      </c>
      <c r="F1285" s="3" t="s">
        <v>2547</v>
      </c>
    </row>
    <row r="1286" spans="1:6" x14ac:dyDescent="0.3">
      <c r="A1286" s="3" t="s">
        <v>955</v>
      </c>
      <c r="B1286" s="3" t="s">
        <v>22</v>
      </c>
      <c r="C1286" s="3" t="str">
        <f t="shared" si="20"/>
        <v>450012702620</v>
      </c>
      <c r="D1286" s="4">
        <v>45702</v>
      </c>
      <c r="E1286" s="3" t="s">
        <v>2258</v>
      </c>
      <c r="F1286" s="3" t="s">
        <v>2547</v>
      </c>
    </row>
    <row r="1287" spans="1:6" x14ac:dyDescent="0.3">
      <c r="A1287" s="3" t="s">
        <v>955</v>
      </c>
      <c r="B1287" s="3" t="s">
        <v>35</v>
      </c>
      <c r="C1287" s="3" t="str">
        <f t="shared" si="20"/>
        <v>450012702630</v>
      </c>
      <c r="D1287" s="4">
        <v>45702</v>
      </c>
      <c r="E1287" s="3" t="s">
        <v>2258</v>
      </c>
      <c r="F1287" s="3" t="s">
        <v>2547</v>
      </c>
    </row>
    <row r="1288" spans="1:6" x14ac:dyDescent="0.3">
      <c r="A1288" s="3" t="s">
        <v>955</v>
      </c>
      <c r="B1288" s="3" t="s">
        <v>23</v>
      </c>
      <c r="C1288" s="3" t="str">
        <f t="shared" si="20"/>
        <v>450012702640</v>
      </c>
      <c r="D1288" s="4">
        <v>45702</v>
      </c>
      <c r="E1288" s="3" t="s">
        <v>2258</v>
      </c>
      <c r="F1288" s="3" t="s">
        <v>2547</v>
      </c>
    </row>
    <row r="1289" spans="1:6" x14ac:dyDescent="0.3">
      <c r="A1289" s="3" t="s">
        <v>955</v>
      </c>
      <c r="B1289" s="3" t="s">
        <v>144</v>
      </c>
      <c r="C1289" s="3" t="str">
        <f t="shared" si="20"/>
        <v>450012702650</v>
      </c>
      <c r="D1289" s="4">
        <v>45702</v>
      </c>
      <c r="E1289" s="3" t="s">
        <v>2258</v>
      </c>
      <c r="F1289" s="3" t="s">
        <v>2547</v>
      </c>
    </row>
    <row r="1290" spans="1:6" x14ac:dyDescent="0.3">
      <c r="A1290" s="3" t="s">
        <v>955</v>
      </c>
      <c r="B1290" s="3" t="s">
        <v>141</v>
      </c>
      <c r="C1290" s="3" t="str">
        <f t="shared" si="20"/>
        <v>450012702660</v>
      </c>
      <c r="D1290" s="4">
        <v>45702</v>
      </c>
      <c r="E1290" s="3" t="s">
        <v>2258</v>
      </c>
      <c r="F1290" s="3" t="s">
        <v>2547</v>
      </c>
    </row>
    <row r="1291" spans="1:6" x14ac:dyDescent="0.3">
      <c r="A1291" s="3" t="s">
        <v>955</v>
      </c>
      <c r="B1291" s="3" t="s">
        <v>134</v>
      </c>
      <c r="C1291" s="3" t="str">
        <f t="shared" si="20"/>
        <v>450012702670</v>
      </c>
      <c r="D1291" s="4">
        <v>45702</v>
      </c>
      <c r="E1291" s="3" t="s">
        <v>2258</v>
      </c>
      <c r="F1291" s="3" t="s">
        <v>2547</v>
      </c>
    </row>
    <row r="1292" spans="1:6" x14ac:dyDescent="0.3">
      <c r="A1292" s="3" t="s">
        <v>955</v>
      </c>
      <c r="B1292" s="3" t="s">
        <v>52</v>
      </c>
      <c r="C1292" s="3" t="str">
        <f t="shared" si="20"/>
        <v>450012702680</v>
      </c>
      <c r="D1292" s="4">
        <v>45702</v>
      </c>
      <c r="E1292" s="3" t="s">
        <v>2258</v>
      </c>
      <c r="F1292" s="3" t="s">
        <v>2547</v>
      </c>
    </row>
    <row r="1293" spans="1:6" x14ac:dyDescent="0.3">
      <c r="A1293" s="3" t="s">
        <v>955</v>
      </c>
      <c r="B1293" s="3" t="s">
        <v>138</v>
      </c>
      <c r="C1293" s="3" t="str">
        <f t="shared" si="20"/>
        <v>450012702690</v>
      </c>
      <c r="D1293" s="4">
        <v>45702</v>
      </c>
      <c r="E1293" s="3" t="s">
        <v>2258</v>
      </c>
      <c r="F1293" s="3" t="s">
        <v>2547</v>
      </c>
    </row>
    <row r="1294" spans="1:6" x14ac:dyDescent="0.3">
      <c r="A1294" s="3" t="s">
        <v>955</v>
      </c>
      <c r="B1294" s="3" t="s">
        <v>45</v>
      </c>
      <c r="C1294" s="3" t="str">
        <f t="shared" si="20"/>
        <v>4500127026100</v>
      </c>
      <c r="D1294" s="4">
        <v>45702</v>
      </c>
      <c r="E1294" s="3" t="s">
        <v>2258</v>
      </c>
      <c r="F1294" s="3" t="s">
        <v>2547</v>
      </c>
    </row>
    <row r="1295" spans="1:6" x14ac:dyDescent="0.3">
      <c r="A1295" s="3" t="s">
        <v>955</v>
      </c>
      <c r="B1295" s="3" t="s">
        <v>156</v>
      </c>
      <c r="C1295" s="3" t="str">
        <f t="shared" si="20"/>
        <v>4500127026110</v>
      </c>
      <c r="D1295" s="4">
        <v>45702</v>
      </c>
      <c r="E1295" s="3" t="s">
        <v>2258</v>
      </c>
      <c r="F1295" s="3" t="s">
        <v>2547</v>
      </c>
    </row>
    <row r="1296" spans="1:6" x14ac:dyDescent="0.3">
      <c r="A1296" s="3" t="s">
        <v>955</v>
      </c>
      <c r="B1296" s="3" t="s">
        <v>132</v>
      </c>
      <c r="C1296" s="3" t="str">
        <f t="shared" si="20"/>
        <v>4500127026120</v>
      </c>
      <c r="D1296" s="4">
        <v>45702</v>
      </c>
      <c r="E1296" s="3" t="s">
        <v>2258</v>
      </c>
      <c r="F1296" s="3" t="s">
        <v>2547</v>
      </c>
    </row>
    <row r="1297" spans="1:6" x14ac:dyDescent="0.3">
      <c r="A1297" s="3" t="s">
        <v>955</v>
      </c>
      <c r="B1297" s="3" t="s">
        <v>142</v>
      </c>
      <c r="C1297" s="3" t="str">
        <f t="shared" si="20"/>
        <v>4500127026130</v>
      </c>
      <c r="D1297" s="4">
        <v>45702</v>
      </c>
      <c r="E1297" s="3" t="s">
        <v>2258</v>
      </c>
      <c r="F1297" s="3" t="s">
        <v>2547</v>
      </c>
    </row>
    <row r="1298" spans="1:6" x14ac:dyDescent="0.3">
      <c r="A1298" s="3" t="s">
        <v>955</v>
      </c>
      <c r="B1298" s="3" t="s">
        <v>131</v>
      </c>
      <c r="C1298" s="3" t="str">
        <f t="shared" si="20"/>
        <v>4500127026140</v>
      </c>
      <c r="D1298" s="4">
        <v>45702</v>
      </c>
      <c r="E1298" s="3" t="s">
        <v>2258</v>
      </c>
      <c r="F1298" s="3" t="s">
        <v>2547</v>
      </c>
    </row>
    <row r="1299" spans="1:6" x14ac:dyDescent="0.3">
      <c r="A1299" s="3" t="s">
        <v>955</v>
      </c>
      <c r="B1299" s="3" t="s">
        <v>68</v>
      </c>
      <c r="C1299" s="3" t="str">
        <f t="shared" si="20"/>
        <v>4500127026150</v>
      </c>
      <c r="D1299" s="4">
        <v>45702</v>
      </c>
      <c r="E1299" s="3" t="s">
        <v>2258</v>
      </c>
      <c r="F1299" s="3" t="s">
        <v>2547</v>
      </c>
    </row>
    <row r="1300" spans="1:6" x14ac:dyDescent="0.3">
      <c r="A1300" s="3" t="s">
        <v>955</v>
      </c>
      <c r="B1300" s="3" t="s">
        <v>129</v>
      </c>
      <c r="C1300" s="3" t="str">
        <f t="shared" si="20"/>
        <v>4500127026160</v>
      </c>
      <c r="D1300" s="4">
        <v>45702</v>
      </c>
      <c r="E1300" s="3" t="s">
        <v>2258</v>
      </c>
      <c r="F1300" s="3" t="s">
        <v>2547</v>
      </c>
    </row>
    <row r="1301" spans="1:6" x14ac:dyDescent="0.3">
      <c r="A1301" s="3" t="s">
        <v>955</v>
      </c>
      <c r="B1301" s="3" t="s">
        <v>53</v>
      </c>
      <c r="C1301" s="3" t="str">
        <f t="shared" si="20"/>
        <v>4500127026170</v>
      </c>
      <c r="D1301" s="4">
        <v>45702</v>
      </c>
      <c r="E1301" s="3" t="s">
        <v>2258</v>
      </c>
      <c r="F1301" s="3" t="s">
        <v>2547</v>
      </c>
    </row>
    <row r="1302" spans="1:6" x14ac:dyDescent="0.3">
      <c r="A1302" s="3" t="s">
        <v>955</v>
      </c>
      <c r="B1302" s="3" t="s">
        <v>130</v>
      </c>
      <c r="C1302" s="3" t="str">
        <f t="shared" si="20"/>
        <v>4500127026180</v>
      </c>
      <c r="D1302" s="4">
        <v>45702</v>
      </c>
      <c r="E1302" s="3" t="s">
        <v>2258</v>
      </c>
      <c r="F1302" s="3" t="s">
        <v>2547</v>
      </c>
    </row>
    <row r="1303" spans="1:6" x14ac:dyDescent="0.3">
      <c r="A1303" s="3" t="s">
        <v>955</v>
      </c>
      <c r="B1303" s="3" t="s">
        <v>127</v>
      </c>
      <c r="C1303" s="3" t="str">
        <f t="shared" si="20"/>
        <v>4500127026190</v>
      </c>
      <c r="D1303" s="4">
        <v>45702</v>
      </c>
      <c r="E1303" s="3" t="s">
        <v>2258</v>
      </c>
      <c r="F1303" s="3" t="s">
        <v>2547</v>
      </c>
    </row>
    <row r="1304" spans="1:6" x14ac:dyDescent="0.3">
      <c r="A1304" s="3" t="s">
        <v>955</v>
      </c>
      <c r="B1304" s="3" t="s">
        <v>161</v>
      </c>
      <c r="C1304" s="3" t="str">
        <f t="shared" si="20"/>
        <v>4500127026200</v>
      </c>
      <c r="D1304" s="4">
        <v>45702</v>
      </c>
      <c r="E1304" s="3" t="s">
        <v>2258</v>
      </c>
      <c r="F1304" s="3" t="s">
        <v>2547</v>
      </c>
    </row>
    <row r="1305" spans="1:6" x14ac:dyDescent="0.3">
      <c r="A1305" s="3" t="s">
        <v>955</v>
      </c>
      <c r="B1305" s="3" t="s">
        <v>136</v>
      </c>
      <c r="C1305" s="3" t="str">
        <f t="shared" si="20"/>
        <v>4500127026210</v>
      </c>
      <c r="D1305" s="4">
        <v>45702</v>
      </c>
      <c r="E1305" s="3" t="s">
        <v>2258</v>
      </c>
      <c r="F1305" s="3" t="s">
        <v>2547</v>
      </c>
    </row>
    <row r="1306" spans="1:6" x14ac:dyDescent="0.3">
      <c r="A1306" s="3" t="s">
        <v>955</v>
      </c>
      <c r="B1306" s="3" t="s">
        <v>140</v>
      </c>
      <c r="C1306" s="3" t="str">
        <f t="shared" si="20"/>
        <v>4500127026220</v>
      </c>
      <c r="D1306" s="4">
        <v>45702</v>
      </c>
      <c r="E1306" s="3" t="s">
        <v>2258</v>
      </c>
      <c r="F1306" s="3" t="s">
        <v>2547</v>
      </c>
    </row>
    <row r="1307" spans="1:6" x14ac:dyDescent="0.3">
      <c r="A1307" s="3" t="s">
        <v>955</v>
      </c>
      <c r="B1307" s="3" t="s">
        <v>137</v>
      </c>
      <c r="C1307" s="3" t="str">
        <f t="shared" si="20"/>
        <v>4500127026230</v>
      </c>
      <c r="D1307" s="4">
        <v>45702</v>
      </c>
      <c r="E1307" s="3" t="s">
        <v>2258</v>
      </c>
      <c r="F1307" s="3" t="s">
        <v>2547</v>
      </c>
    </row>
    <row r="1308" spans="1:6" x14ac:dyDescent="0.3">
      <c r="A1308" s="3" t="s">
        <v>955</v>
      </c>
      <c r="B1308" s="3" t="s">
        <v>143</v>
      </c>
      <c r="C1308" s="3" t="str">
        <f t="shared" si="20"/>
        <v>4500127026240</v>
      </c>
      <c r="D1308" s="4">
        <v>45702</v>
      </c>
      <c r="E1308" s="3" t="s">
        <v>2258</v>
      </c>
      <c r="F1308" s="3" t="s">
        <v>2547</v>
      </c>
    </row>
    <row r="1309" spans="1:6" x14ac:dyDescent="0.3">
      <c r="A1309" s="3" t="s">
        <v>955</v>
      </c>
      <c r="B1309" s="3" t="s">
        <v>128</v>
      </c>
      <c r="C1309" s="3" t="str">
        <f t="shared" si="20"/>
        <v>4500127026250</v>
      </c>
      <c r="D1309" s="4">
        <v>45702</v>
      </c>
      <c r="E1309" s="3" t="s">
        <v>2258</v>
      </c>
      <c r="F1309" s="3" t="s">
        <v>2547</v>
      </c>
    </row>
    <row r="1310" spans="1:6" x14ac:dyDescent="0.3">
      <c r="A1310" s="3" t="s">
        <v>955</v>
      </c>
      <c r="B1310" s="3" t="s">
        <v>126</v>
      </c>
      <c r="C1310" s="3" t="str">
        <f t="shared" si="20"/>
        <v>4500127026260</v>
      </c>
      <c r="D1310" s="4">
        <v>45702</v>
      </c>
      <c r="E1310" s="3" t="s">
        <v>2258</v>
      </c>
      <c r="F1310" s="3" t="s">
        <v>2547</v>
      </c>
    </row>
    <row r="1311" spans="1:6" x14ac:dyDescent="0.3">
      <c r="A1311" s="3" t="s">
        <v>955</v>
      </c>
      <c r="B1311" s="3" t="s">
        <v>146</v>
      </c>
      <c r="C1311" s="3" t="str">
        <f t="shared" si="20"/>
        <v>4500127026270</v>
      </c>
      <c r="D1311" s="4">
        <v>45702</v>
      </c>
      <c r="E1311" s="3" t="s">
        <v>2258</v>
      </c>
      <c r="F1311" s="3" t="s">
        <v>2547</v>
      </c>
    </row>
    <row r="1312" spans="1:6" x14ac:dyDescent="0.3">
      <c r="A1312" s="3" t="s">
        <v>955</v>
      </c>
      <c r="B1312" s="3" t="s">
        <v>133</v>
      </c>
      <c r="C1312" s="3" t="str">
        <f t="shared" si="20"/>
        <v>4500127026280</v>
      </c>
      <c r="D1312" s="4">
        <v>45702</v>
      </c>
      <c r="E1312" s="3" t="s">
        <v>2258</v>
      </c>
      <c r="F1312" s="3" t="s">
        <v>2547</v>
      </c>
    </row>
    <row r="1313" spans="1:6" x14ac:dyDescent="0.3">
      <c r="A1313" s="3" t="s">
        <v>955</v>
      </c>
      <c r="B1313" s="3" t="s">
        <v>173</v>
      </c>
      <c r="C1313" s="3" t="str">
        <f t="shared" si="20"/>
        <v>4500127026290</v>
      </c>
      <c r="D1313" s="4">
        <v>45702</v>
      </c>
      <c r="E1313" s="3" t="s">
        <v>2258</v>
      </c>
      <c r="F1313" s="3" t="s">
        <v>2547</v>
      </c>
    </row>
    <row r="1314" spans="1:6" x14ac:dyDescent="0.3">
      <c r="A1314" s="3" t="s">
        <v>955</v>
      </c>
      <c r="B1314" s="3" t="s">
        <v>145</v>
      </c>
      <c r="C1314" s="3" t="str">
        <f t="shared" si="20"/>
        <v>4500127026300</v>
      </c>
      <c r="D1314" s="4">
        <v>45702</v>
      </c>
      <c r="E1314" s="3" t="s">
        <v>2258</v>
      </c>
      <c r="F1314" s="3" t="s">
        <v>2547</v>
      </c>
    </row>
    <row r="1315" spans="1:6" x14ac:dyDescent="0.3">
      <c r="A1315" s="3" t="s">
        <v>955</v>
      </c>
      <c r="B1315" s="3" t="s">
        <v>147</v>
      </c>
      <c r="C1315" s="3" t="str">
        <f t="shared" si="20"/>
        <v>4500127026310</v>
      </c>
      <c r="D1315" s="4">
        <v>45702</v>
      </c>
      <c r="E1315" s="3" t="s">
        <v>2258</v>
      </c>
      <c r="F1315" s="3" t="s">
        <v>2547</v>
      </c>
    </row>
    <row r="1316" spans="1:6" x14ac:dyDescent="0.3">
      <c r="A1316" s="3" t="s">
        <v>955</v>
      </c>
      <c r="B1316" s="3" t="s">
        <v>150</v>
      </c>
      <c r="C1316" s="3" t="str">
        <f t="shared" si="20"/>
        <v>4500127026320</v>
      </c>
      <c r="D1316" s="4">
        <v>45702</v>
      </c>
      <c r="E1316" s="3" t="s">
        <v>2258</v>
      </c>
      <c r="F1316" s="3" t="s">
        <v>2547</v>
      </c>
    </row>
    <row r="1317" spans="1:6" x14ac:dyDescent="0.3">
      <c r="A1317" s="3" t="s">
        <v>955</v>
      </c>
      <c r="B1317" s="3" t="s">
        <v>154</v>
      </c>
      <c r="C1317" s="3" t="str">
        <f t="shared" si="20"/>
        <v>4500127026330</v>
      </c>
      <c r="D1317" s="4">
        <v>45702</v>
      </c>
      <c r="E1317" s="3" t="s">
        <v>2258</v>
      </c>
      <c r="F1317" s="3" t="s">
        <v>2547</v>
      </c>
    </row>
    <row r="1318" spans="1:6" x14ac:dyDescent="0.3">
      <c r="A1318" s="3" t="s">
        <v>955</v>
      </c>
      <c r="B1318" s="3" t="s">
        <v>135</v>
      </c>
      <c r="C1318" s="3" t="str">
        <f t="shared" si="20"/>
        <v>4500127026340</v>
      </c>
      <c r="D1318" s="4">
        <v>45702</v>
      </c>
      <c r="E1318" s="3" t="s">
        <v>2258</v>
      </c>
      <c r="F1318" s="3" t="s">
        <v>2547</v>
      </c>
    </row>
    <row r="1319" spans="1:6" x14ac:dyDescent="0.3">
      <c r="A1319" s="3" t="s">
        <v>955</v>
      </c>
      <c r="B1319" s="3" t="s">
        <v>139</v>
      </c>
      <c r="C1319" s="3" t="str">
        <f t="shared" si="20"/>
        <v>4500127026350</v>
      </c>
      <c r="D1319" s="4">
        <v>45702</v>
      </c>
      <c r="E1319" s="3" t="s">
        <v>2258</v>
      </c>
      <c r="F1319" s="3" t="s">
        <v>2547</v>
      </c>
    </row>
    <row r="1320" spans="1:6" x14ac:dyDescent="0.3">
      <c r="A1320" s="3" t="s">
        <v>847</v>
      </c>
      <c r="B1320" s="3" t="s">
        <v>30</v>
      </c>
      <c r="C1320" s="3" t="str">
        <f t="shared" si="20"/>
        <v>450012709310</v>
      </c>
      <c r="D1320" s="4">
        <v>46168</v>
      </c>
      <c r="E1320" s="3" t="s">
        <v>2207</v>
      </c>
      <c r="F1320" s="3" t="s">
        <v>2501</v>
      </c>
    </row>
    <row r="1321" spans="1:6" x14ac:dyDescent="0.3">
      <c r="A1321" s="3" t="s">
        <v>1308</v>
      </c>
      <c r="B1321" s="3" t="s">
        <v>30</v>
      </c>
      <c r="C1321" s="3" t="str">
        <f t="shared" si="20"/>
        <v>450012735110</v>
      </c>
      <c r="D1321" s="4">
        <v>46123</v>
      </c>
      <c r="E1321" s="3" t="s">
        <v>2207</v>
      </c>
      <c r="F1321" s="3" t="s">
        <v>2598</v>
      </c>
    </row>
    <row r="1322" spans="1:6" x14ac:dyDescent="0.3">
      <c r="A1322" s="3" t="s">
        <v>696</v>
      </c>
      <c r="B1322" s="3" t="s">
        <v>30</v>
      </c>
      <c r="C1322" s="3" t="str">
        <f t="shared" si="20"/>
        <v>450012735910</v>
      </c>
      <c r="D1322" s="4">
        <v>46168</v>
      </c>
      <c r="E1322" s="3" t="s">
        <v>2203</v>
      </c>
      <c r="F1322" s="3" t="s">
        <v>2599</v>
      </c>
    </row>
    <row r="1323" spans="1:6" x14ac:dyDescent="0.3">
      <c r="A1323" s="3" t="s">
        <v>373</v>
      </c>
      <c r="B1323" s="3" t="s">
        <v>30</v>
      </c>
      <c r="C1323" s="3" t="str">
        <f t="shared" si="20"/>
        <v>450012743410</v>
      </c>
      <c r="D1323" s="4">
        <v>46156</v>
      </c>
      <c r="E1323" s="3" t="s">
        <v>2239</v>
      </c>
      <c r="F1323" s="3" t="s">
        <v>2600</v>
      </c>
    </row>
    <row r="1324" spans="1:6" x14ac:dyDescent="0.3">
      <c r="A1324" s="3" t="s">
        <v>702</v>
      </c>
      <c r="B1324" s="3" t="s">
        <v>30</v>
      </c>
      <c r="C1324" s="3" t="str">
        <f t="shared" si="20"/>
        <v>450012745110</v>
      </c>
      <c r="D1324" s="4">
        <v>46160</v>
      </c>
      <c r="E1324" s="3" t="s">
        <v>2200</v>
      </c>
      <c r="F1324" s="3" t="s">
        <v>2537</v>
      </c>
    </row>
    <row r="1325" spans="1:6" x14ac:dyDescent="0.3">
      <c r="A1325" s="3" t="s">
        <v>702</v>
      </c>
      <c r="B1325" s="3" t="s">
        <v>22</v>
      </c>
      <c r="C1325" s="3" t="str">
        <f t="shared" si="20"/>
        <v>450012745120</v>
      </c>
      <c r="D1325" s="4">
        <v>46160</v>
      </c>
      <c r="E1325" s="3" t="s">
        <v>2200</v>
      </c>
      <c r="F1325" s="3" t="s">
        <v>2537</v>
      </c>
    </row>
    <row r="1326" spans="1:6" x14ac:dyDescent="0.3">
      <c r="A1326" s="3" t="s">
        <v>702</v>
      </c>
      <c r="B1326" s="3" t="s">
        <v>35</v>
      </c>
      <c r="C1326" s="3" t="str">
        <f t="shared" si="20"/>
        <v>450012745130</v>
      </c>
      <c r="D1326" s="4">
        <v>46160</v>
      </c>
      <c r="E1326" s="3" t="s">
        <v>2200</v>
      </c>
      <c r="F1326" s="3" t="s">
        <v>2537</v>
      </c>
    </row>
    <row r="1327" spans="1:6" x14ac:dyDescent="0.3">
      <c r="A1327" s="3" t="s">
        <v>702</v>
      </c>
      <c r="B1327" s="3" t="s">
        <v>23</v>
      </c>
      <c r="C1327" s="3" t="str">
        <f t="shared" si="20"/>
        <v>450012745140</v>
      </c>
      <c r="D1327" s="4">
        <v>46160</v>
      </c>
      <c r="E1327" s="3" t="s">
        <v>2200</v>
      </c>
      <c r="F1327" s="3" t="s">
        <v>2537</v>
      </c>
    </row>
    <row r="1328" spans="1:6" x14ac:dyDescent="0.3">
      <c r="A1328" s="3" t="s">
        <v>702</v>
      </c>
      <c r="B1328" s="3" t="s">
        <v>144</v>
      </c>
      <c r="C1328" s="3" t="str">
        <f t="shared" si="20"/>
        <v>450012745150</v>
      </c>
      <c r="D1328" s="4">
        <v>46160</v>
      </c>
      <c r="E1328" s="3" t="s">
        <v>2200</v>
      </c>
      <c r="F1328" s="3" t="s">
        <v>2537</v>
      </c>
    </row>
    <row r="1329" spans="1:6" x14ac:dyDescent="0.3">
      <c r="A1329" s="3" t="s">
        <v>702</v>
      </c>
      <c r="B1329" s="3" t="s">
        <v>141</v>
      </c>
      <c r="C1329" s="3" t="str">
        <f t="shared" si="20"/>
        <v>450012745160</v>
      </c>
      <c r="D1329" s="4">
        <v>46160</v>
      </c>
      <c r="E1329" s="3" t="s">
        <v>2200</v>
      </c>
      <c r="F1329" s="3" t="s">
        <v>2537</v>
      </c>
    </row>
    <row r="1330" spans="1:6" x14ac:dyDescent="0.3">
      <c r="A1330" s="3" t="s">
        <v>702</v>
      </c>
      <c r="B1330" s="3" t="s">
        <v>134</v>
      </c>
      <c r="C1330" s="3" t="str">
        <f t="shared" si="20"/>
        <v>450012745170</v>
      </c>
      <c r="D1330" s="4">
        <v>46160</v>
      </c>
      <c r="E1330" s="3" t="s">
        <v>2200</v>
      </c>
      <c r="F1330" s="3" t="s">
        <v>2537</v>
      </c>
    </row>
    <row r="1331" spans="1:6" x14ac:dyDescent="0.3">
      <c r="A1331" s="3" t="s">
        <v>702</v>
      </c>
      <c r="B1331" s="3" t="s">
        <v>52</v>
      </c>
      <c r="C1331" s="3" t="str">
        <f t="shared" si="20"/>
        <v>450012745180</v>
      </c>
      <c r="D1331" s="4">
        <v>46160</v>
      </c>
      <c r="E1331" s="3" t="s">
        <v>2200</v>
      </c>
      <c r="F1331" s="3" t="s">
        <v>2537</v>
      </c>
    </row>
    <row r="1332" spans="1:6" x14ac:dyDescent="0.3">
      <c r="A1332" s="3" t="s">
        <v>702</v>
      </c>
      <c r="B1332" s="3" t="s">
        <v>138</v>
      </c>
      <c r="C1332" s="3" t="str">
        <f t="shared" si="20"/>
        <v>450012745190</v>
      </c>
      <c r="D1332" s="4">
        <v>46160</v>
      </c>
      <c r="E1332" s="3" t="s">
        <v>2200</v>
      </c>
      <c r="F1332" s="3" t="s">
        <v>2537</v>
      </c>
    </row>
    <row r="1333" spans="1:6" x14ac:dyDescent="0.3">
      <c r="A1333" s="3" t="s">
        <v>702</v>
      </c>
      <c r="B1333" s="3" t="s">
        <v>45</v>
      </c>
      <c r="C1333" s="3" t="str">
        <f t="shared" si="20"/>
        <v>4500127451100</v>
      </c>
      <c r="D1333" s="4">
        <v>46167</v>
      </c>
      <c r="E1333" s="3" t="s">
        <v>2200</v>
      </c>
      <c r="F1333" s="3" t="s">
        <v>2537</v>
      </c>
    </row>
    <row r="1334" spans="1:6" x14ac:dyDescent="0.3">
      <c r="A1334" s="3" t="s">
        <v>702</v>
      </c>
      <c r="B1334" s="3" t="s">
        <v>156</v>
      </c>
      <c r="C1334" s="3" t="str">
        <f t="shared" si="20"/>
        <v>4500127451110</v>
      </c>
      <c r="D1334" s="4">
        <v>46160</v>
      </c>
      <c r="E1334" s="3" t="s">
        <v>2200</v>
      </c>
      <c r="F1334" s="3" t="s">
        <v>2537</v>
      </c>
    </row>
    <row r="1335" spans="1:6" x14ac:dyDescent="0.3">
      <c r="A1335" s="3" t="s">
        <v>702</v>
      </c>
      <c r="B1335" s="3" t="s">
        <v>132</v>
      </c>
      <c r="C1335" s="3" t="str">
        <f t="shared" si="20"/>
        <v>4500127451120</v>
      </c>
      <c r="D1335" s="4">
        <v>46160</v>
      </c>
      <c r="E1335" s="3" t="s">
        <v>2200</v>
      </c>
      <c r="F1335" s="3" t="s">
        <v>2537</v>
      </c>
    </row>
    <row r="1336" spans="1:6" x14ac:dyDescent="0.3">
      <c r="A1336" s="3" t="s">
        <v>702</v>
      </c>
      <c r="B1336" s="3" t="s">
        <v>142</v>
      </c>
      <c r="C1336" s="3" t="str">
        <f t="shared" si="20"/>
        <v>4500127451130</v>
      </c>
      <c r="D1336" s="4">
        <v>46160</v>
      </c>
      <c r="E1336" s="3" t="s">
        <v>2200</v>
      </c>
      <c r="F1336" s="3" t="s">
        <v>2537</v>
      </c>
    </row>
    <row r="1337" spans="1:6" x14ac:dyDescent="0.3">
      <c r="A1337" s="3" t="s">
        <v>1003</v>
      </c>
      <c r="B1337" s="3" t="s">
        <v>30</v>
      </c>
      <c r="C1337" s="3" t="str">
        <f t="shared" si="20"/>
        <v>450012758910</v>
      </c>
      <c r="D1337" s="4">
        <v>46241</v>
      </c>
      <c r="E1337" s="3" t="s">
        <v>2204</v>
      </c>
      <c r="F1337" s="3" t="s">
        <v>2461</v>
      </c>
    </row>
    <row r="1338" spans="1:6" x14ac:dyDescent="0.3">
      <c r="A1338" s="3" t="s">
        <v>3187</v>
      </c>
      <c r="B1338" s="3" t="s">
        <v>22</v>
      </c>
      <c r="C1338" s="3" t="str">
        <f t="shared" si="20"/>
        <v>450012769120</v>
      </c>
      <c r="D1338" s="4">
        <v>46402</v>
      </c>
      <c r="E1338" s="3" t="s">
        <v>2210</v>
      </c>
      <c r="F1338" s="3" t="s">
        <v>2482</v>
      </c>
    </row>
    <row r="1339" spans="1:6" x14ac:dyDescent="0.3">
      <c r="A1339" s="3" t="s">
        <v>721</v>
      </c>
      <c r="B1339" s="3" t="s">
        <v>30</v>
      </c>
      <c r="C1339" s="3" t="str">
        <f t="shared" si="20"/>
        <v>450012816110</v>
      </c>
      <c r="D1339" s="4">
        <v>46164</v>
      </c>
      <c r="E1339" s="3" t="s">
        <v>2239</v>
      </c>
      <c r="F1339" s="3" t="s">
        <v>2512</v>
      </c>
    </row>
    <row r="1340" spans="1:6" x14ac:dyDescent="0.3">
      <c r="A1340" s="3" t="s">
        <v>850</v>
      </c>
      <c r="B1340" s="3" t="s">
        <v>30</v>
      </c>
      <c r="C1340" s="3" t="str">
        <f t="shared" si="20"/>
        <v>450012817010</v>
      </c>
      <c r="D1340" s="4">
        <v>46182</v>
      </c>
      <c r="E1340" s="3" t="s">
        <v>2207</v>
      </c>
      <c r="F1340" s="3" t="s">
        <v>2489</v>
      </c>
    </row>
    <row r="1341" spans="1:6" x14ac:dyDescent="0.3">
      <c r="A1341" s="3" t="s">
        <v>715</v>
      </c>
      <c r="B1341" s="3" t="s">
        <v>30</v>
      </c>
      <c r="C1341" s="3" t="str">
        <f t="shared" si="20"/>
        <v>450012827510</v>
      </c>
      <c r="D1341" s="4">
        <v>46171</v>
      </c>
      <c r="E1341" s="3" t="s">
        <v>2233</v>
      </c>
      <c r="F1341" s="3" t="s">
        <v>2597</v>
      </c>
    </row>
    <row r="1342" spans="1:6" x14ac:dyDescent="0.3">
      <c r="A1342" s="3" t="s">
        <v>749</v>
      </c>
      <c r="B1342" s="3" t="s">
        <v>30</v>
      </c>
      <c r="C1342" s="3" t="str">
        <f t="shared" si="20"/>
        <v>450012828710</v>
      </c>
      <c r="D1342" s="4">
        <v>46174</v>
      </c>
      <c r="E1342" s="3" t="s">
        <v>2194</v>
      </c>
      <c r="F1342" s="3" t="s">
        <v>2601</v>
      </c>
    </row>
    <row r="1343" spans="1:6" x14ac:dyDescent="0.3">
      <c r="A1343" s="3" t="s">
        <v>749</v>
      </c>
      <c r="B1343" s="3" t="s">
        <v>22</v>
      </c>
      <c r="C1343" s="3" t="str">
        <f t="shared" si="20"/>
        <v>450012828720</v>
      </c>
      <c r="D1343" s="4">
        <v>46174</v>
      </c>
      <c r="E1343" s="3" t="s">
        <v>2194</v>
      </c>
      <c r="F1343" s="3" t="s">
        <v>2601</v>
      </c>
    </row>
    <row r="1344" spans="1:6" x14ac:dyDescent="0.3">
      <c r="A1344" s="3" t="s">
        <v>2783</v>
      </c>
      <c r="B1344" s="3" t="s">
        <v>30</v>
      </c>
      <c r="C1344" s="3" t="str">
        <f t="shared" si="20"/>
        <v>450012833210</v>
      </c>
      <c r="D1344" s="4">
        <v>46331</v>
      </c>
      <c r="E1344" s="3" t="s">
        <v>2195</v>
      </c>
      <c r="F1344" s="3" t="s">
        <v>2786</v>
      </c>
    </row>
    <row r="1345" spans="1:6" x14ac:dyDescent="0.3">
      <c r="A1345" s="3" t="s">
        <v>2140</v>
      </c>
      <c r="B1345" s="3" t="s">
        <v>30</v>
      </c>
      <c r="C1345" s="3" t="str">
        <f t="shared" si="20"/>
        <v>450012836810</v>
      </c>
      <c r="D1345" s="4">
        <v>46280</v>
      </c>
      <c r="E1345" s="3" t="s">
        <v>2196</v>
      </c>
      <c r="F1345" s="3" t="s">
        <v>2490</v>
      </c>
    </row>
    <row r="1346" spans="1:6" x14ac:dyDescent="0.3">
      <c r="A1346" s="3" t="s">
        <v>2140</v>
      </c>
      <c r="B1346" s="3" t="s">
        <v>22</v>
      </c>
      <c r="C1346" s="3" t="str">
        <f t="shared" si="20"/>
        <v>450012836820</v>
      </c>
      <c r="D1346" s="4">
        <v>46203</v>
      </c>
      <c r="E1346" s="3" t="s">
        <v>2196</v>
      </c>
      <c r="F1346" s="3" t="s">
        <v>2490</v>
      </c>
    </row>
    <row r="1347" spans="1:6" x14ac:dyDescent="0.3">
      <c r="A1347" s="3" t="s">
        <v>2140</v>
      </c>
      <c r="B1347" s="3" t="s">
        <v>35</v>
      </c>
      <c r="C1347" s="3" t="str">
        <f t="shared" ref="C1347:C1410" si="21">_xlfn.CONCAT(A1347:B1347)</f>
        <v>450012836830</v>
      </c>
      <c r="D1347" s="4">
        <v>46203</v>
      </c>
      <c r="E1347" s="3" t="s">
        <v>2196</v>
      </c>
      <c r="F1347" s="3" t="s">
        <v>2490</v>
      </c>
    </row>
    <row r="1348" spans="1:6" x14ac:dyDescent="0.3">
      <c r="A1348" s="3" t="s">
        <v>2140</v>
      </c>
      <c r="B1348" s="3" t="s">
        <v>23</v>
      </c>
      <c r="C1348" s="3" t="str">
        <f t="shared" si="21"/>
        <v>450012836840</v>
      </c>
      <c r="D1348" s="4">
        <v>46308</v>
      </c>
      <c r="E1348" s="3" t="s">
        <v>2196</v>
      </c>
      <c r="F1348" s="3" t="s">
        <v>2490</v>
      </c>
    </row>
    <row r="1349" spans="1:6" x14ac:dyDescent="0.3">
      <c r="A1349" s="3" t="s">
        <v>2140</v>
      </c>
      <c r="B1349" s="3" t="s">
        <v>144</v>
      </c>
      <c r="C1349" s="3" t="str">
        <f t="shared" si="21"/>
        <v>450012836850</v>
      </c>
      <c r="D1349" s="4">
        <v>46245</v>
      </c>
      <c r="E1349" s="3" t="s">
        <v>2196</v>
      </c>
      <c r="F1349" s="3" t="s">
        <v>2490</v>
      </c>
    </row>
    <row r="1350" spans="1:6" x14ac:dyDescent="0.3">
      <c r="A1350" s="3" t="s">
        <v>723</v>
      </c>
      <c r="B1350" s="3" t="s">
        <v>30</v>
      </c>
      <c r="C1350" s="3" t="str">
        <f t="shared" si="21"/>
        <v>450012844310</v>
      </c>
      <c r="D1350" s="4">
        <v>46203</v>
      </c>
      <c r="E1350" s="3" t="s">
        <v>2203</v>
      </c>
      <c r="F1350" s="3" t="s">
        <v>2541</v>
      </c>
    </row>
    <row r="1351" spans="1:6" x14ac:dyDescent="0.3">
      <c r="A1351" s="3" t="s">
        <v>966</v>
      </c>
      <c r="B1351" s="3" t="s">
        <v>30</v>
      </c>
      <c r="C1351" s="3" t="str">
        <f t="shared" si="21"/>
        <v>450012849610</v>
      </c>
      <c r="D1351" s="4">
        <v>46238</v>
      </c>
      <c r="E1351" s="3" t="s">
        <v>2239</v>
      </c>
      <c r="F1351" s="3" t="s">
        <v>2602</v>
      </c>
    </row>
    <row r="1352" spans="1:6" x14ac:dyDescent="0.3">
      <c r="A1352" s="3" t="s">
        <v>2748</v>
      </c>
      <c r="B1352" s="3" t="s">
        <v>30</v>
      </c>
      <c r="C1352" s="3" t="str">
        <f t="shared" si="21"/>
        <v>450012856010</v>
      </c>
      <c r="D1352" s="4">
        <v>46418</v>
      </c>
      <c r="E1352" s="3" t="s">
        <v>2195</v>
      </c>
      <c r="F1352" s="3" t="s">
        <v>2784</v>
      </c>
    </row>
    <row r="1353" spans="1:6" x14ac:dyDescent="0.3">
      <c r="A1353" s="3" t="s">
        <v>280</v>
      </c>
      <c r="B1353" s="3" t="s">
        <v>30</v>
      </c>
      <c r="C1353" s="3" t="str">
        <f t="shared" si="21"/>
        <v>450012861210</v>
      </c>
      <c r="D1353" s="4">
        <v>46295</v>
      </c>
      <c r="E1353" s="3" t="s">
        <v>2197</v>
      </c>
      <c r="F1353" s="3" t="s">
        <v>2529</v>
      </c>
    </row>
    <row r="1354" spans="1:6" x14ac:dyDescent="0.3">
      <c r="A1354" s="3" t="s">
        <v>734</v>
      </c>
      <c r="B1354" s="3" t="s">
        <v>30</v>
      </c>
      <c r="C1354" s="3" t="str">
        <f t="shared" si="21"/>
        <v>450012862810</v>
      </c>
      <c r="D1354" s="4">
        <v>46386</v>
      </c>
      <c r="E1354" s="3" t="s">
        <v>2203</v>
      </c>
      <c r="F1354" s="3" t="s">
        <v>2541</v>
      </c>
    </row>
    <row r="1355" spans="1:6" x14ac:dyDescent="0.3">
      <c r="A1355" s="3" t="s">
        <v>930</v>
      </c>
      <c r="B1355" s="3" t="s">
        <v>30</v>
      </c>
      <c r="C1355" s="3" t="str">
        <f t="shared" si="21"/>
        <v>450012865710</v>
      </c>
      <c r="D1355" s="4">
        <v>46387</v>
      </c>
      <c r="E1355" s="3" t="s">
        <v>2197</v>
      </c>
      <c r="F1355" s="3" t="s">
        <v>2407</v>
      </c>
    </row>
    <row r="1356" spans="1:6" x14ac:dyDescent="0.3">
      <c r="A1356" s="3" t="s">
        <v>728</v>
      </c>
      <c r="B1356" s="3" t="s">
        <v>30</v>
      </c>
      <c r="C1356" s="3" t="str">
        <f t="shared" si="21"/>
        <v>450012869210</v>
      </c>
      <c r="D1356" s="4">
        <v>46175</v>
      </c>
      <c r="E1356" s="3" t="s">
        <v>2236</v>
      </c>
      <c r="F1356" s="3" t="s">
        <v>2549</v>
      </c>
    </row>
    <row r="1357" spans="1:6" x14ac:dyDescent="0.3">
      <c r="A1357" s="3" t="s">
        <v>802</v>
      </c>
      <c r="B1357" s="3" t="s">
        <v>30</v>
      </c>
      <c r="C1357" s="3" t="str">
        <f t="shared" si="21"/>
        <v>450012869310</v>
      </c>
      <c r="D1357" s="4">
        <v>46231</v>
      </c>
      <c r="E1357" s="3" t="s">
        <v>2206</v>
      </c>
      <c r="F1357" s="3" t="s">
        <v>2459</v>
      </c>
    </row>
    <row r="1358" spans="1:6" x14ac:dyDescent="0.3">
      <c r="A1358" s="3" t="s">
        <v>802</v>
      </c>
      <c r="B1358" s="3" t="s">
        <v>22</v>
      </c>
      <c r="C1358" s="3" t="str">
        <f t="shared" si="21"/>
        <v>450012869320</v>
      </c>
      <c r="D1358" s="4">
        <v>46231</v>
      </c>
      <c r="E1358" s="3" t="s">
        <v>2206</v>
      </c>
      <c r="F1358" s="3" t="s">
        <v>2459</v>
      </c>
    </row>
    <row r="1359" spans="1:6" x14ac:dyDescent="0.3">
      <c r="A1359" s="3" t="s">
        <v>802</v>
      </c>
      <c r="B1359" s="3" t="s">
        <v>23</v>
      </c>
      <c r="C1359" s="3" t="str">
        <f t="shared" si="21"/>
        <v>450012869340</v>
      </c>
      <c r="D1359" s="4">
        <v>46231</v>
      </c>
      <c r="E1359" s="3" t="s">
        <v>2206</v>
      </c>
      <c r="F1359" s="3" t="s">
        <v>2459</v>
      </c>
    </row>
    <row r="1360" spans="1:6" x14ac:dyDescent="0.3">
      <c r="A1360" s="3" t="s">
        <v>802</v>
      </c>
      <c r="B1360" s="3" t="s">
        <v>144</v>
      </c>
      <c r="C1360" s="3" t="str">
        <f t="shared" si="21"/>
        <v>450012869350</v>
      </c>
      <c r="D1360" s="4">
        <v>46231</v>
      </c>
      <c r="E1360" s="3" t="s">
        <v>2206</v>
      </c>
      <c r="F1360" s="3" t="s">
        <v>2459</v>
      </c>
    </row>
    <row r="1361" spans="1:6" x14ac:dyDescent="0.3">
      <c r="A1361" s="3" t="s">
        <v>802</v>
      </c>
      <c r="B1361" s="3" t="s">
        <v>141</v>
      </c>
      <c r="C1361" s="3" t="str">
        <f t="shared" si="21"/>
        <v>450012869360</v>
      </c>
      <c r="D1361" s="4">
        <v>46231</v>
      </c>
      <c r="E1361" s="3" t="s">
        <v>2206</v>
      </c>
      <c r="F1361" s="3" t="s">
        <v>2459</v>
      </c>
    </row>
    <row r="1362" spans="1:6" x14ac:dyDescent="0.3">
      <c r="A1362" s="3" t="s">
        <v>730</v>
      </c>
      <c r="B1362" s="3" t="s">
        <v>30</v>
      </c>
      <c r="C1362" s="3" t="str">
        <f t="shared" si="21"/>
        <v>450012875110</v>
      </c>
      <c r="D1362" s="4">
        <v>46185</v>
      </c>
      <c r="E1362" s="3" t="s">
        <v>2236</v>
      </c>
      <c r="F1362" s="3" t="s">
        <v>2549</v>
      </c>
    </row>
    <row r="1363" spans="1:6" x14ac:dyDescent="0.3">
      <c r="A1363" s="3" t="s">
        <v>732</v>
      </c>
      <c r="B1363" s="3" t="s">
        <v>30</v>
      </c>
      <c r="C1363" s="3" t="str">
        <f t="shared" si="21"/>
        <v>450012875210</v>
      </c>
      <c r="D1363" s="4">
        <v>46188</v>
      </c>
      <c r="E1363" s="3" t="s">
        <v>2236</v>
      </c>
      <c r="F1363" s="3" t="s">
        <v>2549</v>
      </c>
    </row>
    <row r="1364" spans="1:6" x14ac:dyDescent="0.3">
      <c r="A1364" s="3" t="s">
        <v>732</v>
      </c>
      <c r="B1364" s="3" t="s">
        <v>22</v>
      </c>
      <c r="C1364" s="3" t="str">
        <f t="shared" si="21"/>
        <v>450012875220</v>
      </c>
      <c r="D1364" s="4">
        <v>46188</v>
      </c>
      <c r="E1364" s="3" t="s">
        <v>2236</v>
      </c>
      <c r="F1364" s="3" t="s">
        <v>2549</v>
      </c>
    </row>
    <row r="1365" spans="1:6" x14ac:dyDescent="0.3">
      <c r="A1365" s="3" t="s">
        <v>740</v>
      </c>
      <c r="B1365" s="3" t="s">
        <v>30</v>
      </c>
      <c r="C1365" s="3" t="str">
        <f t="shared" si="21"/>
        <v>450012883310</v>
      </c>
      <c r="D1365" s="4">
        <v>46183</v>
      </c>
      <c r="E1365" s="3" t="s">
        <v>2236</v>
      </c>
      <c r="F1365" s="3" t="s">
        <v>2581</v>
      </c>
    </row>
    <row r="1366" spans="1:6" x14ac:dyDescent="0.3">
      <c r="A1366" s="3" t="s">
        <v>1823</v>
      </c>
      <c r="B1366" s="3" t="s">
        <v>30</v>
      </c>
      <c r="C1366" s="3" t="str">
        <f t="shared" si="21"/>
        <v>450012889410</v>
      </c>
      <c r="D1366" s="4">
        <v>46262</v>
      </c>
      <c r="E1366" s="3" t="s">
        <v>2212</v>
      </c>
      <c r="F1366" s="3" t="s">
        <v>2434</v>
      </c>
    </row>
    <row r="1367" spans="1:6" x14ac:dyDescent="0.3">
      <c r="A1367" s="3" t="s">
        <v>1823</v>
      </c>
      <c r="B1367" s="3" t="s">
        <v>22</v>
      </c>
      <c r="C1367" s="3" t="str">
        <f t="shared" si="21"/>
        <v>450012889420</v>
      </c>
      <c r="D1367" s="4">
        <v>46262</v>
      </c>
      <c r="E1367" s="3" t="s">
        <v>2212</v>
      </c>
      <c r="F1367" s="3" t="s">
        <v>2434</v>
      </c>
    </row>
    <row r="1368" spans="1:6" x14ac:dyDescent="0.3">
      <c r="A1368" s="3" t="s">
        <v>1823</v>
      </c>
      <c r="B1368" s="3" t="s">
        <v>35</v>
      </c>
      <c r="C1368" s="3" t="str">
        <f t="shared" si="21"/>
        <v>450012889430</v>
      </c>
      <c r="D1368" s="4">
        <v>46262</v>
      </c>
      <c r="E1368" s="3" t="s">
        <v>2212</v>
      </c>
      <c r="F1368" s="3" t="s">
        <v>2434</v>
      </c>
    </row>
    <row r="1369" spans="1:6" x14ac:dyDescent="0.3">
      <c r="A1369" s="3" t="s">
        <v>1823</v>
      </c>
      <c r="B1369" s="3" t="s">
        <v>23</v>
      </c>
      <c r="C1369" s="3" t="str">
        <f t="shared" si="21"/>
        <v>450012889440</v>
      </c>
      <c r="D1369" s="4">
        <v>46262</v>
      </c>
      <c r="E1369" s="3" t="s">
        <v>2212</v>
      </c>
      <c r="F1369" s="3" t="s">
        <v>2434</v>
      </c>
    </row>
    <row r="1370" spans="1:6" x14ac:dyDescent="0.3">
      <c r="A1370" s="3" t="s">
        <v>1823</v>
      </c>
      <c r="B1370" s="3" t="s">
        <v>144</v>
      </c>
      <c r="C1370" s="3" t="str">
        <f t="shared" si="21"/>
        <v>450012889450</v>
      </c>
      <c r="D1370" s="4">
        <v>46262</v>
      </c>
      <c r="E1370" s="3" t="s">
        <v>2212</v>
      </c>
      <c r="F1370" s="3" t="s">
        <v>2434</v>
      </c>
    </row>
    <row r="1371" spans="1:6" x14ac:dyDescent="0.3">
      <c r="A1371" s="3" t="s">
        <v>1823</v>
      </c>
      <c r="B1371" s="3" t="s">
        <v>52</v>
      </c>
      <c r="C1371" s="3" t="str">
        <f t="shared" si="21"/>
        <v>450012889480</v>
      </c>
      <c r="D1371" s="4">
        <v>46269</v>
      </c>
      <c r="E1371" s="3" t="s">
        <v>2212</v>
      </c>
      <c r="F1371" s="3" t="s">
        <v>2434</v>
      </c>
    </row>
    <row r="1372" spans="1:6" x14ac:dyDescent="0.3">
      <c r="A1372" s="3" t="s">
        <v>1823</v>
      </c>
      <c r="B1372" s="3" t="s">
        <v>138</v>
      </c>
      <c r="C1372" s="3" t="str">
        <f t="shared" si="21"/>
        <v>450012889490</v>
      </c>
      <c r="D1372" s="4">
        <v>46298</v>
      </c>
      <c r="E1372" s="3" t="s">
        <v>2212</v>
      </c>
      <c r="F1372" s="3" t="s">
        <v>2434</v>
      </c>
    </row>
    <row r="1373" spans="1:6" x14ac:dyDescent="0.3">
      <c r="A1373" s="3" t="s">
        <v>1823</v>
      </c>
      <c r="B1373" s="3" t="s">
        <v>45</v>
      </c>
      <c r="C1373" s="3" t="str">
        <f t="shared" si="21"/>
        <v>4500128894100</v>
      </c>
      <c r="D1373" s="4">
        <v>46262</v>
      </c>
      <c r="E1373" s="3" t="s">
        <v>2212</v>
      </c>
      <c r="F1373" s="3" t="s">
        <v>2434</v>
      </c>
    </row>
    <row r="1374" spans="1:6" x14ac:dyDescent="0.3">
      <c r="A1374" s="3" t="s">
        <v>1823</v>
      </c>
      <c r="B1374" s="3" t="s">
        <v>156</v>
      </c>
      <c r="C1374" s="3" t="str">
        <f t="shared" si="21"/>
        <v>4500128894110</v>
      </c>
      <c r="D1374" s="4">
        <v>46262</v>
      </c>
      <c r="E1374" s="3" t="s">
        <v>2212</v>
      </c>
      <c r="F1374" s="3" t="s">
        <v>2434</v>
      </c>
    </row>
    <row r="1375" spans="1:6" x14ac:dyDescent="0.3">
      <c r="A1375" s="3" t="s">
        <v>1823</v>
      </c>
      <c r="B1375" s="3" t="s">
        <v>142</v>
      </c>
      <c r="C1375" s="3" t="str">
        <f t="shared" si="21"/>
        <v>4500128894130</v>
      </c>
      <c r="D1375" s="4">
        <v>46262</v>
      </c>
      <c r="E1375" s="3" t="s">
        <v>2212</v>
      </c>
      <c r="F1375" s="3" t="s">
        <v>2434</v>
      </c>
    </row>
    <row r="1376" spans="1:6" x14ac:dyDescent="0.3">
      <c r="A1376" s="3" t="s">
        <v>1823</v>
      </c>
      <c r="B1376" s="3" t="s">
        <v>131</v>
      </c>
      <c r="C1376" s="3" t="str">
        <f t="shared" si="21"/>
        <v>4500128894140</v>
      </c>
      <c r="D1376" s="4">
        <v>46265</v>
      </c>
      <c r="E1376" s="3" t="s">
        <v>2212</v>
      </c>
      <c r="F1376" s="3" t="s">
        <v>2434</v>
      </c>
    </row>
    <row r="1377" spans="1:6" x14ac:dyDescent="0.3">
      <c r="A1377" s="3" t="s">
        <v>3207</v>
      </c>
      <c r="B1377" s="3" t="s">
        <v>30</v>
      </c>
      <c r="C1377" s="3" t="str">
        <f t="shared" si="21"/>
        <v>450012891710</v>
      </c>
      <c r="D1377" s="4">
        <v>46177</v>
      </c>
      <c r="E1377" s="3" t="s">
        <v>2239</v>
      </c>
      <c r="F1377" s="3" t="s">
        <v>2512</v>
      </c>
    </row>
    <row r="1378" spans="1:6" x14ac:dyDescent="0.3">
      <c r="A1378" s="3" t="s">
        <v>3207</v>
      </c>
      <c r="B1378" s="3" t="s">
        <v>22</v>
      </c>
      <c r="C1378" s="3" t="str">
        <f t="shared" si="21"/>
        <v>450012891720</v>
      </c>
      <c r="D1378" s="4">
        <v>46177</v>
      </c>
      <c r="E1378" s="3" t="s">
        <v>2239</v>
      </c>
      <c r="F1378" s="3" t="s">
        <v>2512</v>
      </c>
    </row>
    <row r="1379" spans="1:6" x14ac:dyDescent="0.3">
      <c r="A1379" s="3" t="s">
        <v>321</v>
      </c>
      <c r="B1379" s="3" t="s">
        <v>30</v>
      </c>
      <c r="C1379" s="3" t="str">
        <f t="shared" si="21"/>
        <v>450012906810</v>
      </c>
      <c r="D1379" s="4">
        <v>46250</v>
      </c>
      <c r="E1379" s="3" t="s">
        <v>2203</v>
      </c>
      <c r="F1379" s="3" t="s">
        <v>2463</v>
      </c>
    </row>
    <row r="1380" spans="1:6" x14ac:dyDescent="0.3">
      <c r="A1380" s="3" t="s">
        <v>2843</v>
      </c>
      <c r="B1380" s="3" t="s">
        <v>30</v>
      </c>
      <c r="C1380" s="3" t="str">
        <f t="shared" si="21"/>
        <v>450012914210</v>
      </c>
      <c r="D1380" s="4">
        <v>46387</v>
      </c>
      <c r="E1380" s="3" t="s">
        <v>2213</v>
      </c>
      <c r="F1380" s="3" t="s">
        <v>3218</v>
      </c>
    </row>
    <row r="1381" spans="1:6" x14ac:dyDescent="0.3">
      <c r="A1381" s="3" t="s">
        <v>292</v>
      </c>
      <c r="B1381" s="3" t="s">
        <v>22</v>
      </c>
      <c r="C1381" s="3" t="str">
        <f t="shared" si="21"/>
        <v>450012925920</v>
      </c>
      <c r="D1381" s="4">
        <v>46191</v>
      </c>
      <c r="E1381" s="3" t="s">
        <v>2207</v>
      </c>
      <c r="F1381" s="3" t="s">
        <v>2501</v>
      </c>
    </row>
    <row r="1382" spans="1:6" x14ac:dyDescent="0.3">
      <c r="A1382" s="3" t="s">
        <v>292</v>
      </c>
      <c r="B1382" s="3" t="s">
        <v>23</v>
      </c>
      <c r="C1382" s="3" t="str">
        <f t="shared" si="21"/>
        <v>450012925940</v>
      </c>
      <c r="D1382" s="4">
        <v>46191</v>
      </c>
      <c r="E1382" s="3" t="s">
        <v>2207</v>
      </c>
      <c r="F1382" s="3" t="s">
        <v>2501</v>
      </c>
    </row>
    <row r="1383" spans="1:6" x14ac:dyDescent="0.3">
      <c r="A1383" s="3" t="s">
        <v>756</v>
      </c>
      <c r="B1383" s="3" t="s">
        <v>30</v>
      </c>
      <c r="C1383" s="3" t="str">
        <f t="shared" si="21"/>
        <v>450012928810</v>
      </c>
      <c r="D1383" s="4">
        <v>46189</v>
      </c>
      <c r="E1383" s="3" t="s">
        <v>2236</v>
      </c>
      <c r="F1383" s="3" t="s">
        <v>2549</v>
      </c>
    </row>
    <row r="1384" spans="1:6" x14ac:dyDescent="0.3">
      <c r="A1384" s="3" t="s">
        <v>756</v>
      </c>
      <c r="B1384" s="3" t="s">
        <v>22</v>
      </c>
      <c r="C1384" s="3" t="str">
        <f t="shared" si="21"/>
        <v>450012928820</v>
      </c>
      <c r="D1384" s="4">
        <v>46189</v>
      </c>
      <c r="E1384" s="3" t="s">
        <v>2236</v>
      </c>
      <c r="F1384" s="3" t="s">
        <v>2549</v>
      </c>
    </row>
    <row r="1385" spans="1:6" x14ac:dyDescent="0.3">
      <c r="A1385" s="3" t="s">
        <v>855</v>
      </c>
      <c r="B1385" s="3" t="s">
        <v>30</v>
      </c>
      <c r="C1385" s="3" t="str">
        <f t="shared" si="21"/>
        <v>450012940610</v>
      </c>
      <c r="D1385" s="4">
        <v>46210</v>
      </c>
      <c r="E1385" s="3" t="s">
        <v>2236</v>
      </c>
      <c r="F1385" s="3" t="s">
        <v>2603</v>
      </c>
    </row>
    <row r="1386" spans="1:6" x14ac:dyDescent="0.3">
      <c r="A1386" s="3" t="s">
        <v>760</v>
      </c>
      <c r="B1386" s="3" t="s">
        <v>30</v>
      </c>
      <c r="C1386" s="3" t="str">
        <f t="shared" si="21"/>
        <v>450012942710</v>
      </c>
      <c r="D1386" s="4">
        <v>46233</v>
      </c>
      <c r="E1386" s="3" t="s">
        <v>2194</v>
      </c>
      <c r="F1386" s="3" t="s">
        <v>2498</v>
      </c>
    </row>
    <row r="1387" spans="1:6" x14ac:dyDescent="0.3">
      <c r="A1387" s="3" t="s">
        <v>760</v>
      </c>
      <c r="B1387" s="3" t="s">
        <v>22</v>
      </c>
      <c r="C1387" s="3" t="str">
        <f t="shared" si="21"/>
        <v>450012942720</v>
      </c>
      <c r="D1387" s="4">
        <v>46233</v>
      </c>
      <c r="E1387" s="3" t="s">
        <v>2194</v>
      </c>
      <c r="F1387" s="3" t="s">
        <v>2498</v>
      </c>
    </row>
    <row r="1388" spans="1:6" x14ac:dyDescent="0.3">
      <c r="A1388" s="3" t="s">
        <v>762</v>
      </c>
      <c r="B1388" s="3" t="s">
        <v>30</v>
      </c>
      <c r="C1388" s="3" t="str">
        <f t="shared" si="21"/>
        <v>450012942910</v>
      </c>
      <c r="D1388" s="4">
        <v>46196</v>
      </c>
      <c r="E1388" s="3" t="s">
        <v>2203</v>
      </c>
      <c r="F1388" s="3" t="s">
        <v>2599</v>
      </c>
    </row>
    <row r="1389" spans="1:6" x14ac:dyDescent="0.3">
      <c r="A1389" s="3" t="s">
        <v>762</v>
      </c>
      <c r="B1389" s="3" t="s">
        <v>22</v>
      </c>
      <c r="C1389" s="3" t="str">
        <f t="shared" si="21"/>
        <v>450012942920</v>
      </c>
      <c r="D1389" s="4">
        <v>46196</v>
      </c>
      <c r="E1389" s="3" t="s">
        <v>2203</v>
      </c>
      <c r="F1389" s="3" t="s">
        <v>2599</v>
      </c>
    </row>
    <row r="1390" spans="1:6" x14ac:dyDescent="0.3">
      <c r="A1390" s="3" t="s">
        <v>779</v>
      </c>
      <c r="B1390" s="3" t="s">
        <v>30</v>
      </c>
      <c r="C1390" s="3" t="str">
        <f t="shared" si="21"/>
        <v>450012944610</v>
      </c>
      <c r="D1390" s="4">
        <v>46203</v>
      </c>
      <c r="E1390" s="3" t="s">
        <v>2206</v>
      </c>
      <c r="F1390" s="3" t="s">
        <v>2604</v>
      </c>
    </row>
    <row r="1391" spans="1:6" x14ac:dyDescent="0.3">
      <c r="A1391" s="3" t="s">
        <v>773</v>
      </c>
      <c r="B1391" s="3" t="s">
        <v>30</v>
      </c>
      <c r="C1391" s="3" t="str">
        <f t="shared" si="21"/>
        <v>450012959310</v>
      </c>
      <c r="D1391" s="4">
        <v>46192</v>
      </c>
      <c r="E1391" s="3" t="s">
        <v>2235</v>
      </c>
      <c r="F1391" s="3" t="s">
        <v>2605</v>
      </c>
    </row>
    <row r="1392" spans="1:6" x14ac:dyDescent="0.3">
      <c r="A1392" s="3" t="s">
        <v>916</v>
      </c>
      <c r="B1392" s="3" t="s">
        <v>30</v>
      </c>
      <c r="C1392" s="3" t="str">
        <f t="shared" si="21"/>
        <v>450012963210</v>
      </c>
      <c r="D1392" s="4">
        <v>46190</v>
      </c>
      <c r="E1392" s="3" t="s">
        <v>2207</v>
      </c>
      <c r="F1392" s="3" t="s">
        <v>2606</v>
      </c>
    </row>
    <row r="1393" spans="1:6" x14ac:dyDescent="0.3">
      <c r="A1393" s="3" t="s">
        <v>768</v>
      </c>
      <c r="B1393" s="3" t="s">
        <v>30</v>
      </c>
      <c r="C1393" s="3" t="str">
        <f t="shared" si="21"/>
        <v>450012963810</v>
      </c>
      <c r="D1393" s="4">
        <v>46184</v>
      </c>
      <c r="E1393" s="3" t="s">
        <v>2207</v>
      </c>
      <c r="F1393" s="3" t="s">
        <v>2607</v>
      </c>
    </row>
    <row r="1394" spans="1:6" x14ac:dyDescent="0.3">
      <c r="A1394" s="3" t="s">
        <v>81</v>
      </c>
      <c r="B1394" s="3" t="s">
        <v>30</v>
      </c>
      <c r="C1394" s="3" t="str">
        <f t="shared" si="21"/>
        <v>450012991410</v>
      </c>
      <c r="D1394" s="4">
        <v>46295</v>
      </c>
      <c r="E1394" s="3" t="s">
        <v>2203</v>
      </c>
      <c r="F1394" s="3" t="s">
        <v>2410</v>
      </c>
    </row>
    <row r="1395" spans="1:6" x14ac:dyDescent="0.3">
      <c r="A1395" s="3" t="s">
        <v>1121</v>
      </c>
      <c r="B1395" s="3" t="s">
        <v>30</v>
      </c>
      <c r="C1395" s="3" t="str">
        <f t="shared" si="21"/>
        <v>450012992510</v>
      </c>
      <c r="D1395" s="4">
        <v>46305</v>
      </c>
      <c r="E1395" s="3" t="s">
        <v>2196</v>
      </c>
      <c r="F1395" s="3" t="s">
        <v>2502</v>
      </c>
    </row>
    <row r="1396" spans="1:6" x14ac:dyDescent="0.3">
      <c r="A1396" s="3" t="s">
        <v>1121</v>
      </c>
      <c r="B1396" s="3" t="s">
        <v>22</v>
      </c>
      <c r="C1396" s="3" t="str">
        <f t="shared" si="21"/>
        <v>450012992520</v>
      </c>
      <c r="D1396" s="4">
        <v>46305</v>
      </c>
      <c r="E1396" s="3" t="s">
        <v>2196</v>
      </c>
      <c r="F1396" s="3" t="s">
        <v>2502</v>
      </c>
    </row>
    <row r="1397" spans="1:6" x14ac:dyDescent="0.3">
      <c r="A1397" s="3" t="s">
        <v>1121</v>
      </c>
      <c r="B1397" s="3" t="s">
        <v>35</v>
      </c>
      <c r="C1397" s="3" t="str">
        <f t="shared" si="21"/>
        <v>450012992530</v>
      </c>
      <c r="D1397" s="4">
        <v>46305</v>
      </c>
      <c r="E1397" s="3" t="s">
        <v>2196</v>
      </c>
      <c r="F1397" s="3" t="s">
        <v>2502</v>
      </c>
    </row>
    <row r="1398" spans="1:6" x14ac:dyDescent="0.3">
      <c r="A1398" s="3" t="s">
        <v>1121</v>
      </c>
      <c r="B1398" s="3" t="s">
        <v>23</v>
      </c>
      <c r="C1398" s="3" t="str">
        <f t="shared" si="21"/>
        <v>450012992540</v>
      </c>
      <c r="D1398" s="4">
        <v>46305</v>
      </c>
      <c r="E1398" s="3" t="s">
        <v>2196</v>
      </c>
      <c r="F1398" s="3" t="s">
        <v>2502</v>
      </c>
    </row>
    <row r="1399" spans="1:6" x14ac:dyDescent="0.3">
      <c r="A1399" s="3" t="s">
        <v>1121</v>
      </c>
      <c r="B1399" s="3" t="s">
        <v>144</v>
      </c>
      <c r="C1399" s="3" t="str">
        <f t="shared" si="21"/>
        <v>450012992550</v>
      </c>
      <c r="D1399" s="4">
        <v>46305</v>
      </c>
      <c r="E1399" s="3" t="s">
        <v>2196</v>
      </c>
      <c r="F1399" s="3" t="s">
        <v>2502</v>
      </c>
    </row>
    <row r="1400" spans="1:6" x14ac:dyDescent="0.3">
      <c r="A1400" s="3" t="s">
        <v>1121</v>
      </c>
      <c r="B1400" s="3" t="s">
        <v>141</v>
      </c>
      <c r="C1400" s="3" t="str">
        <f t="shared" si="21"/>
        <v>450012992560</v>
      </c>
      <c r="D1400" s="4">
        <v>46305</v>
      </c>
      <c r="E1400" s="3" t="s">
        <v>2196</v>
      </c>
      <c r="F1400" s="3" t="s">
        <v>2502</v>
      </c>
    </row>
    <row r="1401" spans="1:6" x14ac:dyDescent="0.3">
      <c r="A1401" s="3" t="s">
        <v>1121</v>
      </c>
      <c r="B1401" s="3" t="s">
        <v>134</v>
      </c>
      <c r="C1401" s="3" t="str">
        <f t="shared" si="21"/>
        <v>450012992570</v>
      </c>
      <c r="D1401" s="4">
        <v>46305</v>
      </c>
      <c r="E1401" s="3" t="s">
        <v>2196</v>
      </c>
      <c r="F1401" s="3" t="s">
        <v>2502</v>
      </c>
    </row>
    <row r="1402" spans="1:6" x14ac:dyDescent="0.3">
      <c r="A1402" s="3" t="s">
        <v>1121</v>
      </c>
      <c r="B1402" s="3" t="s">
        <v>52</v>
      </c>
      <c r="C1402" s="3" t="str">
        <f t="shared" si="21"/>
        <v>450012992580</v>
      </c>
      <c r="D1402" s="4">
        <v>46305</v>
      </c>
      <c r="E1402" s="3" t="s">
        <v>2196</v>
      </c>
      <c r="F1402" s="3" t="s">
        <v>2502</v>
      </c>
    </row>
    <row r="1403" spans="1:6" x14ac:dyDescent="0.3">
      <c r="A1403" s="3" t="s">
        <v>1121</v>
      </c>
      <c r="B1403" s="3" t="s">
        <v>138</v>
      </c>
      <c r="C1403" s="3" t="str">
        <f t="shared" si="21"/>
        <v>450012992590</v>
      </c>
      <c r="D1403" s="4">
        <v>46305</v>
      </c>
      <c r="E1403" s="3" t="s">
        <v>2196</v>
      </c>
      <c r="F1403" s="3" t="s">
        <v>2502</v>
      </c>
    </row>
    <row r="1404" spans="1:6" x14ac:dyDescent="0.3">
      <c r="A1404" s="3" t="s">
        <v>1121</v>
      </c>
      <c r="B1404" s="3" t="s">
        <v>45</v>
      </c>
      <c r="C1404" s="3" t="str">
        <f t="shared" si="21"/>
        <v>4500129925100</v>
      </c>
      <c r="D1404" s="4">
        <v>46305</v>
      </c>
      <c r="E1404" s="3" t="s">
        <v>2196</v>
      </c>
      <c r="F1404" s="3" t="s">
        <v>2502</v>
      </c>
    </row>
    <row r="1405" spans="1:6" x14ac:dyDescent="0.3">
      <c r="A1405" s="3" t="s">
        <v>1121</v>
      </c>
      <c r="B1405" s="3" t="s">
        <v>132</v>
      </c>
      <c r="C1405" s="3" t="str">
        <f t="shared" si="21"/>
        <v>4500129925120</v>
      </c>
      <c r="D1405" s="4">
        <v>46305</v>
      </c>
      <c r="E1405" s="3" t="s">
        <v>2196</v>
      </c>
      <c r="F1405" s="3" t="s">
        <v>2502</v>
      </c>
    </row>
    <row r="1406" spans="1:6" x14ac:dyDescent="0.3">
      <c r="A1406" s="3" t="s">
        <v>1121</v>
      </c>
      <c r="B1406" s="3" t="s">
        <v>142</v>
      </c>
      <c r="C1406" s="3" t="str">
        <f t="shared" si="21"/>
        <v>4500129925130</v>
      </c>
      <c r="D1406" s="4">
        <v>46305</v>
      </c>
      <c r="E1406" s="3" t="s">
        <v>2196</v>
      </c>
      <c r="F1406" s="3" t="s">
        <v>2502</v>
      </c>
    </row>
    <row r="1407" spans="1:6" x14ac:dyDescent="0.3">
      <c r="A1407" s="3" t="s">
        <v>790</v>
      </c>
      <c r="B1407" s="3" t="s">
        <v>30</v>
      </c>
      <c r="C1407" s="3" t="str">
        <f t="shared" si="21"/>
        <v>450012995410</v>
      </c>
      <c r="D1407" s="4">
        <v>46202</v>
      </c>
      <c r="E1407" s="3" t="s">
        <v>2235</v>
      </c>
      <c r="F1407" s="3" t="s">
        <v>2608</v>
      </c>
    </row>
    <row r="1408" spans="1:6" x14ac:dyDescent="0.3">
      <c r="A1408" s="3" t="s">
        <v>1319</v>
      </c>
      <c r="B1408" s="3" t="s">
        <v>22</v>
      </c>
      <c r="C1408" s="3" t="str">
        <f t="shared" si="21"/>
        <v>450013003220</v>
      </c>
      <c r="D1408" s="4">
        <v>46265</v>
      </c>
      <c r="E1408" s="3" t="s">
        <v>2195</v>
      </c>
      <c r="F1408" s="3" t="s">
        <v>2473</v>
      </c>
    </row>
    <row r="1409" spans="1:6" x14ac:dyDescent="0.3">
      <c r="A1409" s="3" t="s">
        <v>793</v>
      </c>
      <c r="B1409" s="3" t="s">
        <v>30</v>
      </c>
      <c r="C1409" s="3" t="str">
        <f t="shared" si="21"/>
        <v>450013004210</v>
      </c>
      <c r="D1409" s="4">
        <v>46188</v>
      </c>
      <c r="E1409" s="3" t="s">
        <v>2200</v>
      </c>
      <c r="F1409" s="3" t="s">
        <v>2609</v>
      </c>
    </row>
    <row r="1410" spans="1:6" x14ac:dyDescent="0.3">
      <c r="A1410" s="3" t="s">
        <v>1146</v>
      </c>
      <c r="B1410" s="3" t="s">
        <v>30</v>
      </c>
      <c r="C1410" s="3" t="str">
        <f t="shared" si="21"/>
        <v>450013015210</v>
      </c>
      <c r="D1410" s="4">
        <v>46182</v>
      </c>
      <c r="E1410" s="3" t="s">
        <v>2207</v>
      </c>
      <c r="F1410" s="3" t="s">
        <v>2610</v>
      </c>
    </row>
    <row r="1411" spans="1:6" x14ac:dyDescent="0.3">
      <c r="A1411" s="3" t="s">
        <v>400</v>
      </c>
      <c r="B1411" s="3" t="s">
        <v>30</v>
      </c>
      <c r="C1411" s="3" t="str">
        <f t="shared" ref="C1411:C1474" si="22">_xlfn.CONCAT(A1411:B1411)</f>
        <v>450013021210</v>
      </c>
      <c r="D1411" s="4">
        <v>46304</v>
      </c>
      <c r="E1411" s="3" t="s">
        <v>2242</v>
      </c>
      <c r="F1411" s="3" t="s">
        <v>2461</v>
      </c>
    </row>
    <row r="1412" spans="1:6" x14ac:dyDescent="0.3">
      <c r="A1412" s="3" t="s">
        <v>400</v>
      </c>
      <c r="B1412" s="3" t="s">
        <v>22</v>
      </c>
      <c r="C1412" s="3" t="str">
        <f t="shared" si="22"/>
        <v>450013021220</v>
      </c>
      <c r="D1412" s="4">
        <v>46304</v>
      </c>
      <c r="E1412" s="3" t="s">
        <v>2242</v>
      </c>
      <c r="F1412" s="3" t="s">
        <v>2461</v>
      </c>
    </row>
    <row r="1413" spans="1:6" x14ac:dyDescent="0.3">
      <c r="A1413" s="3" t="s">
        <v>400</v>
      </c>
      <c r="B1413" s="3" t="s">
        <v>23</v>
      </c>
      <c r="C1413" s="3" t="str">
        <f t="shared" si="22"/>
        <v>450013021240</v>
      </c>
      <c r="D1413" s="4">
        <v>46304</v>
      </c>
      <c r="E1413" s="3" t="s">
        <v>2242</v>
      </c>
      <c r="F1413" s="3" t="s">
        <v>2461</v>
      </c>
    </row>
    <row r="1414" spans="1:6" x14ac:dyDescent="0.3">
      <c r="A1414" s="3" t="s">
        <v>400</v>
      </c>
      <c r="B1414" s="3" t="s">
        <v>144</v>
      </c>
      <c r="C1414" s="3" t="str">
        <f t="shared" si="22"/>
        <v>450013021250</v>
      </c>
      <c r="D1414" s="4">
        <v>46304</v>
      </c>
      <c r="E1414" s="3" t="s">
        <v>2242</v>
      </c>
      <c r="F1414" s="3" t="s">
        <v>2461</v>
      </c>
    </row>
    <row r="1415" spans="1:6" x14ac:dyDescent="0.3">
      <c r="A1415" s="3" t="s">
        <v>400</v>
      </c>
      <c r="B1415" s="3" t="s">
        <v>141</v>
      </c>
      <c r="C1415" s="3" t="str">
        <f t="shared" si="22"/>
        <v>450013021260</v>
      </c>
      <c r="D1415" s="4">
        <v>46304</v>
      </c>
      <c r="E1415" s="3" t="s">
        <v>2242</v>
      </c>
      <c r="F1415" s="3" t="s">
        <v>2461</v>
      </c>
    </row>
    <row r="1416" spans="1:6" x14ac:dyDescent="0.3">
      <c r="A1416" s="3" t="s">
        <v>400</v>
      </c>
      <c r="B1416" s="3" t="s">
        <v>52</v>
      </c>
      <c r="C1416" s="3" t="str">
        <f t="shared" si="22"/>
        <v>450013021280</v>
      </c>
      <c r="D1416" s="4">
        <v>46304</v>
      </c>
      <c r="E1416" s="3" t="s">
        <v>2242</v>
      </c>
      <c r="F1416" s="3" t="s">
        <v>2461</v>
      </c>
    </row>
    <row r="1417" spans="1:6" x14ac:dyDescent="0.3">
      <c r="A1417" s="3" t="s">
        <v>400</v>
      </c>
      <c r="B1417" s="3" t="s">
        <v>138</v>
      </c>
      <c r="C1417" s="3" t="str">
        <f t="shared" si="22"/>
        <v>450013021290</v>
      </c>
      <c r="D1417" s="4">
        <v>46304</v>
      </c>
      <c r="E1417" s="3" t="s">
        <v>2242</v>
      </c>
      <c r="F1417" s="3" t="s">
        <v>2461</v>
      </c>
    </row>
    <row r="1418" spans="1:6" x14ac:dyDescent="0.3">
      <c r="A1418" s="3" t="s">
        <v>400</v>
      </c>
      <c r="B1418" s="3" t="s">
        <v>45</v>
      </c>
      <c r="C1418" s="3" t="str">
        <f t="shared" si="22"/>
        <v>4500130212100</v>
      </c>
      <c r="D1418" s="4">
        <v>46304</v>
      </c>
      <c r="E1418" s="3" t="s">
        <v>2242</v>
      </c>
      <c r="F1418" s="3" t="s">
        <v>2461</v>
      </c>
    </row>
    <row r="1419" spans="1:6" x14ac:dyDescent="0.3">
      <c r="A1419" s="3" t="s">
        <v>400</v>
      </c>
      <c r="B1419" s="3" t="s">
        <v>156</v>
      </c>
      <c r="C1419" s="3" t="str">
        <f t="shared" si="22"/>
        <v>4500130212110</v>
      </c>
      <c r="D1419" s="4">
        <v>46304</v>
      </c>
      <c r="E1419" s="3" t="s">
        <v>2242</v>
      </c>
      <c r="F1419" s="3" t="s">
        <v>2461</v>
      </c>
    </row>
    <row r="1420" spans="1:6" x14ac:dyDescent="0.3">
      <c r="A1420" s="3" t="s">
        <v>341</v>
      </c>
      <c r="B1420" s="3" t="s">
        <v>30</v>
      </c>
      <c r="C1420" s="3" t="str">
        <f t="shared" si="22"/>
        <v>450013027110</v>
      </c>
      <c r="D1420" s="4">
        <v>46195</v>
      </c>
      <c r="E1420" s="3" t="s">
        <v>2196</v>
      </c>
      <c r="F1420" s="3" t="s">
        <v>2423</v>
      </c>
    </row>
    <row r="1421" spans="1:6" x14ac:dyDescent="0.3">
      <c r="A1421" s="3" t="s">
        <v>341</v>
      </c>
      <c r="B1421" s="3" t="s">
        <v>22</v>
      </c>
      <c r="C1421" s="3" t="str">
        <f t="shared" si="22"/>
        <v>450013027120</v>
      </c>
      <c r="D1421" s="4">
        <v>46195</v>
      </c>
      <c r="E1421" s="3" t="s">
        <v>2196</v>
      </c>
      <c r="F1421" s="3" t="s">
        <v>2423</v>
      </c>
    </row>
    <row r="1422" spans="1:6" x14ac:dyDescent="0.3">
      <c r="A1422" s="3" t="s">
        <v>341</v>
      </c>
      <c r="B1422" s="3" t="s">
        <v>35</v>
      </c>
      <c r="C1422" s="3" t="str">
        <f t="shared" si="22"/>
        <v>450013027130</v>
      </c>
      <c r="D1422" s="4">
        <v>46195</v>
      </c>
      <c r="E1422" s="3" t="s">
        <v>2196</v>
      </c>
      <c r="F1422" s="3" t="s">
        <v>2423</v>
      </c>
    </row>
    <row r="1423" spans="1:6" x14ac:dyDescent="0.3">
      <c r="A1423" s="3" t="s">
        <v>950</v>
      </c>
      <c r="B1423" s="3" t="s">
        <v>30</v>
      </c>
      <c r="C1423" s="3" t="str">
        <f t="shared" si="22"/>
        <v>450013035410</v>
      </c>
      <c r="D1423" s="4">
        <v>46205</v>
      </c>
      <c r="E1423" s="3" t="s">
        <v>2207</v>
      </c>
      <c r="F1423" s="3" t="s">
        <v>2503</v>
      </c>
    </row>
    <row r="1424" spans="1:6" x14ac:dyDescent="0.3">
      <c r="A1424" s="3" t="s">
        <v>1203</v>
      </c>
      <c r="B1424" s="3" t="s">
        <v>30</v>
      </c>
      <c r="C1424" s="3" t="str">
        <f t="shared" si="22"/>
        <v>450013039710</v>
      </c>
      <c r="D1424" s="4">
        <v>46249</v>
      </c>
      <c r="E1424" s="3" t="s">
        <v>2210</v>
      </c>
      <c r="F1424" s="3" t="s">
        <v>2518</v>
      </c>
    </row>
    <row r="1425" spans="1:6" x14ac:dyDescent="0.3">
      <c r="A1425" s="3" t="s">
        <v>1203</v>
      </c>
      <c r="B1425" s="3" t="s">
        <v>22</v>
      </c>
      <c r="C1425" s="3" t="str">
        <f t="shared" si="22"/>
        <v>450013039720</v>
      </c>
      <c r="D1425" s="4">
        <v>46249</v>
      </c>
      <c r="E1425" s="3" t="s">
        <v>2210</v>
      </c>
      <c r="F1425" s="3" t="s">
        <v>2518</v>
      </c>
    </row>
    <row r="1426" spans="1:6" x14ac:dyDescent="0.3">
      <c r="A1426" s="3" t="s">
        <v>1203</v>
      </c>
      <c r="B1426" s="3" t="s">
        <v>35</v>
      </c>
      <c r="C1426" s="3" t="str">
        <f t="shared" si="22"/>
        <v>450013039730</v>
      </c>
      <c r="D1426" s="4">
        <v>46249</v>
      </c>
      <c r="E1426" s="3" t="s">
        <v>2210</v>
      </c>
      <c r="F1426" s="3" t="s">
        <v>2518</v>
      </c>
    </row>
    <row r="1427" spans="1:6" x14ac:dyDescent="0.3">
      <c r="A1427" s="3" t="s">
        <v>1203</v>
      </c>
      <c r="B1427" s="3" t="s">
        <v>23</v>
      </c>
      <c r="C1427" s="3" t="str">
        <f t="shared" si="22"/>
        <v>450013039740</v>
      </c>
      <c r="D1427" s="4">
        <v>46249</v>
      </c>
      <c r="E1427" s="3" t="s">
        <v>2210</v>
      </c>
      <c r="F1427" s="3" t="s">
        <v>2518</v>
      </c>
    </row>
    <row r="1428" spans="1:6" x14ac:dyDescent="0.3">
      <c r="A1428" s="3" t="s">
        <v>1203</v>
      </c>
      <c r="B1428" s="3" t="s">
        <v>144</v>
      </c>
      <c r="C1428" s="3" t="str">
        <f t="shared" si="22"/>
        <v>450013039750</v>
      </c>
      <c r="D1428" s="4">
        <v>46249</v>
      </c>
      <c r="E1428" s="3" t="s">
        <v>2210</v>
      </c>
      <c r="F1428" s="3" t="s">
        <v>2518</v>
      </c>
    </row>
    <row r="1429" spans="1:6" x14ac:dyDescent="0.3">
      <c r="A1429" s="3" t="s">
        <v>1203</v>
      </c>
      <c r="B1429" s="3" t="s">
        <v>141</v>
      </c>
      <c r="C1429" s="3" t="str">
        <f t="shared" si="22"/>
        <v>450013039760</v>
      </c>
      <c r="D1429" s="4">
        <v>46249</v>
      </c>
      <c r="E1429" s="3" t="s">
        <v>2210</v>
      </c>
      <c r="F1429" s="3" t="s">
        <v>2518</v>
      </c>
    </row>
    <row r="1430" spans="1:6" x14ac:dyDescent="0.3">
      <c r="A1430" s="3" t="s">
        <v>1203</v>
      </c>
      <c r="B1430" s="3" t="s">
        <v>134</v>
      </c>
      <c r="C1430" s="3" t="str">
        <f t="shared" si="22"/>
        <v>450013039770</v>
      </c>
      <c r="D1430" s="4">
        <v>46249</v>
      </c>
      <c r="E1430" s="3" t="s">
        <v>2210</v>
      </c>
      <c r="F1430" s="3" t="s">
        <v>2518</v>
      </c>
    </row>
    <row r="1431" spans="1:6" x14ac:dyDescent="0.3">
      <c r="A1431" s="3" t="s">
        <v>1203</v>
      </c>
      <c r="B1431" s="3" t="s">
        <v>52</v>
      </c>
      <c r="C1431" s="3" t="str">
        <f t="shared" si="22"/>
        <v>450013039780</v>
      </c>
      <c r="D1431" s="4">
        <v>46249</v>
      </c>
      <c r="E1431" s="3" t="s">
        <v>2210</v>
      </c>
      <c r="F1431" s="3" t="s">
        <v>2518</v>
      </c>
    </row>
    <row r="1432" spans="1:6" x14ac:dyDescent="0.3">
      <c r="A1432" s="3" t="s">
        <v>1203</v>
      </c>
      <c r="B1432" s="3" t="s">
        <v>138</v>
      </c>
      <c r="C1432" s="3" t="str">
        <f t="shared" si="22"/>
        <v>450013039790</v>
      </c>
      <c r="D1432" s="4">
        <v>46249</v>
      </c>
      <c r="E1432" s="3" t="s">
        <v>2210</v>
      </c>
      <c r="F1432" s="3" t="s">
        <v>2518</v>
      </c>
    </row>
    <row r="1433" spans="1:6" x14ac:dyDescent="0.3">
      <c r="A1433" s="3" t="s">
        <v>1203</v>
      </c>
      <c r="B1433" s="3" t="s">
        <v>45</v>
      </c>
      <c r="C1433" s="3" t="str">
        <f t="shared" si="22"/>
        <v>4500130397100</v>
      </c>
      <c r="D1433" s="4">
        <v>46249</v>
      </c>
      <c r="E1433" s="3" t="s">
        <v>2210</v>
      </c>
      <c r="F1433" s="3" t="s">
        <v>2518</v>
      </c>
    </row>
    <row r="1434" spans="1:6" x14ac:dyDescent="0.3">
      <c r="A1434" s="3" t="s">
        <v>1203</v>
      </c>
      <c r="B1434" s="3" t="s">
        <v>156</v>
      </c>
      <c r="C1434" s="3" t="str">
        <f t="shared" si="22"/>
        <v>4500130397110</v>
      </c>
      <c r="D1434" s="4">
        <v>46249</v>
      </c>
      <c r="E1434" s="3" t="s">
        <v>2210</v>
      </c>
      <c r="F1434" s="3" t="s">
        <v>2518</v>
      </c>
    </row>
    <row r="1435" spans="1:6" x14ac:dyDescent="0.3">
      <c r="A1435" s="3" t="s">
        <v>1203</v>
      </c>
      <c r="B1435" s="3" t="s">
        <v>132</v>
      </c>
      <c r="C1435" s="3" t="str">
        <f t="shared" si="22"/>
        <v>4500130397120</v>
      </c>
      <c r="D1435" s="4">
        <v>46249</v>
      </c>
      <c r="E1435" s="3" t="s">
        <v>2210</v>
      </c>
      <c r="F1435" s="3" t="s">
        <v>2518</v>
      </c>
    </row>
    <row r="1436" spans="1:6" x14ac:dyDescent="0.3">
      <c r="A1436" s="3" t="s">
        <v>1203</v>
      </c>
      <c r="B1436" s="3" t="s">
        <v>142</v>
      </c>
      <c r="C1436" s="3" t="str">
        <f t="shared" si="22"/>
        <v>4500130397130</v>
      </c>
      <c r="D1436" s="4">
        <v>46249</v>
      </c>
      <c r="E1436" s="3" t="s">
        <v>2210</v>
      </c>
      <c r="F1436" s="3" t="s">
        <v>2518</v>
      </c>
    </row>
    <row r="1437" spans="1:6" x14ac:dyDescent="0.3">
      <c r="A1437" s="3" t="s">
        <v>1203</v>
      </c>
      <c r="B1437" s="3" t="s">
        <v>131</v>
      </c>
      <c r="C1437" s="3" t="str">
        <f t="shared" si="22"/>
        <v>4500130397140</v>
      </c>
      <c r="D1437" s="4">
        <v>46249</v>
      </c>
      <c r="E1437" s="3" t="s">
        <v>2210</v>
      </c>
      <c r="F1437" s="3" t="s">
        <v>2518</v>
      </c>
    </row>
    <row r="1438" spans="1:6" x14ac:dyDescent="0.3">
      <c r="A1438" s="3" t="s">
        <v>1203</v>
      </c>
      <c r="B1438" s="3" t="s">
        <v>68</v>
      </c>
      <c r="C1438" s="3" t="str">
        <f t="shared" si="22"/>
        <v>4500130397150</v>
      </c>
      <c r="D1438" s="4">
        <v>46249</v>
      </c>
      <c r="E1438" s="3" t="s">
        <v>2210</v>
      </c>
      <c r="F1438" s="3" t="s">
        <v>2518</v>
      </c>
    </row>
    <row r="1439" spans="1:6" x14ac:dyDescent="0.3">
      <c r="A1439" s="3" t="s">
        <v>1203</v>
      </c>
      <c r="B1439" s="3" t="s">
        <v>129</v>
      </c>
      <c r="C1439" s="3" t="str">
        <f t="shared" si="22"/>
        <v>4500130397160</v>
      </c>
      <c r="D1439" s="4">
        <v>46249</v>
      </c>
      <c r="E1439" s="3" t="s">
        <v>2210</v>
      </c>
      <c r="F1439" s="3" t="s">
        <v>2518</v>
      </c>
    </row>
    <row r="1440" spans="1:6" x14ac:dyDescent="0.3">
      <c r="A1440" s="3" t="s">
        <v>1203</v>
      </c>
      <c r="B1440" s="3" t="s">
        <v>53</v>
      </c>
      <c r="C1440" s="3" t="str">
        <f t="shared" si="22"/>
        <v>4500130397170</v>
      </c>
      <c r="D1440" s="4">
        <v>46249</v>
      </c>
      <c r="E1440" s="3" t="s">
        <v>2210</v>
      </c>
      <c r="F1440" s="3" t="s">
        <v>2518</v>
      </c>
    </row>
    <row r="1441" spans="1:6" x14ac:dyDescent="0.3">
      <c r="A1441" s="3" t="s">
        <v>1203</v>
      </c>
      <c r="B1441" s="3" t="s">
        <v>130</v>
      </c>
      <c r="C1441" s="3" t="str">
        <f t="shared" si="22"/>
        <v>4500130397180</v>
      </c>
      <c r="D1441" s="4">
        <v>46269</v>
      </c>
      <c r="E1441" s="3" t="s">
        <v>2210</v>
      </c>
      <c r="F1441" s="3" t="s">
        <v>2518</v>
      </c>
    </row>
    <row r="1442" spans="1:6" x14ac:dyDescent="0.3">
      <c r="A1442" s="3" t="s">
        <v>1203</v>
      </c>
      <c r="B1442" s="3" t="s">
        <v>127</v>
      </c>
      <c r="C1442" s="3" t="str">
        <f t="shared" si="22"/>
        <v>4500130397190</v>
      </c>
      <c r="D1442" s="4">
        <v>46269</v>
      </c>
      <c r="E1442" s="3" t="s">
        <v>2210</v>
      </c>
      <c r="F1442" s="3" t="s">
        <v>2518</v>
      </c>
    </row>
    <row r="1443" spans="1:6" x14ac:dyDescent="0.3">
      <c r="A1443" s="3" t="s">
        <v>1203</v>
      </c>
      <c r="B1443" s="3" t="s">
        <v>161</v>
      </c>
      <c r="C1443" s="3" t="str">
        <f t="shared" si="22"/>
        <v>4500130397200</v>
      </c>
      <c r="D1443" s="4">
        <v>46205</v>
      </c>
      <c r="E1443" s="3" t="s">
        <v>2210</v>
      </c>
      <c r="F1443" s="3" t="s">
        <v>2518</v>
      </c>
    </row>
    <row r="1444" spans="1:6" x14ac:dyDescent="0.3">
      <c r="A1444" s="3" t="s">
        <v>2076</v>
      </c>
      <c r="B1444" s="3" t="s">
        <v>30</v>
      </c>
      <c r="C1444" s="3" t="str">
        <f t="shared" si="22"/>
        <v>450013042510</v>
      </c>
      <c r="D1444" s="4">
        <v>46205</v>
      </c>
      <c r="E1444" s="3" t="s">
        <v>2238</v>
      </c>
      <c r="F1444" s="3" t="s">
        <v>2447</v>
      </c>
    </row>
    <row r="1445" spans="1:6" x14ac:dyDescent="0.3">
      <c r="A1445" s="3" t="s">
        <v>2076</v>
      </c>
      <c r="B1445" s="3" t="s">
        <v>22</v>
      </c>
      <c r="C1445" s="3" t="str">
        <f t="shared" si="22"/>
        <v>450013042520</v>
      </c>
      <c r="D1445" s="4">
        <v>46205</v>
      </c>
      <c r="E1445" s="3" t="s">
        <v>2238</v>
      </c>
      <c r="F1445" s="3" t="s">
        <v>2447</v>
      </c>
    </row>
    <row r="1446" spans="1:6" x14ac:dyDescent="0.3">
      <c r="A1446" s="3" t="s">
        <v>2076</v>
      </c>
      <c r="B1446" s="3" t="s">
        <v>35</v>
      </c>
      <c r="C1446" s="3" t="str">
        <f t="shared" si="22"/>
        <v>450013042530</v>
      </c>
      <c r="D1446" s="4">
        <v>46205</v>
      </c>
      <c r="E1446" s="3" t="s">
        <v>2238</v>
      </c>
      <c r="F1446" s="3" t="s">
        <v>2447</v>
      </c>
    </row>
    <row r="1447" spans="1:6" x14ac:dyDescent="0.3">
      <c r="A1447" s="3" t="s">
        <v>2076</v>
      </c>
      <c r="B1447" s="3" t="s">
        <v>23</v>
      </c>
      <c r="C1447" s="3" t="str">
        <f t="shared" si="22"/>
        <v>450013042540</v>
      </c>
      <c r="D1447" s="4">
        <v>46205</v>
      </c>
      <c r="E1447" s="3" t="s">
        <v>2238</v>
      </c>
      <c r="F1447" s="3" t="s">
        <v>2447</v>
      </c>
    </row>
    <row r="1448" spans="1:6" x14ac:dyDescent="0.3">
      <c r="A1448" s="3" t="s">
        <v>2076</v>
      </c>
      <c r="B1448" s="3" t="s">
        <v>144</v>
      </c>
      <c r="C1448" s="3" t="str">
        <f t="shared" si="22"/>
        <v>450013042550</v>
      </c>
      <c r="D1448" s="4">
        <v>46205</v>
      </c>
      <c r="E1448" s="3" t="s">
        <v>2238</v>
      </c>
      <c r="F1448" s="3" t="s">
        <v>2447</v>
      </c>
    </row>
    <row r="1449" spans="1:6" x14ac:dyDescent="0.3">
      <c r="A1449" s="3" t="s">
        <v>2076</v>
      </c>
      <c r="B1449" s="3" t="s">
        <v>141</v>
      </c>
      <c r="C1449" s="3" t="str">
        <f t="shared" si="22"/>
        <v>450013042560</v>
      </c>
      <c r="D1449" s="4">
        <v>46205</v>
      </c>
      <c r="E1449" s="3" t="s">
        <v>2238</v>
      </c>
      <c r="F1449" s="3" t="s">
        <v>2447</v>
      </c>
    </row>
    <row r="1450" spans="1:6" x14ac:dyDescent="0.3">
      <c r="A1450" s="3" t="s">
        <v>2076</v>
      </c>
      <c r="B1450" s="3" t="s">
        <v>134</v>
      </c>
      <c r="C1450" s="3" t="str">
        <f t="shared" si="22"/>
        <v>450013042570</v>
      </c>
      <c r="D1450" s="4">
        <v>46205</v>
      </c>
      <c r="E1450" s="3" t="s">
        <v>2238</v>
      </c>
      <c r="F1450" s="3" t="s">
        <v>2447</v>
      </c>
    </row>
    <row r="1451" spans="1:6" x14ac:dyDescent="0.3">
      <c r="A1451" s="3" t="s">
        <v>2076</v>
      </c>
      <c r="B1451" s="3" t="s">
        <v>52</v>
      </c>
      <c r="C1451" s="3" t="str">
        <f t="shared" si="22"/>
        <v>450013042580</v>
      </c>
      <c r="D1451" s="4">
        <v>46205</v>
      </c>
      <c r="E1451" s="3" t="s">
        <v>2238</v>
      </c>
      <c r="F1451" s="3" t="s">
        <v>2447</v>
      </c>
    </row>
    <row r="1452" spans="1:6" x14ac:dyDescent="0.3">
      <c r="A1452" s="3" t="s">
        <v>2076</v>
      </c>
      <c r="B1452" s="3" t="s">
        <v>138</v>
      </c>
      <c r="C1452" s="3" t="str">
        <f t="shared" si="22"/>
        <v>450013042590</v>
      </c>
      <c r="D1452" s="4">
        <v>46205</v>
      </c>
      <c r="E1452" s="3" t="s">
        <v>2238</v>
      </c>
      <c r="F1452" s="3" t="s">
        <v>2447</v>
      </c>
    </row>
    <row r="1453" spans="1:6" x14ac:dyDescent="0.3">
      <c r="A1453" s="3" t="s">
        <v>2076</v>
      </c>
      <c r="B1453" s="3" t="s">
        <v>131</v>
      </c>
      <c r="C1453" s="3" t="str">
        <f t="shared" si="22"/>
        <v>4500130425140</v>
      </c>
      <c r="D1453" s="4">
        <v>46205</v>
      </c>
      <c r="E1453" s="3" t="s">
        <v>2238</v>
      </c>
      <c r="F1453" s="3" t="s">
        <v>2447</v>
      </c>
    </row>
    <row r="1454" spans="1:6" x14ac:dyDescent="0.3">
      <c r="A1454" s="3" t="s">
        <v>2076</v>
      </c>
      <c r="B1454" s="3" t="s">
        <v>68</v>
      </c>
      <c r="C1454" s="3" t="str">
        <f t="shared" si="22"/>
        <v>4500130425150</v>
      </c>
      <c r="D1454" s="4">
        <v>46205</v>
      </c>
      <c r="E1454" s="3" t="s">
        <v>2238</v>
      </c>
      <c r="F1454" s="3" t="s">
        <v>2447</v>
      </c>
    </row>
    <row r="1455" spans="1:6" x14ac:dyDescent="0.3">
      <c r="A1455" s="3" t="s">
        <v>2076</v>
      </c>
      <c r="B1455" s="3" t="s">
        <v>129</v>
      </c>
      <c r="C1455" s="3" t="str">
        <f t="shared" si="22"/>
        <v>4500130425160</v>
      </c>
      <c r="D1455" s="4">
        <v>46205</v>
      </c>
      <c r="E1455" s="3" t="s">
        <v>2238</v>
      </c>
      <c r="F1455" s="3" t="s">
        <v>2447</v>
      </c>
    </row>
    <row r="1456" spans="1:6" x14ac:dyDescent="0.3">
      <c r="A1456" s="3" t="s">
        <v>2076</v>
      </c>
      <c r="B1456" s="3" t="s">
        <v>53</v>
      </c>
      <c r="C1456" s="3" t="str">
        <f t="shared" si="22"/>
        <v>4500130425170</v>
      </c>
      <c r="D1456" s="4">
        <v>46205</v>
      </c>
      <c r="E1456" s="3" t="s">
        <v>2238</v>
      </c>
      <c r="F1456" s="3" t="s">
        <v>2447</v>
      </c>
    </row>
    <row r="1457" spans="1:6" x14ac:dyDescent="0.3">
      <c r="A1457" s="3" t="s">
        <v>2076</v>
      </c>
      <c r="B1457" s="3" t="s">
        <v>130</v>
      </c>
      <c r="C1457" s="3" t="str">
        <f t="shared" si="22"/>
        <v>4500130425180</v>
      </c>
      <c r="D1457" s="4">
        <v>46205</v>
      </c>
      <c r="E1457" s="3" t="s">
        <v>2238</v>
      </c>
      <c r="F1457" s="3" t="s">
        <v>2447</v>
      </c>
    </row>
    <row r="1458" spans="1:6" x14ac:dyDescent="0.3">
      <c r="A1458" s="3" t="s">
        <v>2076</v>
      </c>
      <c r="B1458" s="3" t="s">
        <v>127</v>
      </c>
      <c r="C1458" s="3" t="str">
        <f t="shared" si="22"/>
        <v>4500130425190</v>
      </c>
      <c r="D1458" s="4">
        <v>46205</v>
      </c>
      <c r="E1458" s="3" t="s">
        <v>2238</v>
      </c>
      <c r="F1458" s="3" t="s">
        <v>2447</v>
      </c>
    </row>
    <row r="1459" spans="1:6" x14ac:dyDescent="0.3">
      <c r="A1459" s="3" t="s">
        <v>2076</v>
      </c>
      <c r="B1459" s="3" t="s">
        <v>161</v>
      </c>
      <c r="C1459" s="3" t="str">
        <f t="shared" si="22"/>
        <v>4500130425200</v>
      </c>
      <c r="D1459" s="4">
        <v>46289</v>
      </c>
      <c r="E1459" s="3" t="s">
        <v>2238</v>
      </c>
      <c r="F1459" s="3" t="s">
        <v>2447</v>
      </c>
    </row>
    <row r="1460" spans="1:6" x14ac:dyDescent="0.3">
      <c r="A1460" s="3" t="s">
        <v>2076</v>
      </c>
      <c r="B1460" s="3" t="s">
        <v>136</v>
      </c>
      <c r="C1460" s="3" t="str">
        <f t="shared" si="22"/>
        <v>4500130425210</v>
      </c>
      <c r="D1460" s="4">
        <v>46205</v>
      </c>
      <c r="E1460" s="3" t="s">
        <v>2238</v>
      </c>
      <c r="F1460" s="3" t="s">
        <v>2447</v>
      </c>
    </row>
    <row r="1461" spans="1:6" x14ac:dyDescent="0.3">
      <c r="A1461" s="3" t="s">
        <v>820</v>
      </c>
      <c r="B1461" s="3" t="s">
        <v>30</v>
      </c>
      <c r="C1461" s="3" t="str">
        <f t="shared" si="22"/>
        <v>450013044110</v>
      </c>
      <c r="D1461" s="4">
        <v>46204</v>
      </c>
      <c r="E1461" s="3" t="s">
        <v>2239</v>
      </c>
      <c r="F1461" s="3" t="s">
        <v>2549</v>
      </c>
    </row>
    <row r="1462" spans="1:6" x14ac:dyDescent="0.3">
      <c r="A1462" s="3" t="s">
        <v>998</v>
      </c>
      <c r="B1462" s="3" t="s">
        <v>35</v>
      </c>
      <c r="C1462" s="3" t="str">
        <f t="shared" si="22"/>
        <v>450013049230</v>
      </c>
      <c r="D1462" s="4">
        <v>46196</v>
      </c>
      <c r="E1462" s="3" t="s">
        <v>2200</v>
      </c>
      <c r="F1462" s="3" t="s">
        <v>2470</v>
      </c>
    </row>
    <row r="1463" spans="1:6" x14ac:dyDescent="0.3">
      <c r="A1463" s="3" t="s">
        <v>998</v>
      </c>
      <c r="B1463" s="3" t="s">
        <v>23</v>
      </c>
      <c r="C1463" s="3" t="str">
        <f t="shared" si="22"/>
        <v>450013049240</v>
      </c>
      <c r="D1463" s="4">
        <v>46196</v>
      </c>
      <c r="E1463" s="3" t="s">
        <v>2200</v>
      </c>
      <c r="F1463" s="3" t="s">
        <v>2470</v>
      </c>
    </row>
    <row r="1464" spans="1:6" x14ac:dyDescent="0.3">
      <c r="A1464" s="3" t="s">
        <v>998</v>
      </c>
      <c r="B1464" s="3" t="s">
        <v>141</v>
      </c>
      <c r="C1464" s="3" t="str">
        <f t="shared" si="22"/>
        <v>450013049260</v>
      </c>
      <c r="D1464" s="4">
        <v>46196</v>
      </c>
      <c r="E1464" s="3" t="s">
        <v>2200</v>
      </c>
      <c r="F1464" s="3" t="s">
        <v>2470</v>
      </c>
    </row>
    <row r="1465" spans="1:6" x14ac:dyDescent="0.3">
      <c r="A1465" s="3" t="s">
        <v>998</v>
      </c>
      <c r="B1465" s="3" t="s">
        <v>138</v>
      </c>
      <c r="C1465" s="3" t="str">
        <f t="shared" si="22"/>
        <v>450013049290</v>
      </c>
      <c r="D1465" s="4">
        <v>46196</v>
      </c>
      <c r="E1465" s="3" t="s">
        <v>2200</v>
      </c>
      <c r="F1465" s="3" t="s">
        <v>2470</v>
      </c>
    </row>
    <row r="1466" spans="1:6" x14ac:dyDescent="0.3">
      <c r="A1466" s="3" t="s">
        <v>998</v>
      </c>
      <c r="B1466" s="3" t="s">
        <v>45</v>
      </c>
      <c r="C1466" s="3" t="str">
        <f t="shared" si="22"/>
        <v>4500130492100</v>
      </c>
      <c r="D1466" s="4">
        <v>46196</v>
      </c>
      <c r="E1466" s="3" t="s">
        <v>2200</v>
      </c>
      <c r="F1466" s="3" t="s">
        <v>2470</v>
      </c>
    </row>
    <row r="1467" spans="1:6" x14ac:dyDescent="0.3">
      <c r="A1467" s="3" t="s">
        <v>998</v>
      </c>
      <c r="B1467" s="3" t="s">
        <v>156</v>
      </c>
      <c r="C1467" s="3" t="str">
        <f t="shared" si="22"/>
        <v>4500130492110</v>
      </c>
      <c r="D1467" s="4">
        <v>46196</v>
      </c>
      <c r="E1467" s="3" t="s">
        <v>2200</v>
      </c>
      <c r="F1467" s="3" t="s">
        <v>2470</v>
      </c>
    </row>
    <row r="1468" spans="1:6" x14ac:dyDescent="0.3">
      <c r="A1468" s="3" t="s">
        <v>998</v>
      </c>
      <c r="B1468" s="3" t="s">
        <v>132</v>
      </c>
      <c r="C1468" s="3" t="str">
        <f t="shared" si="22"/>
        <v>4500130492120</v>
      </c>
      <c r="D1468" s="4">
        <v>46237</v>
      </c>
      <c r="E1468" s="3" t="s">
        <v>2200</v>
      </c>
      <c r="F1468" s="3" t="s">
        <v>2470</v>
      </c>
    </row>
    <row r="1469" spans="1:6" x14ac:dyDescent="0.3">
      <c r="A1469" s="3" t="s">
        <v>823</v>
      </c>
      <c r="B1469" s="3" t="s">
        <v>35</v>
      </c>
      <c r="C1469" s="3" t="str">
        <f t="shared" si="22"/>
        <v>450013050730</v>
      </c>
      <c r="D1469" s="4">
        <v>46205</v>
      </c>
      <c r="E1469" s="3" t="s">
        <v>2194</v>
      </c>
      <c r="F1469" s="3" t="s">
        <v>2611</v>
      </c>
    </row>
    <row r="1470" spans="1:6" x14ac:dyDescent="0.3">
      <c r="A1470" s="3" t="s">
        <v>1382</v>
      </c>
      <c r="B1470" s="3" t="s">
        <v>30</v>
      </c>
      <c r="C1470" s="3" t="str">
        <f t="shared" si="22"/>
        <v>450013056210</v>
      </c>
      <c r="D1470" s="4">
        <v>46305</v>
      </c>
      <c r="E1470" s="3" t="s">
        <v>2206</v>
      </c>
      <c r="F1470" s="3" t="s">
        <v>2476</v>
      </c>
    </row>
    <row r="1471" spans="1:6" x14ac:dyDescent="0.3">
      <c r="A1471" s="3" t="s">
        <v>825</v>
      </c>
      <c r="B1471" s="3" t="s">
        <v>30</v>
      </c>
      <c r="C1471" s="3" t="str">
        <f t="shared" si="22"/>
        <v>450013067110</v>
      </c>
      <c r="D1471" s="4">
        <v>46198</v>
      </c>
      <c r="E1471" s="3" t="s">
        <v>2196</v>
      </c>
      <c r="F1471" s="3" t="s">
        <v>2459</v>
      </c>
    </row>
    <row r="1472" spans="1:6" x14ac:dyDescent="0.3">
      <c r="A1472" s="3" t="s">
        <v>825</v>
      </c>
      <c r="B1472" s="3" t="s">
        <v>22</v>
      </c>
      <c r="C1472" s="3" t="str">
        <f t="shared" si="22"/>
        <v>450013067120</v>
      </c>
      <c r="D1472" s="4">
        <v>46198</v>
      </c>
      <c r="E1472" s="3" t="s">
        <v>2196</v>
      </c>
      <c r="F1472" s="3" t="s">
        <v>2459</v>
      </c>
    </row>
    <row r="1473" spans="1:6" x14ac:dyDescent="0.3">
      <c r="A1473" s="3" t="s">
        <v>831</v>
      </c>
      <c r="B1473" s="3" t="s">
        <v>30</v>
      </c>
      <c r="C1473" s="3" t="str">
        <f t="shared" si="22"/>
        <v>450013080110</v>
      </c>
      <c r="D1473" s="4">
        <v>46182</v>
      </c>
      <c r="E1473" s="3" t="s">
        <v>2239</v>
      </c>
      <c r="F1473" s="3" t="s">
        <v>2612</v>
      </c>
    </row>
    <row r="1474" spans="1:6" x14ac:dyDescent="0.3">
      <c r="A1474" s="3" t="s">
        <v>297</v>
      </c>
      <c r="B1474" s="3" t="s">
        <v>30</v>
      </c>
      <c r="C1474" s="3" t="str">
        <f t="shared" si="22"/>
        <v>450013080810</v>
      </c>
      <c r="D1474" s="4">
        <v>46206</v>
      </c>
      <c r="E1474" s="3" t="s">
        <v>2239</v>
      </c>
      <c r="F1474" s="3" t="s">
        <v>2571</v>
      </c>
    </row>
    <row r="1475" spans="1:6" x14ac:dyDescent="0.3">
      <c r="A1475" s="3" t="s">
        <v>1532</v>
      </c>
      <c r="B1475" s="3" t="s">
        <v>30</v>
      </c>
      <c r="C1475" s="3" t="str">
        <f t="shared" ref="C1475:C1538" si="23">_xlfn.CONCAT(A1475:B1475)</f>
        <v>450013083610</v>
      </c>
      <c r="D1475" s="4">
        <v>46198</v>
      </c>
      <c r="E1475" s="3" t="s">
        <v>2207</v>
      </c>
      <c r="F1475" s="3" t="s">
        <v>2593</v>
      </c>
    </row>
    <row r="1476" spans="1:6" x14ac:dyDescent="0.3">
      <c r="A1476" s="3" t="s">
        <v>1042</v>
      </c>
      <c r="B1476" s="3" t="s">
        <v>30</v>
      </c>
      <c r="C1476" s="3" t="str">
        <f t="shared" si="23"/>
        <v>450013084010</v>
      </c>
      <c r="D1476" s="4">
        <v>46213</v>
      </c>
      <c r="E1476" s="3" t="s">
        <v>2207</v>
      </c>
      <c r="F1476" s="3" t="s">
        <v>2503</v>
      </c>
    </row>
    <row r="1477" spans="1:6" x14ac:dyDescent="0.3">
      <c r="A1477" s="3" t="s">
        <v>905</v>
      </c>
      <c r="B1477" s="3" t="s">
        <v>30</v>
      </c>
      <c r="C1477" s="3" t="str">
        <f t="shared" si="23"/>
        <v>450013085910</v>
      </c>
      <c r="D1477" s="4">
        <v>46224</v>
      </c>
      <c r="E1477" s="3" t="s">
        <v>2239</v>
      </c>
      <c r="F1477" s="3" t="s">
        <v>2613</v>
      </c>
    </row>
    <row r="1478" spans="1:6" x14ac:dyDescent="0.3">
      <c r="A1478" s="3" t="s">
        <v>300</v>
      </c>
      <c r="B1478" s="3" t="s">
        <v>22</v>
      </c>
      <c r="C1478" s="3" t="str">
        <f t="shared" si="23"/>
        <v>450013090820</v>
      </c>
      <c r="D1478" s="4">
        <v>46299</v>
      </c>
      <c r="E1478" s="3" t="s">
        <v>2196</v>
      </c>
      <c r="F1478" s="3" t="s">
        <v>2448</v>
      </c>
    </row>
    <row r="1479" spans="1:6" x14ac:dyDescent="0.3">
      <c r="A1479" s="3" t="s">
        <v>300</v>
      </c>
      <c r="B1479" s="3" t="s">
        <v>35</v>
      </c>
      <c r="C1479" s="3" t="str">
        <f t="shared" si="23"/>
        <v>450013090830</v>
      </c>
      <c r="D1479" s="4">
        <v>46299</v>
      </c>
      <c r="E1479" s="3" t="s">
        <v>2196</v>
      </c>
      <c r="F1479" s="3" t="s">
        <v>2448</v>
      </c>
    </row>
    <row r="1480" spans="1:6" x14ac:dyDescent="0.3">
      <c r="A1480" s="3" t="s">
        <v>300</v>
      </c>
      <c r="B1480" s="3" t="s">
        <v>23</v>
      </c>
      <c r="C1480" s="3" t="str">
        <f t="shared" si="23"/>
        <v>450013090840</v>
      </c>
      <c r="D1480" s="4">
        <v>46299</v>
      </c>
      <c r="E1480" s="3" t="s">
        <v>2196</v>
      </c>
      <c r="F1480" s="3" t="s">
        <v>2448</v>
      </c>
    </row>
    <row r="1481" spans="1:6" x14ac:dyDescent="0.3">
      <c r="A1481" s="3" t="s">
        <v>300</v>
      </c>
      <c r="B1481" s="3" t="s">
        <v>144</v>
      </c>
      <c r="C1481" s="3" t="str">
        <f t="shared" si="23"/>
        <v>450013090850</v>
      </c>
      <c r="D1481" s="4">
        <v>46299</v>
      </c>
      <c r="E1481" s="3" t="s">
        <v>2196</v>
      </c>
      <c r="F1481" s="3" t="s">
        <v>2448</v>
      </c>
    </row>
    <row r="1482" spans="1:6" x14ac:dyDescent="0.3">
      <c r="A1482" s="3" t="s">
        <v>300</v>
      </c>
      <c r="B1482" s="3" t="s">
        <v>141</v>
      </c>
      <c r="C1482" s="3" t="str">
        <f t="shared" si="23"/>
        <v>450013090860</v>
      </c>
      <c r="D1482" s="4">
        <v>46299</v>
      </c>
      <c r="E1482" s="3" t="s">
        <v>2196</v>
      </c>
      <c r="F1482" s="3" t="s">
        <v>2448</v>
      </c>
    </row>
    <row r="1483" spans="1:6" x14ac:dyDescent="0.3">
      <c r="A1483" s="3" t="s">
        <v>300</v>
      </c>
      <c r="B1483" s="3" t="s">
        <v>134</v>
      </c>
      <c r="C1483" s="3" t="str">
        <f t="shared" si="23"/>
        <v>450013090870</v>
      </c>
      <c r="D1483" s="4">
        <v>46299</v>
      </c>
      <c r="E1483" s="3" t="s">
        <v>2196</v>
      </c>
      <c r="F1483" s="3" t="s">
        <v>2448</v>
      </c>
    </row>
    <row r="1484" spans="1:6" x14ac:dyDescent="0.3">
      <c r="A1484" s="3" t="s">
        <v>300</v>
      </c>
      <c r="B1484" s="3" t="s">
        <v>52</v>
      </c>
      <c r="C1484" s="3" t="str">
        <f t="shared" si="23"/>
        <v>450013090880</v>
      </c>
      <c r="D1484" s="4">
        <v>46299</v>
      </c>
      <c r="E1484" s="3" t="s">
        <v>2196</v>
      </c>
      <c r="F1484" s="3" t="s">
        <v>2448</v>
      </c>
    </row>
    <row r="1485" spans="1:6" x14ac:dyDescent="0.3">
      <c r="A1485" s="3" t="s">
        <v>300</v>
      </c>
      <c r="B1485" s="3" t="s">
        <v>138</v>
      </c>
      <c r="C1485" s="3" t="str">
        <f t="shared" si="23"/>
        <v>450013090890</v>
      </c>
      <c r="D1485" s="4">
        <v>46299</v>
      </c>
      <c r="E1485" s="3" t="s">
        <v>2196</v>
      </c>
      <c r="F1485" s="3" t="s">
        <v>2448</v>
      </c>
    </row>
    <row r="1486" spans="1:6" x14ac:dyDescent="0.3">
      <c r="A1486" s="3" t="s">
        <v>300</v>
      </c>
      <c r="B1486" s="3" t="s">
        <v>45</v>
      </c>
      <c r="C1486" s="3" t="str">
        <f t="shared" si="23"/>
        <v>4500130908100</v>
      </c>
      <c r="D1486" s="4">
        <v>46299</v>
      </c>
      <c r="E1486" s="3" t="s">
        <v>2196</v>
      </c>
      <c r="F1486" s="3" t="s">
        <v>2448</v>
      </c>
    </row>
    <row r="1487" spans="1:6" x14ac:dyDescent="0.3">
      <c r="A1487" s="3" t="s">
        <v>300</v>
      </c>
      <c r="B1487" s="3" t="s">
        <v>156</v>
      </c>
      <c r="C1487" s="3" t="str">
        <f t="shared" si="23"/>
        <v>4500130908110</v>
      </c>
      <c r="D1487" s="4">
        <v>46299</v>
      </c>
      <c r="E1487" s="3" t="s">
        <v>2196</v>
      </c>
      <c r="F1487" s="3" t="s">
        <v>2448</v>
      </c>
    </row>
    <row r="1488" spans="1:6" x14ac:dyDescent="0.3">
      <c r="A1488" s="3" t="s">
        <v>300</v>
      </c>
      <c r="B1488" s="3" t="s">
        <v>132</v>
      </c>
      <c r="C1488" s="3" t="str">
        <f t="shared" si="23"/>
        <v>4500130908120</v>
      </c>
      <c r="D1488" s="4">
        <v>46299</v>
      </c>
      <c r="E1488" s="3" t="s">
        <v>2196</v>
      </c>
      <c r="F1488" s="3" t="s">
        <v>2448</v>
      </c>
    </row>
    <row r="1489" spans="1:6" x14ac:dyDescent="0.3">
      <c r="A1489" s="3" t="s">
        <v>300</v>
      </c>
      <c r="B1489" s="3" t="s">
        <v>142</v>
      </c>
      <c r="C1489" s="3" t="str">
        <f t="shared" si="23"/>
        <v>4500130908130</v>
      </c>
      <c r="D1489" s="4">
        <v>46299</v>
      </c>
      <c r="E1489" s="3" t="s">
        <v>2196</v>
      </c>
      <c r="F1489" s="3" t="s">
        <v>2448</v>
      </c>
    </row>
    <row r="1490" spans="1:6" x14ac:dyDescent="0.3">
      <c r="A1490" s="3" t="s">
        <v>300</v>
      </c>
      <c r="B1490" s="3" t="s">
        <v>131</v>
      </c>
      <c r="C1490" s="3" t="str">
        <f t="shared" si="23"/>
        <v>4500130908140</v>
      </c>
      <c r="D1490" s="4">
        <v>46299</v>
      </c>
      <c r="E1490" s="3" t="s">
        <v>2196</v>
      </c>
      <c r="F1490" s="3" t="s">
        <v>2448</v>
      </c>
    </row>
    <row r="1491" spans="1:6" x14ac:dyDescent="0.3">
      <c r="A1491" s="3" t="s">
        <v>300</v>
      </c>
      <c r="B1491" s="3" t="s">
        <v>68</v>
      </c>
      <c r="C1491" s="3" t="str">
        <f t="shared" si="23"/>
        <v>4500130908150</v>
      </c>
      <c r="D1491" s="4">
        <v>46299</v>
      </c>
      <c r="E1491" s="3" t="s">
        <v>2196</v>
      </c>
      <c r="F1491" s="3" t="s">
        <v>2448</v>
      </c>
    </row>
    <row r="1492" spans="1:6" x14ac:dyDescent="0.3">
      <c r="A1492" s="3" t="s">
        <v>300</v>
      </c>
      <c r="B1492" s="3" t="s">
        <v>129</v>
      </c>
      <c r="C1492" s="3" t="str">
        <f t="shared" si="23"/>
        <v>4500130908160</v>
      </c>
      <c r="D1492" s="4">
        <v>46299</v>
      </c>
      <c r="E1492" s="3" t="s">
        <v>2196</v>
      </c>
      <c r="F1492" s="3" t="s">
        <v>2448</v>
      </c>
    </row>
    <row r="1493" spans="1:6" x14ac:dyDescent="0.3">
      <c r="A1493" s="3" t="s">
        <v>982</v>
      </c>
      <c r="B1493" s="3" t="s">
        <v>30</v>
      </c>
      <c r="C1493" s="3" t="str">
        <f t="shared" si="23"/>
        <v>450013093010</v>
      </c>
      <c r="D1493" s="4">
        <v>46262</v>
      </c>
      <c r="E1493" s="3" t="s">
        <v>2196</v>
      </c>
      <c r="F1493" s="3" t="s">
        <v>2614</v>
      </c>
    </row>
    <row r="1494" spans="1:6" x14ac:dyDescent="0.3">
      <c r="A1494" s="3" t="s">
        <v>982</v>
      </c>
      <c r="B1494" s="3" t="s">
        <v>22</v>
      </c>
      <c r="C1494" s="3" t="str">
        <f t="shared" si="23"/>
        <v>450013093020</v>
      </c>
      <c r="D1494" s="4">
        <v>46262</v>
      </c>
      <c r="E1494" s="3" t="s">
        <v>2196</v>
      </c>
      <c r="F1494" s="3" t="s">
        <v>2614</v>
      </c>
    </row>
    <row r="1495" spans="1:6" x14ac:dyDescent="0.3">
      <c r="A1495" s="3" t="s">
        <v>878</v>
      </c>
      <c r="B1495" s="3" t="s">
        <v>35</v>
      </c>
      <c r="C1495" s="3" t="str">
        <f t="shared" si="23"/>
        <v>450013104930</v>
      </c>
      <c r="D1495" s="4">
        <v>46199</v>
      </c>
      <c r="E1495" s="3" t="s">
        <v>2200</v>
      </c>
      <c r="F1495" s="3" t="s">
        <v>2544</v>
      </c>
    </row>
    <row r="1496" spans="1:6" x14ac:dyDescent="0.3">
      <c r="A1496" s="3" t="s">
        <v>878</v>
      </c>
      <c r="B1496" s="3" t="s">
        <v>144</v>
      </c>
      <c r="C1496" s="3" t="str">
        <f t="shared" si="23"/>
        <v>450013104950</v>
      </c>
      <c r="D1496" s="4">
        <v>46199</v>
      </c>
      <c r="E1496" s="3" t="s">
        <v>2200</v>
      </c>
      <c r="F1496" s="3" t="s">
        <v>2544</v>
      </c>
    </row>
    <row r="1497" spans="1:6" x14ac:dyDescent="0.3">
      <c r="A1497" s="3" t="s">
        <v>878</v>
      </c>
      <c r="B1497" s="3" t="s">
        <v>141</v>
      </c>
      <c r="C1497" s="3" t="str">
        <f t="shared" si="23"/>
        <v>450013104960</v>
      </c>
      <c r="D1497" s="4">
        <v>46199</v>
      </c>
      <c r="E1497" s="3" t="s">
        <v>2200</v>
      </c>
      <c r="F1497" s="3" t="s">
        <v>2544</v>
      </c>
    </row>
    <row r="1498" spans="1:6" x14ac:dyDescent="0.3">
      <c r="A1498" s="3" t="s">
        <v>878</v>
      </c>
      <c r="B1498" s="3" t="s">
        <v>134</v>
      </c>
      <c r="C1498" s="3" t="str">
        <f t="shared" si="23"/>
        <v>450013104970</v>
      </c>
      <c r="D1498" s="4">
        <v>46199</v>
      </c>
      <c r="E1498" s="3" t="s">
        <v>2200</v>
      </c>
      <c r="F1498" s="3" t="s">
        <v>2544</v>
      </c>
    </row>
    <row r="1499" spans="1:6" x14ac:dyDescent="0.3">
      <c r="A1499" s="3" t="s">
        <v>878</v>
      </c>
      <c r="B1499" s="3" t="s">
        <v>52</v>
      </c>
      <c r="C1499" s="3" t="str">
        <f t="shared" si="23"/>
        <v>450013104980</v>
      </c>
      <c r="D1499" s="4">
        <v>46199</v>
      </c>
      <c r="E1499" s="3" t="s">
        <v>2200</v>
      </c>
      <c r="F1499" s="3" t="s">
        <v>2544</v>
      </c>
    </row>
    <row r="1500" spans="1:6" x14ac:dyDescent="0.3">
      <c r="A1500" s="3" t="s">
        <v>878</v>
      </c>
      <c r="B1500" s="3" t="s">
        <v>53</v>
      </c>
      <c r="C1500" s="3" t="str">
        <f t="shared" si="23"/>
        <v>4500131049170</v>
      </c>
      <c r="D1500" s="4">
        <v>46199</v>
      </c>
      <c r="E1500" s="3" t="s">
        <v>2200</v>
      </c>
      <c r="F1500" s="3" t="s">
        <v>2544</v>
      </c>
    </row>
    <row r="1501" spans="1:6" x14ac:dyDescent="0.3">
      <c r="A1501" s="3" t="s">
        <v>878</v>
      </c>
      <c r="B1501" s="3" t="s">
        <v>130</v>
      </c>
      <c r="C1501" s="3" t="str">
        <f t="shared" si="23"/>
        <v>4500131049180</v>
      </c>
      <c r="D1501" s="4">
        <v>46199</v>
      </c>
      <c r="E1501" s="3" t="s">
        <v>2200</v>
      </c>
      <c r="F1501" s="3" t="s">
        <v>2544</v>
      </c>
    </row>
    <row r="1502" spans="1:6" x14ac:dyDescent="0.3">
      <c r="A1502" s="3" t="s">
        <v>347</v>
      </c>
      <c r="B1502" s="3" t="s">
        <v>30</v>
      </c>
      <c r="C1502" s="3" t="str">
        <f t="shared" si="23"/>
        <v>450013107610</v>
      </c>
      <c r="D1502" s="4">
        <v>46202</v>
      </c>
      <c r="E1502" s="3" t="s">
        <v>2239</v>
      </c>
      <c r="F1502" s="3" t="s">
        <v>2586</v>
      </c>
    </row>
    <row r="1503" spans="1:6" x14ac:dyDescent="0.3">
      <c r="A1503" s="3" t="s">
        <v>124</v>
      </c>
      <c r="B1503" s="3" t="s">
        <v>22</v>
      </c>
      <c r="C1503" s="3" t="str">
        <f t="shared" si="23"/>
        <v>450013115020</v>
      </c>
      <c r="D1503" s="4">
        <v>46296</v>
      </c>
      <c r="E1503" s="3" t="s">
        <v>2210</v>
      </c>
      <c r="F1503" s="3" t="s">
        <v>2505</v>
      </c>
    </row>
    <row r="1504" spans="1:6" x14ac:dyDescent="0.3">
      <c r="A1504" s="3" t="s">
        <v>124</v>
      </c>
      <c r="B1504" s="3" t="s">
        <v>35</v>
      </c>
      <c r="C1504" s="3" t="str">
        <f t="shared" si="23"/>
        <v>450013115030</v>
      </c>
      <c r="D1504" s="4">
        <v>46296</v>
      </c>
      <c r="E1504" s="3" t="s">
        <v>2210</v>
      </c>
      <c r="F1504" s="3" t="s">
        <v>2505</v>
      </c>
    </row>
    <row r="1505" spans="1:6" x14ac:dyDescent="0.3">
      <c r="A1505" s="3" t="s">
        <v>124</v>
      </c>
      <c r="B1505" s="3" t="s">
        <v>23</v>
      </c>
      <c r="C1505" s="3" t="str">
        <f t="shared" si="23"/>
        <v>450013115040</v>
      </c>
      <c r="D1505" s="4">
        <v>46310</v>
      </c>
      <c r="E1505" s="3" t="s">
        <v>2210</v>
      </c>
      <c r="F1505" s="3" t="s">
        <v>2505</v>
      </c>
    </row>
    <row r="1506" spans="1:6" x14ac:dyDescent="0.3">
      <c r="A1506" s="3" t="s">
        <v>124</v>
      </c>
      <c r="B1506" s="3" t="s">
        <v>141</v>
      </c>
      <c r="C1506" s="3" t="str">
        <f t="shared" si="23"/>
        <v>450013115060</v>
      </c>
      <c r="D1506" s="4">
        <v>46310</v>
      </c>
      <c r="E1506" s="3" t="s">
        <v>2210</v>
      </c>
      <c r="F1506" s="3" t="s">
        <v>2505</v>
      </c>
    </row>
    <row r="1507" spans="1:6" x14ac:dyDescent="0.3">
      <c r="A1507" s="3" t="s">
        <v>893</v>
      </c>
      <c r="B1507" s="3" t="s">
        <v>30</v>
      </c>
      <c r="C1507" s="3" t="str">
        <f t="shared" si="23"/>
        <v>450013123710</v>
      </c>
      <c r="D1507" s="4">
        <v>46209</v>
      </c>
      <c r="E1507" s="3" t="s">
        <v>2200</v>
      </c>
      <c r="F1507" s="3" t="s">
        <v>2456</v>
      </c>
    </row>
    <row r="1508" spans="1:6" x14ac:dyDescent="0.3">
      <c r="A1508" s="3" t="s">
        <v>893</v>
      </c>
      <c r="B1508" s="3" t="s">
        <v>22</v>
      </c>
      <c r="C1508" s="3" t="str">
        <f t="shared" si="23"/>
        <v>450013123720</v>
      </c>
      <c r="D1508" s="4">
        <v>46209</v>
      </c>
      <c r="E1508" s="3" t="s">
        <v>2200</v>
      </c>
      <c r="F1508" s="3" t="s">
        <v>2456</v>
      </c>
    </row>
    <row r="1509" spans="1:6" x14ac:dyDescent="0.3">
      <c r="A1509" s="3" t="s">
        <v>893</v>
      </c>
      <c r="B1509" s="3" t="s">
        <v>35</v>
      </c>
      <c r="C1509" s="3" t="str">
        <f t="shared" si="23"/>
        <v>450013123730</v>
      </c>
      <c r="D1509" s="4">
        <v>46209</v>
      </c>
      <c r="E1509" s="3" t="s">
        <v>2200</v>
      </c>
      <c r="F1509" s="3" t="s">
        <v>2456</v>
      </c>
    </row>
    <row r="1510" spans="1:6" x14ac:dyDescent="0.3">
      <c r="A1510" s="3" t="s">
        <v>893</v>
      </c>
      <c r="B1510" s="3" t="s">
        <v>23</v>
      </c>
      <c r="C1510" s="3" t="str">
        <f t="shared" si="23"/>
        <v>450013123740</v>
      </c>
      <c r="D1510" s="4">
        <v>46209</v>
      </c>
      <c r="E1510" s="3" t="s">
        <v>2200</v>
      </c>
      <c r="F1510" s="3" t="s">
        <v>2456</v>
      </c>
    </row>
    <row r="1511" spans="1:6" x14ac:dyDescent="0.3">
      <c r="A1511" s="3" t="s">
        <v>893</v>
      </c>
      <c r="B1511" s="3" t="s">
        <v>144</v>
      </c>
      <c r="C1511" s="3" t="str">
        <f t="shared" si="23"/>
        <v>450013123750</v>
      </c>
      <c r="D1511" s="4">
        <v>46209</v>
      </c>
      <c r="E1511" s="3" t="s">
        <v>2200</v>
      </c>
      <c r="F1511" s="3" t="s">
        <v>2456</v>
      </c>
    </row>
    <row r="1512" spans="1:6" x14ac:dyDescent="0.3">
      <c r="A1512" s="3" t="s">
        <v>876</v>
      </c>
      <c r="B1512" s="3" t="s">
        <v>30</v>
      </c>
      <c r="C1512" s="3" t="str">
        <f t="shared" si="23"/>
        <v>450013149310</v>
      </c>
      <c r="D1512" s="4">
        <v>46224</v>
      </c>
      <c r="E1512" s="3" t="s">
        <v>2204</v>
      </c>
      <c r="F1512" s="3" t="s">
        <v>2423</v>
      </c>
    </row>
    <row r="1513" spans="1:6" x14ac:dyDescent="0.3">
      <c r="A1513" s="3" t="s">
        <v>873</v>
      </c>
      <c r="B1513" s="3" t="s">
        <v>30</v>
      </c>
      <c r="C1513" s="3" t="str">
        <f t="shared" si="23"/>
        <v>450013153510</v>
      </c>
      <c r="D1513" s="4">
        <v>46205</v>
      </c>
      <c r="E1513" s="3" t="s">
        <v>2239</v>
      </c>
      <c r="F1513" s="3" t="s">
        <v>2615</v>
      </c>
    </row>
    <row r="1514" spans="1:6" x14ac:dyDescent="0.3">
      <c r="A1514" s="3" t="s">
        <v>2994</v>
      </c>
      <c r="B1514" s="3" t="s">
        <v>30</v>
      </c>
      <c r="C1514" s="3" t="str">
        <f t="shared" si="23"/>
        <v>450013186410</v>
      </c>
      <c r="D1514" s="4">
        <v>46326</v>
      </c>
      <c r="E1514" s="3" t="s">
        <v>2194</v>
      </c>
      <c r="F1514" s="3" t="s">
        <v>2511</v>
      </c>
    </row>
    <row r="1515" spans="1:6" x14ac:dyDescent="0.3">
      <c r="A1515" s="3" t="s">
        <v>866</v>
      </c>
      <c r="B1515" s="3" t="s">
        <v>30</v>
      </c>
      <c r="C1515" s="3" t="str">
        <f t="shared" si="23"/>
        <v>450013203410</v>
      </c>
      <c r="D1515" s="4">
        <v>46210</v>
      </c>
      <c r="E1515" s="3" t="s">
        <v>2207</v>
      </c>
      <c r="F1515" s="3" t="s">
        <v>2616</v>
      </c>
    </row>
    <row r="1516" spans="1:6" x14ac:dyDescent="0.3">
      <c r="A1516" s="3" t="s">
        <v>866</v>
      </c>
      <c r="B1516" s="3" t="s">
        <v>22</v>
      </c>
      <c r="C1516" s="3" t="str">
        <f t="shared" si="23"/>
        <v>450013203420</v>
      </c>
      <c r="D1516" s="4">
        <v>46218</v>
      </c>
      <c r="E1516" s="3" t="s">
        <v>2207</v>
      </c>
      <c r="F1516" s="3" t="s">
        <v>2616</v>
      </c>
    </row>
    <row r="1517" spans="1:6" x14ac:dyDescent="0.3">
      <c r="A1517" s="3" t="s">
        <v>1922</v>
      </c>
      <c r="B1517" s="3" t="s">
        <v>30</v>
      </c>
      <c r="C1517" s="3" t="str">
        <f t="shared" si="23"/>
        <v>450013208710</v>
      </c>
      <c r="D1517" s="4">
        <v>46230</v>
      </c>
      <c r="E1517" s="3" t="s">
        <v>2207</v>
      </c>
      <c r="F1517" s="3" t="s">
        <v>2503</v>
      </c>
    </row>
    <row r="1518" spans="1:6" x14ac:dyDescent="0.3">
      <c r="A1518" s="3" t="s">
        <v>1922</v>
      </c>
      <c r="B1518" s="3" t="s">
        <v>22</v>
      </c>
      <c r="C1518" s="3" t="str">
        <f t="shared" si="23"/>
        <v>450013208720</v>
      </c>
      <c r="D1518" s="4">
        <v>46230</v>
      </c>
      <c r="E1518" s="3" t="s">
        <v>2207</v>
      </c>
      <c r="F1518" s="3" t="s">
        <v>2503</v>
      </c>
    </row>
    <row r="1519" spans="1:6" x14ac:dyDescent="0.3">
      <c r="A1519" s="3" t="s">
        <v>907</v>
      </c>
      <c r="B1519" s="3" t="s">
        <v>30</v>
      </c>
      <c r="C1519" s="3" t="str">
        <f t="shared" si="23"/>
        <v>450013209410</v>
      </c>
      <c r="D1519" s="4">
        <v>46581</v>
      </c>
      <c r="E1519" s="3" t="s">
        <v>2239</v>
      </c>
      <c r="F1519" s="3" t="s">
        <v>2613</v>
      </c>
    </row>
    <row r="1520" spans="1:6" x14ac:dyDescent="0.3">
      <c r="A1520" s="3" t="s">
        <v>1490</v>
      </c>
      <c r="B1520" s="3" t="s">
        <v>30</v>
      </c>
      <c r="C1520" s="3" t="str">
        <f t="shared" si="23"/>
        <v>450013213110</v>
      </c>
      <c r="D1520" s="4">
        <v>46282</v>
      </c>
      <c r="E1520" s="3" t="s">
        <v>2196</v>
      </c>
      <c r="F1520" s="3" t="s">
        <v>2617</v>
      </c>
    </row>
    <row r="1521" spans="1:6" x14ac:dyDescent="0.3">
      <c r="A1521" s="3" t="s">
        <v>1472</v>
      </c>
      <c r="B1521" s="3" t="s">
        <v>30</v>
      </c>
      <c r="C1521" s="3" t="str">
        <f t="shared" si="23"/>
        <v>450013214010</v>
      </c>
      <c r="D1521" s="4">
        <v>46287</v>
      </c>
      <c r="E1521" s="3" t="s">
        <v>2236</v>
      </c>
      <c r="F1521" s="3" t="s">
        <v>2618</v>
      </c>
    </row>
    <row r="1522" spans="1:6" x14ac:dyDescent="0.3">
      <c r="A1522" s="3" t="s">
        <v>1492</v>
      </c>
      <c r="B1522" s="3" t="s">
        <v>30</v>
      </c>
      <c r="C1522" s="3" t="str">
        <f t="shared" si="23"/>
        <v>450013221510</v>
      </c>
      <c r="D1522" s="4">
        <v>46231</v>
      </c>
      <c r="E1522" s="3" t="s">
        <v>2196</v>
      </c>
      <c r="F1522" s="3" t="s">
        <v>2439</v>
      </c>
    </row>
    <row r="1523" spans="1:6" x14ac:dyDescent="0.3">
      <c r="A1523" s="3" t="s">
        <v>1492</v>
      </c>
      <c r="B1523" s="3" t="s">
        <v>22</v>
      </c>
      <c r="C1523" s="3" t="str">
        <f t="shared" si="23"/>
        <v>450013221520</v>
      </c>
      <c r="D1523" s="4">
        <v>46280</v>
      </c>
      <c r="E1523" s="3" t="s">
        <v>2196</v>
      </c>
      <c r="F1523" s="3" t="s">
        <v>2439</v>
      </c>
    </row>
    <row r="1524" spans="1:6" x14ac:dyDescent="0.3">
      <c r="A1524" s="3" t="s">
        <v>1492</v>
      </c>
      <c r="B1524" s="3" t="s">
        <v>35</v>
      </c>
      <c r="C1524" s="3" t="str">
        <f t="shared" si="23"/>
        <v>450013221530</v>
      </c>
      <c r="D1524" s="4">
        <v>46280</v>
      </c>
      <c r="E1524" s="3" t="s">
        <v>2196</v>
      </c>
      <c r="F1524" s="3" t="s">
        <v>2439</v>
      </c>
    </row>
    <row r="1525" spans="1:6" x14ac:dyDescent="0.3">
      <c r="A1525" s="3" t="s">
        <v>1874</v>
      </c>
      <c r="B1525" s="3" t="s">
        <v>30</v>
      </c>
      <c r="C1525" s="3" t="str">
        <f t="shared" si="23"/>
        <v>450013224310</v>
      </c>
      <c r="D1525" s="4">
        <v>46245</v>
      </c>
      <c r="E1525" s="3" t="s">
        <v>2196</v>
      </c>
      <c r="F1525" s="3" t="s">
        <v>2478</v>
      </c>
    </row>
    <row r="1526" spans="1:6" x14ac:dyDescent="0.3">
      <c r="A1526" s="3" t="s">
        <v>1874</v>
      </c>
      <c r="B1526" s="3" t="s">
        <v>22</v>
      </c>
      <c r="C1526" s="3" t="str">
        <f t="shared" si="23"/>
        <v>450013224320</v>
      </c>
      <c r="D1526" s="4">
        <v>46245</v>
      </c>
      <c r="E1526" s="3" t="s">
        <v>2196</v>
      </c>
      <c r="F1526" s="3" t="s">
        <v>2478</v>
      </c>
    </row>
    <row r="1527" spans="1:6" x14ac:dyDescent="0.3">
      <c r="A1527" s="3" t="s">
        <v>1874</v>
      </c>
      <c r="B1527" s="3" t="s">
        <v>35</v>
      </c>
      <c r="C1527" s="3" t="str">
        <f t="shared" si="23"/>
        <v>450013224330</v>
      </c>
      <c r="D1527" s="4">
        <v>46245</v>
      </c>
      <c r="E1527" s="3" t="s">
        <v>2196</v>
      </c>
      <c r="F1527" s="3" t="s">
        <v>2478</v>
      </c>
    </row>
    <row r="1528" spans="1:6" x14ac:dyDescent="0.3">
      <c r="A1528" s="3" t="s">
        <v>1874</v>
      </c>
      <c r="B1528" s="3" t="s">
        <v>23</v>
      </c>
      <c r="C1528" s="3" t="str">
        <f t="shared" si="23"/>
        <v>450013224340</v>
      </c>
      <c r="D1528" s="4">
        <v>46245</v>
      </c>
      <c r="E1528" s="3" t="s">
        <v>2196</v>
      </c>
      <c r="F1528" s="3" t="s">
        <v>2478</v>
      </c>
    </row>
    <row r="1529" spans="1:6" x14ac:dyDescent="0.3">
      <c r="A1529" s="3" t="s">
        <v>1874</v>
      </c>
      <c r="B1529" s="3" t="s">
        <v>144</v>
      </c>
      <c r="C1529" s="3" t="str">
        <f t="shared" si="23"/>
        <v>450013224350</v>
      </c>
      <c r="D1529" s="4">
        <v>46245</v>
      </c>
      <c r="E1529" s="3" t="s">
        <v>2196</v>
      </c>
      <c r="F1529" s="3" t="s">
        <v>2478</v>
      </c>
    </row>
    <row r="1530" spans="1:6" x14ac:dyDescent="0.3">
      <c r="A1530" s="3" t="s">
        <v>1874</v>
      </c>
      <c r="B1530" s="3" t="s">
        <v>141</v>
      </c>
      <c r="C1530" s="3" t="str">
        <f t="shared" si="23"/>
        <v>450013224360</v>
      </c>
      <c r="D1530" s="4">
        <v>46245</v>
      </c>
      <c r="E1530" s="3" t="s">
        <v>2196</v>
      </c>
      <c r="F1530" s="3" t="s">
        <v>2478</v>
      </c>
    </row>
    <row r="1531" spans="1:6" x14ac:dyDescent="0.3">
      <c r="A1531" s="3" t="s">
        <v>1874</v>
      </c>
      <c r="B1531" s="3" t="s">
        <v>134</v>
      </c>
      <c r="C1531" s="3" t="str">
        <f t="shared" si="23"/>
        <v>450013224370</v>
      </c>
      <c r="D1531" s="4">
        <v>46245</v>
      </c>
      <c r="E1531" s="3" t="s">
        <v>2196</v>
      </c>
      <c r="F1531" s="3" t="s">
        <v>2478</v>
      </c>
    </row>
    <row r="1532" spans="1:6" x14ac:dyDescent="0.3">
      <c r="A1532" s="3" t="s">
        <v>1874</v>
      </c>
      <c r="B1532" s="3" t="s">
        <v>52</v>
      </c>
      <c r="C1532" s="3" t="str">
        <f t="shared" si="23"/>
        <v>450013224380</v>
      </c>
      <c r="D1532" s="4">
        <v>46245</v>
      </c>
      <c r="E1532" s="3" t="s">
        <v>2196</v>
      </c>
      <c r="F1532" s="3" t="s">
        <v>2478</v>
      </c>
    </row>
    <row r="1533" spans="1:6" x14ac:dyDescent="0.3">
      <c r="A1533" s="3" t="s">
        <v>1874</v>
      </c>
      <c r="B1533" s="3" t="s">
        <v>138</v>
      </c>
      <c r="C1533" s="3" t="str">
        <f t="shared" si="23"/>
        <v>450013224390</v>
      </c>
      <c r="D1533" s="4">
        <v>46245</v>
      </c>
      <c r="E1533" s="3" t="s">
        <v>2196</v>
      </c>
      <c r="F1533" s="3" t="s">
        <v>2478</v>
      </c>
    </row>
    <row r="1534" spans="1:6" x14ac:dyDescent="0.3">
      <c r="A1534" s="3" t="s">
        <v>1874</v>
      </c>
      <c r="B1534" s="3" t="s">
        <v>45</v>
      </c>
      <c r="C1534" s="3" t="str">
        <f t="shared" si="23"/>
        <v>4500132243100</v>
      </c>
      <c r="D1534" s="4">
        <v>46245</v>
      </c>
      <c r="E1534" s="3" t="s">
        <v>2196</v>
      </c>
      <c r="F1534" s="3" t="s">
        <v>2478</v>
      </c>
    </row>
    <row r="1535" spans="1:6" x14ac:dyDescent="0.3">
      <c r="A1535" s="3" t="s">
        <v>1874</v>
      </c>
      <c r="B1535" s="3" t="s">
        <v>156</v>
      </c>
      <c r="C1535" s="3" t="str">
        <f t="shared" si="23"/>
        <v>4500132243110</v>
      </c>
      <c r="D1535" s="4">
        <v>46245</v>
      </c>
      <c r="E1535" s="3" t="s">
        <v>2196</v>
      </c>
      <c r="F1535" s="3" t="s">
        <v>2478</v>
      </c>
    </row>
    <row r="1536" spans="1:6" x14ac:dyDescent="0.3">
      <c r="A1536" s="3" t="s">
        <v>1874</v>
      </c>
      <c r="B1536" s="3" t="s">
        <v>132</v>
      </c>
      <c r="C1536" s="3" t="str">
        <f t="shared" si="23"/>
        <v>4500132243120</v>
      </c>
      <c r="D1536" s="4">
        <v>46245</v>
      </c>
      <c r="E1536" s="3" t="s">
        <v>2196</v>
      </c>
      <c r="F1536" s="3" t="s">
        <v>2478</v>
      </c>
    </row>
    <row r="1537" spans="1:6" x14ac:dyDescent="0.3">
      <c r="A1537" s="3" t="s">
        <v>1874</v>
      </c>
      <c r="B1537" s="3" t="s">
        <v>131</v>
      </c>
      <c r="C1537" s="3" t="str">
        <f t="shared" si="23"/>
        <v>4500132243140</v>
      </c>
      <c r="D1537" s="4">
        <v>46245</v>
      </c>
      <c r="E1537" s="3" t="s">
        <v>2196</v>
      </c>
      <c r="F1537" s="3" t="s">
        <v>2478</v>
      </c>
    </row>
    <row r="1538" spans="1:6" x14ac:dyDescent="0.3">
      <c r="A1538" s="3" t="s">
        <v>1874</v>
      </c>
      <c r="B1538" s="3" t="s">
        <v>68</v>
      </c>
      <c r="C1538" s="3" t="str">
        <f t="shared" si="23"/>
        <v>4500132243150</v>
      </c>
      <c r="D1538" s="4">
        <v>46245</v>
      </c>
      <c r="E1538" s="3" t="s">
        <v>2196</v>
      </c>
      <c r="F1538" s="3" t="s">
        <v>2478</v>
      </c>
    </row>
    <row r="1539" spans="1:6" x14ac:dyDescent="0.3">
      <c r="A1539" s="3" t="s">
        <v>1874</v>
      </c>
      <c r="B1539" s="3" t="s">
        <v>129</v>
      </c>
      <c r="C1539" s="3" t="str">
        <f t="shared" ref="C1539:C1602" si="24">_xlfn.CONCAT(A1539:B1539)</f>
        <v>4500132243160</v>
      </c>
      <c r="D1539" s="4">
        <v>46245</v>
      </c>
      <c r="E1539" s="3" t="s">
        <v>2196</v>
      </c>
      <c r="F1539" s="3" t="s">
        <v>2478</v>
      </c>
    </row>
    <row r="1540" spans="1:6" x14ac:dyDescent="0.3">
      <c r="A1540" s="3" t="s">
        <v>1874</v>
      </c>
      <c r="B1540" s="3" t="s">
        <v>53</v>
      </c>
      <c r="C1540" s="3" t="str">
        <f t="shared" si="24"/>
        <v>4500132243170</v>
      </c>
      <c r="D1540" s="4">
        <v>46245</v>
      </c>
      <c r="E1540" s="3" t="s">
        <v>2196</v>
      </c>
      <c r="F1540" s="3" t="s">
        <v>2478</v>
      </c>
    </row>
    <row r="1541" spans="1:6" x14ac:dyDescent="0.3">
      <c r="A1541" s="3" t="s">
        <v>1874</v>
      </c>
      <c r="B1541" s="3" t="s">
        <v>130</v>
      </c>
      <c r="C1541" s="3" t="str">
        <f t="shared" si="24"/>
        <v>4500132243180</v>
      </c>
      <c r="D1541" s="4">
        <v>46245</v>
      </c>
      <c r="E1541" s="3" t="s">
        <v>2196</v>
      </c>
      <c r="F1541" s="3" t="s">
        <v>2478</v>
      </c>
    </row>
    <row r="1542" spans="1:6" x14ac:dyDescent="0.3">
      <c r="A1542" s="3" t="s">
        <v>1874</v>
      </c>
      <c r="B1542" s="3" t="s">
        <v>127</v>
      </c>
      <c r="C1542" s="3" t="str">
        <f t="shared" si="24"/>
        <v>4500132243190</v>
      </c>
      <c r="D1542" s="4">
        <v>46245</v>
      </c>
      <c r="E1542" s="3" t="s">
        <v>2196</v>
      </c>
      <c r="F1542" s="3" t="s">
        <v>2478</v>
      </c>
    </row>
    <row r="1543" spans="1:6" x14ac:dyDescent="0.3">
      <c r="A1543" s="3" t="s">
        <v>1874</v>
      </c>
      <c r="B1543" s="3" t="s">
        <v>161</v>
      </c>
      <c r="C1543" s="3" t="str">
        <f t="shared" si="24"/>
        <v>4500132243200</v>
      </c>
      <c r="D1543" s="4">
        <v>46245</v>
      </c>
      <c r="E1543" s="3" t="s">
        <v>2196</v>
      </c>
      <c r="F1543" s="3" t="s">
        <v>2478</v>
      </c>
    </row>
    <row r="1544" spans="1:6" x14ac:dyDescent="0.3">
      <c r="A1544" s="3" t="s">
        <v>1874</v>
      </c>
      <c r="B1544" s="3" t="s">
        <v>136</v>
      </c>
      <c r="C1544" s="3" t="str">
        <f t="shared" si="24"/>
        <v>4500132243210</v>
      </c>
      <c r="D1544" s="4">
        <v>46245</v>
      </c>
      <c r="E1544" s="3" t="s">
        <v>2196</v>
      </c>
      <c r="F1544" s="3" t="s">
        <v>2478</v>
      </c>
    </row>
    <row r="1545" spans="1:6" x14ac:dyDescent="0.3">
      <c r="A1545" s="3" t="s">
        <v>1874</v>
      </c>
      <c r="B1545" s="3" t="s">
        <v>140</v>
      </c>
      <c r="C1545" s="3" t="str">
        <f t="shared" si="24"/>
        <v>4500132243220</v>
      </c>
      <c r="D1545" s="4">
        <v>46245</v>
      </c>
      <c r="E1545" s="3" t="s">
        <v>2196</v>
      </c>
      <c r="F1545" s="3" t="s">
        <v>2478</v>
      </c>
    </row>
    <row r="1546" spans="1:6" x14ac:dyDescent="0.3">
      <c r="A1546" s="3" t="s">
        <v>1874</v>
      </c>
      <c r="B1546" s="3" t="s">
        <v>137</v>
      </c>
      <c r="C1546" s="3" t="str">
        <f t="shared" si="24"/>
        <v>4500132243230</v>
      </c>
      <c r="D1546" s="4">
        <v>46245</v>
      </c>
      <c r="E1546" s="3" t="s">
        <v>2196</v>
      </c>
      <c r="F1546" s="3" t="s">
        <v>2478</v>
      </c>
    </row>
    <row r="1547" spans="1:6" x14ac:dyDescent="0.3">
      <c r="A1547" s="3" t="s">
        <v>1874</v>
      </c>
      <c r="B1547" s="3" t="s">
        <v>143</v>
      </c>
      <c r="C1547" s="3" t="str">
        <f t="shared" si="24"/>
        <v>4500132243240</v>
      </c>
      <c r="D1547" s="4">
        <v>46245</v>
      </c>
      <c r="E1547" s="3" t="s">
        <v>2196</v>
      </c>
      <c r="F1547" s="3" t="s">
        <v>2478</v>
      </c>
    </row>
    <row r="1548" spans="1:6" x14ac:dyDescent="0.3">
      <c r="A1548" s="3" t="s">
        <v>1874</v>
      </c>
      <c r="B1548" s="3" t="s">
        <v>128</v>
      </c>
      <c r="C1548" s="3" t="str">
        <f t="shared" si="24"/>
        <v>4500132243250</v>
      </c>
      <c r="D1548" s="4">
        <v>46245</v>
      </c>
      <c r="E1548" s="3" t="s">
        <v>2196</v>
      </c>
      <c r="F1548" s="3" t="s">
        <v>2478</v>
      </c>
    </row>
    <row r="1549" spans="1:6" x14ac:dyDescent="0.3">
      <c r="A1549" s="3" t="s">
        <v>1874</v>
      </c>
      <c r="B1549" s="3" t="s">
        <v>126</v>
      </c>
      <c r="C1549" s="3" t="str">
        <f t="shared" si="24"/>
        <v>4500132243260</v>
      </c>
      <c r="D1549" s="4">
        <v>46245</v>
      </c>
      <c r="E1549" s="3" t="s">
        <v>2196</v>
      </c>
      <c r="F1549" s="3" t="s">
        <v>2478</v>
      </c>
    </row>
    <row r="1550" spans="1:6" x14ac:dyDescent="0.3">
      <c r="A1550" s="3" t="s">
        <v>1874</v>
      </c>
      <c r="B1550" s="3" t="s">
        <v>146</v>
      </c>
      <c r="C1550" s="3" t="str">
        <f t="shared" si="24"/>
        <v>4500132243270</v>
      </c>
      <c r="D1550" s="4">
        <v>46245</v>
      </c>
      <c r="E1550" s="3" t="s">
        <v>2196</v>
      </c>
      <c r="F1550" s="3" t="s">
        <v>2478</v>
      </c>
    </row>
    <row r="1551" spans="1:6" x14ac:dyDescent="0.3">
      <c r="A1551" s="3" t="s">
        <v>1874</v>
      </c>
      <c r="B1551" s="3" t="s">
        <v>133</v>
      </c>
      <c r="C1551" s="3" t="str">
        <f t="shared" si="24"/>
        <v>4500132243280</v>
      </c>
      <c r="D1551" s="4">
        <v>46245</v>
      </c>
      <c r="E1551" s="3" t="s">
        <v>2196</v>
      </c>
      <c r="F1551" s="3" t="s">
        <v>2478</v>
      </c>
    </row>
    <row r="1552" spans="1:6" x14ac:dyDescent="0.3">
      <c r="A1552" s="3" t="s">
        <v>1874</v>
      </c>
      <c r="B1552" s="3" t="s">
        <v>173</v>
      </c>
      <c r="C1552" s="3" t="str">
        <f t="shared" si="24"/>
        <v>4500132243290</v>
      </c>
      <c r="D1552" s="4">
        <v>46245</v>
      </c>
      <c r="E1552" s="3" t="s">
        <v>2196</v>
      </c>
      <c r="F1552" s="3" t="s">
        <v>2478</v>
      </c>
    </row>
    <row r="1553" spans="1:6" x14ac:dyDescent="0.3">
      <c r="A1553" s="3" t="s">
        <v>1874</v>
      </c>
      <c r="B1553" s="3" t="s">
        <v>145</v>
      </c>
      <c r="C1553" s="3" t="str">
        <f t="shared" si="24"/>
        <v>4500132243300</v>
      </c>
      <c r="D1553" s="4">
        <v>46245</v>
      </c>
      <c r="E1553" s="3" t="s">
        <v>2196</v>
      </c>
      <c r="F1553" s="3" t="s">
        <v>2478</v>
      </c>
    </row>
    <row r="1554" spans="1:6" x14ac:dyDescent="0.3">
      <c r="A1554" s="3" t="s">
        <v>1874</v>
      </c>
      <c r="B1554" s="3" t="s">
        <v>147</v>
      </c>
      <c r="C1554" s="3" t="str">
        <f t="shared" si="24"/>
        <v>4500132243310</v>
      </c>
      <c r="D1554" s="4">
        <v>46245</v>
      </c>
      <c r="E1554" s="3" t="s">
        <v>2196</v>
      </c>
      <c r="F1554" s="3" t="s">
        <v>2478</v>
      </c>
    </row>
    <row r="1555" spans="1:6" x14ac:dyDescent="0.3">
      <c r="A1555" s="3" t="s">
        <v>1874</v>
      </c>
      <c r="B1555" s="3" t="s">
        <v>150</v>
      </c>
      <c r="C1555" s="3" t="str">
        <f t="shared" si="24"/>
        <v>4500132243320</v>
      </c>
      <c r="D1555" s="4">
        <v>46245</v>
      </c>
      <c r="E1555" s="3" t="s">
        <v>2196</v>
      </c>
      <c r="F1555" s="3" t="s">
        <v>2478</v>
      </c>
    </row>
    <row r="1556" spans="1:6" x14ac:dyDescent="0.3">
      <c r="A1556" s="3" t="s">
        <v>1874</v>
      </c>
      <c r="B1556" s="3" t="s">
        <v>154</v>
      </c>
      <c r="C1556" s="3" t="str">
        <f t="shared" si="24"/>
        <v>4500132243330</v>
      </c>
      <c r="D1556" s="4">
        <v>46245</v>
      </c>
      <c r="E1556" s="3" t="s">
        <v>2196</v>
      </c>
      <c r="F1556" s="3" t="s">
        <v>2478</v>
      </c>
    </row>
    <row r="1557" spans="1:6" x14ac:dyDescent="0.3">
      <c r="A1557" s="3" t="s">
        <v>1874</v>
      </c>
      <c r="B1557" s="3" t="s">
        <v>135</v>
      </c>
      <c r="C1557" s="3" t="str">
        <f t="shared" si="24"/>
        <v>4500132243340</v>
      </c>
      <c r="D1557" s="4">
        <v>46287</v>
      </c>
      <c r="E1557" s="3" t="s">
        <v>2196</v>
      </c>
      <c r="F1557" s="3" t="s">
        <v>2478</v>
      </c>
    </row>
    <row r="1558" spans="1:6" x14ac:dyDescent="0.3">
      <c r="A1558" s="3" t="s">
        <v>1874</v>
      </c>
      <c r="B1558" s="3" t="s">
        <v>139</v>
      </c>
      <c r="C1558" s="3" t="str">
        <f t="shared" si="24"/>
        <v>4500132243350</v>
      </c>
      <c r="D1558" s="4">
        <v>46245</v>
      </c>
      <c r="E1558" s="3" t="s">
        <v>2196</v>
      </c>
      <c r="F1558" s="3" t="s">
        <v>2478</v>
      </c>
    </row>
    <row r="1559" spans="1:6" x14ac:dyDescent="0.3">
      <c r="A1559" s="3" t="s">
        <v>1874</v>
      </c>
      <c r="B1559" s="3" t="s">
        <v>168</v>
      </c>
      <c r="C1559" s="3" t="str">
        <f t="shared" si="24"/>
        <v>4500132243360</v>
      </c>
      <c r="D1559" s="4">
        <v>46245</v>
      </c>
      <c r="E1559" s="3" t="s">
        <v>2196</v>
      </c>
      <c r="F1559" s="3" t="s">
        <v>2478</v>
      </c>
    </row>
    <row r="1560" spans="1:6" x14ac:dyDescent="0.3">
      <c r="A1560" s="3" t="s">
        <v>1874</v>
      </c>
      <c r="B1560" s="3" t="s">
        <v>162</v>
      </c>
      <c r="C1560" s="3" t="str">
        <f t="shared" si="24"/>
        <v>4500132243370</v>
      </c>
      <c r="D1560" s="4">
        <v>46245</v>
      </c>
      <c r="E1560" s="3" t="s">
        <v>2196</v>
      </c>
      <c r="F1560" s="3" t="s">
        <v>2478</v>
      </c>
    </row>
    <row r="1561" spans="1:6" x14ac:dyDescent="0.3">
      <c r="A1561" s="3" t="s">
        <v>1874</v>
      </c>
      <c r="B1561" s="3" t="s">
        <v>1132</v>
      </c>
      <c r="C1561" s="3" t="str">
        <f t="shared" si="24"/>
        <v>4500132243380</v>
      </c>
      <c r="D1561" s="4">
        <v>46245</v>
      </c>
      <c r="E1561" s="3" t="s">
        <v>2196</v>
      </c>
      <c r="F1561" s="3" t="s">
        <v>2478</v>
      </c>
    </row>
    <row r="1562" spans="1:6" x14ac:dyDescent="0.3">
      <c r="A1562" s="3" t="s">
        <v>1874</v>
      </c>
      <c r="B1562" s="3" t="s">
        <v>158</v>
      </c>
      <c r="C1562" s="3" t="str">
        <f t="shared" si="24"/>
        <v>4500132243390</v>
      </c>
      <c r="D1562" s="4">
        <v>46245</v>
      </c>
      <c r="E1562" s="3" t="s">
        <v>2196</v>
      </c>
      <c r="F1562" s="3" t="s">
        <v>2478</v>
      </c>
    </row>
    <row r="1563" spans="1:6" x14ac:dyDescent="0.3">
      <c r="A1563" s="3" t="s">
        <v>960</v>
      </c>
      <c r="B1563" s="3" t="s">
        <v>30</v>
      </c>
      <c r="C1563" s="3" t="str">
        <f t="shared" si="24"/>
        <v>450013246910</v>
      </c>
      <c r="D1563" s="4">
        <v>46233</v>
      </c>
      <c r="E1563" s="3" t="s">
        <v>2196</v>
      </c>
      <c r="F1563" s="3" t="s">
        <v>2423</v>
      </c>
    </row>
    <row r="1564" spans="1:6" x14ac:dyDescent="0.3">
      <c r="A1564" s="3" t="s">
        <v>960</v>
      </c>
      <c r="B1564" s="3" t="s">
        <v>22</v>
      </c>
      <c r="C1564" s="3" t="str">
        <f t="shared" si="24"/>
        <v>450013246920</v>
      </c>
      <c r="D1564" s="4">
        <v>46233</v>
      </c>
      <c r="E1564" s="3" t="s">
        <v>2196</v>
      </c>
      <c r="F1564" s="3" t="s">
        <v>2423</v>
      </c>
    </row>
    <row r="1565" spans="1:6" x14ac:dyDescent="0.3">
      <c r="A1565" s="3" t="s">
        <v>960</v>
      </c>
      <c r="B1565" s="3" t="s">
        <v>35</v>
      </c>
      <c r="C1565" s="3" t="str">
        <f t="shared" si="24"/>
        <v>450013246930</v>
      </c>
      <c r="D1565" s="4">
        <v>46233</v>
      </c>
      <c r="E1565" s="3" t="s">
        <v>2196</v>
      </c>
      <c r="F1565" s="3" t="s">
        <v>2423</v>
      </c>
    </row>
    <row r="1566" spans="1:6" x14ac:dyDescent="0.3">
      <c r="A1566" s="3" t="s">
        <v>960</v>
      </c>
      <c r="B1566" s="3" t="s">
        <v>23</v>
      </c>
      <c r="C1566" s="3" t="str">
        <f t="shared" si="24"/>
        <v>450013246940</v>
      </c>
      <c r="D1566" s="4">
        <v>46233</v>
      </c>
      <c r="E1566" s="3" t="s">
        <v>2196</v>
      </c>
      <c r="F1566" s="3" t="s">
        <v>2423</v>
      </c>
    </row>
    <row r="1567" spans="1:6" x14ac:dyDescent="0.3">
      <c r="A1567" s="3" t="s">
        <v>960</v>
      </c>
      <c r="B1567" s="3" t="s">
        <v>144</v>
      </c>
      <c r="C1567" s="3" t="str">
        <f t="shared" si="24"/>
        <v>450013246950</v>
      </c>
      <c r="D1567" s="4">
        <v>46233</v>
      </c>
      <c r="E1567" s="3" t="s">
        <v>2196</v>
      </c>
      <c r="F1567" s="3" t="s">
        <v>2423</v>
      </c>
    </row>
    <row r="1568" spans="1:6" x14ac:dyDescent="0.3">
      <c r="A1568" s="3" t="s">
        <v>960</v>
      </c>
      <c r="B1568" s="3" t="s">
        <v>141</v>
      </c>
      <c r="C1568" s="3" t="str">
        <f t="shared" si="24"/>
        <v>450013246960</v>
      </c>
      <c r="D1568" s="4">
        <v>46245</v>
      </c>
      <c r="E1568" s="3" t="s">
        <v>2196</v>
      </c>
      <c r="F1568" s="3" t="s">
        <v>2423</v>
      </c>
    </row>
    <row r="1569" spans="1:6" x14ac:dyDescent="0.3">
      <c r="A1569" s="3" t="s">
        <v>960</v>
      </c>
      <c r="B1569" s="3" t="s">
        <v>134</v>
      </c>
      <c r="C1569" s="3" t="str">
        <f t="shared" si="24"/>
        <v>450013246970</v>
      </c>
      <c r="D1569" s="4">
        <v>46233</v>
      </c>
      <c r="E1569" s="3" t="s">
        <v>2196</v>
      </c>
      <c r="F1569" s="3" t="s">
        <v>2423</v>
      </c>
    </row>
    <row r="1570" spans="1:6" x14ac:dyDescent="0.3">
      <c r="A1570" s="3" t="s">
        <v>960</v>
      </c>
      <c r="B1570" s="3" t="s">
        <v>52</v>
      </c>
      <c r="C1570" s="3" t="str">
        <f t="shared" si="24"/>
        <v>450013246980</v>
      </c>
      <c r="D1570" s="4">
        <v>46233</v>
      </c>
      <c r="E1570" s="3" t="s">
        <v>2196</v>
      </c>
      <c r="F1570" s="3" t="s">
        <v>2423</v>
      </c>
    </row>
    <row r="1571" spans="1:6" x14ac:dyDescent="0.3">
      <c r="A1571" s="3" t="s">
        <v>960</v>
      </c>
      <c r="B1571" s="3" t="s">
        <v>138</v>
      </c>
      <c r="C1571" s="3" t="str">
        <f t="shared" si="24"/>
        <v>450013246990</v>
      </c>
      <c r="D1571" s="4">
        <v>46233</v>
      </c>
      <c r="E1571" s="3" t="s">
        <v>2196</v>
      </c>
      <c r="F1571" s="3" t="s">
        <v>2423</v>
      </c>
    </row>
    <row r="1572" spans="1:6" x14ac:dyDescent="0.3">
      <c r="A1572" s="3" t="s">
        <v>960</v>
      </c>
      <c r="B1572" s="3" t="s">
        <v>45</v>
      </c>
      <c r="C1572" s="3" t="str">
        <f t="shared" si="24"/>
        <v>4500132469100</v>
      </c>
      <c r="D1572" s="4">
        <v>46233</v>
      </c>
      <c r="E1572" s="3" t="s">
        <v>2196</v>
      </c>
      <c r="F1572" s="3" t="s">
        <v>2423</v>
      </c>
    </row>
    <row r="1573" spans="1:6" x14ac:dyDescent="0.3">
      <c r="A1573" s="3" t="s">
        <v>960</v>
      </c>
      <c r="B1573" s="3" t="s">
        <v>156</v>
      </c>
      <c r="C1573" s="3" t="str">
        <f t="shared" si="24"/>
        <v>4500132469110</v>
      </c>
      <c r="D1573" s="4">
        <v>46233</v>
      </c>
      <c r="E1573" s="3" t="s">
        <v>2196</v>
      </c>
      <c r="F1573" s="3" t="s">
        <v>2423</v>
      </c>
    </row>
    <row r="1574" spans="1:6" x14ac:dyDescent="0.3">
      <c r="A1574" s="3" t="s">
        <v>960</v>
      </c>
      <c r="B1574" s="3" t="s">
        <v>132</v>
      </c>
      <c r="C1574" s="3" t="str">
        <f t="shared" si="24"/>
        <v>4500132469120</v>
      </c>
      <c r="D1574" s="4">
        <v>46233</v>
      </c>
      <c r="E1574" s="3" t="s">
        <v>2196</v>
      </c>
      <c r="F1574" s="3" t="s">
        <v>2423</v>
      </c>
    </row>
    <row r="1575" spans="1:6" x14ac:dyDescent="0.3">
      <c r="A1575" s="3" t="s">
        <v>960</v>
      </c>
      <c r="B1575" s="3" t="s">
        <v>131</v>
      </c>
      <c r="C1575" s="3" t="str">
        <f t="shared" si="24"/>
        <v>4500132469140</v>
      </c>
      <c r="D1575" s="4">
        <v>46233</v>
      </c>
      <c r="E1575" s="3" t="s">
        <v>2196</v>
      </c>
      <c r="F1575" s="3" t="s">
        <v>2423</v>
      </c>
    </row>
    <row r="1576" spans="1:6" x14ac:dyDescent="0.3">
      <c r="A1576" s="3" t="s">
        <v>960</v>
      </c>
      <c r="B1576" s="3" t="s">
        <v>68</v>
      </c>
      <c r="C1576" s="3" t="str">
        <f t="shared" si="24"/>
        <v>4500132469150</v>
      </c>
      <c r="D1576" s="4">
        <v>46233</v>
      </c>
      <c r="E1576" s="3" t="s">
        <v>2196</v>
      </c>
      <c r="F1576" s="3" t="s">
        <v>2423</v>
      </c>
    </row>
    <row r="1577" spans="1:6" x14ac:dyDescent="0.3">
      <c r="A1577" s="3" t="s">
        <v>960</v>
      </c>
      <c r="B1577" s="3" t="s">
        <v>129</v>
      </c>
      <c r="C1577" s="3" t="str">
        <f t="shared" si="24"/>
        <v>4500132469160</v>
      </c>
      <c r="D1577" s="4">
        <v>46233</v>
      </c>
      <c r="E1577" s="3" t="s">
        <v>2196</v>
      </c>
      <c r="F1577" s="3" t="s">
        <v>2423</v>
      </c>
    </row>
    <row r="1578" spans="1:6" x14ac:dyDescent="0.3">
      <c r="A1578" s="3" t="s">
        <v>960</v>
      </c>
      <c r="B1578" s="3" t="s">
        <v>53</v>
      </c>
      <c r="C1578" s="3" t="str">
        <f t="shared" si="24"/>
        <v>4500132469170</v>
      </c>
      <c r="D1578" s="4">
        <v>46233</v>
      </c>
      <c r="E1578" s="3" t="s">
        <v>2196</v>
      </c>
      <c r="F1578" s="3" t="s">
        <v>2423</v>
      </c>
    </row>
    <row r="1579" spans="1:6" x14ac:dyDescent="0.3">
      <c r="A1579" s="3" t="s">
        <v>960</v>
      </c>
      <c r="B1579" s="3" t="s">
        <v>130</v>
      </c>
      <c r="C1579" s="3" t="str">
        <f t="shared" si="24"/>
        <v>4500132469180</v>
      </c>
      <c r="D1579" s="4">
        <v>46233</v>
      </c>
      <c r="E1579" s="3" t="s">
        <v>2196</v>
      </c>
      <c r="F1579" s="3" t="s">
        <v>2423</v>
      </c>
    </row>
    <row r="1580" spans="1:6" x14ac:dyDescent="0.3">
      <c r="A1580" s="3" t="s">
        <v>960</v>
      </c>
      <c r="B1580" s="3" t="s">
        <v>127</v>
      </c>
      <c r="C1580" s="3" t="str">
        <f t="shared" si="24"/>
        <v>4500132469190</v>
      </c>
      <c r="D1580" s="4">
        <v>46233</v>
      </c>
      <c r="E1580" s="3" t="s">
        <v>2196</v>
      </c>
      <c r="F1580" s="3" t="s">
        <v>2423</v>
      </c>
    </row>
    <row r="1581" spans="1:6" x14ac:dyDescent="0.3">
      <c r="A1581" s="3" t="s">
        <v>960</v>
      </c>
      <c r="B1581" s="3" t="s">
        <v>161</v>
      </c>
      <c r="C1581" s="3" t="str">
        <f t="shared" si="24"/>
        <v>4500132469200</v>
      </c>
      <c r="D1581" s="4">
        <v>46233</v>
      </c>
      <c r="E1581" s="3" t="s">
        <v>2196</v>
      </c>
      <c r="F1581" s="3" t="s">
        <v>2423</v>
      </c>
    </row>
    <row r="1582" spans="1:6" x14ac:dyDescent="0.3">
      <c r="A1582" s="3" t="s">
        <v>960</v>
      </c>
      <c r="B1582" s="3" t="s">
        <v>136</v>
      </c>
      <c r="C1582" s="3" t="str">
        <f t="shared" si="24"/>
        <v>4500132469210</v>
      </c>
      <c r="D1582" s="4">
        <v>46233</v>
      </c>
      <c r="E1582" s="3" t="s">
        <v>2196</v>
      </c>
      <c r="F1582" s="3" t="s">
        <v>2423</v>
      </c>
    </row>
    <row r="1583" spans="1:6" x14ac:dyDescent="0.3">
      <c r="A1583" s="3" t="s">
        <v>960</v>
      </c>
      <c r="B1583" s="3" t="s">
        <v>140</v>
      </c>
      <c r="C1583" s="3" t="str">
        <f t="shared" si="24"/>
        <v>4500132469220</v>
      </c>
      <c r="D1583" s="4">
        <v>46233</v>
      </c>
      <c r="E1583" s="3" t="s">
        <v>2196</v>
      </c>
      <c r="F1583" s="3" t="s">
        <v>2423</v>
      </c>
    </row>
    <row r="1584" spans="1:6" x14ac:dyDescent="0.3">
      <c r="A1584" s="3" t="s">
        <v>960</v>
      </c>
      <c r="B1584" s="3" t="s">
        <v>137</v>
      </c>
      <c r="C1584" s="3" t="str">
        <f t="shared" si="24"/>
        <v>4500132469230</v>
      </c>
      <c r="D1584" s="4">
        <v>46233</v>
      </c>
      <c r="E1584" s="3" t="s">
        <v>2196</v>
      </c>
      <c r="F1584" s="3" t="s">
        <v>2423</v>
      </c>
    </row>
    <row r="1585" spans="1:6" x14ac:dyDescent="0.3">
      <c r="A1585" s="3" t="s">
        <v>960</v>
      </c>
      <c r="B1585" s="3" t="s">
        <v>143</v>
      </c>
      <c r="C1585" s="3" t="str">
        <f t="shared" si="24"/>
        <v>4500132469240</v>
      </c>
      <c r="D1585" s="4">
        <v>46233</v>
      </c>
      <c r="E1585" s="3" t="s">
        <v>2196</v>
      </c>
      <c r="F1585" s="3" t="s">
        <v>2423</v>
      </c>
    </row>
    <row r="1586" spans="1:6" x14ac:dyDescent="0.3">
      <c r="A1586" s="3" t="s">
        <v>960</v>
      </c>
      <c r="B1586" s="3" t="s">
        <v>128</v>
      </c>
      <c r="C1586" s="3" t="str">
        <f t="shared" si="24"/>
        <v>4500132469250</v>
      </c>
      <c r="D1586" s="4">
        <v>46233</v>
      </c>
      <c r="E1586" s="3" t="s">
        <v>2196</v>
      </c>
      <c r="F1586" s="3" t="s">
        <v>2423</v>
      </c>
    </row>
    <row r="1587" spans="1:6" x14ac:dyDescent="0.3">
      <c r="A1587" s="3" t="s">
        <v>960</v>
      </c>
      <c r="B1587" s="3" t="s">
        <v>126</v>
      </c>
      <c r="C1587" s="3" t="str">
        <f t="shared" si="24"/>
        <v>4500132469260</v>
      </c>
      <c r="D1587" s="4">
        <v>46245</v>
      </c>
      <c r="E1587" s="3" t="s">
        <v>2196</v>
      </c>
      <c r="F1587" s="3" t="s">
        <v>2423</v>
      </c>
    </row>
    <row r="1588" spans="1:6" x14ac:dyDescent="0.3">
      <c r="A1588" s="3" t="s">
        <v>886</v>
      </c>
      <c r="B1588" s="3" t="s">
        <v>30</v>
      </c>
      <c r="C1588" s="3" t="str">
        <f t="shared" si="24"/>
        <v>450013258210</v>
      </c>
      <c r="D1588" s="4">
        <v>46203</v>
      </c>
      <c r="E1588" s="3" t="s">
        <v>2207</v>
      </c>
      <c r="F1588" s="3" t="s">
        <v>2607</v>
      </c>
    </row>
    <row r="1589" spans="1:6" x14ac:dyDescent="0.3">
      <c r="A1589" s="3" t="s">
        <v>925</v>
      </c>
      <c r="B1589" s="3" t="s">
        <v>30</v>
      </c>
      <c r="C1589" s="3" t="str">
        <f t="shared" si="24"/>
        <v>450013260210</v>
      </c>
      <c r="D1589" s="4">
        <v>46231</v>
      </c>
      <c r="E1589" s="3" t="s">
        <v>2233</v>
      </c>
      <c r="F1589" s="3" t="s">
        <v>2544</v>
      </c>
    </row>
    <row r="1590" spans="1:6" x14ac:dyDescent="0.3">
      <c r="A1590" s="3" t="s">
        <v>925</v>
      </c>
      <c r="B1590" s="3" t="s">
        <v>22</v>
      </c>
      <c r="C1590" s="3" t="str">
        <f t="shared" si="24"/>
        <v>450013260220</v>
      </c>
      <c r="D1590" s="4">
        <v>46231</v>
      </c>
      <c r="E1590" s="3" t="s">
        <v>2233</v>
      </c>
      <c r="F1590" s="3" t="s">
        <v>2544</v>
      </c>
    </row>
    <row r="1591" spans="1:6" x14ac:dyDescent="0.3">
      <c r="A1591" s="3" t="s">
        <v>921</v>
      </c>
      <c r="B1591" s="3" t="s">
        <v>30</v>
      </c>
      <c r="C1591" s="3" t="str">
        <f t="shared" si="24"/>
        <v>450013260410</v>
      </c>
      <c r="D1591" s="4">
        <v>46231</v>
      </c>
      <c r="E1591" s="3" t="s">
        <v>2196</v>
      </c>
      <c r="F1591" s="3" t="s">
        <v>2439</v>
      </c>
    </row>
    <row r="1592" spans="1:6" x14ac:dyDescent="0.3">
      <c r="A1592" s="3" t="s">
        <v>921</v>
      </c>
      <c r="B1592" s="3" t="s">
        <v>22</v>
      </c>
      <c r="C1592" s="3" t="str">
        <f t="shared" si="24"/>
        <v>450013260420</v>
      </c>
      <c r="D1592" s="4">
        <v>46231</v>
      </c>
      <c r="E1592" s="3" t="s">
        <v>2196</v>
      </c>
      <c r="F1592" s="3" t="s">
        <v>2439</v>
      </c>
    </row>
    <row r="1593" spans="1:6" x14ac:dyDescent="0.3">
      <c r="A1593" s="3" t="s">
        <v>921</v>
      </c>
      <c r="B1593" s="3" t="s">
        <v>23</v>
      </c>
      <c r="C1593" s="3" t="str">
        <f t="shared" si="24"/>
        <v>450013260440</v>
      </c>
      <c r="D1593" s="4">
        <v>46231</v>
      </c>
      <c r="E1593" s="3" t="s">
        <v>2196</v>
      </c>
      <c r="F1593" s="3" t="s">
        <v>2439</v>
      </c>
    </row>
    <row r="1594" spans="1:6" x14ac:dyDescent="0.3">
      <c r="A1594" s="3" t="s">
        <v>921</v>
      </c>
      <c r="B1594" s="3" t="s">
        <v>144</v>
      </c>
      <c r="C1594" s="3" t="str">
        <f t="shared" si="24"/>
        <v>450013260450</v>
      </c>
      <c r="D1594" s="4">
        <v>46231</v>
      </c>
      <c r="E1594" s="3" t="s">
        <v>2196</v>
      </c>
      <c r="F1594" s="3" t="s">
        <v>2439</v>
      </c>
    </row>
    <row r="1595" spans="1:6" x14ac:dyDescent="0.3">
      <c r="A1595" s="3" t="s">
        <v>921</v>
      </c>
      <c r="B1595" s="3" t="s">
        <v>141</v>
      </c>
      <c r="C1595" s="3" t="str">
        <f t="shared" si="24"/>
        <v>450013260460</v>
      </c>
      <c r="D1595" s="4">
        <v>46231</v>
      </c>
      <c r="E1595" s="3" t="s">
        <v>2196</v>
      </c>
      <c r="F1595" s="3" t="s">
        <v>2439</v>
      </c>
    </row>
    <row r="1596" spans="1:6" x14ac:dyDescent="0.3">
      <c r="A1596" s="3" t="s">
        <v>921</v>
      </c>
      <c r="B1596" s="3" t="s">
        <v>134</v>
      </c>
      <c r="C1596" s="3" t="str">
        <f t="shared" si="24"/>
        <v>450013260470</v>
      </c>
      <c r="D1596" s="4">
        <v>46231</v>
      </c>
      <c r="E1596" s="3" t="s">
        <v>2196</v>
      </c>
      <c r="F1596" s="3" t="s">
        <v>2439</v>
      </c>
    </row>
    <row r="1597" spans="1:6" x14ac:dyDescent="0.3">
      <c r="A1597" s="3" t="s">
        <v>921</v>
      </c>
      <c r="B1597" s="3" t="s">
        <v>52</v>
      </c>
      <c r="C1597" s="3" t="str">
        <f t="shared" si="24"/>
        <v>450013260480</v>
      </c>
      <c r="D1597" s="4">
        <v>46231</v>
      </c>
      <c r="E1597" s="3" t="s">
        <v>2196</v>
      </c>
      <c r="F1597" s="3" t="s">
        <v>2439</v>
      </c>
    </row>
    <row r="1598" spans="1:6" x14ac:dyDescent="0.3">
      <c r="A1598" s="3" t="s">
        <v>921</v>
      </c>
      <c r="B1598" s="3" t="s">
        <v>138</v>
      </c>
      <c r="C1598" s="3" t="str">
        <f t="shared" si="24"/>
        <v>450013260490</v>
      </c>
      <c r="D1598" s="4">
        <v>46231</v>
      </c>
      <c r="E1598" s="3" t="s">
        <v>2196</v>
      </c>
      <c r="F1598" s="3" t="s">
        <v>2439</v>
      </c>
    </row>
    <row r="1599" spans="1:6" x14ac:dyDescent="0.3">
      <c r="A1599" s="3" t="s">
        <v>921</v>
      </c>
      <c r="B1599" s="3" t="s">
        <v>45</v>
      </c>
      <c r="C1599" s="3" t="str">
        <f t="shared" si="24"/>
        <v>4500132604100</v>
      </c>
      <c r="D1599" s="4">
        <v>46231</v>
      </c>
      <c r="E1599" s="3" t="s">
        <v>2196</v>
      </c>
      <c r="F1599" s="3" t="s">
        <v>2439</v>
      </c>
    </row>
    <row r="1600" spans="1:6" x14ac:dyDescent="0.3">
      <c r="A1600" s="3" t="s">
        <v>92</v>
      </c>
      <c r="B1600" s="3" t="s">
        <v>30</v>
      </c>
      <c r="C1600" s="3" t="str">
        <f t="shared" si="24"/>
        <v>450013262610</v>
      </c>
      <c r="D1600" s="4">
        <v>46317</v>
      </c>
      <c r="E1600" s="3" t="s">
        <v>2234</v>
      </c>
      <c r="F1600" s="3" t="s">
        <v>2444</v>
      </c>
    </row>
    <row r="1601" spans="1:6" x14ac:dyDescent="0.3">
      <c r="A1601" s="3" t="s">
        <v>902</v>
      </c>
      <c r="B1601" s="3" t="s">
        <v>30</v>
      </c>
      <c r="C1601" s="3" t="str">
        <f t="shared" si="24"/>
        <v>450013269910</v>
      </c>
      <c r="D1601" s="4">
        <v>46223</v>
      </c>
      <c r="E1601" s="3" t="s">
        <v>2196</v>
      </c>
      <c r="F1601" s="3" t="s">
        <v>2507</v>
      </c>
    </row>
    <row r="1602" spans="1:6" x14ac:dyDescent="0.3">
      <c r="A1602" s="3" t="s">
        <v>902</v>
      </c>
      <c r="B1602" s="3" t="s">
        <v>22</v>
      </c>
      <c r="C1602" s="3" t="str">
        <f t="shared" si="24"/>
        <v>450013269920</v>
      </c>
      <c r="D1602" s="4">
        <v>46223</v>
      </c>
      <c r="E1602" s="3" t="s">
        <v>2196</v>
      </c>
      <c r="F1602" s="3" t="s">
        <v>2507</v>
      </c>
    </row>
    <row r="1603" spans="1:6" x14ac:dyDescent="0.3">
      <c r="A1603" s="3" t="s">
        <v>902</v>
      </c>
      <c r="B1603" s="3" t="s">
        <v>35</v>
      </c>
      <c r="C1603" s="3" t="str">
        <f t="shared" ref="C1603:C1666" si="25">_xlfn.CONCAT(A1603:B1603)</f>
        <v>450013269930</v>
      </c>
      <c r="D1603" s="4">
        <v>46223</v>
      </c>
      <c r="E1603" s="3" t="s">
        <v>2196</v>
      </c>
      <c r="F1603" s="3" t="s">
        <v>2507</v>
      </c>
    </row>
    <row r="1604" spans="1:6" x14ac:dyDescent="0.3">
      <c r="A1604" s="3" t="s">
        <v>902</v>
      </c>
      <c r="B1604" s="3" t="s">
        <v>23</v>
      </c>
      <c r="C1604" s="3" t="str">
        <f t="shared" si="25"/>
        <v>450013269940</v>
      </c>
      <c r="D1604" s="4">
        <v>46223</v>
      </c>
      <c r="E1604" s="3" t="s">
        <v>2196</v>
      </c>
      <c r="F1604" s="3" t="s">
        <v>2507</v>
      </c>
    </row>
    <row r="1605" spans="1:6" x14ac:dyDescent="0.3">
      <c r="A1605" s="3" t="s">
        <v>902</v>
      </c>
      <c r="B1605" s="3" t="s">
        <v>141</v>
      </c>
      <c r="C1605" s="3" t="str">
        <f t="shared" si="25"/>
        <v>450013269960</v>
      </c>
      <c r="D1605" s="4">
        <v>46223</v>
      </c>
      <c r="E1605" s="3" t="s">
        <v>2196</v>
      </c>
      <c r="F1605" s="3" t="s">
        <v>2507</v>
      </c>
    </row>
    <row r="1606" spans="1:6" x14ac:dyDescent="0.3">
      <c r="A1606" s="3" t="s">
        <v>895</v>
      </c>
      <c r="B1606" s="3" t="s">
        <v>30</v>
      </c>
      <c r="C1606" s="3" t="str">
        <f t="shared" si="25"/>
        <v>450013288610</v>
      </c>
      <c r="D1606" s="4">
        <v>46198</v>
      </c>
      <c r="E1606" s="3" t="s">
        <v>2207</v>
      </c>
      <c r="F1606" s="3" t="s">
        <v>2607</v>
      </c>
    </row>
    <row r="1607" spans="1:6" x14ac:dyDescent="0.3">
      <c r="A1607" s="3" t="s">
        <v>899</v>
      </c>
      <c r="B1607" s="3" t="s">
        <v>30</v>
      </c>
      <c r="C1607" s="3" t="str">
        <f t="shared" si="25"/>
        <v>450013289510</v>
      </c>
      <c r="D1607" s="4">
        <v>46223</v>
      </c>
      <c r="E1607" s="3" t="s">
        <v>2212</v>
      </c>
      <c r="F1607" s="3" t="s">
        <v>2436</v>
      </c>
    </row>
    <row r="1608" spans="1:6" x14ac:dyDescent="0.3">
      <c r="A1608" s="3" t="s">
        <v>899</v>
      </c>
      <c r="B1608" s="3" t="s">
        <v>22</v>
      </c>
      <c r="C1608" s="3" t="str">
        <f t="shared" si="25"/>
        <v>450013289520</v>
      </c>
      <c r="D1608" s="4">
        <v>46234</v>
      </c>
      <c r="E1608" s="3" t="s">
        <v>2212</v>
      </c>
      <c r="F1608" s="3" t="s">
        <v>2436</v>
      </c>
    </row>
    <row r="1609" spans="1:6" x14ac:dyDescent="0.3">
      <c r="A1609" s="3" t="s">
        <v>923</v>
      </c>
      <c r="B1609" s="3" t="s">
        <v>30</v>
      </c>
      <c r="C1609" s="3" t="str">
        <f t="shared" si="25"/>
        <v>450013290810</v>
      </c>
      <c r="D1609" s="4">
        <v>46230</v>
      </c>
      <c r="E1609" s="3" t="s">
        <v>2249</v>
      </c>
      <c r="F1609" s="3" t="s">
        <v>2423</v>
      </c>
    </row>
    <row r="1610" spans="1:6" x14ac:dyDescent="0.3">
      <c r="A1610" s="3" t="s">
        <v>923</v>
      </c>
      <c r="B1610" s="3" t="s">
        <v>22</v>
      </c>
      <c r="C1610" s="3" t="str">
        <f t="shared" si="25"/>
        <v>450013290820</v>
      </c>
      <c r="D1610" s="4">
        <v>46230</v>
      </c>
      <c r="E1610" s="3" t="s">
        <v>2249</v>
      </c>
      <c r="F1610" s="3" t="s">
        <v>2423</v>
      </c>
    </row>
    <row r="1611" spans="1:6" x14ac:dyDescent="0.3">
      <c r="A1611" s="3" t="s">
        <v>923</v>
      </c>
      <c r="B1611" s="3" t="s">
        <v>35</v>
      </c>
      <c r="C1611" s="3" t="str">
        <f t="shared" si="25"/>
        <v>450013290830</v>
      </c>
      <c r="D1611" s="4">
        <v>46230</v>
      </c>
      <c r="E1611" s="3" t="s">
        <v>2249</v>
      </c>
      <c r="F1611" s="3" t="s">
        <v>2423</v>
      </c>
    </row>
    <row r="1612" spans="1:6" x14ac:dyDescent="0.3">
      <c r="A1612" s="3" t="s">
        <v>923</v>
      </c>
      <c r="B1612" s="3" t="s">
        <v>23</v>
      </c>
      <c r="C1612" s="3" t="str">
        <f t="shared" si="25"/>
        <v>450013290840</v>
      </c>
      <c r="D1612" s="4">
        <v>46230</v>
      </c>
      <c r="E1612" s="3" t="s">
        <v>2249</v>
      </c>
      <c r="F1612" s="3" t="s">
        <v>2423</v>
      </c>
    </row>
    <row r="1613" spans="1:6" x14ac:dyDescent="0.3">
      <c r="A1613" s="3" t="s">
        <v>923</v>
      </c>
      <c r="B1613" s="3" t="s">
        <v>144</v>
      </c>
      <c r="C1613" s="3" t="str">
        <f t="shared" si="25"/>
        <v>450013290850</v>
      </c>
      <c r="D1613" s="4">
        <v>46230</v>
      </c>
      <c r="E1613" s="3" t="s">
        <v>2249</v>
      </c>
      <c r="F1613" s="3" t="s">
        <v>2423</v>
      </c>
    </row>
    <row r="1614" spans="1:6" x14ac:dyDescent="0.3">
      <c r="A1614" s="3" t="s">
        <v>923</v>
      </c>
      <c r="B1614" s="3" t="s">
        <v>141</v>
      </c>
      <c r="C1614" s="3" t="str">
        <f t="shared" si="25"/>
        <v>450013290860</v>
      </c>
      <c r="D1614" s="4">
        <v>46230</v>
      </c>
      <c r="E1614" s="3" t="s">
        <v>2249</v>
      </c>
      <c r="F1614" s="3" t="s">
        <v>2423</v>
      </c>
    </row>
    <row r="1615" spans="1:6" x14ac:dyDescent="0.3">
      <c r="A1615" s="3" t="s">
        <v>923</v>
      </c>
      <c r="B1615" s="3" t="s">
        <v>52</v>
      </c>
      <c r="C1615" s="3" t="str">
        <f t="shared" si="25"/>
        <v>450013290880</v>
      </c>
      <c r="D1615" s="4">
        <v>46230</v>
      </c>
      <c r="E1615" s="3" t="s">
        <v>2249</v>
      </c>
      <c r="F1615" s="3" t="s">
        <v>2423</v>
      </c>
    </row>
    <row r="1616" spans="1:6" x14ac:dyDescent="0.3">
      <c r="A1616" s="3" t="s">
        <v>923</v>
      </c>
      <c r="B1616" s="3" t="s">
        <v>138</v>
      </c>
      <c r="C1616" s="3" t="str">
        <f t="shared" si="25"/>
        <v>450013290890</v>
      </c>
      <c r="D1616" s="4">
        <v>46230</v>
      </c>
      <c r="E1616" s="3" t="s">
        <v>2249</v>
      </c>
      <c r="F1616" s="3" t="s">
        <v>2423</v>
      </c>
    </row>
    <row r="1617" spans="1:6" x14ac:dyDescent="0.3">
      <c r="A1617" s="3" t="s">
        <v>897</v>
      </c>
      <c r="B1617" s="3" t="s">
        <v>30</v>
      </c>
      <c r="C1617" s="3" t="str">
        <f t="shared" si="25"/>
        <v>450013294110</v>
      </c>
      <c r="D1617" s="4">
        <v>46198</v>
      </c>
      <c r="E1617" s="3" t="s">
        <v>2207</v>
      </c>
      <c r="F1617" s="3" t="s">
        <v>2607</v>
      </c>
    </row>
    <row r="1618" spans="1:6" x14ac:dyDescent="0.3">
      <c r="A1618" s="3" t="s">
        <v>913</v>
      </c>
      <c r="B1618" s="3" t="s">
        <v>30</v>
      </c>
      <c r="C1618" s="3" t="str">
        <f t="shared" si="25"/>
        <v>450013299010</v>
      </c>
      <c r="D1618" s="4">
        <v>46577</v>
      </c>
      <c r="E1618" s="3" t="s">
        <v>2239</v>
      </c>
      <c r="F1618" s="3" t="s">
        <v>2619</v>
      </c>
    </row>
    <row r="1619" spans="1:6" x14ac:dyDescent="0.3">
      <c r="A1619" s="3" t="s">
        <v>910</v>
      </c>
      <c r="B1619" s="3" t="s">
        <v>30</v>
      </c>
      <c r="C1619" s="3" t="str">
        <f t="shared" si="25"/>
        <v>450013301410</v>
      </c>
      <c r="D1619" s="4">
        <v>46228</v>
      </c>
      <c r="E1619" s="3" t="s">
        <v>2236</v>
      </c>
      <c r="F1619" s="3" t="s">
        <v>2620</v>
      </c>
    </row>
    <row r="1620" spans="1:6" x14ac:dyDescent="0.3">
      <c r="A1620" s="3" t="s">
        <v>1209</v>
      </c>
      <c r="B1620" s="3" t="s">
        <v>30</v>
      </c>
      <c r="C1620" s="3" t="str">
        <f t="shared" si="25"/>
        <v>450013319010</v>
      </c>
      <c r="D1620" s="4">
        <v>46216</v>
      </c>
      <c r="E1620" s="3" t="s">
        <v>2239</v>
      </c>
      <c r="F1620" s="3" t="s">
        <v>2549</v>
      </c>
    </row>
    <row r="1621" spans="1:6" x14ac:dyDescent="0.3">
      <c r="A1621" s="3" t="s">
        <v>360</v>
      </c>
      <c r="B1621" s="3" t="s">
        <v>30</v>
      </c>
      <c r="C1621" s="3" t="str">
        <f t="shared" si="25"/>
        <v>450013334210</v>
      </c>
      <c r="D1621" s="4">
        <v>46295</v>
      </c>
      <c r="E1621" s="3" t="s">
        <v>2197</v>
      </c>
      <c r="F1621" s="3" t="s">
        <v>2407</v>
      </c>
    </row>
    <row r="1622" spans="1:6" x14ac:dyDescent="0.3">
      <c r="A1622" s="3" t="s">
        <v>1347</v>
      </c>
      <c r="B1622" s="3" t="s">
        <v>30</v>
      </c>
      <c r="C1622" s="3" t="str">
        <f t="shared" si="25"/>
        <v>450013336410</v>
      </c>
      <c r="D1622" s="4">
        <v>46235</v>
      </c>
      <c r="E1622" s="3" t="s">
        <v>2207</v>
      </c>
      <c r="F1622" s="3" t="s">
        <v>2606</v>
      </c>
    </row>
    <row r="1623" spans="1:6" x14ac:dyDescent="0.3">
      <c r="A1623" s="3" t="s">
        <v>371</v>
      </c>
      <c r="B1623" s="3" t="s">
        <v>30</v>
      </c>
      <c r="C1623" s="3" t="str">
        <f t="shared" si="25"/>
        <v>450013339310</v>
      </c>
      <c r="D1623" s="4">
        <v>46231</v>
      </c>
      <c r="E1623" s="3" t="s">
        <v>2239</v>
      </c>
      <c r="F1623" s="3" t="s">
        <v>2600</v>
      </c>
    </row>
    <row r="1624" spans="1:6" x14ac:dyDescent="0.3">
      <c r="A1624" s="3" t="s">
        <v>1300</v>
      </c>
      <c r="B1624" s="3" t="s">
        <v>30</v>
      </c>
      <c r="C1624" s="3" t="str">
        <f t="shared" si="25"/>
        <v>450013343910</v>
      </c>
      <c r="D1624" s="4">
        <v>46270</v>
      </c>
      <c r="E1624" s="3" t="s">
        <v>2204</v>
      </c>
      <c r="F1624" s="3" t="s">
        <v>2478</v>
      </c>
    </row>
    <row r="1625" spans="1:6" x14ac:dyDescent="0.3">
      <c r="A1625" s="3" t="s">
        <v>1300</v>
      </c>
      <c r="B1625" s="3" t="s">
        <v>22</v>
      </c>
      <c r="C1625" s="3" t="str">
        <f t="shared" si="25"/>
        <v>450013343920</v>
      </c>
      <c r="D1625" s="4">
        <v>46239</v>
      </c>
      <c r="E1625" s="3" t="s">
        <v>2204</v>
      </c>
      <c r="F1625" s="3" t="s">
        <v>2478</v>
      </c>
    </row>
    <row r="1626" spans="1:6" x14ac:dyDescent="0.3">
      <c r="A1626" s="3" t="s">
        <v>1300</v>
      </c>
      <c r="B1626" s="3" t="s">
        <v>35</v>
      </c>
      <c r="C1626" s="3" t="str">
        <f t="shared" si="25"/>
        <v>450013343930</v>
      </c>
      <c r="D1626" s="4">
        <v>46270</v>
      </c>
      <c r="E1626" s="3" t="s">
        <v>2204</v>
      </c>
      <c r="F1626" s="3" t="s">
        <v>2478</v>
      </c>
    </row>
    <row r="1627" spans="1:6" x14ac:dyDescent="0.3">
      <c r="A1627" s="3" t="s">
        <v>927</v>
      </c>
      <c r="B1627" s="3" t="s">
        <v>30</v>
      </c>
      <c r="C1627" s="3" t="str">
        <f t="shared" si="25"/>
        <v>450013355510</v>
      </c>
      <c r="D1627" s="4">
        <v>46230</v>
      </c>
      <c r="E1627" s="3" t="s">
        <v>2207</v>
      </c>
      <c r="F1627" s="3" t="s">
        <v>2500</v>
      </c>
    </row>
    <row r="1628" spans="1:6" x14ac:dyDescent="0.3">
      <c r="A1628" s="3" t="s">
        <v>2796</v>
      </c>
      <c r="B1628" s="3" t="s">
        <v>22</v>
      </c>
      <c r="C1628" s="3" t="str">
        <f t="shared" si="25"/>
        <v>450013361620</v>
      </c>
      <c r="D1628" s="4">
        <v>46327</v>
      </c>
      <c r="E1628" s="3" t="s">
        <v>2213</v>
      </c>
      <c r="F1628" s="3" t="s">
        <v>3218</v>
      </c>
    </row>
    <row r="1629" spans="1:6" x14ac:dyDescent="0.3">
      <c r="A1629" s="3" t="s">
        <v>2796</v>
      </c>
      <c r="B1629" s="3" t="s">
        <v>35</v>
      </c>
      <c r="C1629" s="3" t="str">
        <f t="shared" si="25"/>
        <v>450013361630</v>
      </c>
      <c r="D1629" s="4">
        <v>46327</v>
      </c>
      <c r="E1629" s="3" t="s">
        <v>2213</v>
      </c>
      <c r="F1629" s="3" t="s">
        <v>3218</v>
      </c>
    </row>
    <row r="1630" spans="1:6" x14ac:dyDescent="0.3">
      <c r="A1630" s="3" t="s">
        <v>1349</v>
      </c>
      <c r="B1630" s="3" t="s">
        <v>30</v>
      </c>
      <c r="C1630" s="3" t="str">
        <f t="shared" si="25"/>
        <v>450013368410</v>
      </c>
      <c r="D1630" s="4">
        <v>46245</v>
      </c>
      <c r="E1630" s="3" t="s">
        <v>2207</v>
      </c>
      <c r="F1630" s="3" t="s">
        <v>2606</v>
      </c>
    </row>
    <row r="1631" spans="1:6" x14ac:dyDescent="0.3">
      <c r="A1631" s="3" t="s">
        <v>974</v>
      </c>
      <c r="B1631" s="3" t="s">
        <v>30</v>
      </c>
      <c r="C1631" s="3" t="str">
        <f t="shared" si="25"/>
        <v>450013372610</v>
      </c>
      <c r="D1631" s="4">
        <v>46230</v>
      </c>
      <c r="E1631" s="3" t="s">
        <v>2200</v>
      </c>
      <c r="F1631" s="3" t="s">
        <v>2621</v>
      </c>
    </row>
    <row r="1632" spans="1:6" x14ac:dyDescent="0.3">
      <c r="A1632" s="3" t="s">
        <v>940</v>
      </c>
      <c r="B1632" s="3" t="s">
        <v>30</v>
      </c>
      <c r="C1632" s="3" t="str">
        <f t="shared" si="25"/>
        <v>450013378210</v>
      </c>
      <c r="D1632" s="4">
        <v>46227</v>
      </c>
      <c r="E1632" s="3" t="s">
        <v>2239</v>
      </c>
      <c r="F1632" s="3" t="s">
        <v>2613</v>
      </c>
    </row>
    <row r="1633" spans="1:6" x14ac:dyDescent="0.3">
      <c r="A1633" s="3" t="s">
        <v>942</v>
      </c>
      <c r="B1633" s="3" t="s">
        <v>30</v>
      </c>
      <c r="C1633" s="3" t="str">
        <f t="shared" si="25"/>
        <v>450013378510</v>
      </c>
      <c r="D1633" s="4">
        <v>46227</v>
      </c>
      <c r="E1633" s="3" t="s">
        <v>2239</v>
      </c>
      <c r="F1633" s="3" t="s">
        <v>2613</v>
      </c>
    </row>
    <row r="1634" spans="1:6" x14ac:dyDescent="0.3">
      <c r="A1634" s="3" t="s">
        <v>3040</v>
      </c>
      <c r="B1634" s="3" t="s">
        <v>30</v>
      </c>
      <c r="C1634" s="3" t="str">
        <f t="shared" si="25"/>
        <v>450013380810</v>
      </c>
      <c r="D1634" s="4">
        <v>46247</v>
      </c>
      <c r="E1634" s="3" t="s">
        <v>2207</v>
      </c>
      <c r="F1634" s="3" t="s">
        <v>2606</v>
      </c>
    </row>
    <row r="1635" spans="1:6" x14ac:dyDescent="0.3">
      <c r="A1635" s="3" t="s">
        <v>992</v>
      </c>
      <c r="B1635" s="3" t="s">
        <v>30</v>
      </c>
      <c r="C1635" s="3" t="str">
        <f t="shared" si="25"/>
        <v>450013398310</v>
      </c>
      <c r="D1635" s="4">
        <v>46234</v>
      </c>
      <c r="E1635" s="3" t="s">
        <v>2196</v>
      </c>
      <c r="F1635" s="3" t="s">
        <v>2622</v>
      </c>
    </row>
    <row r="1636" spans="1:6" x14ac:dyDescent="0.3">
      <c r="A1636" s="3" t="s">
        <v>992</v>
      </c>
      <c r="B1636" s="3" t="s">
        <v>22</v>
      </c>
      <c r="C1636" s="3" t="str">
        <f t="shared" si="25"/>
        <v>450013398320</v>
      </c>
      <c r="D1636" s="4">
        <v>46234</v>
      </c>
      <c r="E1636" s="3" t="s">
        <v>2196</v>
      </c>
      <c r="F1636" s="3" t="s">
        <v>2622</v>
      </c>
    </row>
    <row r="1637" spans="1:6" x14ac:dyDescent="0.3">
      <c r="A1637" s="3" t="s">
        <v>992</v>
      </c>
      <c r="B1637" s="3" t="s">
        <v>35</v>
      </c>
      <c r="C1637" s="3" t="str">
        <f t="shared" si="25"/>
        <v>450013398330</v>
      </c>
      <c r="D1637" s="4">
        <v>46234</v>
      </c>
      <c r="E1637" s="3" t="s">
        <v>2196</v>
      </c>
      <c r="F1637" s="3" t="s">
        <v>2622</v>
      </c>
    </row>
    <row r="1638" spans="1:6" x14ac:dyDescent="0.3">
      <c r="A1638" s="3" t="s">
        <v>992</v>
      </c>
      <c r="B1638" s="3" t="s">
        <v>23</v>
      </c>
      <c r="C1638" s="3" t="str">
        <f t="shared" si="25"/>
        <v>450013398340</v>
      </c>
      <c r="D1638" s="4">
        <v>46234</v>
      </c>
      <c r="E1638" s="3" t="s">
        <v>2196</v>
      </c>
      <c r="F1638" s="3" t="s">
        <v>2622</v>
      </c>
    </row>
    <row r="1639" spans="1:6" x14ac:dyDescent="0.3">
      <c r="A1639" s="3" t="s">
        <v>992</v>
      </c>
      <c r="B1639" s="3" t="s">
        <v>144</v>
      </c>
      <c r="C1639" s="3" t="str">
        <f t="shared" si="25"/>
        <v>450013398350</v>
      </c>
      <c r="D1639" s="4">
        <v>46234</v>
      </c>
      <c r="E1639" s="3" t="s">
        <v>2196</v>
      </c>
      <c r="F1639" s="3" t="s">
        <v>2622</v>
      </c>
    </row>
    <row r="1640" spans="1:6" x14ac:dyDescent="0.3">
      <c r="A1640" s="3" t="s">
        <v>1432</v>
      </c>
      <c r="B1640" s="3" t="s">
        <v>30</v>
      </c>
      <c r="C1640" s="3" t="str">
        <f t="shared" si="25"/>
        <v>450013401410</v>
      </c>
      <c r="D1640" s="4">
        <v>46242</v>
      </c>
      <c r="E1640" s="3" t="s">
        <v>2207</v>
      </c>
      <c r="F1640" s="3" t="s">
        <v>2623</v>
      </c>
    </row>
    <row r="1641" spans="1:6" x14ac:dyDescent="0.3">
      <c r="A1641" s="3" t="s">
        <v>953</v>
      </c>
      <c r="B1641" s="3" t="s">
        <v>30</v>
      </c>
      <c r="C1641" s="3" t="str">
        <f t="shared" si="25"/>
        <v>450013405410</v>
      </c>
      <c r="D1641" s="4">
        <v>46238</v>
      </c>
      <c r="E1641" s="3" t="s">
        <v>2207</v>
      </c>
      <c r="F1641" s="3" t="s">
        <v>2579</v>
      </c>
    </row>
    <row r="1642" spans="1:6" x14ac:dyDescent="0.3">
      <c r="A1642" s="3" t="s">
        <v>958</v>
      </c>
      <c r="B1642" s="3" t="s">
        <v>30</v>
      </c>
      <c r="C1642" s="3" t="str">
        <f t="shared" si="25"/>
        <v>450013406210</v>
      </c>
      <c r="D1642" s="4">
        <v>46234</v>
      </c>
      <c r="E1642" s="3" t="s">
        <v>2196</v>
      </c>
      <c r="F1642" s="3" t="s">
        <v>2624</v>
      </c>
    </row>
    <row r="1643" spans="1:6" x14ac:dyDescent="0.3">
      <c r="A1643" s="3" t="s">
        <v>969</v>
      </c>
      <c r="B1643" s="3" t="s">
        <v>30</v>
      </c>
      <c r="C1643" s="3" t="str">
        <f t="shared" si="25"/>
        <v>450013406510</v>
      </c>
      <c r="D1643" s="4">
        <v>46248</v>
      </c>
      <c r="E1643" s="3" t="s">
        <v>2207</v>
      </c>
      <c r="F1643" s="3" t="s">
        <v>2501</v>
      </c>
    </row>
    <row r="1644" spans="1:6" x14ac:dyDescent="0.3">
      <c r="A1644" s="3" t="s">
        <v>969</v>
      </c>
      <c r="B1644" s="3" t="s">
        <v>22</v>
      </c>
      <c r="C1644" s="3" t="str">
        <f t="shared" si="25"/>
        <v>450013406520</v>
      </c>
      <c r="D1644" s="4">
        <v>46248</v>
      </c>
      <c r="E1644" s="3" t="s">
        <v>2207</v>
      </c>
      <c r="F1644" s="3" t="s">
        <v>2501</v>
      </c>
    </row>
    <row r="1645" spans="1:6" x14ac:dyDescent="0.3">
      <c r="A1645" s="3" t="s">
        <v>969</v>
      </c>
      <c r="B1645" s="3" t="s">
        <v>35</v>
      </c>
      <c r="C1645" s="3" t="str">
        <f t="shared" si="25"/>
        <v>450013406530</v>
      </c>
      <c r="D1645" s="4">
        <v>46248</v>
      </c>
      <c r="E1645" s="3" t="s">
        <v>2207</v>
      </c>
      <c r="F1645" s="3" t="s">
        <v>2501</v>
      </c>
    </row>
    <row r="1646" spans="1:6" x14ac:dyDescent="0.3">
      <c r="A1646" s="3" t="s">
        <v>969</v>
      </c>
      <c r="B1646" s="3" t="s">
        <v>23</v>
      </c>
      <c r="C1646" s="3" t="str">
        <f t="shared" si="25"/>
        <v>450013406540</v>
      </c>
      <c r="D1646" s="4">
        <v>46248</v>
      </c>
      <c r="E1646" s="3" t="s">
        <v>2207</v>
      </c>
      <c r="F1646" s="3" t="s">
        <v>2501</v>
      </c>
    </row>
    <row r="1647" spans="1:6" x14ac:dyDescent="0.3">
      <c r="A1647" s="3" t="s">
        <v>969</v>
      </c>
      <c r="B1647" s="3" t="s">
        <v>144</v>
      </c>
      <c r="C1647" s="3" t="str">
        <f t="shared" si="25"/>
        <v>450013406550</v>
      </c>
      <c r="D1647" s="4">
        <v>46248</v>
      </c>
      <c r="E1647" s="3" t="s">
        <v>2207</v>
      </c>
      <c r="F1647" s="3" t="s">
        <v>2501</v>
      </c>
    </row>
    <row r="1648" spans="1:6" x14ac:dyDescent="0.3">
      <c r="A1648" s="3" t="s">
        <v>969</v>
      </c>
      <c r="B1648" s="3" t="s">
        <v>141</v>
      </c>
      <c r="C1648" s="3" t="str">
        <f t="shared" si="25"/>
        <v>450013406560</v>
      </c>
      <c r="D1648" s="4">
        <v>46248</v>
      </c>
      <c r="E1648" s="3" t="s">
        <v>2207</v>
      </c>
      <c r="F1648" s="3" t="s">
        <v>2501</v>
      </c>
    </row>
    <row r="1649" spans="1:6" x14ac:dyDescent="0.3">
      <c r="A1649" s="3" t="s">
        <v>963</v>
      </c>
      <c r="B1649" s="3" t="s">
        <v>30</v>
      </c>
      <c r="C1649" s="3" t="str">
        <f t="shared" si="25"/>
        <v>450013407510</v>
      </c>
      <c r="D1649" s="4">
        <v>46248</v>
      </c>
      <c r="E1649" s="3" t="s">
        <v>2207</v>
      </c>
      <c r="F1649" s="3" t="s">
        <v>2570</v>
      </c>
    </row>
    <row r="1650" spans="1:6" x14ac:dyDescent="0.3">
      <c r="A1650" s="3" t="s">
        <v>1752</v>
      </c>
      <c r="B1650" s="3" t="s">
        <v>30</v>
      </c>
      <c r="C1650" s="3" t="str">
        <f t="shared" si="25"/>
        <v>450013413010</v>
      </c>
      <c r="D1650" s="4">
        <v>46290</v>
      </c>
      <c r="E1650" s="3" t="s">
        <v>2234</v>
      </c>
      <c r="F1650" s="3" t="s">
        <v>2474</v>
      </c>
    </row>
    <row r="1651" spans="1:6" x14ac:dyDescent="0.3">
      <c r="A1651" s="3" t="s">
        <v>1752</v>
      </c>
      <c r="B1651" s="3" t="s">
        <v>22</v>
      </c>
      <c r="C1651" s="3" t="str">
        <f t="shared" si="25"/>
        <v>450013413020</v>
      </c>
      <c r="D1651" s="4">
        <v>46290</v>
      </c>
      <c r="E1651" s="3" t="s">
        <v>2234</v>
      </c>
      <c r="F1651" s="3" t="s">
        <v>2474</v>
      </c>
    </row>
    <row r="1652" spans="1:6" x14ac:dyDescent="0.3">
      <c r="A1652" s="3" t="s">
        <v>1752</v>
      </c>
      <c r="B1652" s="3" t="s">
        <v>35</v>
      </c>
      <c r="C1652" s="3" t="str">
        <f t="shared" si="25"/>
        <v>450013413030</v>
      </c>
      <c r="D1652" s="4">
        <v>46290</v>
      </c>
      <c r="E1652" s="3" t="s">
        <v>2234</v>
      </c>
      <c r="F1652" s="3" t="s">
        <v>2474</v>
      </c>
    </row>
    <row r="1653" spans="1:6" x14ac:dyDescent="0.3">
      <c r="A1653" s="3" t="s">
        <v>1752</v>
      </c>
      <c r="B1653" s="3" t="s">
        <v>23</v>
      </c>
      <c r="C1653" s="3" t="str">
        <f t="shared" si="25"/>
        <v>450013413040</v>
      </c>
      <c r="D1653" s="4">
        <v>46290</v>
      </c>
      <c r="E1653" s="3" t="s">
        <v>2234</v>
      </c>
      <c r="F1653" s="3" t="s">
        <v>2474</v>
      </c>
    </row>
    <row r="1654" spans="1:6" x14ac:dyDescent="0.3">
      <c r="A1654" s="3" t="s">
        <v>1752</v>
      </c>
      <c r="B1654" s="3" t="s">
        <v>144</v>
      </c>
      <c r="C1654" s="3" t="str">
        <f t="shared" si="25"/>
        <v>450013413050</v>
      </c>
      <c r="D1654" s="4">
        <v>46290</v>
      </c>
      <c r="E1654" s="3" t="s">
        <v>2234</v>
      </c>
      <c r="F1654" s="3" t="s">
        <v>2474</v>
      </c>
    </row>
    <row r="1655" spans="1:6" x14ac:dyDescent="0.3">
      <c r="A1655" s="3" t="s">
        <v>1752</v>
      </c>
      <c r="B1655" s="3" t="s">
        <v>141</v>
      </c>
      <c r="C1655" s="3" t="str">
        <f t="shared" si="25"/>
        <v>450013413060</v>
      </c>
      <c r="D1655" s="4">
        <v>46290</v>
      </c>
      <c r="E1655" s="3" t="s">
        <v>2234</v>
      </c>
      <c r="F1655" s="3" t="s">
        <v>2474</v>
      </c>
    </row>
    <row r="1656" spans="1:6" x14ac:dyDescent="0.3">
      <c r="A1656" s="3" t="s">
        <v>1752</v>
      </c>
      <c r="B1656" s="3" t="s">
        <v>134</v>
      </c>
      <c r="C1656" s="3" t="str">
        <f t="shared" si="25"/>
        <v>450013413070</v>
      </c>
      <c r="D1656" s="4">
        <v>46290</v>
      </c>
      <c r="E1656" s="3" t="s">
        <v>2234</v>
      </c>
      <c r="F1656" s="3" t="s">
        <v>2474</v>
      </c>
    </row>
    <row r="1657" spans="1:6" x14ac:dyDescent="0.3">
      <c r="A1657" s="3" t="s">
        <v>1752</v>
      </c>
      <c r="B1657" s="3" t="s">
        <v>52</v>
      </c>
      <c r="C1657" s="3" t="str">
        <f t="shared" si="25"/>
        <v>450013413080</v>
      </c>
      <c r="D1657" s="4">
        <v>46296</v>
      </c>
      <c r="E1657" s="3" t="s">
        <v>2234</v>
      </c>
      <c r="F1657" s="3" t="s">
        <v>2474</v>
      </c>
    </row>
    <row r="1658" spans="1:6" x14ac:dyDescent="0.3">
      <c r="A1658" s="3" t="s">
        <v>1752</v>
      </c>
      <c r="B1658" s="3" t="s">
        <v>138</v>
      </c>
      <c r="C1658" s="3" t="str">
        <f t="shared" si="25"/>
        <v>450013413090</v>
      </c>
      <c r="D1658" s="4">
        <v>46290</v>
      </c>
      <c r="E1658" s="3" t="s">
        <v>2234</v>
      </c>
      <c r="F1658" s="3" t="s">
        <v>2474</v>
      </c>
    </row>
    <row r="1659" spans="1:6" x14ac:dyDescent="0.3">
      <c r="A1659" s="3" t="s">
        <v>1752</v>
      </c>
      <c r="B1659" s="3" t="s">
        <v>45</v>
      </c>
      <c r="C1659" s="3" t="str">
        <f t="shared" si="25"/>
        <v>4500134130100</v>
      </c>
      <c r="D1659" s="4">
        <v>46290</v>
      </c>
      <c r="E1659" s="3" t="s">
        <v>2234</v>
      </c>
      <c r="F1659" s="3" t="s">
        <v>2474</v>
      </c>
    </row>
    <row r="1660" spans="1:6" x14ac:dyDescent="0.3">
      <c r="A1660" s="3" t="s">
        <v>1752</v>
      </c>
      <c r="B1660" s="3" t="s">
        <v>156</v>
      </c>
      <c r="C1660" s="3" t="str">
        <f t="shared" si="25"/>
        <v>4500134130110</v>
      </c>
      <c r="D1660" s="4">
        <v>46290</v>
      </c>
      <c r="E1660" s="3" t="s">
        <v>2234</v>
      </c>
      <c r="F1660" s="3" t="s">
        <v>2474</v>
      </c>
    </row>
    <row r="1661" spans="1:6" x14ac:dyDescent="0.3">
      <c r="A1661" s="3" t="s">
        <v>1752</v>
      </c>
      <c r="B1661" s="3" t="s">
        <v>132</v>
      </c>
      <c r="C1661" s="3" t="str">
        <f t="shared" si="25"/>
        <v>4500134130120</v>
      </c>
      <c r="D1661" s="4">
        <v>46290</v>
      </c>
      <c r="E1661" s="3" t="s">
        <v>2234</v>
      </c>
      <c r="F1661" s="3" t="s">
        <v>2474</v>
      </c>
    </row>
    <row r="1662" spans="1:6" x14ac:dyDescent="0.3">
      <c r="A1662" s="3" t="s">
        <v>1752</v>
      </c>
      <c r="B1662" s="3" t="s">
        <v>142</v>
      </c>
      <c r="C1662" s="3" t="str">
        <f t="shared" si="25"/>
        <v>4500134130130</v>
      </c>
      <c r="D1662" s="4">
        <v>46290</v>
      </c>
      <c r="E1662" s="3" t="s">
        <v>2234</v>
      </c>
      <c r="F1662" s="3" t="s">
        <v>2474</v>
      </c>
    </row>
    <row r="1663" spans="1:6" x14ac:dyDescent="0.3">
      <c r="A1663" s="3" t="s">
        <v>1752</v>
      </c>
      <c r="B1663" s="3" t="s">
        <v>131</v>
      </c>
      <c r="C1663" s="3" t="str">
        <f t="shared" si="25"/>
        <v>4500134130140</v>
      </c>
      <c r="D1663" s="4">
        <v>46290</v>
      </c>
      <c r="E1663" s="3" t="s">
        <v>2234</v>
      </c>
      <c r="F1663" s="3" t="s">
        <v>2474</v>
      </c>
    </row>
    <row r="1664" spans="1:6" x14ac:dyDescent="0.3">
      <c r="A1664" s="3" t="s">
        <v>1752</v>
      </c>
      <c r="B1664" s="3" t="s">
        <v>68</v>
      </c>
      <c r="C1664" s="3" t="str">
        <f t="shared" si="25"/>
        <v>4500134130150</v>
      </c>
      <c r="D1664" s="4">
        <v>46290</v>
      </c>
      <c r="E1664" s="3" t="s">
        <v>2234</v>
      </c>
      <c r="F1664" s="3" t="s">
        <v>2474</v>
      </c>
    </row>
    <row r="1665" spans="1:6" x14ac:dyDescent="0.3">
      <c r="A1665" s="3" t="s">
        <v>1752</v>
      </c>
      <c r="B1665" s="3" t="s">
        <v>129</v>
      </c>
      <c r="C1665" s="3" t="str">
        <f t="shared" si="25"/>
        <v>4500134130160</v>
      </c>
      <c r="D1665" s="4">
        <v>46296</v>
      </c>
      <c r="E1665" s="3" t="s">
        <v>2234</v>
      </c>
      <c r="F1665" s="3" t="s">
        <v>2474</v>
      </c>
    </row>
    <row r="1666" spans="1:6" x14ac:dyDescent="0.3">
      <c r="A1666" s="3" t="s">
        <v>1752</v>
      </c>
      <c r="B1666" s="3" t="s">
        <v>53</v>
      </c>
      <c r="C1666" s="3" t="str">
        <f t="shared" si="25"/>
        <v>4500134130170</v>
      </c>
      <c r="D1666" s="4">
        <v>46296</v>
      </c>
      <c r="E1666" s="3" t="s">
        <v>2234</v>
      </c>
      <c r="F1666" s="3" t="s">
        <v>2474</v>
      </c>
    </row>
    <row r="1667" spans="1:6" x14ac:dyDescent="0.3">
      <c r="A1667" s="3" t="s">
        <v>1752</v>
      </c>
      <c r="B1667" s="3" t="s">
        <v>130</v>
      </c>
      <c r="C1667" s="3" t="str">
        <f t="shared" ref="C1667:C1730" si="26">_xlfn.CONCAT(A1667:B1667)</f>
        <v>4500134130180</v>
      </c>
      <c r="D1667" s="4">
        <v>46296</v>
      </c>
      <c r="E1667" s="3" t="s">
        <v>2234</v>
      </c>
      <c r="F1667" s="3" t="s">
        <v>2474</v>
      </c>
    </row>
    <row r="1668" spans="1:6" x14ac:dyDescent="0.3">
      <c r="A1668" s="3" t="s">
        <v>1752</v>
      </c>
      <c r="B1668" s="3" t="s">
        <v>127</v>
      </c>
      <c r="C1668" s="3" t="str">
        <f t="shared" si="26"/>
        <v>4500134130190</v>
      </c>
      <c r="D1668" s="4">
        <v>46296</v>
      </c>
      <c r="E1668" s="3" t="s">
        <v>2234</v>
      </c>
      <c r="F1668" s="3" t="s">
        <v>2474</v>
      </c>
    </row>
    <row r="1669" spans="1:6" x14ac:dyDescent="0.3">
      <c r="A1669" s="3" t="s">
        <v>1752</v>
      </c>
      <c r="B1669" s="3" t="s">
        <v>161</v>
      </c>
      <c r="C1669" s="3" t="str">
        <f t="shared" si="26"/>
        <v>4500134130200</v>
      </c>
      <c r="D1669" s="4">
        <v>46290</v>
      </c>
      <c r="E1669" s="3" t="s">
        <v>2234</v>
      </c>
      <c r="F1669" s="3" t="s">
        <v>2474</v>
      </c>
    </row>
    <row r="1670" spans="1:6" x14ac:dyDescent="0.3">
      <c r="A1670" s="3" t="s">
        <v>1752</v>
      </c>
      <c r="B1670" s="3" t="s">
        <v>136</v>
      </c>
      <c r="C1670" s="3" t="str">
        <f t="shared" si="26"/>
        <v>4500134130210</v>
      </c>
      <c r="D1670" s="4">
        <v>46290</v>
      </c>
      <c r="E1670" s="3" t="s">
        <v>2234</v>
      </c>
      <c r="F1670" s="3" t="s">
        <v>2474</v>
      </c>
    </row>
    <row r="1671" spans="1:6" x14ac:dyDescent="0.3">
      <c r="A1671" s="3" t="s">
        <v>1752</v>
      </c>
      <c r="B1671" s="3" t="s">
        <v>140</v>
      </c>
      <c r="C1671" s="3" t="str">
        <f t="shared" si="26"/>
        <v>4500134130220</v>
      </c>
      <c r="D1671" s="4">
        <v>46290</v>
      </c>
      <c r="E1671" s="3" t="s">
        <v>2234</v>
      </c>
      <c r="F1671" s="3" t="s">
        <v>2474</v>
      </c>
    </row>
    <row r="1672" spans="1:6" x14ac:dyDescent="0.3">
      <c r="A1672" s="3" t="s">
        <v>1752</v>
      </c>
      <c r="B1672" s="3" t="s">
        <v>137</v>
      </c>
      <c r="C1672" s="3" t="str">
        <f t="shared" si="26"/>
        <v>4500134130230</v>
      </c>
      <c r="D1672" s="4">
        <v>46290</v>
      </c>
      <c r="E1672" s="3" t="s">
        <v>2234</v>
      </c>
      <c r="F1672" s="3" t="s">
        <v>2474</v>
      </c>
    </row>
    <row r="1673" spans="1:6" x14ac:dyDescent="0.3">
      <c r="A1673" s="3" t="s">
        <v>1752</v>
      </c>
      <c r="B1673" s="3" t="s">
        <v>143</v>
      </c>
      <c r="C1673" s="3" t="str">
        <f t="shared" si="26"/>
        <v>4500134130240</v>
      </c>
      <c r="D1673" s="4">
        <v>46290</v>
      </c>
      <c r="E1673" s="3" t="s">
        <v>2234</v>
      </c>
      <c r="F1673" s="3" t="s">
        <v>2474</v>
      </c>
    </row>
    <row r="1674" spans="1:6" x14ac:dyDescent="0.3">
      <c r="A1674" s="3" t="s">
        <v>1752</v>
      </c>
      <c r="B1674" s="3" t="s">
        <v>128</v>
      </c>
      <c r="C1674" s="3" t="str">
        <f t="shared" si="26"/>
        <v>4500134130250</v>
      </c>
      <c r="D1674" s="4">
        <v>46290</v>
      </c>
      <c r="E1674" s="3" t="s">
        <v>2234</v>
      </c>
      <c r="F1674" s="3" t="s">
        <v>2474</v>
      </c>
    </row>
    <row r="1675" spans="1:6" x14ac:dyDescent="0.3">
      <c r="A1675" s="3" t="s">
        <v>1752</v>
      </c>
      <c r="B1675" s="3" t="s">
        <v>126</v>
      </c>
      <c r="C1675" s="3" t="str">
        <f t="shared" si="26"/>
        <v>4500134130260</v>
      </c>
      <c r="D1675" s="4">
        <v>46290</v>
      </c>
      <c r="E1675" s="3" t="s">
        <v>2234</v>
      </c>
      <c r="F1675" s="3" t="s">
        <v>2474</v>
      </c>
    </row>
    <row r="1676" spans="1:6" x14ac:dyDescent="0.3">
      <c r="A1676" s="3" t="s">
        <v>1752</v>
      </c>
      <c r="B1676" s="3" t="s">
        <v>146</v>
      </c>
      <c r="C1676" s="3" t="str">
        <f t="shared" si="26"/>
        <v>4500134130270</v>
      </c>
      <c r="D1676" s="4">
        <v>46290</v>
      </c>
      <c r="E1676" s="3" t="s">
        <v>2234</v>
      </c>
      <c r="F1676" s="3" t="s">
        <v>2474</v>
      </c>
    </row>
    <row r="1677" spans="1:6" x14ac:dyDescent="0.3">
      <c r="A1677" s="3" t="s">
        <v>1752</v>
      </c>
      <c r="B1677" s="3" t="s">
        <v>133</v>
      </c>
      <c r="C1677" s="3" t="str">
        <f t="shared" si="26"/>
        <v>4500134130280</v>
      </c>
      <c r="D1677" s="4">
        <v>46290</v>
      </c>
      <c r="E1677" s="3" t="s">
        <v>2234</v>
      </c>
      <c r="F1677" s="3" t="s">
        <v>2474</v>
      </c>
    </row>
    <row r="1678" spans="1:6" x14ac:dyDescent="0.3">
      <c r="A1678" s="3" t="s">
        <v>1752</v>
      </c>
      <c r="B1678" s="3" t="s">
        <v>173</v>
      </c>
      <c r="C1678" s="3" t="str">
        <f t="shared" si="26"/>
        <v>4500134130290</v>
      </c>
      <c r="D1678" s="4">
        <v>46296</v>
      </c>
      <c r="E1678" s="3" t="s">
        <v>2234</v>
      </c>
      <c r="F1678" s="3" t="s">
        <v>2474</v>
      </c>
    </row>
    <row r="1679" spans="1:6" x14ac:dyDescent="0.3">
      <c r="A1679" s="3" t="s">
        <v>1752</v>
      </c>
      <c r="B1679" s="3" t="s">
        <v>145</v>
      </c>
      <c r="C1679" s="3" t="str">
        <f t="shared" si="26"/>
        <v>4500134130300</v>
      </c>
      <c r="D1679" s="4">
        <v>46290</v>
      </c>
      <c r="E1679" s="3" t="s">
        <v>2234</v>
      </c>
      <c r="F1679" s="3" t="s">
        <v>2474</v>
      </c>
    </row>
    <row r="1680" spans="1:6" x14ac:dyDescent="0.3">
      <c r="A1680" s="3" t="s">
        <v>1752</v>
      </c>
      <c r="B1680" s="3" t="s">
        <v>147</v>
      </c>
      <c r="C1680" s="3" t="str">
        <f t="shared" si="26"/>
        <v>4500134130310</v>
      </c>
      <c r="D1680" s="4">
        <v>46290</v>
      </c>
      <c r="E1680" s="3" t="s">
        <v>2234</v>
      </c>
      <c r="F1680" s="3" t="s">
        <v>2474</v>
      </c>
    </row>
    <row r="1681" spans="1:6" x14ac:dyDescent="0.3">
      <c r="A1681" s="3" t="s">
        <v>1752</v>
      </c>
      <c r="B1681" s="3" t="s">
        <v>150</v>
      </c>
      <c r="C1681" s="3" t="str">
        <f t="shared" si="26"/>
        <v>4500134130320</v>
      </c>
      <c r="D1681" s="4">
        <v>46290</v>
      </c>
      <c r="E1681" s="3" t="s">
        <v>2234</v>
      </c>
      <c r="F1681" s="3" t="s">
        <v>2474</v>
      </c>
    </row>
    <row r="1682" spans="1:6" x14ac:dyDescent="0.3">
      <c r="A1682" s="3" t="s">
        <v>1752</v>
      </c>
      <c r="B1682" s="3" t="s">
        <v>154</v>
      </c>
      <c r="C1682" s="3" t="str">
        <f t="shared" si="26"/>
        <v>4500134130330</v>
      </c>
      <c r="D1682" s="4">
        <v>46296</v>
      </c>
      <c r="E1682" s="3" t="s">
        <v>2234</v>
      </c>
      <c r="F1682" s="3" t="s">
        <v>2474</v>
      </c>
    </row>
    <row r="1683" spans="1:6" x14ac:dyDescent="0.3">
      <c r="A1683" s="3" t="s">
        <v>1752</v>
      </c>
      <c r="B1683" s="3" t="s">
        <v>135</v>
      </c>
      <c r="C1683" s="3" t="str">
        <f t="shared" si="26"/>
        <v>4500134130340</v>
      </c>
      <c r="D1683" s="4">
        <v>46290</v>
      </c>
      <c r="E1683" s="3" t="s">
        <v>2234</v>
      </c>
      <c r="F1683" s="3" t="s">
        <v>2474</v>
      </c>
    </row>
    <row r="1684" spans="1:6" x14ac:dyDescent="0.3">
      <c r="A1684" s="3" t="s">
        <v>1752</v>
      </c>
      <c r="B1684" s="3" t="s">
        <v>139</v>
      </c>
      <c r="C1684" s="3" t="str">
        <f t="shared" si="26"/>
        <v>4500134130350</v>
      </c>
      <c r="D1684" s="4">
        <v>46290</v>
      </c>
      <c r="E1684" s="3" t="s">
        <v>2234</v>
      </c>
      <c r="F1684" s="3" t="s">
        <v>2474</v>
      </c>
    </row>
    <row r="1685" spans="1:6" x14ac:dyDescent="0.3">
      <c r="A1685" s="3" t="s">
        <v>1752</v>
      </c>
      <c r="B1685" s="3" t="s">
        <v>168</v>
      </c>
      <c r="C1685" s="3" t="str">
        <f t="shared" si="26"/>
        <v>4500134130360</v>
      </c>
      <c r="D1685" s="4">
        <v>46290</v>
      </c>
      <c r="E1685" s="3" t="s">
        <v>2234</v>
      </c>
      <c r="F1685" s="3" t="s">
        <v>2474</v>
      </c>
    </row>
    <row r="1686" spans="1:6" x14ac:dyDescent="0.3">
      <c r="A1686" s="3" t="s">
        <v>1752</v>
      </c>
      <c r="B1686" s="3" t="s">
        <v>162</v>
      </c>
      <c r="C1686" s="3" t="str">
        <f t="shared" si="26"/>
        <v>4500134130370</v>
      </c>
      <c r="D1686" s="4">
        <v>46290</v>
      </c>
      <c r="E1686" s="3" t="s">
        <v>2234</v>
      </c>
      <c r="F1686" s="3" t="s">
        <v>2474</v>
      </c>
    </row>
    <row r="1687" spans="1:6" x14ac:dyDescent="0.3">
      <c r="A1687" s="3" t="s">
        <v>1752</v>
      </c>
      <c r="B1687" s="3" t="s">
        <v>1132</v>
      </c>
      <c r="C1687" s="3" t="str">
        <f t="shared" si="26"/>
        <v>4500134130380</v>
      </c>
      <c r="D1687" s="4">
        <v>46290</v>
      </c>
      <c r="E1687" s="3" t="s">
        <v>2234</v>
      </c>
      <c r="F1687" s="3" t="s">
        <v>2474</v>
      </c>
    </row>
    <row r="1688" spans="1:6" x14ac:dyDescent="0.3">
      <c r="A1688" s="3" t="s">
        <v>1752</v>
      </c>
      <c r="B1688" s="3" t="s">
        <v>158</v>
      </c>
      <c r="C1688" s="3" t="str">
        <f t="shared" si="26"/>
        <v>4500134130390</v>
      </c>
      <c r="D1688" s="4">
        <v>46290</v>
      </c>
      <c r="E1688" s="3" t="s">
        <v>2234</v>
      </c>
      <c r="F1688" s="3" t="s">
        <v>2474</v>
      </c>
    </row>
    <row r="1689" spans="1:6" x14ac:dyDescent="0.3">
      <c r="A1689" s="3" t="s">
        <v>1752</v>
      </c>
      <c r="B1689" s="3" t="s">
        <v>178</v>
      </c>
      <c r="C1689" s="3" t="str">
        <f t="shared" si="26"/>
        <v>4500134130400</v>
      </c>
      <c r="D1689" s="4">
        <v>46290</v>
      </c>
      <c r="E1689" s="3" t="s">
        <v>2234</v>
      </c>
      <c r="F1689" s="3" t="s">
        <v>2474</v>
      </c>
    </row>
    <row r="1690" spans="1:6" x14ac:dyDescent="0.3">
      <c r="A1690" s="3" t="s">
        <v>1752</v>
      </c>
      <c r="B1690" s="3" t="s">
        <v>157</v>
      </c>
      <c r="C1690" s="3" t="str">
        <f t="shared" si="26"/>
        <v>4500134130410</v>
      </c>
      <c r="D1690" s="4">
        <v>46296</v>
      </c>
      <c r="E1690" s="3" t="s">
        <v>2234</v>
      </c>
      <c r="F1690" s="3" t="s">
        <v>2474</v>
      </c>
    </row>
    <row r="1691" spans="1:6" x14ac:dyDescent="0.3">
      <c r="A1691" s="3" t="s">
        <v>1752</v>
      </c>
      <c r="B1691" s="3" t="s">
        <v>155</v>
      </c>
      <c r="C1691" s="3" t="str">
        <f t="shared" si="26"/>
        <v>4500134130420</v>
      </c>
      <c r="D1691" s="4">
        <v>46290</v>
      </c>
      <c r="E1691" s="3" t="s">
        <v>2234</v>
      </c>
      <c r="F1691" s="3" t="s">
        <v>2474</v>
      </c>
    </row>
    <row r="1692" spans="1:6" x14ac:dyDescent="0.3">
      <c r="A1692" s="3" t="s">
        <v>1752</v>
      </c>
      <c r="B1692" s="3" t="s">
        <v>166</v>
      </c>
      <c r="C1692" s="3" t="str">
        <f t="shared" si="26"/>
        <v>4500134130430</v>
      </c>
      <c r="D1692" s="4">
        <v>46290</v>
      </c>
      <c r="E1692" s="3" t="s">
        <v>2234</v>
      </c>
      <c r="F1692" s="3" t="s">
        <v>2474</v>
      </c>
    </row>
    <row r="1693" spans="1:6" x14ac:dyDescent="0.3">
      <c r="A1693" s="3" t="s">
        <v>1752</v>
      </c>
      <c r="B1693" s="3" t="s">
        <v>164</v>
      </c>
      <c r="C1693" s="3" t="str">
        <f t="shared" si="26"/>
        <v>4500134130440</v>
      </c>
      <c r="D1693" s="4">
        <v>46290</v>
      </c>
      <c r="E1693" s="3" t="s">
        <v>2234</v>
      </c>
      <c r="F1693" s="3" t="s">
        <v>2474</v>
      </c>
    </row>
    <row r="1694" spans="1:6" x14ac:dyDescent="0.3">
      <c r="A1694" s="3" t="s">
        <v>1752</v>
      </c>
      <c r="B1694" s="3" t="s">
        <v>169</v>
      </c>
      <c r="C1694" s="3" t="str">
        <f t="shared" si="26"/>
        <v>4500134130450</v>
      </c>
      <c r="D1694" s="4">
        <v>46290</v>
      </c>
      <c r="E1694" s="3" t="s">
        <v>2234</v>
      </c>
      <c r="F1694" s="3" t="s">
        <v>2474</v>
      </c>
    </row>
    <row r="1695" spans="1:6" x14ac:dyDescent="0.3">
      <c r="A1695" s="3" t="s">
        <v>1752</v>
      </c>
      <c r="B1695" s="3" t="s">
        <v>170</v>
      </c>
      <c r="C1695" s="3" t="str">
        <f t="shared" si="26"/>
        <v>4500134130460</v>
      </c>
      <c r="D1695" s="4">
        <v>46290</v>
      </c>
      <c r="E1695" s="3" t="s">
        <v>2234</v>
      </c>
      <c r="F1695" s="3" t="s">
        <v>2474</v>
      </c>
    </row>
    <row r="1696" spans="1:6" x14ac:dyDescent="0.3">
      <c r="A1696" s="3" t="s">
        <v>1752</v>
      </c>
      <c r="B1696" s="3" t="s">
        <v>171</v>
      </c>
      <c r="C1696" s="3" t="str">
        <f t="shared" si="26"/>
        <v>4500134130470</v>
      </c>
      <c r="D1696" s="4">
        <v>46296</v>
      </c>
      <c r="E1696" s="3" t="s">
        <v>2234</v>
      </c>
      <c r="F1696" s="3" t="s">
        <v>2474</v>
      </c>
    </row>
    <row r="1697" spans="1:6" x14ac:dyDescent="0.3">
      <c r="A1697" s="3" t="s">
        <v>1752</v>
      </c>
      <c r="B1697" s="3" t="s">
        <v>177</v>
      </c>
      <c r="C1697" s="3" t="str">
        <f t="shared" si="26"/>
        <v>4500134130570</v>
      </c>
      <c r="D1697" s="4">
        <v>46304</v>
      </c>
      <c r="E1697" s="3" t="s">
        <v>2234</v>
      </c>
      <c r="F1697" s="3" t="s">
        <v>2474</v>
      </c>
    </row>
    <row r="1698" spans="1:6" x14ac:dyDescent="0.3">
      <c r="A1698" s="3" t="s">
        <v>1752</v>
      </c>
      <c r="B1698" s="3" t="s">
        <v>163</v>
      </c>
      <c r="C1698" s="3" t="str">
        <f t="shared" si="26"/>
        <v>4500134130580</v>
      </c>
      <c r="D1698" s="4">
        <v>46290</v>
      </c>
      <c r="E1698" s="3" t="s">
        <v>2234</v>
      </c>
      <c r="F1698" s="3" t="s">
        <v>2474</v>
      </c>
    </row>
    <row r="1699" spans="1:6" x14ac:dyDescent="0.3">
      <c r="A1699" s="3" t="s">
        <v>1752</v>
      </c>
      <c r="B1699" s="3" t="s">
        <v>119</v>
      </c>
      <c r="C1699" s="3" t="str">
        <f t="shared" si="26"/>
        <v>4500134130590</v>
      </c>
      <c r="D1699" s="4">
        <v>46290</v>
      </c>
      <c r="E1699" s="3" t="s">
        <v>2234</v>
      </c>
      <c r="F1699" s="3" t="s">
        <v>2474</v>
      </c>
    </row>
    <row r="1700" spans="1:6" x14ac:dyDescent="0.3">
      <c r="A1700" s="3" t="s">
        <v>985</v>
      </c>
      <c r="B1700" s="3" t="s">
        <v>30</v>
      </c>
      <c r="C1700" s="3" t="str">
        <f t="shared" si="26"/>
        <v>450013414510</v>
      </c>
      <c r="D1700" s="4">
        <v>46236</v>
      </c>
      <c r="E1700" s="3" t="s">
        <v>2196</v>
      </c>
      <c r="F1700" s="3" t="s">
        <v>2625</v>
      </c>
    </row>
    <row r="1701" spans="1:6" x14ac:dyDescent="0.3">
      <c r="A1701" s="3" t="s">
        <v>1535</v>
      </c>
      <c r="B1701" s="3" t="s">
        <v>30</v>
      </c>
      <c r="C1701" s="3" t="str">
        <f t="shared" si="26"/>
        <v>450013426710</v>
      </c>
      <c r="D1701" s="4">
        <v>46294</v>
      </c>
      <c r="E1701" s="3" t="s">
        <v>2196</v>
      </c>
      <c r="F1701" s="3" t="s">
        <v>2626</v>
      </c>
    </row>
    <row r="1702" spans="1:6" x14ac:dyDescent="0.3">
      <c r="A1702" s="3" t="s">
        <v>1405</v>
      </c>
      <c r="B1702" s="3" t="s">
        <v>35</v>
      </c>
      <c r="C1702" s="3" t="str">
        <f t="shared" si="26"/>
        <v>450013431130</v>
      </c>
      <c r="D1702" s="4">
        <v>46240</v>
      </c>
      <c r="E1702" s="3" t="s">
        <v>2212</v>
      </c>
      <c r="F1702" s="3" t="s">
        <v>2447</v>
      </c>
    </row>
    <row r="1703" spans="1:6" x14ac:dyDescent="0.3">
      <c r="A1703" s="3" t="s">
        <v>1405</v>
      </c>
      <c r="B1703" s="3" t="s">
        <v>23</v>
      </c>
      <c r="C1703" s="3" t="str">
        <f t="shared" si="26"/>
        <v>450013431140</v>
      </c>
      <c r="D1703" s="4">
        <v>46240</v>
      </c>
      <c r="E1703" s="3" t="s">
        <v>2212</v>
      </c>
      <c r="F1703" s="3" t="s">
        <v>2447</v>
      </c>
    </row>
    <row r="1704" spans="1:6" x14ac:dyDescent="0.3">
      <c r="A1704" s="3" t="s">
        <v>1405</v>
      </c>
      <c r="B1704" s="3" t="s">
        <v>144</v>
      </c>
      <c r="C1704" s="3" t="str">
        <f t="shared" si="26"/>
        <v>450013431150</v>
      </c>
      <c r="D1704" s="4">
        <v>46240</v>
      </c>
      <c r="E1704" s="3" t="s">
        <v>2212</v>
      </c>
      <c r="F1704" s="3" t="s">
        <v>2447</v>
      </c>
    </row>
    <row r="1705" spans="1:6" x14ac:dyDescent="0.3">
      <c r="A1705" s="3" t="s">
        <v>1405</v>
      </c>
      <c r="B1705" s="3" t="s">
        <v>141</v>
      </c>
      <c r="C1705" s="3" t="str">
        <f t="shared" si="26"/>
        <v>450013431160</v>
      </c>
      <c r="D1705" s="4">
        <v>46240</v>
      </c>
      <c r="E1705" s="3" t="s">
        <v>2212</v>
      </c>
      <c r="F1705" s="3" t="s">
        <v>2447</v>
      </c>
    </row>
    <row r="1706" spans="1:6" x14ac:dyDescent="0.3">
      <c r="A1706" s="3" t="s">
        <v>1405</v>
      </c>
      <c r="B1706" s="3" t="s">
        <v>134</v>
      </c>
      <c r="C1706" s="3" t="str">
        <f t="shared" si="26"/>
        <v>450013431170</v>
      </c>
      <c r="D1706" s="4">
        <v>46240</v>
      </c>
      <c r="E1706" s="3" t="s">
        <v>2212</v>
      </c>
      <c r="F1706" s="3" t="s">
        <v>2447</v>
      </c>
    </row>
    <row r="1707" spans="1:6" x14ac:dyDescent="0.3">
      <c r="A1707" s="3" t="s">
        <v>1405</v>
      </c>
      <c r="B1707" s="3" t="s">
        <v>138</v>
      </c>
      <c r="C1707" s="3" t="str">
        <f t="shared" si="26"/>
        <v>450013431190</v>
      </c>
      <c r="D1707" s="4">
        <v>46240</v>
      </c>
      <c r="E1707" s="3" t="s">
        <v>2212</v>
      </c>
      <c r="F1707" s="3" t="s">
        <v>2447</v>
      </c>
    </row>
    <row r="1708" spans="1:6" x14ac:dyDescent="0.3">
      <c r="A1708" s="3" t="s">
        <v>1052</v>
      </c>
      <c r="B1708" s="3" t="s">
        <v>30</v>
      </c>
      <c r="C1708" s="3" t="str">
        <f t="shared" si="26"/>
        <v>450013437510</v>
      </c>
      <c r="D1708" s="4">
        <v>46240</v>
      </c>
      <c r="E1708" s="3" t="s">
        <v>2212</v>
      </c>
      <c r="F1708" s="3" t="s">
        <v>2627</v>
      </c>
    </row>
    <row r="1709" spans="1:6" x14ac:dyDescent="0.3">
      <c r="A1709" s="3" t="s">
        <v>1095</v>
      </c>
      <c r="B1709" s="3" t="s">
        <v>30</v>
      </c>
      <c r="C1709" s="3" t="str">
        <f t="shared" si="26"/>
        <v>450013442610</v>
      </c>
      <c r="D1709" s="4">
        <v>46252</v>
      </c>
      <c r="E1709" s="3" t="s">
        <v>2194</v>
      </c>
      <c r="F1709" s="3" t="s">
        <v>2611</v>
      </c>
    </row>
    <row r="1710" spans="1:6" x14ac:dyDescent="0.3">
      <c r="A1710" s="3" t="s">
        <v>1063</v>
      </c>
      <c r="B1710" s="3" t="s">
        <v>30</v>
      </c>
      <c r="C1710" s="3" t="str">
        <f t="shared" si="26"/>
        <v>450013443610</v>
      </c>
      <c r="D1710" s="4">
        <v>46248</v>
      </c>
      <c r="E1710" s="3" t="s">
        <v>2233</v>
      </c>
      <c r="F1710" s="3" t="s">
        <v>2597</v>
      </c>
    </row>
    <row r="1711" spans="1:6" x14ac:dyDescent="0.3">
      <c r="A1711" s="3" t="s">
        <v>1063</v>
      </c>
      <c r="B1711" s="3" t="s">
        <v>22</v>
      </c>
      <c r="C1711" s="3" t="str">
        <f t="shared" si="26"/>
        <v>450013443620</v>
      </c>
      <c r="D1711" s="4">
        <v>46248</v>
      </c>
      <c r="E1711" s="3" t="s">
        <v>2233</v>
      </c>
      <c r="F1711" s="3" t="s">
        <v>2597</v>
      </c>
    </row>
    <row r="1712" spans="1:6" x14ac:dyDescent="0.3">
      <c r="A1712" s="3" t="s">
        <v>1006</v>
      </c>
      <c r="B1712" s="3" t="s">
        <v>30</v>
      </c>
      <c r="C1712" s="3" t="str">
        <f t="shared" si="26"/>
        <v>450013444310</v>
      </c>
      <c r="D1712" s="4">
        <v>46240</v>
      </c>
      <c r="E1712" s="3" t="s">
        <v>2239</v>
      </c>
      <c r="F1712" s="3" t="s">
        <v>2602</v>
      </c>
    </row>
    <row r="1713" spans="1:6" x14ac:dyDescent="0.3">
      <c r="A1713" s="3" t="s">
        <v>995</v>
      </c>
      <c r="B1713" s="3" t="s">
        <v>30</v>
      </c>
      <c r="C1713" s="3" t="str">
        <f t="shared" si="26"/>
        <v>450013449410</v>
      </c>
      <c r="D1713" s="4">
        <v>46240</v>
      </c>
      <c r="E1713" s="3" t="s">
        <v>2239</v>
      </c>
      <c r="F1713" s="3" t="s">
        <v>2628</v>
      </c>
    </row>
    <row r="1714" spans="1:6" x14ac:dyDescent="0.3">
      <c r="A1714" s="3" t="s">
        <v>1628</v>
      </c>
      <c r="B1714" s="3" t="s">
        <v>30</v>
      </c>
      <c r="C1714" s="3" t="str">
        <f t="shared" si="26"/>
        <v>450013450410</v>
      </c>
      <c r="D1714" s="4">
        <v>46248</v>
      </c>
      <c r="E1714" s="3" t="s">
        <v>2196</v>
      </c>
      <c r="F1714" s="3" t="s">
        <v>2461</v>
      </c>
    </row>
    <row r="1715" spans="1:6" x14ac:dyDescent="0.3">
      <c r="A1715" s="3" t="s">
        <v>1628</v>
      </c>
      <c r="B1715" s="3" t="s">
        <v>22</v>
      </c>
      <c r="C1715" s="3" t="str">
        <f t="shared" si="26"/>
        <v>450013450420</v>
      </c>
      <c r="D1715" s="4">
        <v>46248</v>
      </c>
      <c r="E1715" s="3" t="s">
        <v>2196</v>
      </c>
      <c r="F1715" s="3" t="s">
        <v>2461</v>
      </c>
    </row>
    <row r="1716" spans="1:6" x14ac:dyDescent="0.3">
      <c r="A1716" s="3" t="s">
        <v>1628</v>
      </c>
      <c r="B1716" s="3" t="s">
        <v>35</v>
      </c>
      <c r="C1716" s="3" t="str">
        <f t="shared" si="26"/>
        <v>450013450430</v>
      </c>
      <c r="D1716" s="4">
        <v>46248</v>
      </c>
      <c r="E1716" s="3" t="s">
        <v>2196</v>
      </c>
      <c r="F1716" s="3" t="s">
        <v>2461</v>
      </c>
    </row>
    <row r="1717" spans="1:6" x14ac:dyDescent="0.3">
      <c r="A1717" s="3" t="s">
        <v>1628</v>
      </c>
      <c r="B1717" s="3" t="s">
        <v>23</v>
      </c>
      <c r="C1717" s="3" t="str">
        <f t="shared" si="26"/>
        <v>450013450440</v>
      </c>
      <c r="D1717" s="4">
        <v>46248</v>
      </c>
      <c r="E1717" s="3" t="s">
        <v>2196</v>
      </c>
      <c r="F1717" s="3" t="s">
        <v>2461</v>
      </c>
    </row>
    <row r="1718" spans="1:6" x14ac:dyDescent="0.3">
      <c r="A1718" s="3" t="s">
        <v>1628</v>
      </c>
      <c r="B1718" s="3" t="s">
        <v>144</v>
      </c>
      <c r="C1718" s="3" t="str">
        <f t="shared" si="26"/>
        <v>450013450450</v>
      </c>
      <c r="D1718" s="4">
        <v>46290</v>
      </c>
      <c r="E1718" s="3" t="s">
        <v>2196</v>
      </c>
      <c r="F1718" s="3" t="s">
        <v>2461</v>
      </c>
    </row>
    <row r="1719" spans="1:6" x14ac:dyDescent="0.3">
      <c r="A1719" s="3" t="s">
        <v>1216</v>
      </c>
      <c r="B1719" s="3" t="s">
        <v>22</v>
      </c>
      <c r="C1719" s="3" t="str">
        <f t="shared" si="26"/>
        <v>450013464120</v>
      </c>
      <c r="D1719" s="4">
        <v>46301</v>
      </c>
      <c r="E1719" s="3" t="s">
        <v>2196</v>
      </c>
      <c r="F1719" s="3" t="s">
        <v>2454</v>
      </c>
    </row>
    <row r="1720" spans="1:6" x14ac:dyDescent="0.3">
      <c r="A1720" s="3" t="s">
        <v>1216</v>
      </c>
      <c r="B1720" s="3" t="s">
        <v>35</v>
      </c>
      <c r="C1720" s="3" t="str">
        <f t="shared" si="26"/>
        <v>450013464130</v>
      </c>
      <c r="D1720" s="4">
        <v>46290</v>
      </c>
      <c r="E1720" s="3" t="s">
        <v>2196</v>
      </c>
      <c r="F1720" s="3" t="s">
        <v>2454</v>
      </c>
    </row>
    <row r="1721" spans="1:6" x14ac:dyDescent="0.3">
      <c r="A1721" s="3" t="s">
        <v>1216</v>
      </c>
      <c r="B1721" s="3" t="s">
        <v>23</v>
      </c>
      <c r="C1721" s="3" t="str">
        <f t="shared" si="26"/>
        <v>450013464140</v>
      </c>
      <c r="D1721" s="4">
        <v>46301</v>
      </c>
      <c r="E1721" s="3" t="s">
        <v>2196</v>
      </c>
      <c r="F1721" s="3" t="s">
        <v>2454</v>
      </c>
    </row>
    <row r="1722" spans="1:6" x14ac:dyDescent="0.3">
      <c r="A1722" s="3" t="s">
        <v>1216</v>
      </c>
      <c r="B1722" s="3" t="s">
        <v>144</v>
      </c>
      <c r="C1722" s="3" t="str">
        <f t="shared" si="26"/>
        <v>450013464150</v>
      </c>
      <c r="D1722" s="4">
        <v>46290</v>
      </c>
      <c r="E1722" s="3" t="s">
        <v>2196</v>
      </c>
      <c r="F1722" s="3" t="s">
        <v>2454</v>
      </c>
    </row>
    <row r="1723" spans="1:6" x14ac:dyDescent="0.3">
      <c r="A1723" s="3" t="s">
        <v>1216</v>
      </c>
      <c r="B1723" s="3" t="s">
        <v>141</v>
      </c>
      <c r="C1723" s="3" t="str">
        <f t="shared" si="26"/>
        <v>450013464160</v>
      </c>
      <c r="D1723" s="4">
        <v>46290</v>
      </c>
      <c r="E1723" s="3" t="s">
        <v>2196</v>
      </c>
      <c r="F1723" s="3" t="s">
        <v>2454</v>
      </c>
    </row>
    <row r="1724" spans="1:6" x14ac:dyDescent="0.3">
      <c r="A1724" s="3" t="s">
        <v>1216</v>
      </c>
      <c r="B1724" s="3" t="s">
        <v>134</v>
      </c>
      <c r="C1724" s="3" t="str">
        <f t="shared" si="26"/>
        <v>450013464170</v>
      </c>
      <c r="D1724" s="4">
        <v>46290</v>
      </c>
      <c r="E1724" s="3" t="s">
        <v>2196</v>
      </c>
      <c r="F1724" s="3" t="s">
        <v>2454</v>
      </c>
    </row>
    <row r="1725" spans="1:6" x14ac:dyDescent="0.3">
      <c r="A1725" s="3" t="s">
        <v>1216</v>
      </c>
      <c r="B1725" s="3" t="s">
        <v>138</v>
      </c>
      <c r="C1725" s="3" t="str">
        <f t="shared" si="26"/>
        <v>450013464190</v>
      </c>
      <c r="D1725" s="4">
        <v>46290</v>
      </c>
      <c r="E1725" s="3" t="s">
        <v>2196</v>
      </c>
      <c r="F1725" s="3" t="s">
        <v>2454</v>
      </c>
    </row>
    <row r="1726" spans="1:6" x14ac:dyDescent="0.3">
      <c r="A1726" s="3" t="s">
        <v>1216</v>
      </c>
      <c r="B1726" s="3" t="s">
        <v>45</v>
      </c>
      <c r="C1726" s="3" t="str">
        <f t="shared" si="26"/>
        <v>4500134641100</v>
      </c>
      <c r="D1726" s="4">
        <v>46290</v>
      </c>
      <c r="E1726" s="3" t="s">
        <v>2196</v>
      </c>
      <c r="F1726" s="3" t="s">
        <v>2454</v>
      </c>
    </row>
    <row r="1727" spans="1:6" x14ac:dyDescent="0.3">
      <c r="A1727" s="3" t="s">
        <v>1216</v>
      </c>
      <c r="B1727" s="3" t="s">
        <v>156</v>
      </c>
      <c r="C1727" s="3" t="str">
        <f t="shared" si="26"/>
        <v>4500134641110</v>
      </c>
      <c r="D1727" s="4">
        <v>46290</v>
      </c>
      <c r="E1727" s="3" t="s">
        <v>2196</v>
      </c>
      <c r="F1727" s="3" t="s">
        <v>2454</v>
      </c>
    </row>
    <row r="1728" spans="1:6" x14ac:dyDescent="0.3">
      <c r="A1728" s="3" t="s">
        <v>1216</v>
      </c>
      <c r="B1728" s="3" t="s">
        <v>132</v>
      </c>
      <c r="C1728" s="3" t="str">
        <f t="shared" si="26"/>
        <v>4500134641120</v>
      </c>
      <c r="D1728" s="4">
        <v>46290</v>
      </c>
      <c r="E1728" s="3" t="s">
        <v>2196</v>
      </c>
      <c r="F1728" s="3" t="s">
        <v>2454</v>
      </c>
    </row>
    <row r="1729" spans="1:6" x14ac:dyDescent="0.3">
      <c r="A1729" s="3" t="s">
        <v>1216</v>
      </c>
      <c r="B1729" s="3" t="s">
        <v>68</v>
      </c>
      <c r="C1729" s="3" t="str">
        <f t="shared" si="26"/>
        <v>4500134641150</v>
      </c>
      <c r="D1729" s="4">
        <v>46290</v>
      </c>
      <c r="E1729" s="3" t="s">
        <v>2196</v>
      </c>
      <c r="F1729" s="3" t="s">
        <v>2454</v>
      </c>
    </row>
    <row r="1730" spans="1:6" x14ac:dyDescent="0.3">
      <c r="A1730" s="3" t="s">
        <v>1216</v>
      </c>
      <c r="B1730" s="3" t="s">
        <v>129</v>
      </c>
      <c r="C1730" s="3" t="str">
        <f t="shared" si="26"/>
        <v>4500134641160</v>
      </c>
      <c r="D1730" s="4">
        <v>46290</v>
      </c>
      <c r="E1730" s="3" t="s">
        <v>2196</v>
      </c>
      <c r="F1730" s="3" t="s">
        <v>2454</v>
      </c>
    </row>
    <row r="1731" spans="1:6" x14ac:dyDescent="0.3">
      <c r="A1731" s="3" t="s">
        <v>1216</v>
      </c>
      <c r="B1731" s="3" t="s">
        <v>130</v>
      </c>
      <c r="C1731" s="3" t="str">
        <f t="shared" ref="C1731:C1794" si="27">_xlfn.CONCAT(A1731:B1731)</f>
        <v>4500134641180</v>
      </c>
      <c r="D1731" s="4">
        <v>46290</v>
      </c>
      <c r="E1731" s="3" t="s">
        <v>2196</v>
      </c>
      <c r="F1731" s="3" t="s">
        <v>2454</v>
      </c>
    </row>
    <row r="1732" spans="1:6" x14ac:dyDescent="0.3">
      <c r="A1732" s="3" t="s">
        <v>1216</v>
      </c>
      <c r="B1732" s="3" t="s">
        <v>127</v>
      </c>
      <c r="C1732" s="3" t="str">
        <f t="shared" si="27"/>
        <v>4500134641190</v>
      </c>
      <c r="D1732" s="4">
        <v>46290</v>
      </c>
      <c r="E1732" s="3" t="s">
        <v>2196</v>
      </c>
      <c r="F1732" s="3" t="s">
        <v>2454</v>
      </c>
    </row>
    <row r="1733" spans="1:6" x14ac:dyDescent="0.3">
      <c r="A1733" s="3" t="s">
        <v>1216</v>
      </c>
      <c r="B1733" s="3" t="s">
        <v>161</v>
      </c>
      <c r="C1733" s="3" t="str">
        <f t="shared" si="27"/>
        <v>4500134641200</v>
      </c>
      <c r="D1733" s="4">
        <v>46290</v>
      </c>
      <c r="E1733" s="3" t="s">
        <v>2196</v>
      </c>
      <c r="F1733" s="3" t="s">
        <v>2454</v>
      </c>
    </row>
    <row r="1734" spans="1:6" x14ac:dyDescent="0.3">
      <c r="A1734" s="3" t="s">
        <v>1216</v>
      </c>
      <c r="B1734" s="3" t="s">
        <v>136</v>
      </c>
      <c r="C1734" s="3" t="str">
        <f t="shared" si="27"/>
        <v>4500134641210</v>
      </c>
      <c r="D1734" s="4">
        <v>46290</v>
      </c>
      <c r="E1734" s="3" t="s">
        <v>2196</v>
      </c>
      <c r="F1734" s="3" t="s">
        <v>2454</v>
      </c>
    </row>
    <row r="1735" spans="1:6" x14ac:dyDescent="0.3">
      <c r="A1735" s="3" t="s">
        <v>1216</v>
      </c>
      <c r="B1735" s="3" t="s">
        <v>140</v>
      </c>
      <c r="C1735" s="3" t="str">
        <f t="shared" si="27"/>
        <v>4500134641220</v>
      </c>
      <c r="D1735" s="4">
        <v>46290</v>
      </c>
      <c r="E1735" s="3" t="s">
        <v>2196</v>
      </c>
      <c r="F1735" s="3" t="s">
        <v>2454</v>
      </c>
    </row>
    <row r="1736" spans="1:6" x14ac:dyDescent="0.3">
      <c r="A1736" s="3" t="s">
        <v>1216</v>
      </c>
      <c r="B1736" s="3" t="s">
        <v>137</v>
      </c>
      <c r="C1736" s="3" t="str">
        <f t="shared" si="27"/>
        <v>4500134641230</v>
      </c>
      <c r="D1736" s="4">
        <v>46290</v>
      </c>
      <c r="E1736" s="3" t="s">
        <v>2196</v>
      </c>
      <c r="F1736" s="3" t="s">
        <v>2454</v>
      </c>
    </row>
    <row r="1737" spans="1:6" x14ac:dyDescent="0.3">
      <c r="A1737" s="3" t="s">
        <v>1216</v>
      </c>
      <c r="B1737" s="3" t="s">
        <v>143</v>
      </c>
      <c r="C1737" s="3" t="str">
        <f t="shared" si="27"/>
        <v>4500134641240</v>
      </c>
      <c r="D1737" s="4">
        <v>46290</v>
      </c>
      <c r="E1737" s="3" t="s">
        <v>2196</v>
      </c>
      <c r="F1737" s="3" t="s">
        <v>2454</v>
      </c>
    </row>
    <row r="1738" spans="1:6" x14ac:dyDescent="0.3">
      <c r="A1738" s="3" t="s">
        <v>1216</v>
      </c>
      <c r="B1738" s="3" t="s">
        <v>128</v>
      </c>
      <c r="C1738" s="3" t="str">
        <f t="shared" si="27"/>
        <v>4500134641250</v>
      </c>
      <c r="D1738" s="4">
        <v>46290</v>
      </c>
      <c r="E1738" s="3" t="s">
        <v>2196</v>
      </c>
      <c r="F1738" s="3" t="s">
        <v>2454</v>
      </c>
    </row>
    <row r="1739" spans="1:6" x14ac:dyDescent="0.3">
      <c r="A1739" s="3" t="s">
        <v>1216</v>
      </c>
      <c r="B1739" s="3" t="s">
        <v>126</v>
      </c>
      <c r="C1739" s="3" t="str">
        <f t="shared" si="27"/>
        <v>4500134641260</v>
      </c>
      <c r="D1739" s="4">
        <v>46290</v>
      </c>
      <c r="E1739" s="3" t="s">
        <v>2196</v>
      </c>
      <c r="F1739" s="3" t="s">
        <v>2454</v>
      </c>
    </row>
    <row r="1740" spans="1:6" x14ac:dyDescent="0.3">
      <c r="A1740" s="3" t="s">
        <v>1216</v>
      </c>
      <c r="B1740" s="3" t="s">
        <v>146</v>
      </c>
      <c r="C1740" s="3" t="str">
        <f t="shared" si="27"/>
        <v>4500134641270</v>
      </c>
      <c r="D1740" s="4">
        <v>46290</v>
      </c>
      <c r="E1740" s="3" t="s">
        <v>2196</v>
      </c>
      <c r="F1740" s="3" t="s">
        <v>2454</v>
      </c>
    </row>
    <row r="1741" spans="1:6" x14ac:dyDescent="0.3">
      <c r="A1741" s="3" t="s">
        <v>1216</v>
      </c>
      <c r="B1741" s="3" t="s">
        <v>133</v>
      </c>
      <c r="C1741" s="3" t="str">
        <f t="shared" si="27"/>
        <v>4500134641280</v>
      </c>
      <c r="D1741" s="4">
        <v>46290</v>
      </c>
      <c r="E1741" s="3" t="s">
        <v>2196</v>
      </c>
      <c r="F1741" s="3" t="s">
        <v>2454</v>
      </c>
    </row>
    <row r="1742" spans="1:6" x14ac:dyDescent="0.3">
      <c r="A1742" s="3" t="s">
        <v>1216</v>
      </c>
      <c r="B1742" s="3" t="s">
        <v>145</v>
      </c>
      <c r="C1742" s="3" t="str">
        <f t="shared" si="27"/>
        <v>4500134641300</v>
      </c>
      <c r="D1742" s="4">
        <v>46290</v>
      </c>
      <c r="E1742" s="3" t="s">
        <v>2196</v>
      </c>
      <c r="F1742" s="3" t="s">
        <v>2454</v>
      </c>
    </row>
    <row r="1743" spans="1:6" x14ac:dyDescent="0.3">
      <c r="A1743" s="3" t="s">
        <v>1216</v>
      </c>
      <c r="B1743" s="3" t="s">
        <v>147</v>
      </c>
      <c r="C1743" s="3" t="str">
        <f t="shared" si="27"/>
        <v>4500134641310</v>
      </c>
      <c r="D1743" s="4">
        <v>46290</v>
      </c>
      <c r="E1743" s="3" t="s">
        <v>2196</v>
      </c>
      <c r="F1743" s="3" t="s">
        <v>2454</v>
      </c>
    </row>
    <row r="1744" spans="1:6" x14ac:dyDescent="0.3">
      <c r="A1744" s="3" t="s">
        <v>1216</v>
      </c>
      <c r="B1744" s="3" t="s">
        <v>154</v>
      </c>
      <c r="C1744" s="3" t="str">
        <f t="shared" si="27"/>
        <v>4500134641330</v>
      </c>
      <c r="D1744" s="4">
        <v>46290</v>
      </c>
      <c r="E1744" s="3" t="s">
        <v>2196</v>
      </c>
      <c r="F1744" s="3" t="s">
        <v>2454</v>
      </c>
    </row>
    <row r="1745" spans="1:6" x14ac:dyDescent="0.3">
      <c r="A1745" s="3" t="s">
        <v>1216</v>
      </c>
      <c r="B1745" s="3" t="s">
        <v>139</v>
      </c>
      <c r="C1745" s="3" t="str">
        <f t="shared" si="27"/>
        <v>4500134641350</v>
      </c>
      <c r="D1745" s="4">
        <v>46322</v>
      </c>
      <c r="E1745" s="3" t="s">
        <v>2196</v>
      </c>
      <c r="F1745" s="3" t="s">
        <v>2454</v>
      </c>
    </row>
    <row r="1746" spans="1:6" x14ac:dyDescent="0.3">
      <c r="A1746" s="3" t="s">
        <v>1216</v>
      </c>
      <c r="B1746" s="3" t="s">
        <v>168</v>
      </c>
      <c r="C1746" s="3" t="str">
        <f t="shared" si="27"/>
        <v>4500134641360</v>
      </c>
      <c r="D1746" s="4">
        <v>46290</v>
      </c>
      <c r="E1746" s="3" t="s">
        <v>2196</v>
      </c>
      <c r="F1746" s="3" t="s">
        <v>2454</v>
      </c>
    </row>
    <row r="1747" spans="1:6" x14ac:dyDescent="0.3">
      <c r="A1747" s="3" t="s">
        <v>1216</v>
      </c>
      <c r="B1747" s="3" t="s">
        <v>162</v>
      </c>
      <c r="C1747" s="3" t="str">
        <f t="shared" si="27"/>
        <v>4500134641370</v>
      </c>
      <c r="D1747" s="4">
        <v>46290</v>
      </c>
      <c r="E1747" s="3" t="s">
        <v>2196</v>
      </c>
      <c r="F1747" s="3" t="s">
        <v>2454</v>
      </c>
    </row>
    <row r="1748" spans="1:6" x14ac:dyDescent="0.3">
      <c r="A1748" s="3" t="s">
        <v>1216</v>
      </c>
      <c r="B1748" s="3" t="s">
        <v>1132</v>
      </c>
      <c r="C1748" s="3" t="str">
        <f t="shared" si="27"/>
        <v>4500134641380</v>
      </c>
      <c r="D1748" s="4">
        <v>46290</v>
      </c>
      <c r="E1748" s="3" t="s">
        <v>2196</v>
      </c>
      <c r="F1748" s="3" t="s">
        <v>2454</v>
      </c>
    </row>
    <row r="1749" spans="1:6" x14ac:dyDescent="0.3">
      <c r="A1749" s="3" t="s">
        <v>1216</v>
      </c>
      <c r="B1749" s="3" t="s">
        <v>158</v>
      </c>
      <c r="C1749" s="3" t="str">
        <f t="shared" si="27"/>
        <v>4500134641390</v>
      </c>
      <c r="D1749" s="4">
        <v>46290</v>
      </c>
      <c r="E1749" s="3" t="s">
        <v>2196</v>
      </c>
      <c r="F1749" s="3" t="s">
        <v>2454</v>
      </c>
    </row>
    <row r="1750" spans="1:6" x14ac:dyDescent="0.3">
      <c r="A1750" s="3" t="s">
        <v>1216</v>
      </c>
      <c r="B1750" s="3" t="s">
        <v>178</v>
      </c>
      <c r="C1750" s="3" t="str">
        <f t="shared" si="27"/>
        <v>4500134641400</v>
      </c>
      <c r="D1750" s="4">
        <v>46290</v>
      </c>
      <c r="E1750" s="3" t="s">
        <v>2196</v>
      </c>
      <c r="F1750" s="3" t="s">
        <v>2454</v>
      </c>
    </row>
    <row r="1751" spans="1:6" x14ac:dyDescent="0.3">
      <c r="A1751" s="3" t="s">
        <v>1216</v>
      </c>
      <c r="B1751" s="3" t="s">
        <v>157</v>
      </c>
      <c r="C1751" s="3" t="str">
        <f t="shared" si="27"/>
        <v>4500134641410</v>
      </c>
      <c r="D1751" s="4">
        <v>46290</v>
      </c>
      <c r="E1751" s="3" t="s">
        <v>2196</v>
      </c>
      <c r="F1751" s="3" t="s">
        <v>2454</v>
      </c>
    </row>
    <row r="1752" spans="1:6" x14ac:dyDescent="0.3">
      <c r="A1752" s="3" t="s">
        <v>1216</v>
      </c>
      <c r="B1752" s="3" t="s">
        <v>155</v>
      </c>
      <c r="C1752" s="3" t="str">
        <f t="shared" si="27"/>
        <v>4500134641420</v>
      </c>
      <c r="D1752" s="4">
        <v>46290</v>
      </c>
      <c r="E1752" s="3" t="s">
        <v>2196</v>
      </c>
      <c r="F1752" s="3" t="s">
        <v>2454</v>
      </c>
    </row>
    <row r="1753" spans="1:6" x14ac:dyDescent="0.3">
      <c r="A1753" s="3" t="s">
        <v>1216</v>
      </c>
      <c r="B1753" s="3" t="s">
        <v>166</v>
      </c>
      <c r="C1753" s="3" t="str">
        <f t="shared" si="27"/>
        <v>4500134641430</v>
      </c>
      <c r="D1753" s="4">
        <v>46290</v>
      </c>
      <c r="E1753" s="3" t="s">
        <v>2196</v>
      </c>
      <c r="F1753" s="3" t="s">
        <v>2454</v>
      </c>
    </row>
    <row r="1754" spans="1:6" x14ac:dyDescent="0.3">
      <c r="A1754" s="3" t="s">
        <v>1216</v>
      </c>
      <c r="B1754" s="3" t="s">
        <v>169</v>
      </c>
      <c r="C1754" s="3" t="str">
        <f t="shared" si="27"/>
        <v>4500134641450</v>
      </c>
      <c r="D1754" s="4">
        <v>46290</v>
      </c>
      <c r="E1754" s="3" t="s">
        <v>2196</v>
      </c>
      <c r="F1754" s="3" t="s">
        <v>2454</v>
      </c>
    </row>
    <row r="1755" spans="1:6" x14ac:dyDescent="0.3">
      <c r="A1755" s="3" t="s">
        <v>1216</v>
      </c>
      <c r="B1755" s="3" t="s">
        <v>170</v>
      </c>
      <c r="C1755" s="3" t="str">
        <f t="shared" si="27"/>
        <v>4500134641460</v>
      </c>
      <c r="D1755" s="4">
        <v>46290</v>
      </c>
      <c r="E1755" s="3" t="s">
        <v>2196</v>
      </c>
      <c r="F1755" s="3" t="s">
        <v>2454</v>
      </c>
    </row>
    <row r="1756" spans="1:6" x14ac:dyDescent="0.3">
      <c r="A1756" s="3" t="s">
        <v>1216</v>
      </c>
      <c r="B1756" s="3" t="s">
        <v>171</v>
      </c>
      <c r="C1756" s="3" t="str">
        <f t="shared" si="27"/>
        <v>4500134641470</v>
      </c>
      <c r="D1756" s="4">
        <v>46290</v>
      </c>
      <c r="E1756" s="3" t="s">
        <v>2196</v>
      </c>
      <c r="F1756" s="3" t="s">
        <v>2454</v>
      </c>
    </row>
    <row r="1757" spans="1:6" x14ac:dyDescent="0.3">
      <c r="A1757" s="3" t="s">
        <v>2777</v>
      </c>
      <c r="B1757" s="3" t="s">
        <v>30</v>
      </c>
      <c r="C1757" s="3" t="str">
        <f t="shared" si="27"/>
        <v>450013467110</v>
      </c>
      <c r="D1757" s="4">
        <v>46325</v>
      </c>
      <c r="E1757" s="3" t="s">
        <v>2210</v>
      </c>
      <c r="F1757" s="3" t="s">
        <v>2787</v>
      </c>
    </row>
    <row r="1758" spans="1:6" x14ac:dyDescent="0.3">
      <c r="A1758" s="3" t="s">
        <v>2777</v>
      </c>
      <c r="B1758" s="3" t="s">
        <v>22</v>
      </c>
      <c r="C1758" s="3" t="str">
        <f t="shared" si="27"/>
        <v>450013467120</v>
      </c>
      <c r="D1758" s="4">
        <v>46325</v>
      </c>
      <c r="E1758" s="3" t="s">
        <v>2210</v>
      </c>
      <c r="F1758" s="3" t="s">
        <v>2787</v>
      </c>
    </row>
    <row r="1759" spans="1:6" x14ac:dyDescent="0.3">
      <c r="A1759" s="3" t="s">
        <v>2777</v>
      </c>
      <c r="B1759" s="3" t="s">
        <v>35</v>
      </c>
      <c r="C1759" s="3" t="str">
        <f t="shared" si="27"/>
        <v>450013467130</v>
      </c>
      <c r="D1759" s="4">
        <v>46325</v>
      </c>
      <c r="E1759" s="3" t="s">
        <v>2210</v>
      </c>
      <c r="F1759" s="3" t="s">
        <v>2787</v>
      </c>
    </row>
    <row r="1760" spans="1:6" x14ac:dyDescent="0.3">
      <c r="A1760" s="3" t="s">
        <v>1248</v>
      </c>
      <c r="B1760" s="3" t="s">
        <v>30</v>
      </c>
      <c r="C1760" s="3" t="str">
        <f t="shared" si="27"/>
        <v>450013468510</v>
      </c>
      <c r="D1760" s="4">
        <v>46274</v>
      </c>
      <c r="E1760" s="3" t="s">
        <v>2236</v>
      </c>
      <c r="F1760" s="3" t="s">
        <v>2629</v>
      </c>
    </row>
    <row r="1761" spans="1:6" x14ac:dyDescent="0.3">
      <c r="A1761" s="3" t="s">
        <v>1057</v>
      </c>
      <c r="B1761" s="3" t="s">
        <v>30</v>
      </c>
      <c r="C1761" s="3" t="str">
        <f t="shared" si="27"/>
        <v>450013468610</v>
      </c>
      <c r="D1761" s="4">
        <v>46300</v>
      </c>
      <c r="E1761" s="3" t="s">
        <v>2200</v>
      </c>
      <c r="F1761" s="3" t="s">
        <v>2432</v>
      </c>
    </row>
    <row r="1762" spans="1:6" x14ac:dyDescent="0.3">
      <c r="A1762" s="3" t="s">
        <v>2775</v>
      </c>
      <c r="B1762" s="3" t="s">
        <v>30</v>
      </c>
      <c r="C1762" s="3" t="str">
        <f t="shared" si="27"/>
        <v>450013471610</v>
      </c>
      <c r="D1762" s="4">
        <v>46325</v>
      </c>
      <c r="E1762" s="3" t="s">
        <v>2210</v>
      </c>
      <c r="F1762" s="3" t="s">
        <v>2787</v>
      </c>
    </row>
    <row r="1763" spans="1:6" x14ac:dyDescent="0.3">
      <c r="A1763" s="3" t="s">
        <v>1486</v>
      </c>
      <c r="B1763" s="3" t="s">
        <v>30</v>
      </c>
      <c r="C1763" s="3" t="str">
        <f t="shared" si="27"/>
        <v>450013477510</v>
      </c>
      <c r="D1763" s="4">
        <v>46287</v>
      </c>
      <c r="E1763" s="3" t="s">
        <v>2196</v>
      </c>
      <c r="F1763" s="3" t="s">
        <v>2617</v>
      </c>
    </row>
    <row r="1764" spans="1:6" x14ac:dyDescent="0.3">
      <c r="A1764" s="3" t="s">
        <v>1040</v>
      </c>
      <c r="B1764" s="3" t="s">
        <v>30</v>
      </c>
      <c r="C1764" s="3" t="str">
        <f t="shared" si="27"/>
        <v>450013481510</v>
      </c>
      <c r="D1764" s="4">
        <v>46246</v>
      </c>
      <c r="E1764" s="3" t="s">
        <v>2239</v>
      </c>
      <c r="F1764" s="3" t="s">
        <v>2630</v>
      </c>
    </row>
    <row r="1765" spans="1:6" x14ac:dyDescent="0.3">
      <c r="A1765" s="3" t="s">
        <v>1016</v>
      </c>
      <c r="B1765" s="3" t="s">
        <v>30</v>
      </c>
      <c r="C1765" s="3" t="str">
        <f t="shared" si="27"/>
        <v>450013481710</v>
      </c>
      <c r="D1765" s="4">
        <v>46240</v>
      </c>
      <c r="E1765" s="3" t="s">
        <v>2239</v>
      </c>
      <c r="F1765" s="3" t="s">
        <v>2613</v>
      </c>
    </row>
    <row r="1766" spans="1:6" x14ac:dyDescent="0.3">
      <c r="A1766" s="3" t="s">
        <v>1020</v>
      </c>
      <c r="B1766" s="3" t="s">
        <v>22</v>
      </c>
      <c r="C1766" s="3" t="str">
        <f t="shared" si="27"/>
        <v>450013504220</v>
      </c>
      <c r="D1766" s="4">
        <v>46245</v>
      </c>
      <c r="E1766" s="3" t="s">
        <v>2196</v>
      </c>
      <c r="F1766" s="3" t="s">
        <v>2622</v>
      </c>
    </row>
    <row r="1767" spans="1:6" x14ac:dyDescent="0.3">
      <c r="A1767" s="3" t="s">
        <v>1020</v>
      </c>
      <c r="B1767" s="3" t="s">
        <v>35</v>
      </c>
      <c r="C1767" s="3" t="str">
        <f t="shared" si="27"/>
        <v>450013504230</v>
      </c>
      <c r="D1767" s="4">
        <v>46245</v>
      </c>
      <c r="E1767" s="3" t="s">
        <v>2196</v>
      </c>
      <c r="F1767" s="3" t="s">
        <v>2622</v>
      </c>
    </row>
    <row r="1768" spans="1:6" x14ac:dyDescent="0.3">
      <c r="A1768" s="3" t="s">
        <v>3066</v>
      </c>
      <c r="B1768" s="3" t="s">
        <v>30</v>
      </c>
      <c r="C1768" s="3" t="str">
        <f t="shared" si="27"/>
        <v>450013505810</v>
      </c>
      <c r="D1768" s="4">
        <v>46259</v>
      </c>
      <c r="E1768" s="3" t="s">
        <v>2207</v>
      </c>
      <c r="F1768" s="3" t="s">
        <v>2491</v>
      </c>
    </row>
    <row r="1769" spans="1:6" x14ac:dyDescent="0.3">
      <c r="A1769" s="3" t="s">
        <v>3066</v>
      </c>
      <c r="B1769" s="3" t="s">
        <v>22</v>
      </c>
      <c r="C1769" s="3" t="str">
        <f t="shared" si="27"/>
        <v>450013505820</v>
      </c>
      <c r="D1769" s="4">
        <v>46259</v>
      </c>
      <c r="E1769" s="3" t="s">
        <v>2207</v>
      </c>
      <c r="F1769" s="3" t="s">
        <v>2491</v>
      </c>
    </row>
    <row r="1770" spans="1:6" x14ac:dyDescent="0.3">
      <c r="A1770" s="3" t="s">
        <v>3066</v>
      </c>
      <c r="B1770" s="3" t="s">
        <v>35</v>
      </c>
      <c r="C1770" s="3" t="str">
        <f t="shared" si="27"/>
        <v>450013505830</v>
      </c>
      <c r="D1770" s="4">
        <v>46259</v>
      </c>
      <c r="E1770" s="3" t="s">
        <v>2207</v>
      </c>
      <c r="F1770" s="3" t="s">
        <v>2491</v>
      </c>
    </row>
    <row r="1771" spans="1:6" x14ac:dyDescent="0.3">
      <c r="A1771" s="3" t="s">
        <v>3066</v>
      </c>
      <c r="B1771" s="3" t="s">
        <v>23</v>
      </c>
      <c r="C1771" s="3" t="str">
        <f t="shared" si="27"/>
        <v>450013505840</v>
      </c>
      <c r="D1771" s="4">
        <v>46259</v>
      </c>
      <c r="E1771" s="3" t="s">
        <v>2207</v>
      </c>
      <c r="F1771" s="3" t="s">
        <v>2491</v>
      </c>
    </row>
    <row r="1772" spans="1:6" x14ac:dyDescent="0.3">
      <c r="A1772" s="3" t="s">
        <v>2183</v>
      </c>
      <c r="B1772" s="3" t="s">
        <v>30</v>
      </c>
      <c r="C1772" s="3" t="str">
        <f t="shared" si="27"/>
        <v>450013513510</v>
      </c>
      <c r="D1772" s="4">
        <v>46326</v>
      </c>
      <c r="E1772" s="3" t="s">
        <v>2195</v>
      </c>
      <c r="F1772" s="3" t="s">
        <v>2631</v>
      </c>
    </row>
    <row r="1773" spans="1:6" x14ac:dyDescent="0.3">
      <c r="A1773" s="3" t="s">
        <v>1789</v>
      </c>
      <c r="B1773" s="3" t="s">
        <v>30</v>
      </c>
      <c r="C1773" s="3" t="str">
        <f t="shared" si="27"/>
        <v>450013513610</v>
      </c>
      <c r="D1773" s="4">
        <v>46287</v>
      </c>
      <c r="E1773" s="3" t="s">
        <v>2196</v>
      </c>
      <c r="F1773" s="3" t="s">
        <v>2515</v>
      </c>
    </row>
    <row r="1774" spans="1:6" x14ac:dyDescent="0.3">
      <c r="A1774" s="3" t="s">
        <v>1088</v>
      </c>
      <c r="B1774" s="3" t="s">
        <v>30</v>
      </c>
      <c r="C1774" s="3" t="str">
        <f t="shared" si="27"/>
        <v>450013516810</v>
      </c>
      <c r="D1774" s="4">
        <v>46259</v>
      </c>
      <c r="E1774" s="3" t="s">
        <v>2239</v>
      </c>
      <c r="F1774" s="3" t="s">
        <v>2632</v>
      </c>
    </row>
    <row r="1775" spans="1:6" x14ac:dyDescent="0.3">
      <c r="A1775" s="3" t="s">
        <v>1035</v>
      </c>
      <c r="B1775" s="3" t="s">
        <v>30</v>
      </c>
      <c r="C1775" s="3" t="str">
        <f t="shared" si="27"/>
        <v>450013519810</v>
      </c>
      <c r="D1775" s="4">
        <v>46253</v>
      </c>
      <c r="E1775" s="3" t="s">
        <v>2200</v>
      </c>
      <c r="F1775" s="3" t="s">
        <v>2633</v>
      </c>
    </row>
    <row r="1776" spans="1:6" x14ac:dyDescent="0.3">
      <c r="A1776" s="3" t="s">
        <v>1035</v>
      </c>
      <c r="B1776" s="3" t="s">
        <v>22</v>
      </c>
      <c r="C1776" s="3" t="str">
        <f t="shared" si="27"/>
        <v>450013519820</v>
      </c>
      <c r="D1776" s="4">
        <v>46253</v>
      </c>
      <c r="E1776" s="3" t="s">
        <v>2200</v>
      </c>
      <c r="F1776" s="3" t="s">
        <v>2633</v>
      </c>
    </row>
    <row r="1777" spans="1:6" x14ac:dyDescent="0.3">
      <c r="A1777" s="3" t="s">
        <v>1710</v>
      </c>
      <c r="B1777" s="3" t="s">
        <v>30</v>
      </c>
      <c r="C1777" s="3" t="str">
        <f t="shared" si="27"/>
        <v>450013522610</v>
      </c>
      <c r="D1777" s="4">
        <v>46248</v>
      </c>
      <c r="E1777" s="3" t="s">
        <v>2204</v>
      </c>
      <c r="F1777" s="3" t="s">
        <v>2478</v>
      </c>
    </row>
    <row r="1778" spans="1:6" x14ac:dyDescent="0.3">
      <c r="A1778" s="3" t="s">
        <v>1710</v>
      </c>
      <c r="B1778" s="3" t="s">
        <v>22</v>
      </c>
      <c r="C1778" s="3" t="str">
        <f t="shared" si="27"/>
        <v>450013522620</v>
      </c>
      <c r="D1778" s="4">
        <v>46295</v>
      </c>
      <c r="E1778" s="3" t="s">
        <v>2204</v>
      </c>
      <c r="F1778" s="3" t="s">
        <v>2478</v>
      </c>
    </row>
    <row r="1779" spans="1:6" x14ac:dyDescent="0.3">
      <c r="A1779" s="3" t="s">
        <v>1026</v>
      </c>
      <c r="B1779" s="3" t="s">
        <v>30</v>
      </c>
      <c r="C1779" s="3" t="str">
        <f t="shared" si="27"/>
        <v>450013532510</v>
      </c>
      <c r="D1779" s="4">
        <v>46265</v>
      </c>
      <c r="E1779" s="3" t="s">
        <v>2207</v>
      </c>
      <c r="F1779" s="3" t="s">
        <v>2606</v>
      </c>
    </row>
    <row r="1780" spans="1:6" x14ac:dyDescent="0.3">
      <c r="A1780" s="3" t="s">
        <v>1026</v>
      </c>
      <c r="B1780" s="3" t="s">
        <v>22</v>
      </c>
      <c r="C1780" s="3" t="str">
        <f t="shared" si="27"/>
        <v>450013532520</v>
      </c>
      <c r="D1780" s="4">
        <v>46265</v>
      </c>
      <c r="E1780" s="3" t="s">
        <v>2207</v>
      </c>
      <c r="F1780" s="3" t="s">
        <v>2606</v>
      </c>
    </row>
    <row r="1781" spans="1:6" x14ac:dyDescent="0.3">
      <c r="A1781" s="3" t="s">
        <v>1302</v>
      </c>
      <c r="B1781" s="3" t="s">
        <v>30</v>
      </c>
      <c r="C1781" s="3" t="str">
        <f t="shared" si="27"/>
        <v>450013534610</v>
      </c>
      <c r="D1781" s="4">
        <v>46264</v>
      </c>
      <c r="E1781" s="3" t="s">
        <v>2196</v>
      </c>
      <c r="F1781" s="3" t="s">
        <v>2478</v>
      </c>
    </row>
    <row r="1782" spans="1:6" x14ac:dyDescent="0.3">
      <c r="A1782" s="3" t="s">
        <v>1302</v>
      </c>
      <c r="B1782" s="3" t="s">
        <v>22</v>
      </c>
      <c r="C1782" s="3" t="str">
        <f t="shared" si="27"/>
        <v>450013534620</v>
      </c>
      <c r="D1782" s="4">
        <v>46287</v>
      </c>
      <c r="E1782" s="3" t="s">
        <v>2196</v>
      </c>
      <c r="F1782" s="3" t="s">
        <v>2478</v>
      </c>
    </row>
    <row r="1783" spans="1:6" x14ac:dyDescent="0.3">
      <c r="A1783" s="3" t="s">
        <v>191</v>
      </c>
      <c r="B1783" s="3" t="s">
        <v>30</v>
      </c>
      <c r="C1783" s="3" t="str">
        <f t="shared" si="27"/>
        <v>450013535610</v>
      </c>
      <c r="D1783" s="4">
        <v>46245</v>
      </c>
      <c r="E1783" s="3" t="s">
        <v>2207</v>
      </c>
      <c r="F1783" s="3" t="s">
        <v>2634</v>
      </c>
    </row>
    <row r="1784" spans="1:6" x14ac:dyDescent="0.3">
      <c r="A1784" s="3" t="s">
        <v>191</v>
      </c>
      <c r="B1784" s="3" t="s">
        <v>22</v>
      </c>
      <c r="C1784" s="3" t="str">
        <f t="shared" si="27"/>
        <v>450013535620</v>
      </c>
      <c r="D1784" s="4">
        <v>46245</v>
      </c>
      <c r="E1784" s="3" t="s">
        <v>2207</v>
      </c>
      <c r="F1784" s="3" t="s">
        <v>2634</v>
      </c>
    </row>
    <row r="1785" spans="1:6" x14ac:dyDescent="0.3">
      <c r="A1785" s="3" t="s">
        <v>1498</v>
      </c>
      <c r="B1785" s="3" t="s">
        <v>30</v>
      </c>
      <c r="C1785" s="3" t="str">
        <f t="shared" si="27"/>
        <v>450013540710</v>
      </c>
      <c r="D1785" s="4">
        <v>46300</v>
      </c>
      <c r="E1785" s="3" t="s">
        <v>2196</v>
      </c>
      <c r="F1785" s="3" t="s">
        <v>2509</v>
      </c>
    </row>
    <row r="1786" spans="1:6" x14ac:dyDescent="0.3">
      <c r="A1786" s="3" t="s">
        <v>1498</v>
      </c>
      <c r="B1786" s="3" t="s">
        <v>22</v>
      </c>
      <c r="C1786" s="3" t="str">
        <f t="shared" si="27"/>
        <v>450013540720</v>
      </c>
      <c r="D1786" s="4">
        <v>46300</v>
      </c>
      <c r="E1786" s="3" t="s">
        <v>2196</v>
      </c>
      <c r="F1786" s="3" t="s">
        <v>2509</v>
      </c>
    </row>
    <row r="1787" spans="1:6" x14ac:dyDescent="0.3">
      <c r="A1787" s="3" t="s">
        <v>1498</v>
      </c>
      <c r="B1787" s="3" t="s">
        <v>23</v>
      </c>
      <c r="C1787" s="3" t="str">
        <f t="shared" si="27"/>
        <v>450013540740</v>
      </c>
      <c r="D1787" s="4">
        <v>46300</v>
      </c>
      <c r="E1787" s="3" t="s">
        <v>2196</v>
      </c>
      <c r="F1787" s="3" t="s">
        <v>2509</v>
      </c>
    </row>
    <row r="1788" spans="1:6" x14ac:dyDescent="0.3">
      <c r="A1788" s="3" t="s">
        <v>1723</v>
      </c>
      <c r="B1788" s="3" t="s">
        <v>30</v>
      </c>
      <c r="C1788" s="3" t="str">
        <f t="shared" si="27"/>
        <v>450013541410</v>
      </c>
      <c r="D1788" s="4">
        <v>46295</v>
      </c>
      <c r="E1788" s="3" t="s">
        <v>2196</v>
      </c>
      <c r="F1788" s="3" t="s">
        <v>2423</v>
      </c>
    </row>
    <row r="1789" spans="1:6" x14ac:dyDescent="0.3">
      <c r="A1789" s="3" t="s">
        <v>1059</v>
      </c>
      <c r="B1789" s="3" t="s">
        <v>30</v>
      </c>
      <c r="C1789" s="3" t="str">
        <f t="shared" si="27"/>
        <v>450013542910</v>
      </c>
      <c r="D1789" s="4">
        <v>46259</v>
      </c>
      <c r="E1789" s="3" t="s">
        <v>2196</v>
      </c>
      <c r="F1789" s="3" t="s">
        <v>2635</v>
      </c>
    </row>
    <row r="1790" spans="1:6" x14ac:dyDescent="0.3">
      <c r="A1790" s="3" t="s">
        <v>1180</v>
      </c>
      <c r="B1790" s="3" t="s">
        <v>30</v>
      </c>
      <c r="C1790" s="3" t="str">
        <f t="shared" si="27"/>
        <v>450013543110</v>
      </c>
      <c r="D1790" s="4">
        <v>46259</v>
      </c>
      <c r="E1790" s="3" t="s">
        <v>2199</v>
      </c>
      <c r="F1790" s="3" t="s">
        <v>2636</v>
      </c>
    </row>
    <row r="1791" spans="1:6" x14ac:dyDescent="0.3">
      <c r="A1791" s="3" t="s">
        <v>1180</v>
      </c>
      <c r="B1791" s="3" t="s">
        <v>22</v>
      </c>
      <c r="C1791" s="3" t="str">
        <f t="shared" si="27"/>
        <v>450013543120</v>
      </c>
      <c r="D1791" s="4">
        <v>46259</v>
      </c>
      <c r="E1791" s="3" t="s">
        <v>2199</v>
      </c>
      <c r="F1791" s="3" t="s">
        <v>2636</v>
      </c>
    </row>
    <row r="1792" spans="1:6" x14ac:dyDescent="0.3">
      <c r="A1792" s="3" t="s">
        <v>1329</v>
      </c>
      <c r="B1792" s="3" t="s">
        <v>30</v>
      </c>
      <c r="C1792" s="3" t="str">
        <f t="shared" si="27"/>
        <v>450013554410</v>
      </c>
      <c r="D1792" s="4">
        <v>46290</v>
      </c>
      <c r="E1792" s="3" t="s">
        <v>2196</v>
      </c>
      <c r="F1792" s="3" t="s">
        <v>2488</v>
      </c>
    </row>
    <row r="1793" spans="1:6" x14ac:dyDescent="0.3">
      <c r="A1793" s="3" t="s">
        <v>1329</v>
      </c>
      <c r="B1793" s="3" t="s">
        <v>22</v>
      </c>
      <c r="C1793" s="3" t="str">
        <f t="shared" si="27"/>
        <v>450013554420</v>
      </c>
      <c r="D1793" s="4">
        <v>46290</v>
      </c>
      <c r="E1793" s="3" t="s">
        <v>2196</v>
      </c>
      <c r="F1793" s="3" t="s">
        <v>2488</v>
      </c>
    </row>
    <row r="1794" spans="1:6" x14ac:dyDescent="0.3">
      <c r="A1794" s="3" t="s">
        <v>1329</v>
      </c>
      <c r="B1794" s="3" t="s">
        <v>35</v>
      </c>
      <c r="C1794" s="3" t="str">
        <f t="shared" si="27"/>
        <v>450013554430</v>
      </c>
      <c r="D1794" s="4">
        <v>46290</v>
      </c>
      <c r="E1794" s="3" t="s">
        <v>2196</v>
      </c>
      <c r="F1794" s="3" t="s">
        <v>2488</v>
      </c>
    </row>
    <row r="1795" spans="1:6" x14ac:dyDescent="0.3">
      <c r="A1795" s="3" t="s">
        <v>1329</v>
      </c>
      <c r="B1795" s="3" t="s">
        <v>23</v>
      </c>
      <c r="C1795" s="3" t="str">
        <f t="shared" ref="C1795:C1858" si="28">_xlfn.CONCAT(A1795:B1795)</f>
        <v>450013554440</v>
      </c>
      <c r="D1795" s="4">
        <v>46290</v>
      </c>
      <c r="E1795" s="3" t="s">
        <v>2196</v>
      </c>
      <c r="F1795" s="3" t="s">
        <v>2488</v>
      </c>
    </row>
    <row r="1796" spans="1:6" x14ac:dyDescent="0.3">
      <c r="A1796" s="3" t="s">
        <v>1329</v>
      </c>
      <c r="B1796" s="3" t="s">
        <v>144</v>
      </c>
      <c r="C1796" s="3" t="str">
        <f t="shared" si="28"/>
        <v>450013554450</v>
      </c>
      <c r="D1796" s="4">
        <v>46290</v>
      </c>
      <c r="E1796" s="3" t="s">
        <v>2196</v>
      </c>
      <c r="F1796" s="3" t="s">
        <v>2488</v>
      </c>
    </row>
    <row r="1797" spans="1:6" x14ac:dyDescent="0.3">
      <c r="A1797" s="3" t="s">
        <v>2283</v>
      </c>
      <c r="B1797" s="3" t="s">
        <v>30</v>
      </c>
      <c r="C1797" s="3" t="str">
        <f t="shared" si="28"/>
        <v>450013555310</v>
      </c>
      <c r="D1797" s="4">
        <v>46310</v>
      </c>
      <c r="E1797" s="3" t="s">
        <v>2194</v>
      </c>
      <c r="F1797" s="3" t="s">
        <v>2415</v>
      </c>
    </row>
    <row r="1798" spans="1:6" x14ac:dyDescent="0.3">
      <c r="A1798" s="3" t="s">
        <v>1131</v>
      </c>
      <c r="B1798" s="3" t="s">
        <v>22</v>
      </c>
      <c r="C1798" s="3" t="str">
        <f t="shared" si="28"/>
        <v>450013558920</v>
      </c>
      <c r="D1798" s="4">
        <v>46255</v>
      </c>
      <c r="E1798" s="3" t="s">
        <v>2200</v>
      </c>
      <c r="F1798" s="3" t="s">
        <v>2432</v>
      </c>
    </row>
    <row r="1799" spans="1:6" x14ac:dyDescent="0.3">
      <c r="A1799" s="3" t="s">
        <v>1131</v>
      </c>
      <c r="B1799" s="3" t="s">
        <v>23</v>
      </c>
      <c r="C1799" s="3" t="str">
        <f t="shared" si="28"/>
        <v>450013558940</v>
      </c>
      <c r="D1799" s="4">
        <v>46255</v>
      </c>
      <c r="E1799" s="3" t="s">
        <v>2200</v>
      </c>
      <c r="F1799" s="3" t="s">
        <v>2432</v>
      </c>
    </row>
    <row r="1800" spans="1:6" x14ac:dyDescent="0.3">
      <c r="A1800" s="3" t="s">
        <v>1131</v>
      </c>
      <c r="B1800" s="3" t="s">
        <v>141</v>
      </c>
      <c r="C1800" s="3" t="str">
        <f t="shared" si="28"/>
        <v>450013558960</v>
      </c>
      <c r="D1800" s="4">
        <v>46255</v>
      </c>
      <c r="E1800" s="3" t="s">
        <v>2200</v>
      </c>
      <c r="F1800" s="3" t="s">
        <v>2432</v>
      </c>
    </row>
    <row r="1801" spans="1:6" x14ac:dyDescent="0.3">
      <c r="A1801" s="3" t="s">
        <v>1131</v>
      </c>
      <c r="B1801" s="3" t="s">
        <v>134</v>
      </c>
      <c r="C1801" s="3" t="str">
        <f t="shared" si="28"/>
        <v>450013558970</v>
      </c>
      <c r="D1801" s="4">
        <v>46255</v>
      </c>
      <c r="E1801" s="3" t="s">
        <v>2200</v>
      </c>
      <c r="F1801" s="3" t="s">
        <v>2432</v>
      </c>
    </row>
    <row r="1802" spans="1:6" x14ac:dyDescent="0.3">
      <c r="A1802" s="3" t="s">
        <v>1131</v>
      </c>
      <c r="B1802" s="3" t="s">
        <v>52</v>
      </c>
      <c r="C1802" s="3" t="str">
        <f t="shared" si="28"/>
        <v>450013558980</v>
      </c>
      <c r="D1802" s="4">
        <v>46255</v>
      </c>
      <c r="E1802" s="3" t="s">
        <v>2200</v>
      </c>
      <c r="F1802" s="3" t="s">
        <v>2432</v>
      </c>
    </row>
    <row r="1803" spans="1:6" x14ac:dyDescent="0.3">
      <c r="A1803" s="3" t="s">
        <v>1131</v>
      </c>
      <c r="B1803" s="3" t="s">
        <v>138</v>
      </c>
      <c r="C1803" s="3" t="str">
        <f t="shared" si="28"/>
        <v>450013558990</v>
      </c>
      <c r="D1803" s="4">
        <v>46255</v>
      </c>
      <c r="E1803" s="3" t="s">
        <v>2200</v>
      </c>
      <c r="F1803" s="3" t="s">
        <v>2432</v>
      </c>
    </row>
    <row r="1804" spans="1:6" x14ac:dyDescent="0.3">
      <c r="A1804" s="3" t="s">
        <v>1131</v>
      </c>
      <c r="B1804" s="3" t="s">
        <v>45</v>
      </c>
      <c r="C1804" s="3" t="str">
        <f t="shared" si="28"/>
        <v>4500135589100</v>
      </c>
      <c r="D1804" s="4">
        <v>46255</v>
      </c>
      <c r="E1804" s="3" t="s">
        <v>2200</v>
      </c>
      <c r="F1804" s="3" t="s">
        <v>2432</v>
      </c>
    </row>
    <row r="1805" spans="1:6" x14ac:dyDescent="0.3">
      <c r="A1805" s="3" t="s">
        <v>1131</v>
      </c>
      <c r="B1805" s="3" t="s">
        <v>156</v>
      </c>
      <c r="C1805" s="3" t="str">
        <f t="shared" si="28"/>
        <v>4500135589110</v>
      </c>
      <c r="D1805" s="4">
        <v>46255</v>
      </c>
      <c r="E1805" s="3" t="s">
        <v>2200</v>
      </c>
      <c r="F1805" s="3" t="s">
        <v>2432</v>
      </c>
    </row>
    <row r="1806" spans="1:6" x14ac:dyDescent="0.3">
      <c r="A1806" s="3" t="s">
        <v>1131</v>
      </c>
      <c r="B1806" s="3" t="s">
        <v>132</v>
      </c>
      <c r="C1806" s="3" t="str">
        <f t="shared" si="28"/>
        <v>4500135589120</v>
      </c>
      <c r="D1806" s="4">
        <v>46255</v>
      </c>
      <c r="E1806" s="3" t="s">
        <v>2200</v>
      </c>
      <c r="F1806" s="3" t="s">
        <v>2432</v>
      </c>
    </row>
    <row r="1807" spans="1:6" x14ac:dyDescent="0.3">
      <c r="A1807" s="3" t="s">
        <v>1131</v>
      </c>
      <c r="B1807" s="3" t="s">
        <v>142</v>
      </c>
      <c r="C1807" s="3" t="str">
        <f t="shared" si="28"/>
        <v>4500135589130</v>
      </c>
      <c r="D1807" s="4">
        <v>46255</v>
      </c>
      <c r="E1807" s="3" t="s">
        <v>2200</v>
      </c>
      <c r="F1807" s="3" t="s">
        <v>2432</v>
      </c>
    </row>
    <row r="1808" spans="1:6" x14ac:dyDescent="0.3">
      <c r="A1808" s="3" t="s">
        <v>1131</v>
      </c>
      <c r="B1808" s="3" t="s">
        <v>131</v>
      </c>
      <c r="C1808" s="3" t="str">
        <f t="shared" si="28"/>
        <v>4500135589140</v>
      </c>
      <c r="D1808" s="4">
        <v>46255</v>
      </c>
      <c r="E1808" s="3" t="s">
        <v>2200</v>
      </c>
      <c r="F1808" s="3" t="s">
        <v>2432</v>
      </c>
    </row>
    <row r="1809" spans="1:6" x14ac:dyDescent="0.3">
      <c r="A1809" s="3" t="s">
        <v>1131</v>
      </c>
      <c r="B1809" s="3" t="s">
        <v>68</v>
      </c>
      <c r="C1809" s="3" t="str">
        <f t="shared" si="28"/>
        <v>4500135589150</v>
      </c>
      <c r="D1809" s="4">
        <v>46255</v>
      </c>
      <c r="E1809" s="3" t="s">
        <v>2200</v>
      </c>
      <c r="F1809" s="3" t="s">
        <v>2432</v>
      </c>
    </row>
    <row r="1810" spans="1:6" x14ac:dyDescent="0.3">
      <c r="A1810" s="3" t="s">
        <v>1131</v>
      </c>
      <c r="B1810" s="3" t="s">
        <v>129</v>
      </c>
      <c r="C1810" s="3" t="str">
        <f t="shared" si="28"/>
        <v>4500135589160</v>
      </c>
      <c r="D1810" s="4">
        <v>46255</v>
      </c>
      <c r="E1810" s="3" t="s">
        <v>2200</v>
      </c>
      <c r="F1810" s="3" t="s">
        <v>2432</v>
      </c>
    </row>
    <row r="1811" spans="1:6" x14ac:dyDescent="0.3">
      <c r="A1811" s="3" t="s">
        <v>1131</v>
      </c>
      <c r="B1811" s="3" t="s">
        <v>130</v>
      </c>
      <c r="C1811" s="3" t="str">
        <f t="shared" si="28"/>
        <v>4500135589180</v>
      </c>
      <c r="D1811" s="4">
        <v>46255</v>
      </c>
      <c r="E1811" s="3" t="s">
        <v>2200</v>
      </c>
      <c r="F1811" s="3" t="s">
        <v>2432</v>
      </c>
    </row>
    <row r="1812" spans="1:6" x14ac:dyDescent="0.3">
      <c r="A1812" s="3" t="s">
        <v>1131</v>
      </c>
      <c r="B1812" s="3" t="s">
        <v>127</v>
      </c>
      <c r="C1812" s="3" t="str">
        <f t="shared" si="28"/>
        <v>4500135589190</v>
      </c>
      <c r="D1812" s="4">
        <v>46255</v>
      </c>
      <c r="E1812" s="3" t="s">
        <v>2200</v>
      </c>
      <c r="F1812" s="3" t="s">
        <v>2432</v>
      </c>
    </row>
    <row r="1813" spans="1:6" x14ac:dyDescent="0.3">
      <c r="A1813" s="3" t="s">
        <v>1131</v>
      </c>
      <c r="B1813" s="3" t="s">
        <v>161</v>
      </c>
      <c r="C1813" s="3" t="str">
        <f t="shared" si="28"/>
        <v>4500135589200</v>
      </c>
      <c r="D1813" s="4">
        <v>46255</v>
      </c>
      <c r="E1813" s="3" t="s">
        <v>2200</v>
      </c>
      <c r="F1813" s="3" t="s">
        <v>2432</v>
      </c>
    </row>
    <row r="1814" spans="1:6" x14ac:dyDescent="0.3">
      <c r="A1814" s="3" t="s">
        <v>1131</v>
      </c>
      <c r="B1814" s="3" t="s">
        <v>136</v>
      </c>
      <c r="C1814" s="3" t="str">
        <f t="shared" si="28"/>
        <v>4500135589210</v>
      </c>
      <c r="D1814" s="4">
        <v>46255</v>
      </c>
      <c r="E1814" s="3" t="s">
        <v>2200</v>
      </c>
      <c r="F1814" s="3" t="s">
        <v>2432</v>
      </c>
    </row>
    <row r="1815" spans="1:6" x14ac:dyDescent="0.3">
      <c r="A1815" s="3" t="s">
        <v>1131</v>
      </c>
      <c r="B1815" s="3" t="s">
        <v>140</v>
      </c>
      <c r="C1815" s="3" t="str">
        <f t="shared" si="28"/>
        <v>4500135589220</v>
      </c>
      <c r="D1815" s="4">
        <v>46255</v>
      </c>
      <c r="E1815" s="3" t="s">
        <v>2200</v>
      </c>
      <c r="F1815" s="3" t="s">
        <v>2432</v>
      </c>
    </row>
    <row r="1816" spans="1:6" x14ac:dyDescent="0.3">
      <c r="A1816" s="3" t="s">
        <v>1131</v>
      </c>
      <c r="B1816" s="3" t="s">
        <v>137</v>
      </c>
      <c r="C1816" s="3" t="str">
        <f t="shared" si="28"/>
        <v>4500135589230</v>
      </c>
      <c r="D1816" s="4">
        <v>46255</v>
      </c>
      <c r="E1816" s="3" t="s">
        <v>2200</v>
      </c>
      <c r="F1816" s="3" t="s">
        <v>2432</v>
      </c>
    </row>
    <row r="1817" spans="1:6" x14ac:dyDescent="0.3">
      <c r="A1817" s="3" t="s">
        <v>1131</v>
      </c>
      <c r="B1817" s="3" t="s">
        <v>143</v>
      </c>
      <c r="C1817" s="3" t="str">
        <f t="shared" si="28"/>
        <v>4500135589240</v>
      </c>
      <c r="D1817" s="4">
        <v>46255</v>
      </c>
      <c r="E1817" s="3" t="s">
        <v>2200</v>
      </c>
      <c r="F1817" s="3" t="s">
        <v>2432</v>
      </c>
    </row>
    <row r="1818" spans="1:6" x14ac:dyDescent="0.3">
      <c r="A1818" s="3" t="s">
        <v>1131</v>
      </c>
      <c r="B1818" s="3" t="s">
        <v>128</v>
      </c>
      <c r="C1818" s="3" t="str">
        <f t="shared" si="28"/>
        <v>4500135589250</v>
      </c>
      <c r="D1818" s="4">
        <v>46255</v>
      </c>
      <c r="E1818" s="3" t="s">
        <v>2200</v>
      </c>
      <c r="F1818" s="3" t="s">
        <v>2432</v>
      </c>
    </row>
    <row r="1819" spans="1:6" x14ac:dyDescent="0.3">
      <c r="A1819" s="3" t="s">
        <v>1131</v>
      </c>
      <c r="B1819" s="3" t="s">
        <v>126</v>
      </c>
      <c r="C1819" s="3" t="str">
        <f t="shared" si="28"/>
        <v>4500135589260</v>
      </c>
      <c r="D1819" s="4">
        <v>46255</v>
      </c>
      <c r="E1819" s="3" t="s">
        <v>2200</v>
      </c>
      <c r="F1819" s="3" t="s">
        <v>2432</v>
      </c>
    </row>
    <row r="1820" spans="1:6" x14ac:dyDescent="0.3">
      <c r="A1820" s="3" t="s">
        <v>1131</v>
      </c>
      <c r="B1820" s="3" t="s">
        <v>146</v>
      </c>
      <c r="C1820" s="3" t="str">
        <f t="shared" si="28"/>
        <v>4500135589270</v>
      </c>
      <c r="D1820" s="4">
        <v>46255</v>
      </c>
      <c r="E1820" s="3" t="s">
        <v>2200</v>
      </c>
      <c r="F1820" s="3" t="s">
        <v>2432</v>
      </c>
    </row>
    <row r="1821" spans="1:6" x14ac:dyDescent="0.3">
      <c r="A1821" s="3" t="s">
        <v>1131</v>
      </c>
      <c r="B1821" s="3" t="s">
        <v>133</v>
      </c>
      <c r="C1821" s="3" t="str">
        <f t="shared" si="28"/>
        <v>4500135589280</v>
      </c>
      <c r="D1821" s="4">
        <v>46255</v>
      </c>
      <c r="E1821" s="3" t="s">
        <v>2200</v>
      </c>
      <c r="F1821" s="3" t="s">
        <v>2432</v>
      </c>
    </row>
    <row r="1822" spans="1:6" x14ac:dyDescent="0.3">
      <c r="A1822" s="3" t="s">
        <v>1131</v>
      </c>
      <c r="B1822" s="3" t="s">
        <v>173</v>
      </c>
      <c r="C1822" s="3" t="str">
        <f t="shared" si="28"/>
        <v>4500135589290</v>
      </c>
      <c r="D1822" s="4">
        <v>46255</v>
      </c>
      <c r="E1822" s="3" t="s">
        <v>2200</v>
      </c>
      <c r="F1822" s="3" t="s">
        <v>2432</v>
      </c>
    </row>
    <row r="1823" spans="1:6" x14ac:dyDescent="0.3">
      <c r="A1823" s="3" t="s">
        <v>1131</v>
      </c>
      <c r="B1823" s="3" t="s">
        <v>145</v>
      </c>
      <c r="C1823" s="3" t="str">
        <f t="shared" si="28"/>
        <v>4500135589300</v>
      </c>
      <c r="D1823" s="4">
        <v>46255</v>
      </c>
      <c r="E1823" s="3" t="s">
        <v>2200</v>
      </c>
      <c r="F1823" s="3" t="s">
        <v>2432</v>
      </c>
    </row>
    <row r="1824" spans="1:6" x14ac:dyDescent="0.3">
      <c r="A1824" s="3" t="s">
        <v>1131</v>
      </c>
      <c r="B1824" s="3" t="s">
        <v>147</v>
      </c>
      <c r="C1824" s="3" t="str">
        <f t="shared" si="28"/>
        <v>4500135589310</v>
      </c>
      <c r="D1824" s="4">
        <v>46255</v>
      </c>
      <c r="E1824" s="3" t="s">
        <v>2200</v>
      </c>
      <c r="F1824" s="3" t="s">
        <v>2432</v>
      </c>
    </row>
    <row r="1825" spans="1:6" x14ac:dyDescent="0.3">
      <c r="A1825" s="3" t="s">
        <v>1131</v>
      </c>
      <c r="B1825" s="3" t="s">
        <v>150</v>
      </c>
      <c r="C1825" s="3" t="str">
        <f t="shared" si="28"/>
        <v>4500135589320</v>
      </c>
      <c r="D1825" s="4">
        <v>46255</v>
      </c>
      <c r="E1825" s="3" t="s">
        <v>2200</v>
      </c>
      <c r="F1825" s="3" t="s">
        <v>2432</v>
      </c>
    </row>
    <row r="1826" spans="1:6" x14ac:dyDescent="0.3">
      <c r="A1826" s="3" t="s">
        <v>1131</v>
      </c>
      <c r="B1826" s="3" t="s">
        <v>154</v>
      </c>
      <c r="C1826" s="3" t="str">
        <f t="shared" si="28"/>
        <v>4500135589330</v>
      </c>
      <c r="D1826" s="4">
        <v>46255</v>
      </c>
      <c r="E1826" s="3" t="s">
        <v>2200</v>
      </c>
      <c r="F1826" s="3" t="s">
        <v>2432</v>
      </c>
    </row>
    <row r="1827" spans="1:6" x14ac:dyDescent="0.3">
      <c r="A1827" s="3" t="s">
        <v>1131</v>
      </c>
      <c r="B1827" s="3" t="s">
        <v>135</v>
      </c>
      <c r="C1827" s="3" t="str">
        <f t="shared" si="28"/>
        <v>4500135589340</v>
      </c>
      <c r="D1827" s="4">
        <v>46255</v>
      </c>
      <c r="E1827" s="3" t="s">
        <v>2200</v>
      </c>
      <c r="F1827" s="3" t="s">
        <v>2432</v>
      </c>
    </row>
    <row r="1828" spans="1:6" x14ac:dyDescent="0.3">
      <c r="A1828" s="3" t="s">
        <v>1131</v>
      </c>
      <c r="B1828" s="3" t="s">
        <v>139</v>
      </c>
      <c r="C1828" s="3" t="str">
        <f t="shared" si="28"/>
        <v>4500135589350</v>
      </c>
      <c r="D1828" s="4">
        <v>46255</v>
      </c>
      <c r="E1828" s="3" t="s">
        <v>2200</v>
      </c>
      <c r="F1828" s="3" t="s">
        <v>2432</v>
      </c>
    </row>
    <row r="1829" spans="1:6" x14ac:dyDescent="0.3">
      <c r="A1829" s="3" t="s">
        <v>1131</v>
      </c>
      <c r="B1829" s="3" t="s">
        <v>168</v>
      </c>
      <c r="C1829" s="3" t="str">
        <f t="shared" si="28"/>
        <v>4500135589360</v>
      </c>
      <c r="D1829" s="4">
        <v>46255</v>
      </c>
      <c r="E1829" s="3" t="s">
        <v>2200</v>
      </c>
      <c r="F1829" s="3" t="s">
        <v>2432</v>
      </c>
    </row>
    <row r="1830" spans="1:6" x14ac:dyDescent="0.3">
      <c r="A1830" s="3" t="s">
        <v>1131</v>
      </c>
      <c r="B1830" s="3" t="s">
        <v>162</v>
      </c>
      <c r="C1830" s="3" t="str">
        <f t="shared" si="28"/>
        <v>4500135589370</v>
      </c>
      <c r="D1830" s="4">
        <v>46255</v>
      </c>
      <c r="E1830" s="3" t="s">
        <v>2200</v>
      </c>
      <c r="F1830" s="3" t="s">
        <v>2432</v>
      </c>
    </row>
    <row r="1831" spans="1:6" x14ac:dyDescent="0.3">
      <c r="A1831" s="3" t="s">
        <v>1131</v>
      </c>
      <c r="B1831" s="3" t="s">
        <v>1132</v>
      </c>
      <c r="C1831" s="3" t="str">
        <f t="shared" si="28"/>
        <v>4500135589380</v>
      </c>
      <c r="D1831" s="4">
        <v>46255</v>
      </c>
      <c r="E1831" s="3" t="s">
        <v>2200</v>
      </c>
      <c r="F1831" s="3" t="s">
        <v>2432</v>
      </c>
    </row>
    <row r="1832" spans="1:6" x14ac:dyDescent="0.3">
      <c r="A1832" s="3" t="s">
        <v>1131</v>
      </c>
      <c r="B1832" s="3" t="s">
        <v>158</v>
      </c>
      <c r="C1832" s="3" t="str">
        <f t="shared" si="28"/>
        <v>4500135589390</v>
      </c>
      <c r="D1832" s="4">
        <v>46255</v>
      </c>
      <c r="E1832" s="3" t="s">
        <v>2200</v>
      </c>
      <c r="F1832" s="3" t="s">
        <v>2432</v>
      </c>
    </row>
    <row r="1833" spans="1:6" x14ac:dyDescent="0.3">
      <c r="A1833" s="3" t="s">
        <v>1131</v>
      </c>
      <c r="B1833" s="3" t="s">
        <v>178</v>
      </c>
      <c r="C1833" s="3" t="str">
        <f t="shared" si="28"/>
        <v>4500135589400</v>
      </c>
      <c r="D1833" s="4">
        <v>46255</v>
      </c>
      <c r="E1833" s="3" t="s">
        <v>2200</v>
      </c>
      <c r="F1833" s="3" t="s">
        <v>2432</v>
      </c>
    </row>
    <row r="1834" spans="1:6" x14ac:dyDescent="0.3">
      <c r="A1834" s="3" t="s">
        <v>1131</v>
      </c>
      <c r="B1834" s="3" t="s">
        <v>157</v>
      </c>
      <c r="C1834" s="3" t="str">
        <f t="shared" si="28"/>
        <v>4500135589410</v>
      </c>
      <c r="D1834" s="4">
        <v>46255</v>
      </c>
      <c r="E1834" s="3" t="s">
        <v>2200</v>
      </c>
      <c r="F1834" s="3" t="s">
        <v>2432</v>
      </c>
    </row>
    <row r="1835" spans="1:6" x14ac:dyDescent="0.3">
      <c r="A1835" s="3" t="s">
        <v>1131</v>
      </c>
      <c r="B1835" s="3" t="s">
        <v>155</v>
      </c>
      <c r="C1835" s="3" t="str">
        <f t="shared" si="28"/>
        <v>4500135589420</v>
      </c>
      <c r="D1835" s="4">
        <v>46255</v>
      </c>
      <c r="E1835" s="3" t="s">
        <v>2200</v>
      </c>
      <c r="F1835" s="3" t="s">
        <v>2432</v>
      </c>
    </row>
    <row r="1836" spans="1:6" x14ac:dyDescent="0.3">
      <c r="A1836" s="3" t="s">
        <v>1131</v>
      </c>
      <c r="B1836" s="3" t="s">
        <v>166</v>
      </c>
      <c r="C1836" s="3" t="str">
        <f t="shared" si="28"/>
        <v>4500135589430</v>
      </c>
      <c r="D1836" s="4">
        <v>46255</v>
      </c>
      <c r="E1836" s="3" t="s">
        <v>2200</v>
      </c>
      <c r="F1836" s="3" t="s">
        <v>2432</v>
      </c>
    </row>
    <row r="1837" spans="1:6" x14ac:dyDescent="0.3">
      <c r="A1837" s="3" t="s">
        <v>1131</v>
      </c>
      <c r="B1837" s="3" t="s">
        <v>164</v>
      </c>
      <c r="C1837" s="3" t="str">
        <f t="shared" si="28"/>
        <v>4500135589440</v>
      </c>
      <c r="D1837" s="4">
        <v>46255</v>
      </c>
      <c r="E1837" s="3" t="s">
        <v>2200</v>
      </c>
      <c r="F1837" s="3" t="s">
        <v>2432</v>
      </c>
    </row>
    <row r="1838" spans="1:6" x14ac:dyDescent="0.3">
      <c r="A1838" s="3" t="s">
        <v>1131</v>
      </c>
      <c r="B1838" s="3" t="s">
        <v>169</v>
      </c>
      <c r="C1838" s="3" t="str">
        <f t="shared" si="28"/>
        <v>4500135589450</v>
      </c>
      <c r="D1838" s="4">
        <v>46255</v>
      </c>
      <c r="E1838" s="3" t="s">
        <v>2200</v>
      </c>
      <c r="F1838" s="3" t="s">
        <v>2432</v>
      </c>
    </row>
    <row r="1839" spans="1:6" x14ac:dyDescent="0.3">
      <c r="A1839" s="3" t="s">
        <v>1131</v>
      </c>
      <c r="B1839" s="3" t="s">
        <v>170</v>
      </c>
      <c r="C1839" s="3" t="str">
        <f t="shared" si="28"/>
        <v>4500135589460</v>
      </c>
      <c r="D1839" s="4">
        <v>46255</v>
      </c>
      <c r="E1839" s="3" t="s">
        <v>2200</v>
      </c>
      <c r="F1839" s="3" t="s">
        <v>2432</v>
      </c>
    </row>
    <row r="1840" spans="1:6" x14ac:dyDescent="0.3">
      <c r="A1840" s="3" t="s">
        <v>1131</v>
      </c>
      <c r="B1840" s="3" t="s">
        <v>171</v>
      </c>
      <c r="C1840" s="3" t="str">
        <f t="shared" si="28"/>
        <v>4500135589470</v>
      </c>
      <c r="D1840" s="4">
        <v>46255</v>
      </c>
      <c r="E1840" s="3" t="s">
        <v>2200</v>
      </c>
      <c r="F1840" s="3" t="s">
        <v>2432</v>
      </c>
    </row>
    <row r="1841" spans="1:6" x14ac:dyDescent="0.3">
      <c r="A1841" s="3" t="s">
        <v>1131</v>
      </c>
      <c r="B1841" s="3" t="s">
        <v>172</v>
      </c>
      <c r="C1841" s="3" t="str">
        <f t="shared" si="28"/>
        <v>4500135589480</v>
      </c>
      <c r="D1841" s="4">
        <v>46255</v>
      </c>
      <c r="E1841" s="3" t="s">
        <v>2200</v>
      </c>
      <c r="F1841" s="3" t="s">
        <v>2432</v>
      </c>
    </row>
    <row r="1842" spans="1:6" x14ac:dyDescent="0.3">
      <c r="A1842" s="3" t="s">
        <v>1131</v>
      </c>
      <c r="B1842" s="3" t="s">
        <v>1133</v>
      </c>
      <c r="C1842" s="3" t="str">
        <f t="shared" si="28"/>
        <v>4500135589490</v>
      </c>
      <c r="D1842" s="4">
        <v>46255</v>
      </c>
      <c r="E1842" s="3" t="s">
        <v>2200</v>
      </c>
      <c r="F1842" s="3" t="s">
        <v>2432</v>
      </c>
    </row>
    <row r="1843" spans="1:6" x14ac:dyDescent="0.3">
      <c r="A1843" s="3" t="s">
        <v>1131</v>
      </c>
      <c r="B1843" s="3" t="s">
        <v>160</v>
      </c>
      <c r="C1843" s="3" t="str">
        <f t="shared" si="28"/>
        <v>4500135589500</v>
      </c>
      <c r="D1843" s="4">
        <v>46255</v>
      </c>
      <c r="E1843" s="3" t="s">
        <v>2200</v>
      </c>
      <c r="F1843" s="3" t="s">
        <v>2432</v>
      </c>
    </row>
    <row r="1844" spans="1:6" x14ac:dyDescent="0.3">
      <c r="A1844" s="3" t="s">
        <v>1131</v>
      </c>
      <c r="B1844" s="3" t="s">
        <v>159</v>
      </c>
      <c r="C1844" s="3" t="str">
        <f t="shared" si="28"/>
        <v>4500135589510</v>
      </c>
      <c r="D1844" s="4">
        <v>46255</v>
      </c>
      <c r="E1844" s="3" t="s">
        <v>2200</v>
      </c>
      <c r="F1844" s="3" t="s">
        <v>2432</v>
      </c>
    </row>
    <row r="1845" spans="1:6" x14ac:dyDescent="0.3">
      <c r="A1845" s="3" t="s">
        <v>1131</v>
      </c>
      <c r="B1845" s="3" t="s">
        <v>1134</v>
      </c>
      <c r="C1845" s="3" t="str">
        <f t="shared" si="28"/>
        <v>4500135589520</v>
      </c>
      <c r="D1845" s="4">
        <v>46255</v>
      </c>
      <c r="E1845" s="3" t="s">
        <v>2200</v>
      </c>
      <c r="F1845" s="3" t="s">
        <v>2432</v>
      </c>
    </row>
    <row r="1846" spans="1:6" x14ac:dyDescent="0.3">
      <c r="A1846" s="3" t="s">
        <v>1131</v>
      </c>
      <c r="B1846" s="3" t="s">
        <v>151</v>
      </c>
      <c r="C1846" s="3" t="str">
        <f t="shared" si="28"/>
        <v>4500135589540</v>
      </c>
      <c r="D1846" s="4">
        <v>46255</v>
      </c>
      <c r="E1846" s="3" t="s">
        <v>2200</v>
      </c>
      <c r="F1846" s="3" t="s">
        <v>2432</v>
      </c>
    </row>
    <row r="1847" spans="1:6" x14ac:dyDescent="0.3">
      <c r="A1847" s="3" t="s">
        <v>1131</v>
      </c>
      <c r="B1847" s="3" t="s">
        <v>153</v>
      </c>
      <c r="C1847" s="3" t="str">
        <f t="shared" si="28"/>
        <v>4500135589550</v>
      </c>
      <c r="D1847" s="4">
        <v>46255</v>
      </c>
      <c r="E1847" s="3" t="s">
        <v>2200</v>
      </c>
      <c r="F1847" s="3" t="s">
        <v>2432</v>
      </c>
    </row>
    <row r="1848" spans="1:6" x14ac:dyDescent="0.3">
      <c r="A1848" s="3" t="s">
        <v>1131</v>
      </c>
      <c r="B1848" s="3" t="s">
        <v>175</v>
      </c>
      <c r="C1848" s="3" t="str">
        <f t="shared" si="28"/>
        <v>4500135589620</v>
      </c>
      <c r="D1848" s="4">
        <v>46255</v>
      </c>
      <c r="E1848" s="3" t="s">
        <v>2200</v>
      </c>
      <c r="F1848" s="3" t="s">
        <v>2432</v>
      </c>
    </row>
    <row r="1849" spans="1:6" x14ac:dyDescent="0.3">
      <c r="A1849" s="3" t="s">
        <v>1131</v>
      </c>
      <c r="B1849" s="3" t="s">
        <v>149</v>
      </c>
      <c r="C1849" s="3" t="str">
        <f t="shared" si="28"/>
        <v>4500135589640</v>
      </c>
      <c r="D1849" s="4">
        <v>46255</v>
      </c>
      <c r="E1849" s="3" t="s">
        <v>2200</v>
      </c>
      <c r="F1849" s="3" t="s">
        <v>2432</v>
      </c>
    </row>
    <row r="1850" spans="1:6" x14ac:dyDescent="0.3">
      <c r="A1850" s="3" t="s">
        <v>1131</v>
      </c>
      <c r="B1850" s="3" t="s">
        <v>179</v>
      </c>
      <c r="C1850" s="3" t="str">
        <f t="shared" si="28"/>
        <v>4500135589660</v>
      </c>
      <c r="D1850" s="4">
        <v>46255</v>
      </c>
      <c r="E1850" s="3" t="s">
        <v>2200</v>
      </c>
      <c r="F1850" s="3" t="s">
        <v>2432</v>
      </c>
    </row>
    <row r="1851" spans="1:6" x14ac:dyDescent="0.3">
      <c r="A1851" s="3" t="s">
        <v>1131</v>
      </c>
      <c r="B1851" s="3" t="s">
        <v>180</v>
      </c>
      <c r="C1851" s="3" t="str">
        <f t="shared" si="28"/>
        <v>4500135589670</v>
      </c>
      <c r="D1851" s="4">
        <v>46255</v>
      </c>
      <c r="E1851" s="3" t="s">
        <v>2200</v>
      </c>
      <c r="F1851" s="3" t="s">
        <v>2432</v>
      </c>
    </row>
    <row r="1852" spans="1:6" x14ac:dyDescent="0.3">
      <c r="A1852" s="3" t="s">
        <v>1131</v>
      </c>
      <c r="B1852" s="3" t="s">
        <v>1598</v>
      </c>
      <c r="C1852" s="3" t="str">
        <f t="shared" si="28"/>
        <v>4500135589680</v>
      </c>
      <c r="D1852" s="4">
        <v>46255</v>
      </c>
      <c r="E1852" s="3" t="s">
        <v>2200</v>
      </c>
      <c r="F1852" s="3" t="s">
        <v>2432</v>
      </c>
    </row>
    <row r="1853" spans="1:6" x14ac:dyDescent="0.3">
      <c r="A1853" s="3" t="s">
        <v>1054</v>
      </c>
      <c r="B1853" s="3" t="s">
        <v>30</v>
      </c>
      <c r="C1853" s="3" t="str">
        <f t="shared" si="28"/>
        <v>450013559010</v>
      </c>
      <c r="D1853" s="4">
        <v>46259</v>
      </c>
      <c r="E1853" s="3" t="s">
        <v>2196</v>
      </c>
      <c r="F1853" s="3" t="s">
        <v>2622</v>
      </c>
    </row>
    <row r="1854" spans="1:6" x14ac:dyDescent="0.3">
      <c r="A1854" s="3" t="s">
        <v>440</v>
      </c>
      <c r="B1854" s="3" t="s">
        <v>30</v>
      </c>
      <c r="C1854" s="3" t="str">
        <f t="shared" si="28"/>
        <v>450013565810</v>
      </c>
      <c r="D1854" s="4">
        <v>46290</v>
      </c>
      <c r="E1854" s="3" t="s">
        <v>2196</v>
      </c>
      <c r="F1854" s="3" t="s">
        <v>2585</v>
      </c>
    </row>
    <row r="1855" spans="1:6" x14ac:dyDescent="0.3">
      <c r="A1855" s="3" t="s">
        <v>440</v>
      </c>
      <c r="B1855" s="3" t="s">
        <v>22</v>
      </c>
      <c r="C1855" s="3" t="str">
        <f t="shared" si="28"/>
        <v>450013565820</v>
      </c>
      <c r="D1855" s="4">
        <v>46290</v>
      </c>
      <c r="E1855" s="3" t="s">
        <v>2196</v>
      </c>
      <c r="F1855" s="3" t="s">
        <v>2585</v>
      </c>
    </row>
    <row r="1856" spans="1:6" x14ac:dyDescent="0.3">
      <c r="A1856" s="3" t="s">
        <v>440</v>
      </c>
      <c r="B1856" s="3" t="s">
        <v>35</v>
      </c>
      <c r="C1856" s="3" t="str">
        <f t="shared" si="28"/>
        <v>450013565830</v>
      </c>
      <c r="D1856" s="4">
        <v>46255</v>
      </c>
      <c r="E1856" s="3" t="s">
        <v>2196</v>
      </c>
      <c r="F1856" s="3" t="s">
        <v>2585</v>
      </c>
    </row>
    <row r="1857" spans="1:6" x14ac:dyDescent="0.3">
      <c r="A1857" s="3" t="s">
        <v>440</v>
      </c>
      <c r="B1857" s="3" t="s">
        <v>23</v>
      </c>
      <c r="C1857" s="3" t="str">
        <f t="shared" si="28"/>
        <v>450013565840</v>
      </c>
      <c r="D1857" s="4">
        <v>46255</v>
      </c>
      <c r="E1857" s="3" t="s">
        <v>2196</v>
      </c>
      <c r="F1857" s="3" t="s">
        <v>2585</v>
      </c>
    </row>
    <row r="1858" spans="1:6" x14ac:dyDescent="0.3">
      <c r="A1858" s="3" t="s">
        <v>440</v>
      </c>
      <c r="B1858" s="3" t="s">
        <v>144</v>
      </c>
      <c r="C1858" s="3" t="str">
        <f t="shared" si="28"/>
        <v>450013565850</v>
      </c>
      <c r="D1858" s="4">
        <v>46255</v>
      </c>
      <c r="E1858" s="3" t="s">
        <v>2196</v>
      </c>
      <c r="F1858" s="3" t="s">
        <v>2585</v>
      </c>
    </row>
    <row r="1859" spans="1:6" x14ac:dyDescent="0.3">
      <c r="A1859" s="3" t="s">
        <v>440</v>
      </c>
      <c r="B1859" s="3" t="s">
        <v>141</v>
      </c>
      <c r="C1859" s="3" t="str">
        <f t="shared" ref="C1859:C1922" si="29">_xlfn.CONCAT(A1859:B1859)</f>
        <v>450013565860</v>
      </c>
      <c r="D1859" s="4">
        <v>46255</v>
      </c>
      <c r="E1859" s="3" t="s">
        <v>2196</v>
      </c>
      <c r="F1859" s="3" t="s">
        <v>2585</v>
      </c>
    </row>
    <row r="1860" spans="1:6" x14ac:dyDescent="0.3">
      <c r="A1860" s="3" t="s">
        <v>440</v>
      </c>
      <c r="B1860" s="3" t="s">
        <v>134</v>
      </c>
      <c r="C1860" s="3" t="str">
        <f t="shared" si="29"/>
        <v>450013565870</v>
      </c>
      <c r="D1860" s="4">
        <v>46255</v>
      </c>
      <c r="E1860" s="3" t="s">
        <v>2196</v>
      </c>
      <c r="F1860" s="3" t="s">
        <v>2585</v>
      </c>
    </row>
    <row r="1861" spans="1:6" x14ac:dyDescent="0.3">
      <c r="A1861" s="3" t="s">
        <v>440</v>
      </c>
      <c r="B1861" s="3" t="s">
        <v>52</v>
      </c>
      <c r="C1861" s="3" t="str">
        <f t="shared" si="29"/>
        <v>450013565880</v>
      </c>
      <c r="D1861" s="4">
        <v>46255</v>
      </c>
      <c r="E1861" s="3" t="s">
        <v>2196</v>
      </c>
      <c r="F1861" s="3" t="s">
        <v>2585</v>
      </c>
    </row>
    <row r="1862" spans="1:6" x14ac:dyDescent="0.3">
      <c r="A1862" s="3" t="s">
        <v>440</v>
      </c>
      <c r="B1862" s="3" t="s">
        <v>138</v>
      </c>
      <c r="C1862" s="3" t="str">
        <f t="shared" si="29"/>
        <v>450013565890</v>
      </c>
      <c r="D1862" s="4">
        <v>46287</v>
      </c>
      <c r="E1862" s="3" t="s">
        <v>2196</v>
      </c>
      <c r="F1862" s="3" t="s">
        <v>2585</v>
      </c>
    </row>
    <row r="1863" spans="1:6" x14ac:dyDescent="0.3">
      <c r="A1863" s="3" t="s">
        <v>440</v>
      </c>
      <c r="B1863" s="3" t="s">
        <v>45</v>
      </c>
      <c r="C1863" s="3" t="str">
        <f t="shared" si="29"/>
        <v>4500135658100</v>
      </c>
      <c r="D1863" s="4">
        <v>46255</v>
      </c>
      <c r="E1863" s="3" t="s">
        <v>2196</v>
      </c>
      <c r="F1863" s="3" t="s">
        <v>2585</v>
      </c>
    </row>
    <row r="1864" spans="1:6" x14ac:dyDescent="0.3">
      <c r="A1864" s="3" t="s">
        <v>440</v>
      </c>
      <c r="B1864" s="3" t="s">
        <v>156</v>
      </c>
      <c r="C1864" s="3" t="str">
        <f t="shared" si="29"/>
        <v>4500135658110</v>
      </c>
      <c r="D1864" s="4">
        <v>46255</v>
      </c>
      <c r="E1864" s="3" t="s">
        <v>2196</v>
      </c>
      <c r="F1864" s="3" t="s">
        <v>2585</v>
      </c>
    </row>
    <row r="1865" spans="1:6" x14ac:dyDescent="0.3">
      <c r="A1865" s="3" t="s">
        <v>440</v>
      </c>
      <c r="B1865" s="3" t="s">
        <v>131</v>
      </c>
      <c r="C1865" s="3" t="str">
        <f t="shared" si="29"/>
        <v>4500135658140</v>
      </c>
      <c r="D1865" s="4">
        <v>46255</v>
      </c>
      <c r="E1865" s="3" t="s">
        <v>2196</v>
      </c>
      <c r="F1865" s="3" t="s">
        <v>2585</v>
      </c>
    </row>
    <row r="1866" spans="1:6" x14ac:dyDescent="0.3">
      <c r="A1866" s="3" t="s">
        <v>440</v>
      </c>
      <c r="B1866" s="3" t="s">
        <v>68</v>
      </c>
      <c r="C1866" s="3" t="str">
        <f t="shared" si="29"/>
        <v>4500135658150</v>
      </c>
      <c r="D1866" s="4">
        <v>46255</v>
      </c>
      <c r="E1866" s="3" t="s">
        <v>2196</v>
      </c>
      <c r="F1866" s="3" t="s">
        <v>2585</v>
      </c>
    </row>
    <row r="1867" spans="1:6" x14ac:dyDescent="0.3">
      <c r="A1867" s="3" t="s">
        <v>440</v>
      </c>
      <c r="B1867" s="3" t="s">
        <v>129</v>
      </c>
      <c r="C1867" s="3" t="str">
        <f t="shared" si="29"/>
        <v>4500135658160</v>
      </c>
      <c r="D1867" s="4">
        <v>46255</v>
      </c>
      <c r="E1867" s="3" t="s">
        <v>2196</v>
      </c>
      <c r="F1867" s="3" t="s">
        <v>2585</v>
      </c>
    </row>
    <row r="1868" spans="1:6" x14ac:dyDescent="0.3">
      <c r="A1868" s="3" t="s">
        <v>440</v>
      </c>
      <c r="B1868" s="3" t="s">
        <v>53</v>
      </c>
      <c r="C1868" s="3" t="str">
        <f t="shared" si="29"/>
        <v>4500135658170</v>
      </c>
      <c r="D1868" s="4">
        <v>46255</v>
      </c>
      <c r="E1868" s="3" t="s">
        <v>2196</v>
      </c>
      <c r="F1868" s="3" t="s">
        <v>2585</v>
      </c>
    </row>
    <row r="1869" spans="1:6" x14ac:dyDescent="0.3">
      <c r="A1869" s="3" t="s">
        <v>440</v>
      </c>
      <c r="B1869" s="3" t="s">
        <v>130</v>
      </c>
      <c r="C1869" s="3" t="str">
        <f t="shared" si="29"/>
        <v>4500135658180</v>
      </c>
      <c r="D1869" s="4">
        <v>46255</v>
      </c>
      <c r="E1869" s="3" t="s">
        <v>2196</v>
      </c>
      <c r="F1869" s="3" t="s">
        <v>2585</v>
      </c>
    </row>
    <row r="1870" spans="1:6" x14ac:dyDescent="0.3">
      <c r="A1870" s="3" t="s">
        <v>440</v>
      </c>
      <c r="B1870" s="3" t="s">
        <v>127</v>
      </c>
      <c r="C1870" s="3" t="str">
        <f t="shared" si="29"/>
        <v>4500135658190</v>
      </c>
      <c r="D1870" s="4">
        <v>46302</v>
      </c>
      <c r="E1870" s="3" t="s">
        <v>2196</v>
      </c>
      <c r="F1870" s="3" t="s">
        <v>2585</v>
      </c>
    </row>
    <row r="1871" spans="1:6" x14ac:dyDescent="0.3">
      <c r="A1871" s="3" t="s">
        <v>440</v>
      </c>
      <c r="B1871" s="3" t="s">
        <v>161</v>
      </c>
      <c r="C1871" s="3" t="str">
        <f t="shared" si="29"/>
        <v>4500135658200</v>
      </c>
      <c r="D1871" s="4">
        <v>46302</v>
      </c>
      <c r="E1871" s="3" t="s">
        <v>2196</v>
      </c>
      <c r="F1871" s="3" t="s">
        <v>2585</v>
      </c>
    </row>
    <row r="1872" spans="1:6" x14ac:dyDescent="0.3">
      <c r="A1872" s="3" t="s">
        <v>1262</v>
      </c>
      <c r="B1872" s="3" t="s">
        <v>30</v>
      </c>
      <c r="C1872" s="3" t="str">
        <f t="shared" si="29"/>
        <v>450013569210</v>
      </c>
      <c r="D1872" s="4">
        <v>46274</v>
      </c>
      <c r="E1872" s="3" t="s">
        <v>2196</v>
      </c>
      <c r="F1872" s="3" t="s">
        <v>2637</v>
      </c>
    </row>
    <row r="1873" spans="1:6" x14ac:dyDescent="0.3">
      <c r="A1873" s="3" t="s">
        <v>1262</v>
      </c>
      <c r="B1873" s="3" t="s">
        <v>22</v>
      </c>
      <c r="C1873" s="3" t="str">
        <f t="shared" si="29"/>
        <v>450013569220</v>
      </c>
      <c r="D1873" s="4">
        <v>46274</v>
      </c>
      <c r="E1873" s="3" t="s">
        <v>2196</v>
      </c>
      <c r="F1873" s="3" t="s">
        <v>2637</v>
      </c>
    </row>
    <row r="1874" spans="1:6" x14ac:dyDescent="0.3">
      <c r="A1874" s="3" t="s">
        <v>1762</v>
      </c>
      <c r="B1874" s="3" t="s">
        <v>30</v>
      </c>
      <c r="C1874" s="3" t="str">
        <f t="shared" si="29"/>
        <v>450013571110</v>
      </c>
      <c r="D1874" s="4">
        <v>46287</v>
      </c>
      <c r="E1874" s="3" t="s">
        <v>2204</v>
      </c>
      <c r="F1874" s="3" t="s">
        <v>2476</v>
      </c>
    </row>
    <row r="1875" spans="1:6" x14ac:dyDescent="0.3">
      <c r="A1875" s="3" t="s">
        <v>1762</v>
      </c>
      <c r="B1875" s="3" t="s">
        <v>22</v>
      </c>
      <c r="C1875" s="3" t="str">
        <f t="shared" si="29"/>
        <v>450013571120</v>
      </c>
      <c r="D1875" s="4">
        <v>46287</v>
      </c>
      <c r="E1875" s="3" t="s">
        <v>2204</v>
      </c>
      <c r="F1875" s="3" t="s">
        <v>2476</v>
      </c>
    </row>
    <row r="1876" spans="1:6" x14ac:dyDescent="0.3">
      <c r="A1876" s="3" t="s">
        <v>1762</v>
      </c>
      <c r="B1876" s="3" t="s">
        <v>35</v>
      </c>
      <c r="C1876" s="3" t="str">
        <f t="shared" si="29"/>
        <v>450013571130</v>
      </c>
      <c r="D1876" s="4">
        <v>46287</v>
      </c>
      <c r="E1876" s="3" t="s">
        <v>2204</v>
      </c>
      <c r="F1876" s="3" t="s">
        <v>2476</v>
      </c>
    </row>
    <row r="1877" spans="1:6" x14ac:dyDescent="0.3">
      <c r="A1877" s="3" t="s">
        <v>1762</v>
      </c>
      <c r="B1877" s="3" t="s">
        <v>144</v>
      </c>
      <c r="C1877" s="3" t="str">
        <f t="shared" si="29"/>
        <v>450013571150</v>
      </c>
      <c r="D1877" s="4">
        <v>46287</v>
      </c>
      <c r="E1877" s="3" t="s">
        <v>2204</v>
      </c>
      <c r="F1877" s="3" t="s">
        <v>2476</v>
      </c>
    </row>
    <row r="1878" spans="1:6" x14ac:dyDescent="0.3">
      <c r="A1878" s="3" t="s">
        <v>1762</v>
      </c>
      <c r="B1878" s="3" t="s">
        <v>141</v>
      </c>
      <c r="C1878" s="3" t="str">
        <f t="shared" si="29"/>
        <v>450013571160</v>
      </c>
      <c r="D1878" s="4">
        <v>46287</v>
      </c>
      <c r="E1878" s="3" t="s">
        <v>2204</v>
      </c>
      <c r="F1878" s="3" t="s">
        <v>2476</v>
      </c>
    </row>
    <row r="1879" spans="1:6" x14ac:dyDescent="0.3">
      <c r="A1879" s="3" t="s">
        <v>1762</v>
      </c>
      <c r="B1879" s="3" t="s">
        <v>134</v>
      </c>
      <c r="C1879" s="3" t="str">
        <f t="shared" si="29"/>
        <v>450013571170</v>
      </c>
      <c r="D1879" s="4">
        <v>46287</v>
      </c>
      <c r="E1879" s="3" t="s">
        <v>2204</v>
      </c>
      <c r="F1879" s="3" t="s">
        <v>2476</v>
      </c>
    </row>
    <row r="1880" spans="1:6" x14ac:dyDescent="0.3">
      <c r="A1880" s="3" t="s">
        <v>1414</v>
      </c>
      <c r="B1880" s="3" t="s">
        <v>30</v>
      </c>
      <c r="C1880" s="3" t="str">
        <f t="shared" si="29"/>
        <v>450013572810</v>
      </c>
      <c r="D1880" s="4">
        <v>46295</v>
      </c>
      <c r="E1880" s="3" t="s">
        <v>2196</v>
      </c>
      <c r="F1880" s="3" t="s">
        <v>2461</v>
      </c>
    </row>
    <row r="1881" spans="1:6" x14ac:dyDescent="0.3">
      <c r="A1881" s="3" t="s">
        <v>1326</v>
      </c>
      <c r="B1881" s="3" t="s">
        <v>30</v>
      </c>
      <c r="C1881" s="3" t="str">
        <f t="shared" si="29"/>
        <v>450013577010</v>
      </c>
      <c r="D1881" s="4">
        <v>46280</v>
      </c>
      <c r="E1881" s="3" t="s">
        <v>2204</v>
      </c>
      <c r="F1881" s="3" t="s">
        <v>2476</v>
      </c>
    </row>
    <row r="1882" spans="1:6" x14ac:dyDescent="0.3">
      <c r="A1882" s="3" t="s">
        <v>1326</v>
      </c>
      <c r="B1882" s="3" t="s">
        <v>22</v>
      </c>
      <c r="C1882" s="3" t="str">
        <f t="shared" si="29"/>
        <v>450013577020</v>
      </c>
      <c r="D1882" s="4">
        <v>46280</v>
      </c>
      <c r="E1882" s="3" t="s">
        <v>2204</v>
      </c>
      <c r="F1882" s="3" t="s">
        <v>2476</v>
      </c>
    </row>
    <row r="1883" spans="1:6" x14ac:dyDescent="0.3">
      <c r="A1883" s="3" t="s">
        <v>1326</v>
      </c>
      <c r="B1883" s="3" t="s">
        <v>35</v>
      </c>
      <c r="C1883" s="3" t="str">
        <f t="shared" si="29"/>
        <v>450013577030</v>
      </c>
      <c r="D1883" s="4">
        <v>46280</v>
      </c>
      <c r="E1883" s="3" t="s">
        <v>2204</v>
      </c>
      <c r="F1883" s="3" t="s">
        <v>2476</v>
      </c>
    </row>
    <row r="1884" spans="1:6" x14ac:dyDescent="0.3">
      <c r="A1884" s="3" t="s">
        <v>1872</v>
      </c>
      <c r="B1884" s="3" t="s">
        <v>30</v>
      </c>
      <c r="C1884" s="3" t="str">
        <f t="shared" si="29"/>
        <v>450013579610</v>
      </c>
      <c r="D1884" s="4">
        <v>46300</v>
      </c>
      <c r="E1884" s="3" t="s">
        <v>2196</v>
      </c>
      <c r="F1884" s="3" t="s">
        <v>2478</v>
      </c>
    </row>
    <row r="1885" spans="1:6" x14ac:dyDescent="0.3">
      <c r="A1885" s="3" t="s">
        <v>1872</v>
      </c>
      <c r="B1885" s="3" t="s">
        <v>22</v>
      </c>
      <c r="C1885" s="3" t="str">
        <f t="shared" si="29"/>
        <v>450013579620</v>
      </c>
      <c r="D1885" s="4">
        <v>46300</v>
      </c>
      <c r="E1885" s="3" t="s">
        <v>2196</v>
      </c>
      <c r="F1885" s="3" t="s">
        <v>2478</v>
      </c>
    </row>
    <row r="1886" spans="1:6" x14ac:dyDescent="0.3">
      <c r="A1886" s="3" t="s">
        <v>1872</v>
      </c>
      <c r="B1886" s="3" t="s">
        <v>35</v>
      </c>
      <c r="C1886" s="3" t="str">
        <f t="shared" si="29"/>
        <v>450013579630</v>
      </c>
      <c r="D1886" s="4">
        <v>46300</v>
      </c>
      <c r="E1886" s="3" t="s">
        <v>2196</v>
      </c>
      <c r="F1886" s="3" t="s">
        <v>2478</v>
      </c>
    </row>
    <row r="1887" spans="1:6" x14ac:dyDescent="0.3">
      <c r="A1887" s="3" t="s">
        <v>1872</v>
      </c>
      <c r="B1887" s="3" t="s">
        <v>23</v>
      </c>
      <c r="C1887" s="3" t="str">
        <f t="shared" si="29"/>
        <v>450013579640</v>
      </c>
      <c r="D1887" s="4">
        <v>46300</v>
      </c>
      <c r="E1887" s="3" t="s">
        <v>2196</v>
      </c>
      <c r="F1887" s="3" t="s">
        <v>2478</v>
      </c>
    </row>
    <row r="1888" spans="1:6" x14ac:dyDescent="0.3">
      <c r="A1888" s="3" t="s">
        <v>1872</v>
      </c>
      <c r="B1888" s="3" t="s">
        <v>144</v>
      </c>
      <c r="C1888" s="3" t="str">
        <f t="shared" si="29"/>
        <v>450013579650</v>
      </c>
      <c r="D1888" s="4">
        <v>46300</v>
      </c>
      <c r="E1888" s="3" t="s">
        <v>2196</v>
      </c>
      <c r="F1888" s="3" t="s">
        <v>2478</v>
      </c>
    </row>
    <row r="1889" spans="1:6" x14ac:dyDescent="0.3">
      <c r="A1889" s="3" t="s">
        <v>1872</v>
      </c>
      <c r="B1889" s="3" t="s">
        <v>141</v>
      </c>
      <c r="C1889" s="3" t="str">
        <f t="shared" si="29"/>
        <v>450013579660</v>
      </c>
      <c r="D1889" s="4">
        <v>46300</v>
      </c>
      <c r="E1889" s="3" t="s">
        <v>2196</v>
      </c>
      <c r="F1889" s="3" t="s">
        <v>2478</v>
      </c>
    </row>
    <row r="1890" spans="1:6" x14ac:dyDescent="0.3">
      <c r="A1890" s="3" t="s">
        <v>1872</v>
      </c>
      <c r="B1890" s="3" t="s">
        <v>134</v>
      </c>
      <c r="C1890" s="3" t="str">
        <f t="shared" si="29"/>
        <v>450013579670</v>
      </c>
      <c r="D1890" s="4">
        <v>46300</v>
      </c>
      <c r="E1890" s="3" t="s">
        <v>2196</v>
      </c>
      <c r="F1890" s="3" t="s">
        <v>2478</v>
      </c>
    </row>
    <row r="1891" spans="1:6" x14ac:dyDescent="0.3">
      <c r="A1891" s="3" t="s">
        <v>1872</v>
      </c>
      <c r="B1891" s="3" t="s">
        <v>52</v>
      </c>
      <c r="C1891" s="3" t="str">
        <f t="shared" si="29"/>
        <v>450013579680</v>
      </c>
      <c r="D1891" s="4">
        <v>46300</v>
      </c>
      <c r="E1891" s="3" t="s">
        <v>2196</v>
      </c>
      <c r="F1891" s="3" t="s">
        <v>2478</v>
      </c>
    </row>
    <row r="1892" spans="1:6" x14ac:dyDescent="0.3">
      <c r="A1892" s="3" t="s">
        <v>1872</v>
      </c>
      <c r="B1892" s="3" t="s">
        <v>138</v>
      </c>
      <c r="C1892" s="3" t="str">
        <f t="shared" si="29"/>
        <v>450013579690</v>
      </c>
      <c r="D1892" s="4">
        <v>46300</v>
      </c>
      <c r="E1892" s="3" t="s">
        <v>2196</v>
      </c>
      <c r="F1892" s="3" t="s">
        <v>2478</v>
      </c>
    </row>
    <row r="1893" spans="1:6" x14ac:dyDescent="0.3">
      <c r="A1893" s="3" t="s">
        <v>1872</v>
      </c>
      <c r="B1893" s="3" t="s">
        <v>45</v>
      </c>
      <c r="C1893" s="3" t="str">
        <f t="shared" si="29"/>
        <v>4500135796100</v>
      </c>
      <c r="D1893" s="4">
        <v>46300</v>
      </c>
      <c r="E1893" s="3" t="s">
        <v>2196</v>
      </c>
      <c r="F1893" s="3" t="s">
        <v>2478</v>
      </c>
    </row>
    <row r="1894" spans="1:6" x14ac:dyDescent="0.3">
      <c r="A1894" s="3" t="s">
        <v>1872</v>
      </c>
      <c r="B1894" s="3" t="s">
        <v>156</v>
      </c>
      <c r="C1894" s="3" t="str">
        <f t="shared" si="29"/>
        <v>4500135796110</v>
      </c>
      <c r="D1894" s="4">
        <v>46300</v>
      </c>
      <c r="E1894" s="3" t="s">
        <v>2196</v>
      </c>
      <c r="F1894" s="3" t="s">
        <v>2478</v>
      </c>
    </row>
    <row r="1895" spans="1:6" x14ac:dyDescent="0.3">
      <c r="A1895" s="3" t="s">
        <v>1872</v>
      </c>
      <c r="B1895" s="3" t="s">
        <v>132</v>
      </c>
      <c r="C1895" s="3" t="str">
        <f t="shared" si="29"/>
        <v>4500135796120</v>
      </c>
      <c r="D1895" s="4">
        <v>46300</v>
      </c>
      <c r="E1895" s="3" t="s">
        <v>2196</v>
      </c>
      <c r="F1895" s="3" t="s">
        <v>2478</v>
      </c>
    </row>
    <row r="1896" spans="1:6" x14ac:dyDescent="0.3">
      <c r="A1896" s="3" t="s">
        <v>1872</v>
      </c>
      <c r="B1896" s="3" t="s">
        <v>142</v>
      </c>
      <c r="C1896" s="3" t="str">
        <f t="shared" si="29"/>
        <v>4500135796130</v>
      </c>
      <c r="D1896" s="4">
        <v>46300</v>
      </c>
      <c r="E1896" s="3" t="s">
        <v>2196</v>
      </c>
      <c r="F1896" s="3" t="s">
        <v>2478</v>
      </c>
    </row>
    <row r="1897" spans="1:6" x14ac:dyDescent="0.3">
      <c r="A1897" s="3" t="s">
        <v>1872</v>
      </c>
      <c r="B1897" s="3" t="s">
        <v>131</v>
      </c>
      <c r="C1897" s="3" t="str">
        <f t="shared" si="29"/>
        <v>4500135796140</v>
      </c>
      <c r="D1897" s="4">
        <v>46300</v>
      </c>
      <c r="E1897" s="3" t="s">
        <v>2196</v>
      </c>
      <c r="F1897" s="3" t="s">
        <v>2478</v>
      </c>
    </row>
    <row r="1898" spans="1:6" x14ac:dyDescent="0.3">
      <c r="A1898" s="3" t="s">
        <v>1872</v>
      </c>
      <c r="B1898" s="3" t="s">
        <v>68</v>
      </c>
      <c r="C1898" s="3" t="str">
        <f t="shared" si="29"/>
        <v>4500135796150</v>
      </c>
      <c r="D1898" s="4">
        <v>46300</v>
      </c>
      <c r="E1898" s="3" t="s">
        <v>2196</v>
      </c>
      <c r="F1898" s="3" t="s">
        <v>2478</v>
      </c>
    </row>
    <row r="1899" spans="1:6" x14ac:dyDescent="0.3">
      <c r="A1899" s="3" t="s">
        <v>1872</v>
      </c>
      <c r="B1899" s="3" t="s">
        <v>129</v>
      </c>
      <c r="C1899" s="3" t="str">
        <f t="shared" si="29"/>
        <v>4500135796160</v>
      </c>
      <c r="D1899" s="4">
        <v>46300</v>
      </c>
      <c r="E1899" s="3" t="s">
        <v>2196</v>
      </c>
      <c r="F1899" s="3" t="s">
        <v>2478</v>
      </c>
    </row>
    <row r="1900" spans="1:6" x14ac:dyDescent="0.3">
      <c r="A1900" s="3" t="s">
        <v>1872</v>
      </c>
      <c r="B1900" s="3" t="s">
        <v>53</v>
      </c>
      <c r="C1900" s="3" t="str">
        <f t="shared" si="29"/>
        <v>4500135796170</v>
      </c>
      <c r="D1900" s="4">
        <v>46300</v>
      </c>
      <c r="E1900" s="3" t="s">
        <v>2196</v>
      </c>
      <c r="F1900" s="3" t="s">
        <v>2478</v>
      </c>
    </row>
    <row r="1901" spans="1:6" x14ac:dyDescent="0.3">
      <c r="A1901" s="3" t="s">
        <v>1872</v>
      </c>
      <c r="B1901" s="3" t="s">
        <v>130</v>
      </c>
      <c r="C1901" s="3" t="str">
        <f t="shared" si="29"/>
        <v>4500135796180</v>
      </c>
      <c r="D1901" s="4">
        <v>46300</v>
      </c>
      <c r="E1901" s="3" t="s">
        <v>2196</v>
      </c>
      <c r="F1901" s="3" t="s">
        <v>2478</v>
      </c>
    </row>
    <row r="1902" spans="1:6" x14ac:dyDescent="0.3">
      <c r="A1902" s="3" t="s">
        <v>1872</v>
      </c>
      <c r="B1902" s="3" t="s">
        <v>127</v>
      </c>
      <c r="C1902" s="3" t="str">
        <f t="shared" si="29"/>
        <v>4500135796190</v>
      </c>
      <c r="D1902" s="4">
        <v>46300</v>
      </c>
      <c r="E1902" s="3" t="s">
        <v>2196</v>
      </c>
      <c r="F1902" s="3" t="s">
        <v>2478</v>
      </c>
    </row>
    <row r="1903" spans="1:6" x14ac:dyDescent="0.3">
      <c r="A1903" s="3" t="s">
        <v>1872</v>
      </c>
      <c r="B1903" s="3" t="s">
        <v>161</v>
      </c>
      <c r="C1903" s="3" t="str">
        <f t="shared" si="29"/>
        <v>4500135796200</v>
      </c>
      <c r="D1903" s="4">
        <v>46300</v>
      </c>
      <c r="E1903" s="3" t="s">
        <v>2196</v>
      </c>
      <c r="F1903" s="3" t="s">
        <v>2478</v>
      </c>
    </row>
    <row r="1904" spans="1:6" x14ac:dyDescent="0.3">
      <c r="A1904" s="3" t="s">
        <v>1872</v>
      </c>
      <c r="B1904" s="3" t="s">
        <v>136</v>
      </c>
      <c r="C1904" s="3" t="str">
        <f t="shared" si="29"/>
        <v>4500135796210</v>
      </c>
      <c r="D1904" s="4">
        <v>46300</v>
      </c>
      <c r="E1904" s="3" t="s">
        <v>2196</v>
      </c>
      <c r="F1904" s="3" t="s">
        <v>2478</v>
      </c>
    </row>
    <row r="1905" spans="1:6" x14ac:dyDescent="0.3">
      <c r="A1905" s="3" t="s">
        <v>1872</v>
      </c>
      <c r="B1905" s="3" t="s">
        <v>140</v>
      </c>
      <c r="C1905" s="3" t="str">
        <f t="shared" si="29"/>
        <v>4500135796220</v>
      </c>
      <c r="D1905" s="4">
        <v>46300</v>
      </c>
      <c r="E1905" s="3" t="s">
        <v>2196</v>
      </c>
      <c r="F1905" s="3" t="s">
        <v>2478</v>
      </c>
    </row>
    <row r="1906" spans="1:6" x14ac:dyDescent="0.3">
      <c r="A1906" s="3" t="s">
        <v>1872</v>
      </c>
      <c r="B1906" s="3" t="s">
        <v>137</v>
      </c>
      <c r="C1906" s="3" t="str">
        <f t="shared" si="29"/>
        <v>4500135796230</v>
      </c>
      <c r="D1906" s="4">
        <v>46300</v>
      </c>
      <c r="E1906" s="3" t="s">
        <v>2196</v>
      </c>
      <c r="F1906" s="3" t="s">
        <v>2478</v>
      </c>
    </row>
    <row r="1907" spans="1:6" x14ac:dyDescent="0.3">
      <c r="A1907" s="3" t="s">
        <v>1872</v>
      </c>
      <c r="B1907" s="3" t="s">
        <v>143</v>
      </c>
      <c r="C1907" s="3" t="str">
        <f t="shared" si="29"/>
        <v>4500135796240</v>
      </c>
      <c r="D1907" s="4">
        <v>46300</v>
      </c>
      <c r="E1907" s="3" t="s">
        <v>2196</v>
      </c>
      <c r="F1907" s="3" t="s">
        <v>2478</v>
      </c>
    </row>
    <row r="1908" spans="1:6" x14ac:dyDescent="0.3">
      <c r="A1908" s="3" t="s">
        <v>1872</v>
      </c>
      <c r="B1908" s="3" t="s">
        <v>128</v>
      </c>
      <c r="C1908" s="3" t="str">
        <f t="shared" si="29"/>
        <v>4500135796250</v>
      </c>
      <c r="D1908" s="4">
        <v>46300</v>
      </c>
      <c r="E1908" s="3" t="s">
        <v>2196</v>
      </c>
      <c r="F1908" s="3" t="s">
        <v>2478</v>
      </c>
    </row>
    <row r="1909" spans="1:6" x14ac:dyDescent="0.3">
      <c r="A1909" s="3" t="s">
        <v>1872</v>
      </c>
      <c r="B1909" s="3" t="s">
        <v>126</v>
      </c>
      <c r="C1909" s="3" t="str">
        <f t="shared" si="29"/>
        <v>4500135796260</v>
      </c>
      <c r="D1909" s="4">
        <v>46300</v>
      </c>
      <c r="E1909" s="3" t="s">
        <v>2196</v>
      </c>
      <c r="F1909" s="3" t="s">
        <v>2478</v>
      </c>
    </row>
    <row r="1910" spans="1:6" x14ac:dyDescent="0.3">
      <c r="A1910" s="3" t="s">
        <v>1872</v>
      </c>
      <c r="B1910" s="3" t="s">
        <v>146</v>
      </c>
      <c r="C1910" s="3" t="str">
        <f t="shared" si="29"/>
        <v>4500135796270</v>
      </c>
      <c r="D1910" s="4">
        <v>46300</v>
      </c>
      <c r="E1910" s="3" t="s">
        <v>2196</v>
      </c>
      <c r="F1910" s="3" t="s">
        <v>2478</v>
      </c>
    </row>
    <row r="1911" spans="1:6" x14ac:dyDescent="0.3">
      <c r="A1911" s="3" t="s">
        <v>1872</v>
      </c>
      <c r="B1911" s="3" t="s">
        <v>133</v>
      </c>
      <c r="C1911" s="3" t="str">
        <f t="shared" si="29"/>
        <v>4500135796280</v>
      </c>
      <c r="D1911" s="4">
        <v>46300</v>
      </c>
      <c r="E1911" s="3" t="s">
        <v>2196</v>
      </c>
      <c r="F1911" s="3" t="s">
        <v>2478</v>
      </c>
    </row>
    <row r="1912" spans="1:6" x14ac:dyDescent="0.3">
      <c r="A1912" s="3" t="s">
        <v>1872</v>
      </c>
      <c r="B1912" s="3" t="s">
        <v>173</v>
      </c>
      <c r="C1912" s="3" t="str">
        <f t="shared" si="29"/>
        <v>4500135796290</v>
      </c>
      <c r="D1912" s="4">
        <v>46300</v>
      </c>
      <c r="E1912" s="3" t="s">
        <v>2196</v>
      </c>
      <c r="F1912" s="3" t="s">
        <v>2478</v>
      </c>
    </row>
    <row r="1913" spans="1:6" x14ac:dyDescent="0.3">
      <c r="A1913" s="3" t="s">
        <v>1872</v>
      </c>
      <c r="B1913" s="3" t="s">
        <v>145</v>
      </c>
      <c r="C1913" s="3" t="str">
        <f t="shared" si="29"/>
        <v>4500135796300</v>
      </c>
      <c r="D1913" s="4">
        <v>46300</v>
      </c>
      <c r="E1913" s="3" t="s">
        <v>2196</v>
      </c>
      <c r="F1913" s="3" t="s">
        <v>2478</v>
      </c>
    </row>
    <row r="1914" spans="1:6" x14ac:dyDescent="0.3">
      <c r="A1914" s="3" t="s">
        <v>1872</v>
      </c>
      <c r="B1914" s="3" t="s">
        <v>147</v>
      </c>
      <c r="C1914" s="3" t="str">
        <f t="shared" si="29"/>
        <v>4500135796310</v>
      </c>
      <c r="D1914" s="4">
        <v>46300</v>
      </c>
      <c r="E1914" s="3" t="s">
        <v>2196</v>
      </c>
      <c r="F1914" s="3" t="s">
        <v>2478</v>
      </c>
    </row>
    <row r="1915" spans="1:6" x14ac:dyDescent="0.3">
      <c r="A1915" s="3" t="s">
        <v>1104</v>
      </c>
      <c r="B1915" s="3" t="s">
        <v>30</v>
      </c>
      <c r="C1915" s="3" t="str">
        <f t="shared" si="29"/>
        <v>450013583210</v>
      </c>
      <c r="D1915" s="4">
        <v>46255</v>
      </c>
      <c r="E1915" s="3" t="s">
        <v>2212</v>
      </c>
      <c r="F1915" s="3" t="s">
        <v>2638</v>
      </c>
    </row>
    <row r="1916" spans="1:6" x14ac:dyDescent="0.3">
      <c r="A1916" s="3" t="s">
        <v>1104</v>
      </c>
      <c r="B1916" s="3" t="s">
        <v>22</v>
      </c>
      <c r="C1916" s="3" t="str">
        <f t="shared" si="29"/>
        <v>450013583220</v>
      </c>
      <c r="D1916" s="4">
        <v>46255</v>
      </c>
      <c r="E1916" s="3" t="s">
        <v>2212</v>
      </c>
      <c r="F1916" s="3" t="s">
        <v>2638</v>
      </c>
    </row>
    <row r="1917" spans="1:6" x14ac:dyDescent="0.3">
      <c r="A1917" s="3" t="s">
        <v>1104</v>
      </c>
      <c r="B1917" s="3" t="s">
        <v>35</v>
      </c>
      <c r="C1917" s="3" t="str">
        <f t="shared" si="29"/>
        <v>450013583230</v>
      </c>
      <c r="D1917" s="4">
        <v>46255</v>
      </c>
      <c r="E1917" s="3" t="s">
        <v>2212</v>
      </c>
      <c r="F1917" s="3" t="s">
        <v>2638</v>
      </c>
    </row>
    <row r="1918" spans="1:6" x14ac:dyDescent="0.3">
      <c r="A1918" s="3" t="s">
        <v>1881</v>
      </c>
      <c r="B1918" s="3" t="s">
        <v>30</v>
      </c>
      <c r="C1918" s="3" t="str">
        <f t="shared" si="29"/>
        <v>450013588010</v>
      </c>
      <c r="D1918" s="4">
        <v>46290</v>
      </c>
      <c r="E1918" s="3" t="s">
        <v>2196</v>
      </c>
      <c r="F1918" s="3" t="s">
        <v>2639</v>
      </c>
    </row>
    <row r="1919" spans="1:6" x14ac:dyDescent="0.3">
      <c r="A1919" s="3" t="s">
        <v>1076</v>
      </c>
      <c r="B1919" s="3" t="s">
        <v>30</v>
      </c>
      <c r="C1919" s="3" t="str">
        <f t="shared" si="29"/>
        <v>450013589510</v>
      </c>
      <c r="D1919" s="4">
        <v>46275</v>
      </c>
      <c r="E1919" s="3" t="s">
        <v>2250</v>
      </c>
      <c r="F1919" s="3" t="s">
        <v>2640</v>
      </c>
    </row>
    <row r="1920" spans="1:6" x14ac:dyDescent="0.3">
      <c r="A1920" s="3" t="s">
        <v>1514</v>
      </c>
      <c r="B1920" s="3" t="s">
        <v>30</v>
      </c>
      <c r="C1920" s="3" t="str">
        <f t="shared" si="29"/>
        <v>450013589610</v>
      </c>
      <c r="D1920" s="4">
        <v>46295</v>
      </c>
      <c r="E1920" s="3" t="s">
        <v>2196</v>
      </c>
      <c r="F1920" s="3" t="s">
        <v>2461</v>
      </c>
    </row>
    <row r="1921" spans="1:6" x14ac:dyDescent="0.3">
      <c r="A1921" s="3" t="s">
        <v>1514</v>
      </c>
      <c r="B1921" s="3" t="s">
        <v>22</v>
      </c>
      <c r="C1921" s="3" t="str">
        <f t="shared" si="29"/>
        <v>450013589620</v>
      </c>
      <c r="D1921" s="4">
        <v>46295</v>
      </c>
      <c r="E1921" s="3" t="s">
        <v>2196</v>
      </c>
      <c r="F1921" s="3" t="s">
        <v>2461</v>
      </c>
    </row>
    <row r="1922" spans="1:6" x14ac:dyDescent="0.3">
      <c r="A1922" s="3" t="s">
        <v>1514</v>
      </c>
      <c r="B1922" s="3" t="s">
        <v>35</v>
      </c>
      <c r="C1922" s="3" t="str">
        <f t="shared" si="29"/>
        <v>450013589630</v>
      </c>
      <c r="D1922" s="4">
        <v>46295</v>
      </c>
      <c r="E1922" s="3" t="s">
        <v>2196</v>
      </c>
      <c r="F1922" s="3" t="s">
        <v>2461</v>
      </c>
    </row>
    <row r="1923" spans="1:6" x14ac:dyDescent="0.3">
      <c r="A1923" s="3" t="s">
        <v>1514</v>
      </c>
      <c r="B1923" s="3" t="s">
        <v>23</v>
      </c>
      <c r="C1923" s="3" t="str">
        <f t="shared" ref="C1923:C1986" si="30">_xlfn.CONCAT(A1923:B1923)</f>
        <v>450013589640</v>
      </c>
      <c r="D1923" s="4">
        <v>46295</v>
      </c>
      <c r="E1923" s="3" t="s">
        <v>2196</v>
      </c>
      <c r="F1923" s="3" t="s">
        <v>2461</v>
      </c>
    </row>
    <row r="1924" spans="1:6" x14ac:dyDescent="0.3">
      <c r="A1924" s="3" t="s">
        <v>1305</v>
      </c>
      <c r="B1924" s="3" t="s">
        <v>30</v>
      </c>
      <c r="C1924" s="3" t="str">
        <f t="shared" si="30"/>
        <v>450013593510</v>
      </c>
      <c r="D1924" s="4">
        <v>46269</v>
      </c>
      <c r="E1924" s="3" t="s">
        <v>2207</v>
      </c>
      <c r="F1924" s="3" t="s">
        <v>2606</v>
      </c>
    </row>
    <row r="1925" spans="1:6" x14ac:dyDescent="0.3">
      <c r="A1925" s="3" t="s">
        <v>1587</v>
      </c>
      <c r="B1925" s="3" t="s">
        <v>30</v>
      </c>
      <c r="C1925" s="3" t="str">
        <f t="shared" si="30"/>
        <v>450013595110</v>
      </c>
      <c r="D1925" s="4">
        <v>46287</v>
      </c>
      <c r="E1925" s="3" t="s">
        <v>2239</v>
      </c>
      <c r="F1925" s="3" t="s">
        <v>2632</v>
      </c>
    </row>
    <row r="1926" spans="1:6" x14ac:dyDescent="0.3">
      <c r="A1926" s="3" t="s">
        <v>1717</v>
      </c>
      <c r="B1926" s="3" t="s">
        <v>30</v>
      </c>
      <c r="C1926" s="3" t="str">
        <f t="shared" si="30"/>
        <v>450013598310</v>
      </c>
      <c r="D1926" s="4">
        <v>46295</v>
      </c>
      <c r="E1926" s="3" t="s">
        <v>2204</v>
      </c>
      <c r="F1926" s="3" t="s">
        <v>2478</v>
      </c>
    </row>
    <row r="1927" spans="1:6" x14ac:dyDescent="0.3">
      <c r="A1927" s="3" t="s">
        <v>100</v>
      </c>
      <c r="B1927" s="3" t="s">
        <v>30</v>
      </c>
      <c r="C1927" s="3" t="str">
        <f t="shared" si="30"/>
        <v>450013599510</v>
      </c>
      <c r="D1927" s="4">
        <v>46295</v>
      </c>
      <c r="E1927" s="3" t="s">
        <v>2203</v>
      </c>
      <c r="F1927" s="3" t="s">
        <v>2410</v>
      </c>
    </row>
    <row r="1928" spans="1:6" x14ac:dyDescent="0.3">
      <c r="A1928" s="3" t="s">
        <v>1081</v>
      </c>
      <c r="B1928" s="3" t="s">
        <v>30</v>
      </c>
      <c r="C1928" s="3" t="str">
        <f t="shared" si="30"/>
        <v>450013607710</v>
      </c>
      <c r="D1928" s="4">
        <v>46265</v>
      </c>
      <c r="E1928" s="3" t="s">
        <v>2204</v>
      </c>
      <c r="F1928" s="3" t="s">
        <v>2622</v>
      </c>
    </row>
    <row r="1929" spans="1:6" x14ac:dyDescent="0.3">
      <c r="A1929" s="3" t="s">
        <v>1081</v>
      </c>
      <c r="B1929" s="3" t="s">
        <v>22</v>
      </c>
      <c r="C1929" s="3" t="str">
        <f t="shared" si="30"/>
        <v>450013607720</v>
      </c>
      <c r="D1929" s="4">
        <v>46272</v>
      </c>
      <c r="E1929" s="3" t="s">
        <v>2204</v>
      </c>
      <c r="F1929" s="3" t="s">
        <v>2622</v>
      </c>
    </row>
    <row r="1930" spans="1:6" x14ac:dyDescent="0.3">
      <c r="A1930" s="3" t="s">
        <v>1069</v>
      </c>
      <c r="B1930" s="3" t="s">
        <v>22</v>
      </c>
      <c r="C1930" s="3" t="str">
        <f t="shared" si="30"/>
        <v>450013612220</v>
      </c>
      <c r="D1930" s="4">
        <v>46266</v>
      </c>
      <c r="E1930" s="3" t="s">
        <v>2194</v>
      </c>
      <c r="F1930" s="3" t="s">
        <v>2641</v>
      </c>
    </row>
    <row r="1931" spans="1:6" x14ac:dyDescent="0.3">
      <c r="A1931" s="3" t="s">
        <v>1084</v>
      </c>
      <c r="B1931" s="3" t="s">
        <v>30</v>
      </c>
      <c r="C1931" s="3" t="str">
        <f t="shared" si="30"/>
        <v>450013614810</v>
      </c>
      <c r="D1931" s="4">
        <v>46262</v>
      </c>
      <c r="E1931" s="3" t="s">
        <v>2234</v>
      </c>
      <c r="F1931" s="3" t="s">
        <v>2642</v>
      </c>
    </row>
    <row r="1932" spans="1:6" x14ac:dyDescent="0.3">
      <c r="A1932" s="3" t="s">
        <v>1578</v>
      </c>
      <c r="B1932" s="3" t="s">
        <v>30</v>
      </c>
      <c r="C1932" s="3" t="str">
        <f t="shared" si="30"/>
        <v>450013616010</v>
      </c>
      <c r="D1932" s="4">
        <v>46295</v>
      </c>
      <c r="E1932" s="3" t="s">
        <v>2196</v>
      </c>
      <c r="F1932" s="3" t="s">
        <v>2478</v>
      </c>
    </row>
    <row r="1933" spans="1:6" x14ac:dyDescent="0.3">
      <c r="A1933" s="3" t="s">
        <v>1116</v>
      </c>
      <c r="B1933" s="3" t="s">
        <v>22</v>
      </c>
      <c r="C1933" s="3" t="str">
        <f t="shared" si="30"/>
        <v>450013617320</v>
      </c>
      <c r="D1933" s="4">
        <v>46262</v>
      </c>
      <c r="E1933" s="3" t="s">
        <v>2200</v>
      </c>
      <c r="F1933" s="3" t="s">
        <v>2470</v>
      </c>
    </row>
    <row r="1934" spans="1:6" x14ac:dyDescent="0.3">
      <c r="A1934" s="3" t="s">
        <v>1073</v>
      </c>
      <c r="B1934" s="3" t="s">
        <v>30</v>
      </c>
      <c r="C1934" s="3" t="str">
        <f t="shared" si="30"/>
        <v>450013622810</v>
      </c>
      <c r="D1934" s="4">
        <v>46259</v>
      </c>
      <c r="E1934" s="3" t="s">
        <v>2196</v>
      </c>
      <c r="F1934" s="3" t="s">
        <v>2622</v>
      </c>
    </row>
    <row r="1935" spans="1:6" x14ac:dyDescent="0.3">
      <c r="A1935" s="3" t="s">
        <v>1073</v>
      </c>
      <c r="B1935" s="3" t="s">
        <v>22</v>
      </c>
      <c r="C1935" s="3" t="str">
        <f t="shared" si="30"/>
        <v>450013622820</v>
      </c>
      <c r="D1935" s="4">
        <v>46259</v>
      </c>
      <c r="E1935" s="3" t="s">
        <v>2196</v>
      </c>
      <c r="F1935" s="3" t="s">
        <v>2622</v>
      </c>
    </row>
    <row r="1936" spans="1:6" x14ac:dyDescent="0.3">
      <c r="A1936" s="3" t="s">
        <v>1412</v>
      </c>
      <c r="B1936" s="3" t="s">
        <v>30</v>
      </c>
      <c r="C1936" s="3" t="str">
        <f t="shared" si="30"/>
        <v>450013623110</v>
      </c>
      <c r="D1936" s="4">
        <v>46262</v>
      </c>
      <c r="E1936" s="3" t="s">
        <v>2204</v>
      </c>
      <c r="F1936" s="3" t="s">
        <v>2461</v>
      </c>
    </row>
    <row r="1937" spans="1:6" x14ac:dyDescent="0.3">
      <c r="A1937" s="3" t="s">
        <v>1804</v>
      </c>
      <c r="B1937" s="3" t="s">
        <v>30</v>
      </c>
      <c r="C1937" s="3" t="str">
        <f t="shared" si="30"/>
        <v>450013625010</v>
      </c>
      <c r="D1937" s="4">
        <v>46218</v>
      </c>
      <c r="E1937" s="3" t="s">
        <v>2207</v>
      </c>
      <c r="F1937" s="3" t="s">
        <v>2643</v>
      </c>
    </row>
    <row r="1938" spans="1:6" x14ac:dyDescent="0.3">
      <c r="A1938" s="3" t="s">
        <v>2005</v>
      </c>
      <c r="B1938" s="3" t="s">
        <v>30</v>
      </c>
      <c r="C1938" s="3" t="str">
        <f t="shared" si="30"/>
        <v>450013626310</v>
      </c>
      <c r="D1938" s="4">
        <v>46262</v>
      </c>
      <c r="E1938" s="3" t="s">
        <v>2200</v>
      </c>
      <c r="F1938" s="3" t="s">
        <v>2470</v>
      </c>
    </row>
    <row r="1939" spans="1:6" x14ac:dyDescent="0.3">
      <c r="A1939" s="3" t="s">
        <v>2005</v>
      </c>
      <c r="B1939" s="3" t="s">
        <v>22</v>
      </c>
      <c r="C1939" s="3" t="str">
        <f t="shared" si="30"/>
        <v>450013626320</v>
      </c>
      <c r="D1939" s="4">
        <v>46262</v>
      </c>
      <c r="E1939" s="3" t="s">
        <v>2200</v>
      </c>
      <c r="F1939" s="3" t="s">
        <v>2470</v>
      </c>
    </row>
    <row r="1940" spans="1:6" x14ac:dyDescent="0.3">
      <c r="A1940" s="3" t="s">
        <v>118</v>
      </c>
      <c r="B1940" s="3" t="s">
        <v>30</v>
      </c>
      <c r="C1940" s="3" t="str">
        <f t="shared" si="30"/>
        <v>450013628310</v>
      </c>
      <c r="D1940" s="4">
        <v>46272</v>
      </c>
      <c r="E1940" s="3" t="s">
        <v>2196</v>
      </c>
      <c r="F1940" s="3" t="s">
        <v>2454</v>
      </c>
    </row>
    <row r="1941" spans="1:6" x14ac:dyDescent="0.3">
      <c r="A1941" s="3" t="s">
        <v>118</v>
      </c>
      <c r="B1941" s="3" t="s">
        <v>22</v>
      </c>
      <c r="C1941" s="3" t="str">
        <f t="shared" si="30"/>
        <v>450013628320</v>
      </c>
      <c r="D1941" s="4">
        <v>46272</v>
      </c>
      <c r="E1941" s="3" t="s">
        <v>2196</v>
      </c>
      <c r="F1941" s="3" t="s">
        <v>2454</v>
      </c>
    </row>
    <row r="1942" spans="1:6" x14ac:dyDescent="0.3">
      <c r="A1942" s="3" t="s">
        <v>118</v>
      </c>
      <c r="B1942" s="3" t="s">
        <v>35</v>
      </c>
      <c r="C1942" s="3" t="str">
        <f t="shared" si="30"/>
        <v>450013628330</v>
      </c>
      <c r="D1942" s="4">
        <v>46272</v>
      </c>
      <c r="E1942" s="3" t="s">
        <v>2196</v>
      </c>
      <c r="F1942" s="3" t="s">
        <v>2454</v>
      </c>
    </row>
    <row r="1943" spans="1:6" x14ac:dyDescent="0.3">
      <c r="A1943" s="3" t="s">
        <v>118</v>
      </c>
      <c r="B1943" s="3" t="s">
        <v>23</v>
      </c>
      <c r="C1943" s="3" t="str">
        <f t="shared" si="30"/>
        <v>450013628340</v>
      </c>
      <c r="D1943" s="4">
        <v>46272</v>
      </c>
      <c r="E1943" s="3" t="s">
        <v>2196</v>
      </c>
      <c r="F1943" s="3" t="s">
        <v>2454</v>
      </c>
    </row>
    <row r="1944" spans="1:6" x14ac:dyDescent="0.3">
      <c r="A1944" s="3" t="s">
        <v>118</v>
      </c>
      <c r="B1944" s="3" t="s">
        <v>144</v>
      </c>
      <c r="C1944" s="3" t="str">
        <f t="shared" si="30"/>
        <v>450013628350</v>
      </c>
      <c r="D1944" s="4">
        <v>46272</v>
      </c>
      <c r="E1944" s="3" t="s">
        <v>2196</v>
      </c>
      <c r="F1944" s="3" t="s">
        <v>2454</v>
      </c>
    </row>
    <row r="1945" spans="1:6" x14ac:dyDescent="0.3">
      <c r="A1945" s="3" t="s">
        <v>118</v>
      </c>
      <c r="B1945" s="3" t="s">
        <v>141</v>
      </c>
      <c r="C1945" s="3" t="str">
        <f t="shared" si="30"/>
        <v>450013628360</v>
      </c>
      <c r="D1945" s="4">
        <v>46295</v>
      </c>
      <c r="E1945" s="3" t="s">
        <v>2196</v>
      </c>
      <c r="F1945" s="3" t="s">
        <v>2454</v>
      </c>
    </row>
    <row r="1946" spans="1:6" x14ac:dyDescent="0.3">
      <c r="A1946" s="3" t="s">
        <v>118</v>
      </c>
      <c r="B1946" s="3" t="s">
        <v>134</v>
      </c>
      <c r="C1946" s="3" t="str">
        <f t="shared" si="30"/>
        <v>450013628370</v>
      </c>
      <c r="D1946" s="4">
        <v>46295</v>
      </c>
      <c r="E1946" s="3" t="s">
        <v>2196</v>
      </c>
      <c r="F1946" s="3" t="s">
        <v>2454</v>
      </c>
    </row>
    <row r="1947" spans="1:6" x14ac:dyDescent="0.3">
      <c r="A1947" s="3" t="s">
        <v>118</v>
      </c>
      <c r="B1947" s="3" t="s">
        <v>52</v>
      </c>
      <c r="C1947" s="3" t="str">
        <f t="shared" si="30"/>
        <v>450013628380</v>
      </c>
      <c r="D1947" s="4">
        <v>46295</v>
      </c>
      <c r="E1947" s="3" t="s">
        <v>2196</v>
      </c>
      <c r="F1947" s="3" t="s">
        <v>2454</v>
      </c>
    </row>
    <row r="1948" spans="1:6" x14ac:dyDescent="0.3">
      <c r="A1948" s="3" t="s">
        <v>118</v>
      </c>
      <c r="B1948" s="3" t="s">
        <v>138</v>
      </c>
      <c r="C1948" s="3" t="str">
        <f t="shared" si="30"/>
        <v>450013628390</v>
      </c>
      <c r="D1948" s="4">
        <v>46295</v>
      </c>
      <c r="E1948" s="3" t="s">
        <v>2196</v>
      </c>
      <c r="F1948" s="3" t="s">
        <v>2454</v>
      </c>
    </row>
    <row r="1949" spans="1:6" x14ac:dyDescent="0.3">
      <c r="A1949" s="3" t="s">
        <v>118</v>
      </c>
      <c r="B1949" s="3" t="s">
        <v>45</v>
      </c>
      <c r="C1949" s="3" t="str">
        <f t="shared" si="30"/>
        <v>4500136283100</v>
      </c>
      <c r="D1949" s="4">
        <v>46272</v>
      </c>
      <c r="E1949" s="3" t="s">
        <v>2196</v>
      </c>
      <c r="F1949" s="3" t="s">
        <v>2454</v>
      </c>
    </row>
    <row r="1950" spans="1:6" x14ac:dyDescent="0.3">
      <c r="A1950" s="3" t="s">
        <v>118</v>
      </c>
      <c r="B1950" s="3" t="s">
        <v>156</v>
      </c>
      <c r="C1950" s="3" t="str">
        <f t="shared" si="30"/>
        <v>4500136283110</v>
      </c>
      <c r="D1950" s="4">
        <v>46272</v>
      </c>
      <c r="E1950" s="3" t="s">
        <v>2196</v>
      </c>
      <c r="F1950" s="3" t="s">
        <v>2454</v>
      </c>
    </row>
    <row r="1951" spans="1:6" x14ac:dyDescent="0.3">
      <c r="A1951" s="3" t="s">
        <v>118</v>
      </c>
      <c r="B1951" s="3" t="s">
        <v>132</v>
      </c>
      <c r="C1951" s="3" t="str">
        <f t="shared" si="30"/>
        <v>4500136283120</v>
      </c>
      <c r="D1951" s="4">
        <v>46295</v>
      </c>
      <c r="E1951" s="3" t="s">
        <v>2196</v>
      </c>
      <c r="F1951" s="3" t="s">
        <v>2454</v>
      </c>
    </row>
    <row r="1952" spans="1:6" x14ac:dyDescent="0.3">
      <c r="A1952" s="3" t="s">
        <v>118</v>
      </c>
      <c r="B1952" s="3" t="s">
        <v>142</v>
      </c>
      <c r="C1952" s="3" t="str">
        <f t="shared" si="30"/>
        <v>4500136283130</v>
      </c>
      <c r="D1952" s="4">
        <v>46272</v>
      </c>
      <c r="E1952" s="3" t="s">
        <v>2196</v>
      </c>
      <c r="F1952" s="3" t="s">
        <v>2454</v>
      </c>
    </row>
    <row r="1953" spans="1:6" x14ac:dyDescent="0.3">
      <c r="A1953" s="3" t="s">
        <v>118</v>
      </c>
      <c r="B1953" s="3" t="s">
        <v>131</v>
      </c>
      <c r="C1953" s="3" t="str">
        <f t="shared" si="30"/>
        <v>4500136283140</v>
      </c>
      <c r="D1953" s="4">
        <v>46272</v>
      </c>
      <c r="E1953" s="3" t="s">
        <v>2196</v>
      </c>
      <c r="F1953" s="3" t="s">
        <v>2454</v>
      </c>
    </row>
    <row r="1954" spans="1:6" x14ac:dyDescent="0.3">
      <c r="A1954" s="3" t="s">
        <v>118</v>
      </c>
      <c r="B1954" s="3" t="s">
        <v>68</v>
      </c>
      <c r="C1954" s="3" t="str">
        <f t="shared" si="30"/>
        <v>4500136283150</v>
      </c>
      <c r="D1954" s="4">
        <v>46295</v>
      </c>
      <c r="E1954" s="3" t="s">
        <v>2196</v>
      </c>
      <c r="F1954" s="3" t="s">
        <v>2454</v>
      </c>
    </row>
    <row r="1955" spans="1:6" x14ac:dyDescent="0.3">
      <c r="A1955" s="3" t="s">
        <v>118</v>
      </c>
      <c r="B1955" s="3" t="s">
        <v>129</v>
      </c>
      <c r="C1955" s="3" t="str">
        <f t="shared" si="30"/>
        <v>4500136283160</v>
      </c>
      <c r="D1955" s="4">
        <v>46295</v>
      </c>
      <c r="E1955" s="3" t="s">
        <v>2196</v>
      </c>
      <c r="F1955" s="3" t="s">
        <v>2454</v>
      </c>
    </row>
    <row r="1956" spans="1:6" x14ac:dyDescent="0.3">
      <c r="A1956" s="3" t="s">
        <v>118</v>
      </c>
      <c r="B1956" s="3" t="s">
        <v>53</v>
      </c>
      <c r="C1956" s="3" t="str">
        <f t="shared" si="30"/>
        <v>4500136283170</v>
      </c>
      <c r="D1956" s="4">
        <v>46272</v>
      </c>
      <c r="E1956" s="3" t="s">
        <v>2196</v>
      </c>
      <c r="F1956" s="3" t="s">
        <v>2454</v>
      </c>
    </row>
    <row r="1957" spans="1:6" x14ac:dyDescent="0.3">
      <c r="A1957" s="3" t="s">
        <v>118</v>
      </c>
      <c r="B1957" s="3" t="s">
        <v>130</v>
      </c>
      <c r="C1957" s="3" t="str">
        <f t="shared" si="30"/>
        <v>4500136283180</v>
      </c>
      <c r="D1957" s="4">
        <v>46272</v>
      </c>
      <c r="E1957" s="3" t="s">
        <v>2196</v>
      </c>
      <c r="F1957" s="3" t="s">
        <v>2454</v>
      </c>
    </row>
    <row r="1958" spans="1:6" x14ac:dyDescent="0.3">
      <c r="A1958" s="3" t="s">
        <v>118</v>
      </c>
      <c r="B1958" s="3" t="s">
        <v>127</v>
      </c>
      <c r="C1958" s="3" t="str">
        <f t="shared" si="30"/>
        <v>4500136283190</v>
      </c>
      <c r="D1958" s="4">
        <v>46295</v>
      </c>
      <c r="E1958" s="3" t="s">
        <v>2196</v>
      </c>
      <c r="F1958" s="3" t="s">
        <v>2454</v>
      </c>
    </row>
    <row r="1959" spans="1:6" x14ac:dyDescent="0.3">
      <c r="A1959" s="3" t="s">
        <v>118</v>
      </c>
      <c r="B1959" s="3" t="s">
        <v>161</v>
      </c>
      <c r="C1959" s="3" t="str">
        <f t="shared" si="30"/>
        <v>4500136283200</v>
      </c>
      <c r="D1959" s="4">
        <v>46295</v>
      </c>
      <c r="E1959" s="3" t="s">
        <v>2196</v>
      </c>
      <c r="F1959" s="3" t="s">
        <v>2454</v>
      </c>
    </row>
    <row r="1960" spans="1:6" x14ac:dyDescent="0.3">
      <c r="A1960" s="3" t="s">
        <v>118</v>
      </c>
      <c r="B1960" s="3" t="s">
        <v>136</v>
      </c>
      <c r="C1960" s="3" t="str">
        <f t="shared" si="30"/>
        <v>4500136283210</v>
      </c>
      <c r="D1960" s="4">
        <v>46295</v>
      </c>
      <c r="E1960" s="3" t="s">
        <v>2196</v>
      </c>
      <c r="F1960" s="3" t="s">
        <v>2454</v>
      </c>
    </row>
    <row r="1961" spans="1:6" x14ac:dyDescent="0.3">
      <c r="A1961" s="3" t="s">
        <v>118</v>
      </c>
      <c r="B1961" s="3" t="s">
        <v>140</v>
      </c>
      <c r="C1961" s="3" t="str">
        <f t="shared" si="30"/>
        <v>4500136283220</v>
      </c>
      <c r="D1961" s="4">
        <v>46295</v>
      </c>
      <c r="E1961" s="3" t="s">
        <v>2196</v>
      </c>
      <c r="F1961" s="3" t="s">
        <v>2454</v>
      </c>
    </row>
    <row r="1962" spans="1:6" x14ac:dyDescent="0.3">
      <c r="A1962" s="3" t="s">
        <v>118</v>
      </c>
      <c r="B1962" s="3" t="s">
        <v>137</v>
      </c>
      <c r="C1962" s="3" t="str">
        <f t="shared" si="30"/>
        <v>4500136283230</v>
      </c>
      <c r="D1962" s="4">
        <v>46272</v>
      </c>
      <c r="E1962" s="3" t="s">
        <v>2196</v>
      </c>
      <c r="F1962" s="3" t="s">
        <v>2454</v>
      </c>
    </row>
    <row r="1963" spans="1:6" x14ac:dyDescent="0.3">
      <c r="A1963" s="3" t="s">
        <v>118</v>
      </c>
      <c r="B1963" s="3" t="s">
        <v>143</v>
      </c>
      <c r="C1963" s="3" t="str">
        <f t="shared" si="30"/>
        <v>4500136283240</v>
      </c>
      <c r="D1963" s="4">
        <v>46295</v>
      </c>
      <c r="E1963" s="3" t="s">
        <v>2196</v>
      </c>
      <c r="F1963" s="3" t="s">
        <v>2454</v>
      </c>
    </row>
    <row r="1964" spans="1:6" x14ac:dyDescent="0.3">
      <c r="A1964" s="3" t="s">
        <v>118</v>
      </c>
      <c r="B1964" s="3" t="s">
        <v>128</v>
      </c>
      <c r="C1964" s="3" t="str">
        <f t="shared" si="30"/>
        <v>4500136283250</v>
      </c>
      <c r="D1964" s="4">
        <v>46272</v>
      </c>
      <c r="E1964" s="3" t="s">
        <v>2196</v>
      </c>
      <c r="F1964" s="3" t="s">
        <v>2454</v>
      </c>
    </row>
    <row r="1965" spans="1:6" x14ac:dyDescent="0.3">
      <c r="A1965" s="3" t="s">
        <v>118</v>
      </c>
      <c r="B1965" s="3" t="s">
        <v>126</v>
      </c>
      <c r="C1965" s="3" t="str">
        <f t="shared" si="30"/>
        <v>4500136283260</v>
      </c>
      <c r="D1965" s="4">
        <v>46272</v>
      </c>
      <c r="E1965" s="3" t="s">
        <v>2196</v>
      </c>
      <c r="F1965" s="3" t="s">
        <v>2454</v>
      </c>
    </row>
    <row r="1966" spans="1:6" x14ac:dyDescent="0.3">
      <c r="A1966" s="3" t="s">
        <v>118</v>
      </c>
      <c r="B1966" s="3" t="s">
        <v>146</v>
      </c>
      <c r="C1966" s="3" t="str">
        <f t="shared" si="30"/>
        <v>4500136283270</v>
      </c>
      <c r="D1966" s="4">
        <v>46272</v>
      </c>
      <c r="E1966" s="3" t="s">
        <v>2196</v>
      </c>
      <c r="F1966" s="3" t="s">
        <v>2454</v>
      </c>
    </row>
    <row r="1967" spans="1:6" x14ac:dyDescent="0.3">
      <c r="A1967" s="3" t="s">
        <v>118</v>
      </c>
      <c r="B1967" s="3" t="s">
        <v>133</v>
      </c>
      <c r="C1967" s="3" t="str">
        <f t="shared" si="30"/>
        <v>4500136283280</v>
      </c>
      <c r="D1967" s="4">
        <v>46272</v>
      </c>
      <c r="E1967" s="3" t="s">
        <v>2196</v>
      </c>
      <c r="F1967" s="3" t="s">
        <v>2454</v>
      </c>
    </row>
    <row r="1968" spans="1:6" x14ac:dyDescent="0.3">
      <c r="A1968" s="3" t="s">
        <v>118</v>
      </c>
      <c r="B1968" s="3" t="s">
        <v>173</v>
      </c>
      <c r="C1968" s="3" t="str">
        <f t="shared" si="30"/>
        <v>4500136283290</v>
      </c>
      <c r="D1968" s="4">
        <v>46272</v>
      </c>
      <c r="E1968" s="3" t="s">
        <v>2196</v>
      </c>
      <c r="F1968" s="3" t="s">
        <v>2454</v>
      </c>
    </row>
    <row r="1969" spans="1:6" x14ac:dyDescent="0.3">
      <c r="A1969" s="3" t="s">
        <v>118</v>
      </c>
      <c r="B1969" s="3" t="s">
        <v>145</v>
      </c>
      <c r="C1969" s="3" t="str">
        <f t="shared" si="30"/>
        <v>4500136283300</v>
      </c>
      <c r="D1969" s="4">
        <v>46272</v>
      </c>
      <c r="E1969" s="3" t="s">
        <v>2196</v>
      </c>
      <c r="F1969" s="3" t="s">
        <v>2454</v>
      </c>
    </row>
    <row r="1970" spans="1:6" x14ac:dyDescent="0.3">
      <c r="A1970" s="3" t="s">
        <v>118</v>
      </c>
      <c r="B1970" s="3" t="s">
        <v>147</v>
      </c>
      <c r="C1970" s="3" t="str">
        <f t="shared" si="30"/>
        <v>4500136283310</v>
      </c>
      <c r="D1970" s="4">
        <v>46272</v>
      </c>
      <c r="E1970" s="3" t="s">
        <v>2196</v>
      </c>
      <c r="F1970" s="3" t="s">
        <v>2454</v>
      </c>
    </row>
    <row r="1971" spans="1:6" x14ac:dyDescent="0.3">
      <c r="A1971" s="3" t="s">
        <v>118</v>
      </c>
      <c r="B1971" s="3" t="s">
        <v>150</v>
      </c>
      <c r="C1971" s="3" t="str">
        <f t="shared" si="30"/>
        <v>4500136283320</v>
      </c>
      <c r="D1971" s="4">
        <v>46272</v>
      </c>
      <c r="E1971" s="3" t="s">
        <v>2196</v>
      </c>
      <c r="F1971" s="3" t="s">
        <v>2454</v>
      </c>
    </row>
    <row r="1972" spans="1:6" x14ac:dyDescent="0.3">
      <c r="A1972" s="3" t="s">
        <v>118</v>
      </c>
      <c r="B1972" s="3" t="s">
        <v>154</v>
      </c>
      <c r="C1972" s="3" t="str">
        <f t="shared" si="30"/>
        <v>4500136283330</v>
      </c>
      <c r="D1972" s="4">
        <v>46295</v>
      </c>
      <c r="E1972" s="3" t="s">
        <v>2196</v>
      </c>
      <c r="F1972" s="3" t="s">
        <v>2454</v>
      </c>
    </row>
    <row r="1973" spans="1:6" x14ac:dyDescent="0.3">
      <c r="A1973" s="3" t="s">
        <v>118</v>
      </c>
      <c r="B1973" s="3" t="s">
        <v>135</v>
      </c>
      <c r="C1973" s="3" t="str">
        <f t="shared" si="30"/>
        <v>4500136283340</v>
      </c>
      <c r="D1973" s="4">
        <v>46272</v>
      </c>
      <c r="E1973" s="3" t="s">
        <v>2196</v>
      </c>
      <c r="F1973" s="3" t="s">
        <v>2454</v>
      </c>
    </row>
    <row r="1974" spans="1:6" x14ac:dyDescent="0.3">
      <c r="A1974" s="3" t="s">
        <v>118</v>
      </c>
      <c r="B1974" s="3" t="s">
        <v>139</v>
      </c>
      <c r="C1974" s="3" t="str">
        <f t="shared" si="30"/>
        <v>4500136283350</v>
      </c>
      <c r="D1974" s="4">
        <v>46272</v>
      </c>
      <c r="E1974" s="3" t="s">
        <v>2196</v>
      </c>
      <c r="F1974" s="3" t="s">
        <v>2454</v>
      </c>
    </row>
    <row r="1975" spans="1:6" x14ac:dyDescent="0.3">
      <c r="A1975" s="3" t="s">
        <v>118</v>
      </c>
      <c r="B1975" s="3" t="s">
        <v>168</v>
      </c>
      <c r="C1975" s="3" t="str">
        <f t="shared" si="30"/>
        <v>4500136283360</v>
      </c>
      <c r="D1975" s="4">
        <v>46272</v>
      </c>
      <c r="E1975" s="3" t="s">
        <v>2196</v>
      </c>
      <c r="F1975" s="3" t="s">
        <v>2454</v>
      </c>
    </row>
    <row r="1976" spans="1:6" x14ac:dyDescent="0.3">
      <c r="A1976" s="3" t="s">
        <v>118</v>
      </c>
      <c r="B1976" s="3" t="s">
        <v>162</v>
      </c>
      <c r="C1976" s="3" t="str">
        <f t="shared" si="30"/>
        <v>4500136283370</v>
      </c>
      <c r="D1976" s="4">
        <v>46295</v>
      </c>
      <c r="E1976" s="3" t="s">
        <v>2196</v>
      </c>
      <c r="F1976" s="3" t="s">
        <v>2454</v>
      </c>
    </row>
    <row r="1977" spans="1:6" x14ac:dyDescent="0.3">
      <c r="A1977" s="3" t="s">
        <v>118</v>
      </c>
      <c r="B1977" s="3" t="s">
        <v>1132</v>
      </c>
      <c r="C1977" s="3" t="str">
        <f t="shared" si="30"/>
        <v>4500136283380</v>
      </c>
      <c r="D1977" s="4">
        <v>46272</v>
      </c>
      <c r="E1977" s="3" t="s">
        <v>2196</v>
      </c>
      <c r="F1977" s="3" t="s">
        <v>2454</v>
      </c>
    </row>
    <row r="1978" spans="1:6" x14ac:dyDescent="0.3">
      <c r="A1978" s="3" t="s">
        <v>118</v>
      </c>
      <c r="B1978" s="3" t="s">
        <v>158</v>
      </c>
      <c r="C1978" s="3" t="str">
        <f t="shared" si="30"/>
        <v>4500136283390</v>
      </c>
      <c r="D1978" s="4">
        <v>46272</v>
      </c>
      <c r="E1978" s="3" t="s">
        <v>2196</v>
      </c>
      <c r="F1978" s="3" t="s">
        <v>2454</v>
      </c>
    </row>
    <row r="1979" spans="1:6" x14ac:dyDescent="0.3">
      <c r="A1979" s="3" t="s">
        <v>118</v>
      </c>
      <c r="B1979" s="3" t="s">
        <v>178</v>
      </c>
      <c r="C1979" s="3" t="str">
        <f t="shared" si="30"/>
        <v>4500136283400</v>
      </c>
      <c r="D1979" s="4">
        <v>46272</v>
      </c>
      <c r="E1979" s="3" t="s">
        <v>2196</v>
      </c>
      <c r="F1979" s="3" t="s">
        <v>2454</v>
      </c>
    </row>
    <row r="1980" spans="1:6" x14ac:dyDescent="0.3">
      <c r="A1980" s="3" t="s">
        <v>118</v>
      </c>
      <c r="B1980" s="3" t="s">
        <v>157</v>
      </c>
      <c r="C1980" s="3" t="str">
        <f t="shared" si="30"/>
        <v>4500136283410</v>
      </c>
      <c r="D1980" s="4">
        <v>46272</v>
      </c>
      <c r="E1980" s="3" t="s">
        <v>2196</v>
      </c>
      <c r="F1980" s="3" t="s">
        <v>2454</v>
      </c>
    </row>
    <row r="1981" spans="1:6" x14ac:dyDescent="0.3">
      <c r="A1981" s="3" t="s">
        <v>118</v>
      </c>
      <c r="B1981" s="3" t="s">
        <v>155</v>
      </c>
      <c r="C1981" s="3" t="str">
        <f t="shared" si="30"/>
        <v>4500136283420</v>
      </c>
      <c r="D1981" s="4">
        <v>46295</v>
      </c>
      <c r="E1981" s="3" t="s">
        <v>2196</v>
      </c>
      <c r="F1981" s="3" t="s">
        <v>2454</v>
      </c>
    </row>
    <row r="1982" spans="1:6" x14ac:dyDescent="0.3">
      <c r="A1982" s="3" t="s">
        <v>118</v>
      </c>
      <c r="B1982" s="3" t="s">
        <v>166</v>
      </c>
      <c r="C1982" s="3" t="str">
        <f t="shared" si="30"/>
        <v>4500136283430</v>
      </c>
      <c r="D1982" s="4">
        <v>46272</v>
      </c>
      <c r="E1982" s="3" t="s">
        <v>2196</v>
      </c>
      <c r="F1982" s="3" t="s">
        <v>2454</v>
      </c>
    </row>
    <row r="1983" spans="1:6" x14ac:dyDescent="0.3">
      <c r="A1983" s="3" t="s">
        <v>118</v>
      </c>
      <c r="B1983" s="3" t="s">
        <v>164</v>
      </c>
      <c r="C1983" s="3" t="str">
        <f t="shared" si="30"/>
        <v>4500136283440</v>
      </c>
      <c r="D1983" s="4">
        <v>46272</v>
      </c>
      <c r="E1983" s="3" t="s">
        <v>2196</v>
      </c>
      <c r="F1983" s="3" t="s">
        <v>2454</v>
      </c>
    </row>
    <row r="1984" spans="1:6" x14ac:dyDescent="0.3">
      <c r="A1984" s="3" t="s">
        <v>118</v>
      </c>
      <c r="B1984" s="3" t="s">
        <v>169</v>
      </c>
      <c r="C1984" s="3" t="str">
        <f t="shared" si="30"/>
        <v>4500136283450</v>
      </c>
      <c r="D1984" s="4">
        <v>46272</v>
      </c>
      <c r="E1984" s="3" t="s">
        <v>2196</v>
      </c>
      <c r="F1984" s="3" t="s">
        <v>2454</v>
      </c>
    </row>
    <row r="1985" spans="1:6" x14ac:dyDescent="0.3">
      <c r="A1985" s="3" t="s">
        <v>118</v>
      </c>
      <c r="B1985" s="3" t="s">
        <v>170</v>
      </c>
      <c r="C1985" s="3" t="str">
        <f t="shared" si="30"/>
        <v>4500136283460</v>
      </c>
      <c r="D1985" s="4">
        <v>46272</v>
      </c>
      <c r="E1985" s="3" t="s">
        <v>2196</v>
      </c>
      <c r="F1985" s="3" t="s">
        <v>2454</v>
      </c>
    </row>
    <row r="1986" spans="1:6" x14ac:dyDescent="0.3">
      <c r="A1986" s="3" t="s">
        <v>118</v>
      </c>
      <c r="B1986" s="3" t="s">
        <v>171</v>
      </c>
      <c r="C1986" s="3" t="str">
        <f t="shared" si="30"/>
        <v>4500136283470</v>
      </c>
      <c r="D1986" s="4">
        <v>46272</v>
      </c>
      <c r="E1986" s="3" t="s">
        <v>2196</v>
      </c>
      <c r="F1986" s="3" t="s">
        <v>2454</v>
      </c>
    </row>
    <row r="1987" spans="1:6" x14ac:dyDescent="0.3">
      <c r="A1987" s="3" t="s">
        <v>118</v>
      </c>
      <c r="B1987" s="3" t="s">
        <v>172</v>
      </c>
      <c r="C1987" s="3" t="str">
        <f t="shared" ref="C1987:C2050" si="31">_xlfn.CONCAT(A1987:B1987)</f>
        <v>4500136283480</v>
      </c>
      <c r="D1987" s="4">
        <v>46272</v>
      </c>
      <c r="E1987" s="3" t="s">
        <v>2196</v>
      </c>
      <c r="F1987" s="3" t="s">
        <v>2454</v>
      </c>
    </row>
    <row r="1988" spans="1:6" x14ac:dyDescent="0.3">
      <c r="A1988" s="3" t="s">
        <v>118</v>
      </c>
      <c r="B1988" s="3" t="s">
        <v>1133</v>
      </c>
      <c r="C1988" s="3" t="str">
        <f t="shared" si="31"/>
        <v>4500136283490</v>
      </c>
      <c r="D1988" s="4">
        <v>46272</v>
      </c>
      <c r="E1988" s="3" t="s">
        <v>2196</v>
      </c>
      <c r="F1988" s="3" t="s">
        <v>2454</v>
      </c>
    </row>
    <row r="1989" spans="1:6" x14ac:dyDescent="0.3">
      <c r="A1989" s="3" t="s">
        <v>118</v>
      </c>
      <c r="B1989" s="3" t="s">
        <v>160</v>
      </c>
      <c r="C1989" s="3" t="str">
        <f t="shared" si="31"/>
        <v>4500136283500</v>
      </c>
      <c r="D1989" s="4">
        <v>46295</v>
      </c>
      <c r="E1989" s="3" t="s">
        <v>2196</v>
      </c>
      <c r="F1989" s="3" t="s">
        <v>2454</v>
      </c>
    </row>
    <row r="1990" spans="1:6" x14ac:dyDescent="0.3">
      <c r="A1990" s="3" t="s">
        <v>118</v>
      </c>
      <c r="B1990" s="3" t="s">
        <v>159</v>
      </c>
      <c r="C1990" s="3" t="str">
        <f t="shared" si="31"/>
        <v>4500136283510</v>
      </c>
      <c r="D1990" s="4">
        <v>46272</v>
      </c>
      <c r="E1990" s="3" t="s">
        <v>2196</v>
      </c>
      <c r="F1990" s="3" t="s">
        <v>2454</v>
      </c>
    </row>
    <row r="1991" spans="1:6" x14ac:dyDescent="0.3">
      <c r="A1991" s="3" t="s">
        <v>118</v>
      </c>
      <c r="B1991" s="3" t="s">
        <v>1134</v>
      </c>
      <c r="C1991" s="3" t="str">
        <f t="shared" si="31"/>
        <v>4500136283520</v>
      </c>
      <c r="D1991" s="4">
        <v>46272</v>
      </c>
      <c r="E1991" s="3" t="s">
        <v>2196</v>
      </c>
      <c r="F1991" s="3" t="s">
        <v>2454</v>
      </c>
    </row>
    <row r="1992" spans="1:6" x14ac:dyDescent="0.3">
      <c r="A1992" s="3" t="s">
        <v>118</v>
      </c>
      <c r="B1992" s="3" t="s">
        <v>167</v>
      </c>
      <c r="C1992" s="3" t="str">
        <f t="shared" si="31"/>
        <v>4500136283530</v>
      </c>
      <c r="D1992" s="4">
        <v>46272</v>
      </c>
      <c r="E1992" s="3" t="s">
        <v>2196</v>
      </c>
      <c r="F1992" s="3" t="s">
        <v>2454</v>
      </c>
    </row>
    <row r="1993" spans="1:6" x14ac:dyDescent="0.3">
      <c r="A1993" s="3" t="s">
        <v>118</v>
      </c>
      <c r="B1993" s="3" t="s">
        <v>151</v>
      </c>
      <c r="C1993" s="3" t="str">
        <f t="shared" si="31"/>
        <v>4500136283540</v>
      </c>
      <c r="D1993" s="4">
        <v>46295</v>
      </c>
      <c r="E1993" s="3" t="s">
        <v>2196</v>
      </c>
      <c r="F1993" s="3" t="s">
        <v>2454</v>
      </c>
    </row>
    <row r="1994" spans="1:6" x14ac:dyDescent="0.3">
      <c r="A1994" s="3" t="s">
        <v>118</v>
      </c>
      <c r="B1994" s="3" t="s">
        <v>153</v>
      </c>
      <c r="C1994" s="3" t="str">
        <f t="shared" si="31"/>
        <v>4500136283550</v>
      </c>
      <c r="D1994" s="4">
        <v>46295</v>
      </c>
      <c r="E1994" s="3" t="s">
        <v>2196</v>
      </c>
      <c r="F1994" s="3" t="s">
        <v>2454</v>
      </c>
    </row>
    <row r="1995" spans="1:6" x14ac:dyDescent="0.3">
      <c r="A1995" s="3" t="s">
        <v>118</v>
      </c>
      <c r="B1995" s="3" t="s">
        <v>176</v>
      </c>
      <c r="C1995" s="3" t="str">
        <f t="shared" si="31"/>
        <v>4500136283560</v>
      </c>
      <c r="D1995" s="4">
        <v>46272</v>
      </c>
      <c r="E1995" s="3" t="s">
        <v>2196</v>
      </c>
      <c r="F1995" s="3" t="s">
        <v>2454</v>
      </c>
    </row>
    <row r="1996" spans="1:6" x14ac:dyDescent="0.3">
      <c r="A1996" s="3" t="s">
        <v>118</v>
      </c>
      <c r="B1996" s="3" t="s">
        <v>177</v>
      </c>
      <c r="C1996" s="3" t="str">
        <f t="shared" si="31"/>
        <v>4500136283570</v>
      </c>
      <c r="D1996" s="4">
        <v>46272</v>
      </c>
      <c r="E1996" s="3" t="s">
        <v>2196</v>
      </c>
      <c r="F1996" s="3" t="s">
        <v>2454</v>
      </c>
    </row>
    <row r="1997" spans="1:6" x14ac:dyDescent="0.3">
      <c r="A1997" s="3" t="s">
        <v>118</v>
      </c>
      <c r="B1997" s="3" t="s">
        <v>163</v>
      </c>
      <c r="C1997" s="3" t="str">
        <f t="shared" si="31"/>
        <v>4500136283580</v>
      </c>
      <c r="D1997" s="4">
        <v>46272</v>
      </c>
      <c r="E1997" s="3" t="s">
        <v>2196</v>
      </c>
      <c r="F1997" s="3" t="s">
        <v>2454</v>
      </c>
    </row>
    <row r="1998" spans="1:6" x14ac:dyDescent="0.3">
      <c r="A1998" s="3" t="s">
        <v>118</v>
      </c>
      <c r="B1998" s="3" t="s">
        <v>119</v>
      </c>
      <c r="C1998" s="3" t="str">
        <f t="shared" si="31"/>
        <v>4500136283590</v>
      </c>
      <c r="D1998" s="4">
        <v>46272</v>
      </c>
      <c r="E1998" s="3" t="s">
        <v>2196</v>
      </c>
      <c r="F1998" s="3" t="s">
        <v>2454</v>
      </c>
    </row>
    <row r="1999" spans="1:6" x14ac:dyDescent="0.3">
      <c r="A1999" s="3" t="s">
        <v>118</v>
      </c>
      <c r="B1999" s="3" t="s">
        <v>152</v>
      </c>
      <c r="C1999" s="3" t="str">
        <f t="shared" si="31"/>
        <v>4500136283600</v>
      </c>
      <c r="D1999" s="4">
        <v>46295</v>
      </c>
      <c r="E1999" s="3" t="s">
        <v>2196</v>
      </c>
      <c r="F1999" s="3" t="s">
        <v>2454</v>
      </c>
    </row>
    <row r="2000" spans="1:6" x14ac:dyDescent="0.3">
      <c r="A2000" s="3" t="s">
        <v>118</v>
      </c>
      <c r="B2000" s="3" t="s">
        <v>148</v>
      </c>
      <c r="C2000" s="3" t="str">
        <f t="shared" si="31"/>
        <v>4500136283610</v>
      </c>
      <c r="D2000" s="4">
        <v>46295</v>
      </c>
      <c r="E2000" s="3" t="s">
        <v>2196</v>
      </c>
      <c r="F2000" s="3" t="s">
        <v>2454</v>
      </c>
    </row>
    <row r="2001" spans="1:6" x14ac:dyDescent="0.3">
      <c r="A2001" s="3" t="s">
        <v>118</v>
      </c>
      <c r="B2001" s="3" t="s">
        <v>175</v>
      </c>
      <c r="C2001" s="3" t="str">
        <f t="shared" si="31"/>
        <v>4500136283620</v>
      </c>
      <c r="D2001" s="4">
        <v>46295</v>
      </c>
      <c r="E2001" s="3" t="s">
        <v>2196</v>
      </c>
      <c r="F2001" s="3" t="s">
        <v>2454</v>
      </c>
    </row>
    <row r="2002" spans="1:6" x14ac:dyDescent="0.3">
      <c r="A2002" s="3" t="s">
        <v>118</v>
      </c>
      <c r="B2002" s="3" t="s">
        <v>165</v>
      </c>
      <c r="C2002" s="3" t="str">
        <f t="shared" si="31"/>
        <v>4500136283630</v>
      </c>
      <c r="D2002" s="4">
        <v>46272</v>
      </c>
      <c r="E2002" s="3" t="s">
        <v>2196</v>
      </c>
      <c r="F2002" s="3" t="s">
        <v>2454</v>
      </c>
    </row>
    <row r="2003" spans="1:6" x14ac:dyDescent="0.3">
      <c r="A2003" s="3" t="s">
        <v>118</v>
      </c>
      <c r="B2003" s="3" t="s">
        <v>149</v>
      </c>
      <c r="C2003" s="3" t="str">
        <f t="shared" si="31"/>
        <v>4500136283640</v>
      </c>
      <c r="D2003" s="4">
        <v>46272</v>
      </c>
      <c r="E2003" s="3" t="s">
        <v>2196</v>
      </c>
      <c r="F2003" s="3" t="s">
        <v>2454</v>
      </c>
    </row>
    <row r="2004" spans="1:6" x14ac:dyDescent="0.3">
      <c r="A2004" s="3" t="s">
        <v>118</v>
      </c>
      <c r="B2004" s="3" t="s">
        <v>174</v>
      </c>
      <c r="C2004" s="3" t="str">
        <f t="shared" si="31"/>
        <v>4500136283650</v>
      </c>
      <c r="D2004" s="4">
        <v>46272</v>
      </c>
      <c r="E2004" s="3" t="s">
        <v>2196</v>
      </c>
      <c r="F2004" s="3" t="s">
        <v>2454</v>
      </c>
    </row>
    <row r="2005" spans="1:6" x14ac:dyDescent="0.3">
      <c r="A2005" s="3" t="s">
        <v>118</v>
      </c>
      <c r="B2005" s="3" t="s">
        <v>179</v>
      </c>
      <c r="C2005" s="3" t="str">
        <f t="shared" si="31"/>
        <v>4500136283660</v>
      </c>
      <c r="D2005" s="4">
        <v>46272</v>
      </c>
      <c r="E2005" s="3" t="s">
        <v>2196</v>
      </c>
      <c r="F2005" s="3" t="s">
        <v>2454</v>
      </c>
    </row>
    <row r="2006" spans="1:6" x14ac:dyDescent="0.3">
      <c r="A2006" s="3" t="s">
        <v>118</v>
      </c>
      <c r="B2006" s="3" t="s">
        <v>180</v>
      </c>
      <c r="C2006" s="3" t="str">
        <f t="shared" si="31"/>
        <v>4500136283670</v>
      </c>
      <c r="D2006" s="4">
        <v>46295</v>
      </c>
      <c r="E2006" s="3" t="s">
        <v>2196</v>
      </c>
      <c r="F2006" s="3" t="s">
        <v>2454</v>
      </c>
    </row>
    <row r="2007" spans="1:6" x14ac:dyDescent="0.3">
      <c r="A2007" s="3" t="s">
        <v>118</v>
      </c>
      <c r="B2007" s="3" t="s">
        <v>1598</v>
      </c>
      <c r="C2007" s="3" t="str">
        <f t="shared" si="31"/>
        <v>4500136283680</v>
      </c>
      <c r="D2007" s="4">
        <v>46272</v>
      </c>
      <c r="E2007" s="3" t="s">
        <v>2196</v>
      </c>
      <c r="F2007" s="3" t="s">
        <v>2454</v>
      </c>
    </row>
    <row r="2008" spans="1:6" x14ac:dyDescent="0.3">
      <c r="A2008" s="3" t="s">
        <v>118</v>
      </c>
      <c r="B2008" s="3" t="s">
        <v>818</v>
      </c>
      <c r="C2008" s="3" t="str">
        <f t="shared" si="31"/>
        <v>4500136283690</v>
      </c>
      <c r="D2008" s="4">
        <v>46272</v>
      </c>
      <c r="E2008" s="3" t="s">
        <v>2196</v>
      </c>
      <c r="F2008" s="3" t="s">
        <v>2454</v>
      </c>
    </row>
    <row r="2009" spans="1:6" x14ac:dyDescent="0.3">
      <c r="A2009" s="3" t="s">
        <v>118</v>
      </c>
      <c r="B2009" s="3" t="s">
        <v>1162</v>
      </c>
      <c r="C2009" s="3" t="str">
        <f t="shared" si="31"/>
        <v>4500136283700</v>
      </c>
      <c r="D2009" s="4">
        <v>46272</v>
      </c>
      <c r="E2009" s="3" t="s">
        <v>2196</v>
      </c>
      <c r="F2009" s="3" t="s">
        <v>2454</v>
      </c>
    </row>
    <row r="2010" spans="1:6" x14ac:dyDescent="0.3">
      <c r="A2010" s="3" t="s">
        <v>118</v>
      </c>
      <c r="B2010" s="3" t="s">
        <v>1599</v>
      </c>
      <c r="C2010" s="3" t="str">
        <f t="shared" si="31"/>
        <v>4500136283710</v>
      </c>
      <c r="D2010" s="4">
        <v>46295</v>
      </c>
      <c r="E2010" s="3" t="s">
        <v>2196</v>
      </c>
      <c r="F2010" s="3" t="s">
        <v>2454</v>
      </c>
    </row>
    <row r="2011" spans="1:6" x14ac:dyDescent="0.3">
      <c r="A2011" s="3" t="s">
        <v>1369</v>
      </c>
      <c r="B2011" s="3" t="s">
        <v>30</v>
      </c>
      <c r="C2011" s="3" t="str">
        <f t="shared" si="31"/>
        <v>450013628910</v>
      </c>
      <c r="D2011" s="4">
        <v>46283</v>
      </c>
      <c r="E2011" s="3" t="s">
        <v>2196</v>
      </c>
      <c r="F2011" s="3" t="s">
        <v>2439</v>
      </c>
    </row>
    <row r="2012" spans="1:6" x14ac:dyDescent="0.3">
      <c r="A2012" s="3" t="s">
        <v>1369</v>
      </c>
      <c r="B2012" s="3" t="s">
        <v>22</v>
      </c>
      <c r="C2012" s="3" t="str">
        <f t="shared" si="31"/>
        <v>450013628920</v>
      </c>
      <c r="D2012" s="4">
        <v>46273</v>
      </c>
      <c r="E2012" s="3" t="s">
        <v>2196</v>
      </c>
      <c r="F2012" s="3" t="s">
        <v>2439</v>
      </c>
    </row>
    <row r="2013" spans="1:6" x14ac:dyDescent="0.3">
      <c r="A2013" s="3" t="s">
        <v>1369</v>
      </c>
      <c r="B2013" s="3" t="s">
        <v>35</v>
      </c>
      <c r="C2013" s="3" t="str">
        <f t="shared" si="31"/>
        <v>450013628930</v>
      </c>
      <c r="D2013" s="4">
        <v>46275</v>
      </c>
      <c r="E2013" s="3" t="s">
        <v>2196</v>
      </c>
      <c r="F2013" s="3" t="s">
        <v>2439</v>
      </c>
    </row>
    <row r="2014" spans="1:6" x14ac:dyDescent="0.3">
      <c r="A2014" s="3" t="s">
        <v>1369</v>
      </c>
      <c r="B2014" s="3" t="s">
        <v>23</v>
      </c>
      <c r="C2014" s="3" t="str">
        <f t="shared" si="31"/>
        <v>450013628940</v>
      </c>
      <c r="D2014" s="4">
        <v>46273</v>
      </c>
      <c r="E2014" s="3" t="s">
        <v>2196</v>
      </c>
      <c r="F2014" s="3" t="s">
        <v>2439</v>
      </c>
    </row>
    <row r="2015" spans="1:6" x14ac:dyDescent="0.3">
      <c r="A2015" s="3" t="s">
        <v>1369</v>
      </c>
      <c r="B2015" s="3" t="s">
        <v>144</v>
      </c>
      <c r="C2015" s="3" t="str">
        <f t="shared" si="31"/>
        <v>450013628950</v>
      </c>
      <c r="D2015" s="4">
        <v>46273</v>
      </c>
      <c r="E2015" s="3" t="s">
        <v>2196</v>
      </c>
      <c r="F2015" s="3" t="s">
        <v>2439</v>
      </c>
    </row>
    <row r="2016" spans="1:6" x14ac:dyDescent="0.3">
      <c r="A2016" s="3" t="s">
        <v>1123</v>
      </c>
      <c r="B2016" s="3" t="s">
        <v>30</v>
      </c>
      <c r="C2016" s="3" t="str">
        <f t="shared" si="31"/>
        <v>450013629710</v>
      </c>
      <c r="D2016" s="4">
        <v>46266</v>
      </c>
      <c r="E2016" s="3" t="s">
        <v>2204</v>
      </c>
      <c r="F2016" s="3" t="s">
        <v>2622</v>
      </c>
    </row>
    <row r="2017" spans="1:6" x14ac:dyDescent="0.3">
      <c r="A2017" s="3" t="s">
        <v>1123</v>
      </c>
      <c r="B2017" s="3" t="s">
        <v>22</v>
      </c>
      <c r="C2017" s="3" t="str">
        <f t="shared" si="31"/>
        <v>450013629720</v>
      </c>
      <c r="D2017" s="4">
        <v>46266</v>
      </c>
      <c r="E2017" s="3" t="s">
        <v>2204</v>
      </c>
      <c r="F2017" s="3" t="s">
        <v>2622</v>
      </c>
    </row>
    <row r="2018" spans="1:6" x14ac:dyDescent="0.3">
      <c r="A2018" s="3" t="s">
        <v>1123</v>
      </c>
      <c r="B2018" s="3" t="s">
        <v>35</v>
      </c>
      <c r="C2018" s="3" t="str">
        <f t="shared" si="31"/>
        <v>450013629730</v>
      </c>
      <c r="D2018" s="4">
        <v>46266</v>
      </c>
      <c r="E2018" s="3" t="s">
        <v>2204</v>
      </c>
      <c r="F2018" s="3" t="s">
        <v>2622</v>
      </c>
    </row>
    <row r="2019" spans="1:6" x14ac:dyDescent="0.3">
      <c r="A2019" s="3" t="s">
        <v>1123</v>
      </c>
      <c r="B2019" s="3" t="s">
        <v>23</v>
      </c>
      <c r="C2019" s="3" t="str">
        <f t="shared" si="31"/>
        <v>450013629740</v>
      </c>
      <c r="D2019" s="4">
        <v>46266</v>
      </c>
      <c r="E2019" s="3" t="s">
        <v>2204</v>
      </c>
      <c r="F2019" s="3" t="s">
        <v>2622</v>
      </c>
    </row>
    <row r="2020" spans="1:6" x14ac:dyDescent="0.3">
      <c r="A2020" s="3" t="s">
        <v>1952</v>
      </c>
      <c r="B2020" s="3" t="s">
        <v>30</v>
      </c>
      <c r="C2020" s="3" t="str">
        <f t="shared" si="31"/>
        <v>450013630010</v>
      </c>
      <c r="D2020" s="4">
        <v>46285</v>
      </c>
      <c r="E2020" s="3" t="s">
        <v>2234</v>
      </c>
      <c r="F2020" s="3" t="s">
        <v>2644</v>
      </c>
    </row>
    <row r="2021" spans="1:6" x14ac:dyDescent="0.3">
      <c r="A2021" s="3" t="s">
        <v>1137</v>
      </c>
      <c r="B2021" s="3" t="s">
        <v>30</v>
      </c>
      <c r="C2021" s="3" t="str">
        <f t="shared" si="31"/>
        <v>450013635210</v>
      </c>
      <c r="D2021" s="4">
        <v>46261</v>
      </c>
      <c r="E2021" s="3" t="s">
        <v>2200</v>
      </c>
      <c r="F2021" s="3" t="s">
        <v>2645</v>
      </c>
    </row>
    <row r="2022" spans="1:6" x14ac:dyDescent="0.3">
      <c r="A2022" s="3" t="s">
        <v>1256</v>
      </c>
      <c r="B2022" s="3" t="s">
        <v>30</v>
      </c>
      <c r="C2022" s="3" t="str">
        <f t="shared" si="31"/>
        <v>450013637510</v>
      </c>
      <c r="D2022" s="4">
        <v>46265</v>
      </c>
      <c r="E2022" s="3" t="s">
        <v>2204</v>
      </c>
      <c r="F2022" s="3" t="s">
        <v>2459</v>
      </c>
    </row>
    <row r="2023" spans="1:6" x14ac:dyDescent="0.3">
      <c r="A2023" s="3" t="s">
        <v>1187</v>
      </c>
      <c r="B2023" s="3" t="s">
        <v>30</v>
      </c>
      <c r="C2023" s="3" t="str">
        <f t="shared" si="31"/>
        <v>450013638510</v>
      </c>
      <c r="D2023" s="4">
        <v>46310</v>
      </c>
      <c r="E2023" s="3" t="s">
        <v>2196</v>
      </c>
      <c r="F2023" s="3" t="s">
        <v>2488</v>
      </c>
    </row>
    <row r="2024" spans="1:6" x14ac:dyDescent="0.3">
      <c r="A2024" s="3" t="s">
        <v>1187</v>
      </c>
      <c r="B2024" s="3" t="s">
        <v>22</v>
      </c>
      <c r="C2024" s="3" t="str">
        <f t="shared" si="31"/>
        <v>450013638520</v>
      </c>
      <c r="D2024" s="4">
        <v>46310</v>
      </c>
      <c r="E2024" s="3" t="s">
        <v>2196</v>
      </c>
      <c r="F2024" s="3" t="s">
        <v>2488</v>
      </c>
    </row>
    <row r="2025" spans="1:6" x14ac:dyDescent="0.3">
      <c r="A2025" s="3" t="s">
        <v>1292</v>
      </c>
      <c r="B2025" s="3" t="s">
        <v>35</v>
      </c>
      <c r="C2025" s="3" t="str">
        <f t="shared" si="31"/>
        <v>450013638630</v>
      </c>
      <c r="D2025" s="4">
        <v>46269</v>
      </c>
      <c r="E2025" s="3" t="s">
        <v>2200</v>
      </c>
      <c r="F2025" s="3" t="s">
        <v>2456</v>
      </c>
    </row>
    <row r="2026" spans="1:6" x14ac:dyDescent="0.3">
      <c r="A2026" s="3" t="s">
        <v>1292</v>
      </c>
      <c r="B2026" s="3" t="s">
        <v>23</v>
      </c>
      <c r="C2026" s="3" t="str">
        <f t="shared" si="31"/>
        <v>450013638640</v>
      </c>
      <c r="D2026" s="4">
        <v>46269</v>
      </c>
      <c r="E2026" s="3" t="s">
        <v>2200</v>
      </c>
      <c r="F2026" s="3" t="s">
        <v>2456</v>
      </c>
    </row>
    <row r="2027" spans="1:6" x14ac:dyDescent="0.3">
      <c r="A2027" s="3" t="s">
        <v>1292</v>
      </c>
      <c r="B2027" s="3" t="s">
        <v>144</v>
      </c>
      <c r="C2027" s="3" t="str">
        <f t="shared" si="31"/>
        <v>450013638650</v>
      </c>
      <c r="D2027" s="4">
        <v>46269</v>
      </c>
      <c r="E2027" s="3" t="s">
        <v>2200</v>
      </c>
      <c r="F2027" s="3" t="s">
        <v>2456</v>
      </c>
    </row>
    <row r="2028" spans="1:6" x14ac:dyDescent="0.3">
      <c r="A2028" s="3" t="s">
        <v>1292</v>
      </c>
      <c r="B2028" s="3" t="s">
        <v>141</v>
      </c>
      <c r="C2028" s="3" t="str">
        <f t="shared" si="31"/>
        <v>450013638660</v>
      </c>
      <c r="D2028" s="4">
        <v>46269</v>
      </c>
      <c r="E2028" s="3" t="s">
        <v>2200</v>
      </c>
      <c r="F2028" s="3" t="s">
        <v>2456</v>
      </c>
    </row>
    <row r="2029" spans="1:6" x14ac:dyDescent="0.3">
      <c r="A2029" s="3" t="s">
        <v>1292</v>
      </c>
      <c r="B2029" s="3" t="s">
        <v>134</v>
      </c>
      <c r="C2029" s="3" t="str">
        <f t="shared" si="31"/>
        <v>450013638670</v>
      </c>
      <c r="D2029" s="4">
        <v>46269</v>
      </c>
      <c r="E2029" s="3" t="s">
        <v>2200</v>
      </c>
      <c r="F2029" s="3" t="s">
        <v>2456</v>
      </c>
    </row>
    <row r="2030" spans="1:6" x14ac:dyDescent="0.3">
      <c r="A2030" s="3" t="s">
        <v>1292</v>
      </c>
      <c r="B2030" s="3" t="s">
        <v>52</v>
      </c>
      <c r="C2030" s="3" t="str">
        <f t="shared" si="31"/>
        <v>450013638680</v>
      </c>
      <c r="D2030" s="4">
        <v>46269</v>
      </c>
      <c r="E2030" s="3" t="s">
        <v>2200</v>
      </c>
      <c r="F2030" s="3" t="s">
        <v>2456</v>
      </c>
    </row>
    <row r="2031" spans="1:6" x14ac:dyDescent="0.3">
      <c r="A2031" s="3" t="s">
        <v>1292</v>
      </c>
      <c r="B2031" s="3" t="s">
        <v>138</v>
      </c>
      <c r="C2031" s="3" t="str">
        <f t="shared" si="31"/>
        <v>450013638690</v>
      </c>
      <c r="D2031" s="4">
        <v>46269</v>
      </c>
      <c r="E2031" s="3" t="s">
        <v>2200</v>
      </c>
      <c r="F2031" s="3" t="s">
        <v>2456</v>
      </c>
    </row>
    <row r="2032" spans="1:6" x14ac:dyDescent="0.3">
      <c r="A2032" s="3" t="s">
        <v>1292</v>
      </c>
      <c r="B2032" s="3" t="s">
        <v>45</v>
      </c>
      <c r="C2032" s="3" t="str">
        <f t="shared" si="31"/>
        <v>4500136386100</v>
      </c>
      <c r="D2032" s="4">
        <v>46269</v>
      </c>
      <c r="E2032" s="3" t="s">
        <v>2200</v>
      </c>
      <c r="F2032" s="3" t="s">
        <v>2456</v>
      </c>
    </row>
    <row r="2033" spans="1:6" x14ac:dyDescent="0.3">
      <c r="A2033" s="3" t="s">
        <v>1292</v>
      </c>
      <c r="B2033" s="3" t="s">
        <v>156</v>
      </c>
      <c r="C2033" s="3" t="str">
        <f t="shared" si="31"/>
        <v>4500136386110</v>
      </c>
      <c r="D2033" s="4">
        <v>46269</v>
      </c>
      <c r="E2033" s="3" t="s">
        <v>2200</v>
      </c>
      <c r="F2033" s="3" t="s">
        <v>2456</v>
      </c>
    </row>
    <row r="2034" spans="1:6" x14ac:dyDescent="0.3">
      <c r="A2034" s="3" t="s">
        <v>1292</v>
      </c>
      <c r="B2034" s="3" t="s">
        <v>132</v>
      </c>
      <c r="C2034" s="3" t="str">
        <f t="shared" si="31"/>
        <v>4500136386120</v>
      </c>
      <c r="D2034" s="4">
        <v>46269</v>
      </c>
      <c r="E2034" s="3" t="s">
        <v>2200</v>
      </c>
      <c r="F2034" s="3" t="s">
        <v>2456</v>
      </c>
    </row>
    <row r="2035" spans="1:6" x14ac:dyDescent="0.3">
      <c r="A2035" s="3" t="s">
        <v>1292</v>
      </c>
      <c r="B2035" s="3" t="s">
        <v>131</v>
      </c>
      <c r="C2035" s="3" t="str">
        <f t="shared" si="31"/>
        <v>4500136386140</v>
      </c>
      <c r="D2035" s="4">
        <v>46269</v>
      </c>
      <c r="E2035" s="3" t="s">
        <v>2200</v>
      </c>
      <c r="F2035" s="3" t="s">
        <v>2456</v>
      </c>
    </row>
    <row r="2036" spans="1:6" x14ac:dyDescent="0.3">
      <c r="A2036" s="3" t="s">
        <v>1292</v>
      </c>
      <c r="B2036" s="3" t="s">
        <v>53</v>
      </c>
      <c r="C2036" s="3" t="str">
        <f t="shared" si="31"/>
        <v>4500136386170</v>
      </c>
      <c r="D2036" s="4">
        <v>46269</v>
      </c>
      <c r="E2036" s="3" t="s">
        <v>2200</v>
      </c>
      <c r="F2036" s="3" t="s">
        <v>2456</v>
      </c>
    </row>
    <row r="2037" spans="1:6" x14ac:dyDescent="0.3">
      <c r="A2037" s="3" t="s">
        <v>1292</v>
      </c>
      <c r="B2037" s="3" t="s">
        <v>130</v>
      </c>
      <c r="C2037" s="3" t="str">
        <f t="shared" si="31"/>
        <v>4500136386180</v>
      </c>
      <c r="D2037" s="4">
        <v>46269</v>
      </c>
      <c r="E2037" s="3" t="s">
        <v>2200</v>
      </c>
      <c r="F2037" s="3" t="s">
        <v>2456</v>
      </c>
    </row>
    <row r="2038" spans="1:6" x14ac:dyDescent="0.3">
      <c r="A2038" s="3" t="s">
        <v>1292</v>
      </c>
      <c r="B2038" s="3" t="s">
        <v>127</v>
      </c>
      <c r="C2038" s="3" t="str">
        <f t="shared" si="31"/>
        <v>4500136386190</v>
      </c>
      <c r="D2038" s="4">
        <v>46269</v>
      </c>
      <c r="E2038" s="3" t="s">
        <v>2200</v>
      </c>
      <c r="F2038" s="3" t="s">
        <v>2456</v>
      </c>
    </row>
    <row r="2039" spans="1:6" x14ac:dyDescent="0.3">
      <c r="A2039" s="3" t="s">
        <v>1292</v>
      </c>
      <c r="B2039" s="3" t="s">
        <v>161</v>
      </c>
      <c r="C2039" s="3" t="str">
        <f t="shared" si="31"/>
        <v>4500136386200</v>
      </c>
      <c r="D2039" s="4">
        <v>46269</v>
      </c>
      <c r="E2039" s="3" t="s">
        <v>2200</v>
      </c>
      <c r="F2039" s="3" t="s">
        <v>2456</v>
      </c>
    </row>
    <row r="2040" spans="1:6" x14ac:dyDescent="0.3">
      <c r="A2040" s="3" t="s">
        <v>1798</v>
      </c>
      <c r="B2040" s="3" t="s">
        <v>30</v>
      </c>
      <c r="C2040" s="3" t="str">
        <f t="shared" si="31"/>
        <v>450013638910</v>
      </c>
      <c r="D2040" s="4">
        <v>46269</v>
      </c>
      <c r="E2040" s="3" t="s">
        <v>2200</v>
      </c>
      <c r="F2040" s="3" t="s">
        <v>2453</v>
      </c>
    </row>
    <row r="2041" spans="1:6" x14ac:dyDescent="0.3">
      <c r="A2041" s="3" t="s">
        <v>1798</v>
      </c>
      <c r="B2041" s="3" t="s">
        <v>22</v>
      </c>
      <c r="C2041" s="3" t="str">
        <f t="shared" si="31"/>
        <v>450013638920</v>
      </c>
      <c r="D2041" s="4">
        <v>46269</v>
      </c>
      <c r="E2041" s="3" t="s">
        <v>2200</v>
      </c>
      <c r="F2041" s="3" t="s">
        <v>2453</v>
      </c>
    </row>
    <row r="2042" spans="1:6" x14ac:dyDescent="0.3">
      <c r="A2042" s="3" t="s">
        <v>1798</v>
      </c>
      <c r="B2042" s="3" t="s">
        <v>35</v>
      </c>
      <c r="C2042" s="3" t="str">
        <f t="shared" si="31"/>
        <v>450013638930</v>
      </c>
      <c r="D2042" s="4">
        <v>46269</v>
      </c>
      <c r="E2042" s="3" t="s">
        <v>2200</v>
      </c>
      <c r="F2042" s="3" t="s">
        <v>2453</v>
      </c>
    </row>
    <row r="2043" spans="1:6" x14ac:dyDescent="0.3">
      <c r="A2043" s="3" t="s">
        <v>1798</v>
      </c>
      <c r="B2043" s="3" t="s">
        <v>23</v>
      </c>
      <c r="C2043" s="3" t="str">
        <f t="shared" si="31"/>
        <v>450013638940</v>
      </c>
      <c r="D2043" s="4">
        <v>46269</v>
      </c>
      <c r="E2043" s="3" t="s">
        <v>2200</v>
      </c>
      <c r="F2043" s="3" t="s">
        <v>2453</v>
      </c>
    </row>
    <row r="2044" spans="1:6" x14ac:dyDescent="0.3">
      <c r="A2044" s="3" t="s">
        <v>1798</v>
      </c>
      <c r="B2044" s="3" t="s">
        <v>144</v>
      </c>
      <c r="C2044" s="3" t="str">
        <f t="shared" si="31"/>
        <v>450013638950</v>
      </c>
      <c r="D2044" s="4">
        <v>46269</v>
      </c>
      <c r="E2044" s="3" t="s">
        <v>2200</v>
      </c>
      <c r="F2044" s="3" t="s">
        <v>2453</v>
      </c>
    </row>
    <row r="2045" spans="1:6" x14ac:dyDescent="0.3">
      <c r="A2045" s="3" t="s">
        <v>1093</v>
      </c>
      <c r="B2045" s="3" t="s">
        <v>30</v>
      </c>
      <c r="C2045" s="3" t="str">
        <f t="shared" si="31"/>
        <v>450013644810</v>
      </c>
      <c r="D2045" s="4">
        <v>46265</v>
      </c>
      <c r="E2045" s="3" t="s">
        <v>2239</v>
      </c>
      <c r="F2045" s="3" t="s">
        <v>2593</v>
      </c>
    </row>
    <row r="2046" spans="1:6" x14ac:dyDescent="0.3">
      <c r="A2046" s="3" t="s">
        <v>1148</v>
      </c>
      <c r="B2046" s="3" t="s">
        <v>30</v>
      </c>
      <c r="C2046" s="3" t="str">
        <f t="shared" si="31"/>
        <v>450013648410</v>
      </c>
      <c r="D2046" s="4">
        <v>46262</v>
      </c>
      <c r="E2046" s="3" t="s">
        <v>2196</v>
      </c>
      <c r="F2046" s="3" t="s">
        <v>2622</v>
      </c>
    </row>
    <row r="2047" spans="1:6" x14ac:dyDescent="0.3">
      <c r="A2047" s="3" t="s">
        <v>1148</v>
      </c>
      <c r="B2047" s="3" t="s">
        <v>22</v>
      </c>
      <c r="C2047" s="3" t="str">
        <f t="shared" si="31"/>
        <v>450013648420</v>
      </c>
      <c r="D2047" s="4">
        <v>46262</v>
      </c>
      <c r="E2047" s="3" t="s">
        <v>2196</v>
      </c>
      <c r="F2047" s="3" t="s">
        <v>2622</v>
      </c>
    </row>
    <row r="2048" spans="1:6" x14ac:dyDescent="0.3">
      <c r="A2048" s="3" t="s">
        <v>1148</v>
      </c>
      <c r="B2048" s="3" t="s">
        <v>35</v>
      </c>
      <c r="C2048" s="3" t="str">
        <f t="shared" si="31"/>
        <v>450013648430</v>
      </c>
      <c r="D2048" s="4">
        <v>46262</v>
      </c>
      <c r="E2048" s="3" t="s">
        <v>2196</v>
      </c>
      <c r="F2048" s="3" t="s">
        <v>2622</v>
      </c>
    </row>
    <row r="2049" spans="1:6" x14ac:dyDescent="0.3">
      <c r="A2049" s="3" t="s">
        <v>1148</v>
      </c>
      <c r="B2049" s="3" t="s">
        <v>23</v>
      </c>
      <c r="C2049" s="3" t="str">
        <f t="shared" si="31"/>
        <v>450013648440</v>
      </c>
      <c r="D2049" s="4">
        <v>46262</v>
      </c>
      <c r="E2049" s="3" t="s">
        <v>2196</v>
      </c>
      <c r="F2049" s="3" t="s">
        <v>2622</v>
      </c>
    </row>
    <row r="2050" spans="1:6" x14ac:dyDescent="0.3">
      <c r="A2050" s="3" t="s">
        <v>1148</v>
      </c>
      <c r="B2050" s="3" t="s">
        <v>144</v>
      </c>
      <c r="C2050" s="3" t="str">
        <f t="shared" si="31"/>
        <v>450013648450</v>
      </c>
      <c r="D2050" s="4">
        <v>46262</v>
      </c>
      <c r="E2050" s="3" t="s">
        <v>2196</v>
      </c>
      <c r="F2050" s="3" t="s">
        <v>2622</v>
      </c>
    </row>
    <row r="2051" spans="1:6" x14ac:dyDescent="0.3">
      <c r="A2051" s="3" t="s">
        <v>1148</v>
      </c>
      <c r="B2051" s="3" t="s">
        <v>141</v>
      </c>
      <c r="C2051" s="3" t="str">
        <f t="shared" ref="C2051:C2114" si="32">_xlfn.CONCAT(A2051:B2051)</f>
        <v>450013648460</v>
      </c>
      <c r="D2051" s="4">
        <v>46262</v>
      </c>
      <c r="E2051" s="3" t="s">
        <v>2196</v>
      </c>
      <c r="F2051" s="3" t="s">
        <v>2622</v>
      </c>
    </row>
    <row r="2052" spans="1:6" x14ac:dyDescent="0.3">
      <c r="A2052" s="3" t="s">
        <v>1148</v>
      </c>
      <c r="B2052" s="3" t="s">
        <v>134</v>
      </c>
      <c r="C2052" s="3" t="str">
        <f t="shared" si="32"/>
        <v>450013648470</v>
      </c>
      <c r="D2052" s="4">
        <v>46262</v>
      </c>
      <c r="E2052" s="3" t="s">
        <v>2196</v>
      </c>
      <c r="F2052" s="3" t="s">
        <v>2622</v>
      </c>
    </row>
    <row r="2053" spans="1:6" x14ac:dyDescent="0.3">
      <c r="A2053" s="3" t="s">
        <v>1148</v>
      </c>
      <c r="B2053" s="3" t="s">
        <v>52</v>
      </c>
      <c r="C2053" s="3" t="str">
        <f t="shared" si="32"/>
        <v>450013648480</v>
      </c>
      <c r="D2053" s="4">
        <v>46262</v>
      </c>
      <c r="E2053" s="3" t="s">
        <v>2196</v>
      </c>
      <c r="F2053" s="3" t="s">
        <v>2622</v>
      </c>
    </row>
    <row r="2054" spans="1:6" x14ac:dyDescent="0.3">
      <c r="A2054" s="3" t="s">
        <v>1148</v>
      </c>
      <c r="B2054" s="3" t="s">
        <v>138</v>
      </c>
      <c r="C2054" s="3" t="str">
        <f t="shared" si="32"/>
        <v>450013648490</v>
      </c>
      <c r="D2054" s="4">
        <v>46268</v>
      </c>
      <c r="E2054" s="3" t="s">
        <v>2196</v>
      </c>
      <c r="F2054" s="3" t="s">
        <v>2622</v>
      </c>
    </row>
    <row r="2055" spans="1:6" x14ac:dyDescent="0.3">
      <c r="A2055" s="3" t="s">
        <v>1107</v>
      </c>
      <c r="B2055" s="3" t="s">
        <v>30</v>
      </c>
      <c r="C2055" s="3" t="str">
        <f t="shared" si="32"/>
        <v>450013649910</v>
      </c>
      <c r="D2055" s="4">
        <v>46262</v>
      </c>
      <c r="E2055" s="3" t="s">
        <v>2196</v>
      </c>
      <c r="F2055" s="3" t="s">
        <v>2646</v>
      </c>
    </row>
    <row r="2056" spans="1:6" x14ac:dyDescent="0.3">
      <c r="A2056" s="3" t="s">
        <v>1954</v>
      </c>
      <c r="B2056" s="3" t="s">
        <v>30</v>
      </c>
      <c r="C2056" s="3" t="str">
        <f t="shared" si="32"/>
        <v>450013657610</v>
      </c>
      <c r="D2056" s="4">
        <v>46297</v>
      </c>
      <c r="E2056" s="3" t="s">
        <v>2196</v>
      </c>
      <c r="F2056" s="3" t="s">
        <v>2478</v>
      </c>
    </row>
    <row r="2057" spans="1:6" x14ac:dyDescent="0.3">
      <c r="A2057" s="3" t="s">
        <v>1954</v>
      </c>
      <c r="B2057" s="3" t="s">
        <v>22</v>
      </c>
      <c r="C2057" s="3" t="str">
        <f t="shared" si="32"/>
        <v>450013657620</v>
      </c>
      <c r="D2057" s="4">
        <v>46280</v>
      </c>
      <c r="E2057" s="3" t="s">
        <v>2196</v>
      </c>
      <c r="F2057" s="3" t="s">
        <v>2478</v>
      </c>
    </row>
    <row r="2058" spans="1:6" x14ac:dyDescent="0.3">
      <c r="A2058" s="3" t="s">
        <v>3201</v>
      </c>
      <c r="B2058" s="3" t="s">
        <v>30</v>
      </c>
      <c r="C2058" s="3" t="str">
        <f t="shared" si="32"/>
        <v>450013657910</v>
      </c>
      <c r="D2058" s="4">
        <v>46302</v>
      </c>
      <c r="E2058" s="3" t="s">
        <v>2241</v>
      </c>
      <c r="F2058" s="3" t="s">
        <v>3244</v>
      </c>
    </row>
    <row r="2059" spans="1:6" x14ac:dyDescent="0.3">
      <c r="A2059" s="3" t="s">
        <v>3201</v>
      </c>
      <c r="B2059" s="3" t="s">
        <v>22</v>
      </c>
      <c r="C2059" s="3" t="str">
        <f t="shared" si="32"/>
        <v>450013657920</v>
      </c>
      <c r="D2059" s="4">
        <v>46302</v>
      </c>
      <c r="E2059" s="3" t="s">
        <v>2241</v>
      </c>
      <c r="F2059" s="3" t="s">
        <v>3244</v>
      </c>
    </row>
    <row r="2060" spans="1:6" x14ac:dyDescent="0.3">
      <c r="A2060" s="3" t="s">
        <v>2315</v>
      </c>
      <c r="B2060" s="3" t="s">
        <v>134</v>
      </c>
      <c r="C2060" s="3" t="str">
        <f t="shared" si="32"/>
        <v>450013662770</v>
      </c>
      <c r="D2060" s="4">
        <v>46326</v>
      </c>
      <c r="E2060" s="3" t="s">
        <v>2207</v>
      </c>
      <c r="F2060" s="3" t="s">
        <v>2511</v>
      </c>
    </row>
    <row r="2061" spans="1:6" x14ac:dyDescent="0.3">
      <c r="A2061" s="3" t="s">
        <v>2315</v>
      </c>
      <c r="B2061" s="3" t="s">
        <v>52</v>
      </c>
      <c r="C2061" s="3" t="str">
        <f t="shared" si="32"/>
        <v>450013662780</v>
      </c>
      <c r="D2061" s="4">
        <v>46326</v>
      </c>
      <c r="E2061" s="3" t="s">
        <v>2207</v>
      </c>
      <c r="F2061" s="3" t="s">
        <v>2511</v>
      </c>
    </row>
    <row r="2062" spans="1:6" x14ac:dyDescent="0.3">
      <c r="A2062" s="3" t="s">
        <v>1698</v>
      </c>
      <c r="B2062" s="3" t="s">
        <v>30</v>
      </c>
      <c r="C2062" s="3" t="str">
        <f t="shared" si="32"/>
        <v>450013665810</v>
      </c>
      <c r="D2062" s="4">
        <v>46310</v>
      </c>
      <c r="E2062" s="3" t="s">
        <v>2196</v>
      </c>
      <c r="F2062" s="3" t="s">
        <v>2478</v>
      </c>
    </row>
    <row r="2063" spans="1:6" x14ac:dyDescent="0.3">
      <c r="A2063" s="3" t="s">
        <v>1698</v>
      </c>
      <c r="B2063" s="3" t="s">
        <v>22</v>
      </c>
      <c r="C2063" s="3" t="str">
        <f t="shared" si="32"/>
        <v>450013665820</v>
      </c>
      <c r="D2063" s="4">
        <v>46270</v>
      </c>
      <c r="E2063" s="3" t="s">
        <v>2196</v>
      </c>
      <c r="F2063" s="3" t="s">
        <v>2478</v>
      </c>
    </row>
    <row r="2064" spans="1:6" x14ac:dyDescent="0.3">
      <c r="A2064" s="3" t="s">
        <v>1698</v>
      </c>
      <c r="B2064" s="3" t="s">
        <v>35</v>
      </c>
      <c r="C2064" s="3" t="str">
        <f t="shared" si="32"/>
        <v>450013665830</v>
      </c>
      <c r="D2064" s="4">
        <v>46310</v>
      </c>
      <c r="E2064" s="3" t="s">
        <v>2196</v>
      </c>
      <c r="F2064" s="3" t="s">
        <v>2478</v>
      </c>
    </row>
    <row r="2065" spans="1:6" x14ac:dyDescent="0.3">
      <c r="A2065" s="3" t="s">
        <v>1698</v>
      </c>
      <c r="B2065" s="3" t="s">
        <v>23</v>
      </c>
      <c r="C2065" s="3" t="str">
        <f t="shared" si="32"/>
        <v>450013665840</v>
      </c>
      <c r="D2065" s="4">
        <v>46310</v>
      </c>
      <c r="E2065" s="3" t="s">
        <v>2196</v>
      </c>
      <c r="F2065" s="3" t="s">
        <v>2478</v>
      </c>
    </row>
    <row r="2066" spans="1:6" x14ac:dyDescent="0.3">
      <c r="A2066" s="3" t="s">
        <v>1698</v>
      </c>
      <c r="B2066" s="3" t="s">
        <v>144</v>
      </c>
      <c r="C2066" s="3" t="str">
        <f t="shared" si="32"/>
        <v>450013665850</v>
      </c>
      <c r="D2066" s="4">
        <v>46310</v>
      </c>
      <c r="E2066" s="3" t="s">
        <v>2196</v>
      </c>
      <c r="F2066" s="3" t="s">
        <v>2478</v>
      </c>
    </row>
    <row r="2067" spans="1:6" x14ac:dyDescent="0.3">
      <c r="A2067" s="3" t="s">
        <v>1698</v>
      </c>
      <c r="B2067" s="3" t="s">
        <v>141</v>
      </c>
      <c r="C2067" s="3" t="str">
        <f t="shared" si="32"/>
        <v>450013665860</v>
      </c>
      <c r="D2067" s="4">
        <v>46310</v>
      </c>
      <c r="E2067" s="3" t="s">
        <v>2196</v>
      </c>
      <c r="F2067" s="3" t="s">
        <v>2478</v>
      </c>
    </row>
    <row r="2068" spans="1:6" x14ac:dyDescent="0.3">
      <c r="A2068" s="3" t="s">
        <v>1698</v>
      </c>
      <c r="B2068" s="3" t="s">
        <v>134</v>
      </c>
      <c r="C2068" s="3" t="str">
        <f t="shared" si="32"/>
        <v>450013665870</v>
      </c>
      <c r="D2068" s="4">
        <v>46270</v>
      </c>
      <c r="E2068" s="3" t="s">
        <v>2196</v>
      </c>
      <c r="F2068" s="3" t="s">
        <v>2478</v>
      </c>
    </row>
    <row r="2069" spans="1:6" x14ac:dyDescent="0.3">
      <c r="A2069" s="3" t="s">
        <v>1698</v>
      </c>
      <c r="B2069" s="3" t="s">
        <v>52</v>
      </c>
      <c r="C2069" s="3" t="str">
        <f t="shared" si="32"/>
        <v>450013665880</v>
      </c>
      <c r="D2069" s="4">
        <v>46270</v>
      </c>
      <c r="E2069" s="3" t="s">
        <v>2196</v>
      </c>
      <c r="F2069" s="3" t="s">
        <v>2478</v>
      </c>
    </row>
    <row r="2070" spans="1:6" x14ac:dyDescent="0.3">
      <c r="A2070" s="3" t="s">
        <v>1698</v>
      </c>
      <c r="B2070" s="3" t="s">
        <v>138</v>
      </c>
      <c r="C2070" s="3" t="str">
        <f t="shared" si="32"/>
        <v>450013665890</v>
      </c>
      <c r="D2070" s="4">
        <v>46310</v>
      </c>
      <c r="E2070" s="3" t="s">
        <v>2196</v>
      </c>
      <c r="F2070" s="3" t="s">
        <v>2478</v>
      </c>
    </row>
    <row r="2071" spans="1:6" x14ac:dyDescent="0.3">
      <c r="A2071" s="3" t="s">
        <v>1698</v>
      </c>
      <c r="B2071" s="3" t="s">
        <v>45</v>
      </c>
      <c r="C2071" s="3" t="str">
        <f t="shared" si="32"/>
        <v>4500136658100</v>
      </c>
      <c r="D2071" s="4">
        <v>46310</v>
      </c>
      <c r="E2071" s="3" t="s">
        <v>2196</v>
      </c>
      <c r="F2071" s="3" t="s">
        <v>2478</v>
      </c>
    </row>
    <row r="2072" spans="1:6" x14ac:dyDescent="0.3">
      <c r="A2072" s="3" t="s">
        <v>1698</v>
      </c>
      <c r="B2072" s="3" t="s">
        <v>156</v>
      </c>
      <c r="C2072" s="3" t="str">
        <f t="shared" si="32"/>
        <v>4500136658110</v>
      </c>
      <c r="D2072" s="4">
        <v>46310</v>
      </c>
      <c r="E2072" s="3" t="s">
        <v>2196</v>
      </c>
      <c r="F2072" s="3" t="s">
        <v>2478</v>
      </c>
    </row>
    <row r="2073" spans="1:6" x14ac:dyDescent="0.3">
      <c r="A2073" s="3" t="s">
        <v>1698</v>
      </c>
      <c r="B2073" s="3" t="s">
        <v>132</v>
      </c>
      <c r="C2073" s="3" t="str">
        <f t="shared" si="32"/>
        <v>4500136658120</v>
      </c>
      <c r="D2073" s="4">
        <v>46310</v>
      </c>
      <c r="E2073" s="3" t="s">
        <v>2196</v>
      </c>
      <c r="F2073" s="3" t="s">
        <v>2478</v>
      </c>
    </row>
    <row r="2074" spans="1:6" x14ac:dyDescent="0.3">
      <c r="A2074" s="3" t="s">
        <v>1698</v>
      </c>
      <c r="B2074" s="3" t="s">
        <v>142</v>
      </c>
      <c r="C2074" s="3" t="str">
        <f t="shared" si="32"/>
        <v>4500136658130</v>
      </c>
      <c r="D2074" s="4">
        <v>46310</v>
      </c>
      <c r="E2074" s="3" t="s">
        <v>2196</v>
      </c>
      <c r="F2074" s="3" t="s">
        <v>2478</v>
      </c>
    </row>
    <row r="2075" spans="1:6" x14ac:dyDescent="0.3">
      <c r="A2075" s="3" t="s">
        <v>1698</v>
      </c>
      <c r="B2075" s="3" t="s">
        <v>131</v>
      </c>
      <c r="C2075" s="3" t="str">
        <f t="shared" si="32"/>
        <v>4500136658140</v>
      </c>
      <c r="D2075" s="4">
        <v>46310</v>
      </c>
      <c r="E2075" s="3" t="s">
        <v>2196</v>
      </c>
      <c r="F2075" s="3" t="s">
        <v>2478</v>
      </c>
    </row>
    <row r="2076" spans="1:6" x14ac:dyDescent="0.3">
      <c r="A2076" s="3" t="s">
        <v>1698</v>
      </c>
      <c r="B2076" s="3" t="s">
        <v>68</v>
      </c>
      <c r="C2076" s="3" t="str">
        <f t="shared" si="32"/>
        <v>4500136658150</v>
      </c>
      <c r="D2076" s="4">
        <v>46310</v>
      </c>
      <c r="E2076" s="3" t="s">
        <v>2196</v>
      </c>
      <c r="F2076" s="3" t="s">
        <v>2478</v>
      </c>
    </row>
    <row r="2077" spans="1:6" x14ac:dyDescent="0.3">
      <c r="A2077" s="3" t="s">
        <v>1698</v>
      </c>
      <c r="B2077" s="3" t="s">
        <v>129</v>
      </c>
      <c r="C2077" s="3" t="str">
        <f t="shared" si="32"/>
        <v>4500136658160</v>
      </c>
      <c r="D2077" s="4">
        <v>46310</v>
      </c>
      <c r="E2077" s="3" t="s">
        <v>2196</v>
      </c>
      <c r="F2077" s="3" t="s">
        <v>2478</v>
      </c>
    </row>
    <row r="2078" spans="1:6" x14ac:dyDescent="0.3">
      <c r="A2078" s="3" t="s">
        <v>1698</v>
      </c>
      <c r="B2078" s="3" t="s">
        <v>53</v>
      </c>
      <c r="C2078" s="3" t="str">
        <f t="shared" si="32"/>
        <v>4500136658170</v>
      </c>
      <c r="D2078" s="4">
        <v>46310</v>
      </c>
      <c r="E2078" s="3" t="s">
        <v>2196</v>
      </c>
      <c r="F2078" s="3" t="s">
        <v>2478</v>
      </c>
    </row>
    <row r="2079" spans="1:6" x14ac:dyDescent="0.3">
      <c r="A2079" s="3" t="s">
        <v>1698</v>
      </c>
      <c r="B2079" s="3" t="s">
        <v>130</v>
      </c>
      <c r="C2079" s="3" t="str">
        <f t="shared" si="32"/>
        <v>4500136658180</v>
      </c>
      <c r="D2079" s="4">
        <v>46310</v>
      </c>
      <c r="E2079" s="3" t="s">
        <v>2196</v>
      </c>
      <c r="F2079" s="3" t="s">
        <v>2478</v>
      </c>
    </row>
    <row r="2080" spans="1:6" x14ac:dyDescent="0.3">
      <c r="A2080" s="3" t="s">
        <v>1698</v>
      </c>
      <c r="B2080" s="3" t="s">
        <v>161</v>
      </c>
      <c r="C2080" s="3" t="str">
        <f t="shared" si="32"/>
        <v>4500136658200</v>
      </c>
      <c r="D2080" s="4">
        <v>46310</v>
      </c>
      <c r="E2080" s="3" t="s">
        <v>2196</v>
      </c>
      <c r="F2080" s="3" t="s">
        <v>2478</v>
      </c>
    </row>
    <row r="2081" spans="1:6" x14ac:dyDescent="0.3">
      <c r="A2081" s="3" t="s">
        <v>1698</v>
      </c>
      <c r="B2081" s="3" t="s">
        <v>136</v>
      </c>
      <c r="C2081" s="3" t="str">
        <f t="shared" si="32"/>
        <v>4500136658210</v>
      </c>
      <c r="D2081" s="4">
        <v>46270</v>
      </c>
      <c r="E2081" s="3" t="s">
        <v>2196</v>
      </c>
      <c r="F2081" s="3" t="s">
        <v>2478</v>
      </c>
    </row>
    <row r="2082" spans="1:6" x14ac:dyDescent="0.3">
      <c r="A2082" s="3" t="s">
        <v>1698</v>
      </c>
      <c r="B2082" s="3" t="s">
        <v>140</v>
      </c>
      <c r="C2082" s="3" t="str">
        <f t="shared" si="32"/>
        <v>4500136658220</v>
      </c>
      <c r="D2082" s="4">
        <v>46310</v>
      </c>
      <c r="E2082" s="3" t="s">
        <v>2196</v>
      </c>
      <c r="F2082" s="3" t="s">
        <v>2478</v>
      </c>
    </row>
    <row r="2083" spans="1:6" x14ac:dyDescent="0.3">
      <c r="A2083" s="3" t="s">
        <v>1698</v>
      </c>
      <c r="B2083" s="3" t="s">
        <v>137</v>
      </c>
      <c r="C2083" s="3" t="str">
        <f t="shared" si="32"/>
        <v>4500136658230</v>
      </c>
      <c r="D2083" s="4">
        <v>46310</v>
      </c>
      <c r="E2083" s="3" t="s">
        <v>2196</v>
      </c>
      <c r="F2083" s="3" t="s">
        <v>2478</v>
      </c>
    </row>
    <row r="2084" spans="1:6" x14ac:dyDescent="0.3">
      <c r="A2084" s="3" t="s">
        <v>1698</v>
      </c>
      <c r="B2084" s="3" t="s">
        <v>143</v>
      </c>
      <c r="C2084" s="3" t="str">
        <f t="shared" si="32"/>
        <v>4500136658240</v>
      </c>
      <c r="D2084" s="4">
        <v>46310</v>
      </c>
      <c r="E2084" s="3" t="s">
        <v>2196</v>
      </c>
      <c r="F2084" s="3" t="s">
        <v>2478</v>
      </c>
    </row>
    <row r="2085" spans="1:6" x14ac:dyDescent="0.3">
      <c r="A2085" s="3" t="s">
        <v>1698</v>
      </c>
      <c r="B2085" s="3" t="s">
        <v>128</v>
      </c>
      <c r="C2085" s="3" t="str">
        <f t="shared" si="32"/>
        <v>4500136658250</v>
      </c>
      <c r="D2085" s="4">
        <v>46310</v>
      </c>
      <c r="E2085" s="3" t="s">
        <v>2196</v>
      </c>
      <c r="F2085" s="3" t="s">
        <v>2478</v>
      </c>
    </row>
    <row r="2086" spans="1:6" x14ac:dyDescent="0.3">
      <c r="A2086" s="3" t="s">
        <v>1698</v>
      </c>
      <c r="B2086" s="3" t="s">
        <v>146</v>
      </c>
      <c r="C2086" s="3" t="str">
        <f t="shared" si="32"/>
        <v>4500136658270</v>
      </c>
      <c r="D2086" s="4">
        <v>46270</v>
      </c>
      <c r="E2086" s="3" t="s">
        <v>2196</v>
      </c>
      <c r="F2086" s="3" t="s">
        <v>2478</v>
      </c>
    </row>
    <row r="2087" spans="1:6" x14ac:dyDescent="0.3">
      <c r="A2087" s="3" t="s">
        <v>1698</v>
      </c>
      <c r="B2087" s="3" t="s">
        <v>133</v>
      </c>
      <c r="C2087" s="3" t="str">
        <f t="shared" si="32"/>
        <v>4500136658280</v>
      </c>
      <c r="D2087" s="4">
        <v>46310</v>
      </c>
      <c r="E2087" s="3" t="s">
        <v>2196</v>
      </c>
      <c r="F2087" s="3" t="s">
        <v>2478</v>
      </c>
    </row>
    <row r="2088" spans="1:6" x14ac:dyDescent="0.3">
      <c r="A2088" s="3" t="s">
        <v>1698</v>
      </c>
      <c r="B2088" s="3" t="s">
        <v>173</v>
      </c>
      <c r="C2088" s="3" t="str">
        <f t="shared" si="32"/>
        <v>4500136658290</v>
      </c>
      <c r="D2088" s="4">
        <v>46310</v>
      </c>
      <c r="E2088" s="3" t="s">
        <v>2196</v>
      </c>
      <c r="F2088" s="3" t="s">
        <v>2478</v>
      </c>
    </row>
    <row r="2089" spans="1:6" x14ac:dyDescent="0.3">
      <c r="A2089" s="3" t="s">
        <v>1698</v>
      </c>
      <c r="B2089" s="3" t="s">
        <v>145</v>
      </c>
      <c r="C2089" s="3" t="str">
        <f t="shared" si="32"/>
        <v>4500136658300</v>
      </c>
      <c r="D2089" s="4">
        <v>46310</v>
      </c>
      <c r="E2089" s="3" t="s">
        <v>2196</v>
      </c>
      <c r="F2089" s="3" t="s">
        <v>2478</v>
      </c>
    </row>
    <row r="2090" spans="1:6" x14ac:dyDescent="0.3">
      <c r="A2090" s="3" t="s">
        <v>1698</v>
      </c>
      <c r="B2090" s="3" t="s">
        <v>147</v>
      </c>
      <c r="C2090" s="3" t="str">
        <f t="shared" si="32"/>
        <v>4500136658310</v>
      </c>
      <c r="D2090" s="4">
        <v>46270</v>
      </c>
      <c r="E2090" s="3" t="s">
        <v>2196</v>
      </c>
      <c r="F2090" s="3" t="s">
        <v>2478</v>
      </c>
    </row>
    <row r="2091" spans="1:6" x14ac:dyDescent="0.3">
      <c r="A2091" s="3" t="s">
        <v>1698</v>
      </c>
      <c r="B2091" s="3" t="s">
        <v>150</v>
      </c>
      <c r="C2091" s="3" t="str">
        <f t="shared" si="32"/>
        <v>4500136658320</v>
      </c>
      <c r="D2091" s="4">
        <v>46310</v>
      </c>
      <c r="E2091" s="3" t="s">
        <v>2196</v>
      </c>
      <c r="F2091" s="3" t="s">
        <v>2478</v>
      </c>
    </row>
    <row r="2092" spans="1:6" x14ac:dyDescent="0.3">
      <c r="A2092" s="3" t="s">
        <v>1698</v>
      </c>
      <c r="B2092" s="3" t="s">
        <v>154</v>
      </c>
      <c r="C2092" s="3" t="str">
        <f t="shared" si="32"/>
        <v>4500136658330</v>
      </c>
      <c r="D2092" s="4">
        <v>46270</v>
      </c>
      <c r="E2092" s="3" t="s">
        <v>2196</v>
      </c>
      <c r="F2092" s="3" t="s">
        <v>2478</v>
      </c>
    </row>
    <row r="2093" spans="1:6" x14ac:dyDescent="0.3">
      <c r="A2093" s="3" t="s">
        <v>1698</v>
      </c>
      <c r="B2093" s="3" t="s">
        <v>135</v>
      </c>
      <c r="C2093" s="3" t="str">
        <f t="shared" si="32"/>
        <v>4500136658340</v>
      </c>
      <c r="D2093" s="4">
        <v>46310</v>
      </c>
      <c r="E2093" s="3" t="s">
        <v>2196</v>
      </c>
      <c r="F2093" s="3" t="s">
        <v>2478</v>
      </c>
    </row>
    <row r="2094" spans="1:6" x14ac:dyDescent="0.3">
      <c r="A2094" s="3" t="s">
        <v>1698</v>
      </c>
      <c r="B2094" s="3" t="s">
        <v>139</v>
      </c>
      <c r="C2094" s="3" t="str">
        <f t="shared" si="32"/>
        <v>4500136658350</v>
      </c>
      <c r="D2094" s="4">
        <v>46310</v>
      </c>
      <c r="E2094" s="3" t="s">
        <v>2196</v>
      </c>
      <c r="F2094" s="3" t="s">
        <v>2478</v>
      </c>
    </row>
    <row r="2095" spans="1:6" x14ac:dyDescent="0.3">
      <c r="A2095" s="3" t="s">
        <v>2287</v>
      </c>
      <c r="B2095" s="3" t="s">
        <v>30</v>
      </c>
      <c r="C2095" s="3" t="str">
        <f t="shared" si="32"/>
        <v>450013667110</v>
      </c>
      <c r="D2095" s="4">
        <v>46326</v>
      </c>
      <c r="E2095" s="3" t="s">
        <v>2194</v>
      </c>
      <c r="F2095" s="3" t="s">
        <v>2481</v>
      </c>
    </row>
    <row r="2096" spans="1:6" x14ac:dyDescent="0.3">
      <c r="A2096" s="3" t="s">
        <v>2287</v>
      </c>
      <c r="B2096" s="3" t="s">
        <v>22</v>
      </c>
      <c r="C2096" s="3" t="str">
        <f t="shared" si="32"/>
        <v>450013667120</v>
      </c>
      <c r="D2096" s="4">
        <v>46326</v>
      </c>
      <c r="E2096" s="3" t="s">
        <v>2194</v>
      </c>
      <c r="F2096" s="3" t="s">
        <v>2481</v>
      </c>
    </row>
    <row r="2097" spans="1:6" x14ac:dyDescent="0.3">
      <c r="A2097" s="3" t="s">
        <v>2287</v>
      </c>
      <c r="B2097" s="3" t="s">
        <v>35</v>
      </c>
      <c r="C2097" s="3" t="str">
        <f t="shared" si="32"/>
        <v>450013667130</v>
      </c>
      <c r="D2097" s="4">
        <v>46326</v>
      </c>
      <c r="E2097" s="3" t="s">
        <v>2194</v>
      </c>
      <c r="F2097" s="3" t="s">
        <v>2481</v>
      </c>
    </row>
    <row r="2098" spans="1:6" x14ac:dyDescent="0.3">
      <c r="A2098" s="3" t="s">
        <v>2287</v>
      </c>
      <c r="B2098" s="3" t="s">
        <v>23</v>
      </c>
      <c r="C2098" s="3" t="str">
        <f t="shared" si="32"/>
        <v>450013667140</v>
      </c>
      <c r="D2098" s="4">
        <v>46326</v>
      </c>
      <c r="E2098" s="3" t="s">
        <v>2194</v>
      </c>
      <c r="F2098" s="3" t="s">
        <v>2481</v>
      </c>
    </row>
    <row r="2099" spans="1:6" x14ac:dyDescent="0.3">
      <c r="A2099" s="3" t="s">
        <v>2287</v>
      </c>
      <c r="B2099" s="3" t="s">
        <v>144</v>
      </c>
      <c r="C2099" s="3" t="str">
        <f t="shared" si="32"/>
        <v>450013667150</v>
      </c>
      <c r="D2099" s="4">
        <v>46326</v>
      </c>
      <c r="E2099" s="3" t="s">
        <v>2194</v>
      </c>
      <c r="F2099" s="3" t="s">
        <v>2481</v>
      </c>
    </row>
    <row r="2100" spans="1:6" x14ac:dyDescent="0.3">
      <c r="A2100" s="3" t="s">
        <v>2287</v>
      </c>
      <c r="B2100" s="3" t="s">
        <v>141</v>
      </c>
      <c r="C2100" s="3" t="str">
        <f t="shared" si="32"/>
        <v>450013667160</v>
      </c>
      <c r="D2100" s="4">
        <v>46326</v>
      </c>
      <c r="E2100" s="3" t="s">
        <v>2194</v>
      </c>
      <c r="F2100" s="3" t="s">
        <v>2481</v>
      </c>
    </row>
    <row r="2101" spans="1:6" x14ac:dyDescent="0.3">
      <c r="A2101" s="3" t="s">
        <v>2287</v>
      </c>
      <c r="B2101" s="3" t="s">
        <v>134</v>
      </c>
      <c r="C2101" s="3" t="str">
        <f t="shared" si="32"/>
        <v>450013667170</v>
      </c>
      <c r="D2101" s="4">
        <v>46326</v>
      </c>
      <c r="E2101" s="3" t="s">
        <v>2194</v>
      </c>
      <c r="F2101" s="3" t="s">
        <v>2481</v>
      </c>
    </row>
    <row r="2102" spans="1:6" x14ac:dyDescent="0.3">
      <c r="A2102" s="3" t="s">
        <v>1436</v>
      </c>
      <c r="B2102" s="3" t="s">
        <v>30</v>
      </c>
      <c r="C2102" s="3" t="str">
        <f t="shared" si="32"/>
        <v>450013668410</v>
      </c>
      <c r="D2102" s="4">
        <v>46285</v>
      </c>
      <c r="E2102" s="3" t="s">
        <v>2253</v>
      </c>
      <c r="F2102" s="3" t="s">
        <v>2647</v>
      </c>
    </row>
    <row r="2103" spans="1:6" x14ac:dyDescent="0.3">
      <c r="A2103" s="3" t="s">
        <v>1152</v>
      </c>
      <c r="B2103" s="3" t="s">
        <v>30</v>
      </c>
      <c r="C2103" s="3" t="str">
        <f t="shared" si="32"/>
        <v>450013670110</v>
      </c>
      <c r="D2103" s="4">
        <v>46275</v>
      </c>
      <c r="E2103" s="3" t="s">
        <v>2252</v>
      </c>
      <c r="F2103" s="3" t="s">
        <v>2452</v>
      </c>
    </row>
    <row r="2104" spans="1:6" x14ac:dyDescent="0.3">
      <c r="A2104" s="3" t="s">
        <v>2972</v>
      </c>
      <c r="B2104" s="3" t="s">
        <v>30</v>
      </c>
      <c r="C2104" s="3" t="str">
        <f t="shared" si="32"/>
        <v>450013672310</v>
      </c>
      <c r="D2104" s="4">
        <v>46275</v>
      </c>
      <c r="E2104" s="3" t="s">
        <v>2239</v>
      </c>
      <c r="F2104" s="3" t="s">
        <v>2612</v>
      </c>
    </row>
    <row r="2105" spans="1:6" x14ac:dyDescent="0.3">
      <c r="A2105" s="3" t="s">
        <v>1118</v>
      </c>
      <c r="B2105" s="3" t="s">
        <v>30</v>
      </c>
      <c r="C2105" s="3" t="str">
        <f t="shared" si="32"/>
        <v>450013672510</v>
      </c>
      <c r="D2105" s="4">
        <v>46280</v>
      </c>
      <c r="E2105" s="3" t="s">
        <v>2196</v>
      </c>
      <c r="F2105" s="3" t="s">
        <v>2439</v>
      </c>
    </row>
    <row r="2106" spans="1:6" x14ac:dyDescent="0.3">
      <c r="A2106" s="3" t="s">
        <v>1118</v>
      </c>
      <c r="B2106" s="3" t="s">
        <v>22</v>
      </c>
      <c r="C2106" s="3" t="str">
        <f t="shared" si="32"/>
        <v>450013672520</v>
      </c>
      <c r="D2106" s="4">
        <v>46280</v>
      </c>
      <c r="E2106" s="3" t="s">
        <v>2196</v>
      </c>
      <c r="F2106" s="3" t="s">
        <v>2439</v>
      </c>
    </row>
    <row r="2107" spans="1:6" x14ac:dyDescent="0.3">
      <c r="A2107" s="3" t="s">
        <v>1118</v>
      </c>
      <c r="B2107" s="3" t="s">
        <v>35</v>
      </c>
      <c r="C2107" s="3" t="str">
        <f t="shared" si="32"/>
        <v>450013672530</v>
      </c>
      <c r="D2107" s="4">
        <v>46280</v>
      </c>
      <c r="E2107" s="3" t="s">
        <v>2196</v>
      </c>
      <c r="F2107" s="3" t="s">
        <v>2439</v>
      </c>
    </row>
    <row r="2108" spans="1:6" x14ac:dyDescent="0.3">
      <c r="A2108" s="3" t="s">
        <v>1118</v>
      </c>
      <c r="B2108" s="3" t="s">
        <v>23</v>
      </c>
      <c r="C2108" s="3" t="str">
        <f t="shared" si="32"/>
        <v>450013672540</v>
      </c>
      <c r="D2108" s="4">
        <v>46280</v>
      </c>
      <c r="E2108" s="3" t="s">
        <v>2196</v>
      </c>
      <c r="F2108" s="3" t="s">
        <v>2439</v>
      </c>
    </row>
    <row r="2109" spans="1:6" x14ac:dyDescent="0.3">
      <c r="A2109" s="3" t="s">
        <v>1125</v>
      </c>
      <c r="B2109" s="3" t="s">
        <v>30</v>
      </c>
      <c r="C2109" s="3" t="str">
        <f t="shared" si="32"/>
        <v>450013672610</v>
      </c>
      <c r="D2109" s="4">
        <v>46261</v>
      </c>
      <c r="E2109" s="3" t="s">
        <v>2212</v>
      </c>
      <c r="F2109" s="3" t="s">
        <v>2450</v>
      </c>
    </row>
    <row r="2110" spans="1:6" x14ac:dyDescent="0.3">
      <c r="A2110" s="3" t="s">
        <v>1125</v>
      </c>
      <c r="B2110" s="3" t="s">
        <v>22</v>
      </c>
      <c r="C2110" s="3" t="str">
        <f t="shared" si="32"/>
        <v>450013672620</v>
      </c>
      <c r="D2110" s="4">
        <v>46261</v>
      </c>
      <c r="E2110" s="3" t="s">
        <v>2212</v>
      </c>
      <c r="F2110" s="3" t="s">
        <v>2450</v>
      </c>
    </row>
    <row r="2111" spans="1:6" x14ac:dyDescent="0.3">
      <c r="A2111" s="3" t="s">
        <v>1125</v>
      </c>
      <c r="B2111" s="3" t="s">
        <v>35</v>
      </c>
      <c r="C2111" s="3" t="str">
        <f t="shared" si="32"/>
        <v>450013672630</v>
      </c>
      <c r="D2111" s="4">
        <v>46261</v>
      </c>
      <c r="E2111" s="3" t="s">
        <v>2212</v>
      </c>
      <c r="F2111" s="3" t="s">
        <v>2450</v>
      </c>
    </row>
    <row r="2112" spans="1:6" x14ac:dyDescent="0.3">
      <c r="A2112" s="3" t="s">
        <v>1125</v>
      </c>
      <c r="B2112" s="3" t="s">
        <v>23</v>
      </c>
      <c r="C2112" s="3" t="str">
        <f t="shared" si="32"/>
        <v>450013672640</v>
      </c>
      <c r="D2112" s="4">
        <v>46261</v>
      </c>
      <c r="E2112" s="3" t="s">
        <v>2212</v>
      </c>
      <c r="F2112" s="3" t="s">
        <v>2450</v>
      </c>
    </row>
    <row r="2113" spans="1:6" x14ac:dyDescent="0.3">
      <c r="A2113" s="3" t="s">
        <v>1125</v>
      </c>
      <c r="B2113" s="3" t="s">
        <v>144</v>
      </c>
      <c r="C2113" s="3" t="str">
        <f t="shared" si="32"/>
        <v>450013672650</v>
      </c>
      <c r="D2113" s="4">
        <v>46261</v>
      </c>
      <c r="E2113" s="3" t="s">
        <v>2212</v>
      </c>
      <c r="F2113" s="3" t="s">
        <v>2450</v>
      </c>
    </row>
    <row r="2114" spans="1:6" x14ac:dyDescent="0.3">
      <c r="A2114" s="3" t="s">
        <v>1125</v>
      </c>
      <c r="B2114" s="3" t="s">
        <v>141</v>
      </c>
      <c r="C2114" s="3" t="str">
        <f t="shared" si="32"/>
        <v>450013672660</v>
      </c>
      <c r="D2114" s="4">
        <v>46261</v>
      </c>
      <c r="E2114" s="3" t="s">
        <v>2212</v>
      </c>
      <c r="F2114" s="3" t="s">
        <v>2450</v>
      </c>
    </row>
    <row r="2115" spans="1:6" x14ac:dyDescent="0.3">
      <c r="A2115" s="3" t="s">
        <v>1125</v>
      </c>
      <c r="B2115" s="3" t="s">
        <v>134</v>
      </c>
      <c r="C2115" s="3" t="str">
        <f t="shared" ref="C2115:C2178" si="33">_xlfn.CONCAT(A2115:B2115)</f>
        <v>450013672670</v>
      </c>
      <c r="D2115" s="4">
        <v>46261</v>
      </c>
      <c r="E2115" s="3" t="s">
        <v>2212</v>
      </c>
      <c r="F2115" s="3" t="s">
        <v>2450</v>
      </c>
    </row>
    <row r="2116" spans="1:6" x14ac:dyDescent="0.3">
      <c r="A2116" s="3" t="s">
        <v>1125</v>
      </c>
      <c r="B2116" s="3" t="s">
        <v>52</v>
      </c>
      <c r="C2116" s="3" t="str">
        <f t="shared" si="33"/>
        <v>450013672680</v>
      </c>
      <c r="D2116" s="4">
        <v>46261</v>
      </c>
      <c r="E2116" s="3" t="s">
        <v>2212</v>
      </c>
      <c r="F2116" s="3" t="s">
        <v>2450</v>
      </c>
    </row>
    <row r="2117" spans="1:6" x14ac:dyDescent="0.3">
      <c r="A2117" s="3" t="s">
        <v>1125</v>
      </c>
      <c r="B2117" s="3" t="s">
        <v>138</v>
      </c>
      <c r="C2117" s="3" t="str">
        <f t="shared" si="33"/>
        <v>450013672690</v>
      </c>
      <c r="D2117" s="4">
        <v>46261</v>
      </c>
      <c r="E2117" s="3" t="s">
        <v>2212</v>
      </c>
      <c r="F2117" s="3" t="s">
        <v>2450</v>
      </c>
    </row>
    <row r="2118" spans="1:6" x14ac:dyDescent="0.3">
      <c r="A2118" s="3" t="s">
        <v>1125</v>
      </c>
      <c r="B2118" s="3" t="s">
        <v>45</v>
      </c>
      <c r="C2118" s="3" t="str">
        <f t="shared" si="33"/>
        <v>4500136726100</v>
      </c>
      <c r="D2118" s="4">
        <v>46261</v>
      </c>
      <c r="E2118" s="3" t="s">
        <v>2212</v>
      </c>
      <c r="F2118" s="3" t="s">
        <v>2450</v>
      </c>
    </row>
    <row r="2119" spans="1:6" x14ac:dyDescent="0.3">
      <c r="A2119" s="3" t="s">
        <v>1125</v>
      </c>
      <c r="B2119" s="3" t="s">
        <v>156</v>
      </c>
      <c r="C2119" s="3" t="str">
        <f t="shared" si="33"/>
        <v>4500136726110</v>
      </c>
      <c r="D2119" s="4">
        <v>46261</v>
      </c>
      <c r="E2119" s="3" t="s">
        <v>2212</v>
      </c>
      <c r="F2119" s="3" t="s">
        <v>2450</v>
      </c>
    </row>
    <row r="2120" spans="1:6" x14ac:dyDescent="0.3">
      <c r="A2120" s="3" t="s">
        <v>1109</v>
      </c>
      <c r="B2120" s="3" t="s">
        <v>30</v>
      </c>
      <c r="C2120" s="3" t="str">
        <f t="shared" si="33"/>
        <v>450013673110</v>
      </c>
      <c r="D2120" s="4">
        <v>46272</v>
      </c>
      <c r="E2120" s="3" t="s">
        <v>2239</v>
      </c>
      <c r="F2120" s="3" t="s">
        <v>2613</v>
      </c>
    </row>
    <row r="2121" spans="1:6" x14ac:dyDescent="0.3">
      <c r="A2121" s="3" t="s">
        <v>1109</v>
      </c>
      <c r="B2121" s="3" t="s">
        <v>22</v>
      </c>
      <c r="C2121" s="3" t="str">
        <f t="shared" si="33"/>
        <v>450013673120</v>
      </c>
      <c r="D2121" s="4">
        <v>46272</v>
      </c>
      <c r="E2121" s="3" t="s">
        <v>2239</v>
      </c>
      <c r="F2121" s="3" t="s">
        <v>2613</v>
      </c>
    </row>
    <row r="2122" spans="1:6" x14ac:dyDescent="0.3">
      <c r="A2122" s="3" t="s">
        <v>432</v>
      </c>
      <c r="B2122" s="3" t="s">
        <v>30</v>
      </c>
      <c r="C2122" s="3" t="str">
        <f t="shared" si="33"/>
        <v>450013673910</v>
      </c>
      <c r="D2122" s="4">
        <v>46265</v>
      </c>
      <c r="E2122" s="3" t="s">
        <v>2196</v>
      </c>
      <c r="F2122" s="3" t="s">
        <v>2454</v>
      </c>
    </row>
    <row r="2123" spans="1:6" x14ac:dyDescent="0.3">
      <c r="A2123" s="3" t="s">
        <v>432</v>
      </c>
      <c r="B2123" s="3" t="s">
        <v>22</v>
      </c>
      <c r="C2123" s="3" t="str">
        <f t="shared" si="33"/>
        <v>450013673920</v>
      </c>
      <c r="D2123" s="4">
        <v>46265</v>
      </c>
      <c r="E2123" s="3" t="s">
        <v>2196</v>
      </c>
      <c r="F2123" s="3" t="s">
        <v>2454</v>
      </c>
    </row>
    <row r="2124" spans="1:6" x14ac:dyDescent="0.3">
      <c r="A2124" s="3" t="s">
        <v>432</v>
      </c>
      <c r="B2124" s="3" t="s">
        <v>35</v>
      </c>
      <c r="C2124" s="3" t="str">
        <f t="shared" si="33"/>
        <v>450013673930</v>
      </c>
      <c r="D2124" s="4">
        <v>46265</v>
      </c>
      <c r="E2124" s="3" t="s">
        <v>2196</v>
      </c>
      <c r="F2124" s="3" t="s">
        <v>2454</v>
      </c>
    </row>
    <row r="2125" spans="1:6" x14ac:dyDescent="0.3">
      <c r="A2125" s="3" t="s">
        <v>432</v>
      </c>
      <c r="B2125" s="3" t="s">
        <v>23</v>
      </c>
      <c r="C2125" s="3" t="str">
        <f t="shared" si="33"/>
        <v>450013673940</v>
      </c>
      <c r="D2125" s="4">
        <v>46265</v>
      </c>
      <c r="E2125" s="3" t="s">
        <v>2196</v>
      </c>
      <c r="F2125" s="3" t="s">
        <v>2454</v>
      </c>
    </row>
    <row r="2126" spans="1:6" x14ac:dyDescent="0.3">
      <c r="A2126" s="3" t="s">
        <v>432</v>
      </c>
      <c r="B2126" s="3" t="s">
        <v>144</v>
      </c>
      <c r="C2126" s="3" t="str">
        <f t="shared" si="33"/>
        <v>450013673950</v>
      </c>
      <c r="D2126" s="4">
        <v>46265</v>
      </c>
      <c r="E2126" s="3" t="s">
        <v>2196</v>
      </c>
      <c r="F2126" s="3" t="s">
        <v>2454</v>
      </c>
    </row>
    <row r="2127" spans="1:6" x14ac:dyDescent="0.3">
      <c r="A2127" s="3" t="s">
        <v>432</v>
      </c>
      <c r="B2127" s="3" t="s">
        <v>141</v>
      </c>
      <c r="C2127" s="3" t="str">
        <f t="shared" si="33"/>
        <v>450013673960</v>
      </c>
      <c r="D2127" s="4">
        <v>46265</v>
      </c>
      <c r="E2127" s="3" t="s">
        <v>2196</v>
      </c>
      <c r="F2127" s="3" t="s">
        <v>2454</v>
      </c>
    </row>
    <row r="2128" spans="1:6" x14ac:dyDescent="0.3">
      <c r="A2128" s="3" t="s">
        <v>432</v>
      </c>
      <c r="B2128" s="3" t="s">
        <v>134</v>
      </c>
      <c r="C2128" s="3" t="str">
        <f t="shared" si="33"/>
        <v>450013673970</v>
      </c>
      <c r="D2128" s="4">
        <v>46265</v>
      </c>
      <c r="E2128" s="3" t="s">
        <v>2196</v>
      </c>
      <c r="F2128" s="3" t="s">
        <v>2454</v>
      </c>
    </row>
    <row r="2129" spans="1:6" x14ac:dyDescent="0.3">
      <c r="A2129" s="3" t="s">
        <v>432</v>
      </c>
      <c r="B2129" s="3" t="s">
        <v>52</v>
      </c>
      <c r="C2129" s="3" t="str">
        <f t="shared" si="33"/>
        <v>450013673980</v>
      </c>
      <c r="D2129" s="4">
        <v>46265</v>
      </c>
      <c r="E2129" s="3" t="s">
        <v>2196</v>
      </c>
      <c r="F2129" s="3" t="s">
        <v>2454</v>
      </c>
    </row>
    <row r="2130" spans="1:6" x14ac:dyDescent="0.3">
      <c r="A2130" s="3" t="s">
        <v>432</v>
      </c>
      <c r="B2130" s="3" t="s">
        <v>138</v>
      </c>
      <c r="C2130" s="3" t="str">
        <f t="shared" si="33"/>
        <v>450013673990</v>
      </c>
      <c r="D2130" s="4">
        <v>46265</v>
      </c>
      <c r="E2130" s="3" t="s">
        <v>2196</v>
      </c>
      <c r="F2130" s="3" t="s">
        <v>2454</v>
      </c>
    </row>
    <row r="2131" spans="1:6" x14ac:dyDescent="0.3">
      <c r="A2131" s="3" t="s">
        <v>432</v>
      </c>
      <c r="B2131" s="3" t="s">
        <v>45</v>
      </c>
      <c r="C2131" s="3" t="str">
        <f t="shared" si="33"/>
        <v>4500136739100</v>
      </c>
      <c r="D2131" s="4">
        <v>46265</v>
      </c>
      <c r="E2131" s="3" t="s">
        <v>2196</v>
      </c>
      <c r="F2131" s="3" t="s">
        <v>2454</v>
      </c>
    </row>
    <row r="2132" spans="1:6" x14ac:dyDescent="0.3">
      <c r="A2132" s="3" t="s">
        <v>432</v>
      </c>
      <c r="B2132" s="3" t="s">
        <v>156</v>
      </c>
      <c r="C2132" s="3" t="str">
        <f t="shared" si="33"/>
        <v>4500136739110</v>
      </c>
      <c r="D2132" s="4">
        <v>46265</v>
      </c>
      <c r="E2132" s="3" t="s">
        <v>2196</v>
      </c>
      <c r="F2132" s="3" t="s">
        <v>2454</v>
      </c>
    </row>
    <row r="2133" spans="1:6" x14ac:dyDescent="0.3">
      <c r="A2133" s="3" t="s">
        <v>432</v>
      </c>
      <c r="B2133" s="3" t="s">
        <v>142</v>
      </c>
      <c r="C2133" s="3" t="str">
        <f t="shared" si="33"/>
        <v>4500136739130</v>
      </c>
      <c r="D2133" s="4">
        <v>46297</v>
      </c>
      <c r="E2133" s="3" t="s">
        <v>2196</v>
      </c>
      <c r="F2133" s="3" t="s">
        <v>2454</v>
      </c>
    </row>
    <row r="2134" spans="1:6" x14ac:dyDescent="0.3">
      <c r="A2134" s="3" t="s">
        <v>432</v>
      </c>
      <c r="B2134" s="3" t="s">
        <v>131</v>
      </c>
      <c r="C2134" s="3" t="str">
        <f t="shared" si="33"/>
        <v>4500136739140</v>
      </c>
      <c r="D2134" s="4">
        <v>46297</v>
      </c>
      <c r="E2134" s="3" t="s">
        <v>2196</v>
      </c>
      <c r="F2134" s="3" t="s">
        <v>2454</v>
      </c>
    </row>
    <row r="2135" spans="1:6" x14ac:dyDescent="0.3">
      <c r="A2135" s="3" t="s">
        <v>432</v>
      </c>
      <c r="B2135" s="3" t="s">
        <v>68</v>
      </c>
      <c r="C2135" s="3" t="str">
        <f t="shared" si="33"/>
        <v>4500136739150</v>
      </c>
      <c r="D2135" s="4">
        <v>46265</v>
      </c>
      <c r="E2135" s="3" t="s">
        <v>2196</v>
      </c>
      <c r="F2135" s="3" t="s">
        <v>2454</v>
      </c>
    </row>
    <row r="2136" spans="1:6" x14ac:dyDescent="0.3">
      <c r="A2136" s="3" t="s">
        <v>432</v>
      </c>
      <c r="B2136" s="3" t="s">
        <v>129</v>
      </c>
      <c r="C2136" s="3" t="str">
        <f t="shared" si="33"/>
        <v>4500136739160</v>
      </c>
      <c r="D2136" s="4">
        <v>46265</v>
      </c>
      <c r="E2136" s="3" t="s">
        <v>2196</v>
      </c>
      <c r="F2136" s="3" t="s">
        <v>2454</v>
      </c>
    </row>
    <row r="2137" spans="1:6" x14ac:dyDescent="0.3">
      <c r="A2137" s="3" t="s">
        <v>432</v>
      </c>
      <c r="B2137" s="3" t="s">
        <v>53</v>
      </c>
      <c r="C2137" s="3" t="str">
        <f t="shared" si="33"/>
        <v>4500136739170</v>
      </c>
      <c r="D2137" s="4">
        <v>46265</v>
      </c>
      <c r="E2137" s="3" t="s">
        <v>2196</v>
      </c>
      <c r="F2137" s="3" t="s">
        <v>2454</v>
      </c>
    </row>
    <row r="2138" spans="1:6" x14ac:dyDescent="0.3">
      <c r="A2138" s="3" t="s">
        <v>432</v>
      </c>
      <c r="B2138" s="3" t="s">
        <v>130</v>
      </c>
      <c r="C2138" s="3" t="str">
        <f t="shared" si="33"/>
        <v>4500136739180</v>
      </c>
      <c r="D2138" s="4">
        <v>46265</v>
      </c>
      <c r="E2138" s="3" t="s">
        <v>2196</v>
      </c>
      <c r="F2138" s="3" t="s">
        <v>2454</v>
      </c>
    </row>
    <row r="2139" spans="1:6" x14ac:dyDescent="0.3">
      <c r="A2139" s="3" t="s">
        <v>432</v>
      </c>
      <c r="B2139" s="3" t="s">
        <v>127</v>
      </c>
      <c r="C2139" s="3" t="str">
        <f t="shared" si="33"/>
        <v>4500136739190</v>
      </c>
      <c r="D2139" s="4">
        <v>46265</v>
      </c>
      <c r="E2139" s="3" t="s">
        <v>2196</v>
      </c>
      <c r="F2139" s="3" t="s">
        <v>2454</v>
      </c>
    </row>
    <row r="2140" spans="1:6" x14ac:dyDescent="0.3">
      <c r="A2140" s="3" t="s">
        <v>432</v>
      </c>
      <c r="B2140" s="3" t="s">
        <v>161</v>
      </c>
      <c r="C2140" s="3" t="str">
        <f t="shared" si="33"/>
        <v>4500136739200</v>
      </c>
      <c r="D2140" s="4">
        <v>46265</v>
      </c>
      <c r="E2140" s="3" t="s">
        <v>2196</v>
      </c>
      <c r="F2140" s="3" t="s">
        <v>2454</v>
      </c>
    </row>
    <row r="2141" spans="1:6" x14ac:dyDescent="0.3">
      <c r="A2141" s="3" t="s">
        <v>432</v>
      </c>
      <c r="B2141" s="3" t="s">
        <v>140</v>
      </c>
      <c r="C2141" s="3" t="str">
        <f t="shared" si="33"/>
        <v>4500136739220</v>
      </c>
      <c r="D2141" s="4">
        <v>46265</v>
      </c>
      <c r="E2141" s="3" t="s">
        <v>2196</v>
      </c>
      <c r="F2141" s="3" t="s">
        <v>2454</v>
      </c>
    </row>
    <row r="2142" spans="1:6" x14ac:dyDescent="0.3">
      <c r="A2142" s="3" t="s">
        <v>432</v>
      </c>
      <c r="B2142" s="3" t="s">
        <v>137</v>
      </c>
      <c r="C2142" s="3" t="str">
        <f t="shared" si="33"/>
        <v>4500136739230</v>
      </c>
      <c r="D2142" s="4">
        <v>46265</v>
      </c>
      <c r="E2142" s="3" t="s">
        <v>2196</v>
      </c>
      <c r="F2142" s="3" t="s">
        <v>2454</v>
      </c>
    </row>
    <row r="2143" spans="1:6" x14ac:dyDescent="0.3">
      <c r="A2143" s="3" t="s">
        <v>432</v>
      </c>
      <c r="B2143" s="3" t="s">
        <v>143</v>
      </c>
      <c r="C2143" s="3" t="str">
        <f t="shared" si="33"/>
        <v>4500136739240</v>
      </c>
      <c r="D2143" s="4">
        <v>46265</v>
      </c>
      <c r="E2143" s="3" t="s">
        <v>2196</v>
      </c>
      <c r="F2143" s="3" t="s">
        <v>2454</v>
      </c>
    </row>
    <row r="2144" spans="1:6" x14ac:dyDescent="0.3">
      <c r="A2144" s="3" t="s">
        <v>432</v>
      </c>
      <c r="B2144" s="3" t="s">
        <v>128</v>
      </c>
      <c r="C2144" s="3" t="str">
        <f t="shared" si="33"/>
        <v>4500136739250</v>
      </c>
      <c r="D2144" s="4">
        <v>46265</v>
      </c>
      <c r="E2144" s="3" t="s">
        <v>2196</v>
      </c>
      <c r="F2144" s="3" t="s">
        <v>2454</v>
      </c>
    </row>
    <row r="2145" spans="1:6" x14ac:dyDescent="0.3">
      <c r="A2145" s="3" t="s">
        <v>432</v>
      </c>
      <c r="B2145" s="3" t="s">
        <v>126</v>
      </c>
      <c r="C2145" s="3" t="str">
        <f t="shared" si="33"/>
        <v>4500136739260</v>
      </c>
      <c r="D2145" s="4">
        <v>46265</v>
      </c>
      <c r="E2145" s="3" t="s">
        <v>2196</v>
      </c>
      <c r="F2145" s="3" t="s">
        <v>2454</v>
      </c>
    </row>
    <row r="2146" spans="1:6" x14ac:dyDescent="0.3">
      <c r="A2146" s="3" t="s">
        <v>432</v>
      </c>
      <c r="B2146" s="3" t="s">
        <v>146</v>
      </c>
      <c r="C2146" s="3" t="str">
        <f t="shared" si="33"/>
        <v>4500136739270</v>
      </c>
      <c r="D2146" s="4">
        <v>46265</v>
      </c>
      <c r="E2146" s="3" t="s">
        <v>2196</v>
      </c>
      <c r="F2146" s="3" t="s">
        <v>2454</v>
      </c>
    </row>
    <row r="2147" spans="1:6" x14ac:dyDescent="0.3">
      <c r="A2147" s="3" t="s">
        <v>432</v>
      </c>
      <c r="B2147" s="3" t="s">
        <v>133</v>
      </c>
      <c r="C2147" s="3" t="str">
        <f t="shared" si="33"/>
        <v>4500136739280</v>
      </c>
      <c r="D2147" s="4">
        <v>46265</v>
      </c>
      <c r="E2147" s="3" t="s">
        <v>2196</v>
      </c>
      <c r="F2147" s="3" t="s">
        <v>2454</v>
      </c>
    </row>
    <row r="2148" spans="1:6" x14ac:dyDescent="0.3">
      <c r="A2148" s="3" t="s">
        <v>432</v>
      </c>
      <c r="B2148" s="3" t="s">
        <v>173</v>
      </c>
      <c r="C2148" s="3" t="str">
        <f t="shared" si="33"/>
        <v>4500136739290</v>
      </c>
      <c r="D2148" s="4">
        <v>46265</v>
      </c>
      <c r="E2148" s="3" t="s">
        <v>2196</v>
      </c>
      <c r="F2148" s="3" t="s">
        <v>2454</v>
      </c>
    </row>
    <row r="2149" spans="1:6" x14ac:dyDescent="0.3">
      <c r="A2149" s="3" t="s">
        <v>432</v>
      </c>
      <c r="B2149" s="3" t="s">
        <v>145</v>
      </c>
      <c r="C2149" s="3" t="str">
        <f t="shared" si="33"/>
        <v>4500136739300</v>
      </c>
      <c r="D2149" s="4">
        <v>46265</v>
      </c>
      <c r="E2149" s="3" t="s">
        <v>2196</v>
      </c>
      <c r="F2149" s="3" t="s">
        <v>2454</v>
      </c>
    </row>
    <row r="2150" spans="1:6" x14ac:dyDescent="0.3">
      <c r="A2150" s="3" t="s">
        <v>432</v>
      </c>
      <c r="B2150" s="3" t="s">
        <v>147</v>
      </c>
      <c r="C2150" s="3" t="str">
        <f t="shared" si="33"/>
        <v>4500136739310</v>
      </c>
      <c r="D2150" s="4">
        <v>46265</v>
      </c>
      <c r="E2150" s="3" t="s">
        <v>2196</v>
      </c>
      <c r="F2150" s="3" t="s">
        <v>2454</v>
      </c>
    </row>
    <row r="2151" spans="1:6" x14ac:dyDescent="0.3">
      <c r="A2151" s="3" t="s">
        <v>432</v>
      </c>
      <c r="B2151" s="3" t="s">
        <v>150</v>
      </c>
      <c r="C2151" s="3" t="str">
        <f t="shared" si="33"/>
        <v>4500136739320</v>
      </c>
      <c r="D2151" s="4">
        <v>46265</v>
      </c>
      <c r="E2151" s="3" t="s">
        <v>2196</v>
      </c>
      <c r="F2151" s="3" t="s">
        <v>2454</v>
      </c>
    </row>
    <row r="2152" spans="1:6" x14ac:dyDescent="0.3">
      <c r="A2152" s="3" t="s">
        <v>432</v>
      </c>
      <c r="B2152" s="3" t="s">
        <v>154</v>
      </c>
      <c r="C2152" s="3" t="str">
        <f t="shared" si="33"/>
        <v>4500136739330</v>
      </c>
      <c r="D2152" s="4">
        <v>46265</v>
      </c>
      <c r="E2152" s="3" t="s">
        <v>2196</v>
      </c>
      <c r="F2152" s="3" t="s">
        <v>2454</v>
      </c>
    </row>
    <row r="2153" spans="1:6" x14ac:dyDescent="0.3">
      <c r="A2153" s="3" t="s">
        <v>432</v>
      </c>
      <c r="B2153" s="3" t="s">
        <v>135</v>
      </c>
      <c r="C2153" s="3" t="str">
        <f t="shared" si="33"/>
        <v>4500136739340</v>
      </c>
      <c r="D2153" s="4">
        <v>46265</v>
      </c>
      <c r="E2153" s="3" t="s">
        <v>2196</v>
      </c>
      <c r="F2153" s="3" t="s">
        <v>2454</v>
      </c>
    </row>
    <row r="2154" spans="1:6" x14ac:dyDescent="0.3">
      <c r="A2154" s="3" t="s">
        <v>432</v>
      </c>
      <c r="B2154" s="3" t="s">
        <v>139</v>
      </c>
      <c r="C2154" s="3" t="str">
        <f t="shared" si="33"/>
        <v>4500136739350</v>
      </c>
      <c r="D2154" s="4">
        <v>46265</v>
      </c>
      <c r="E2154" s="3" t="s">
        <v>2196</v>
      </c>
      <c r="F2154" s="3" t="s">
        <v>2454</v>
      </c>
    </row>
    <row r="2155" spans="1:6" x14ac:dyDescent="0.3">
      <c r="A2155" s="3" t="s">
        <v>432</v>
      </c>
      <c r="B2155" s="3" t="s">
        <v>168</v>
      </c>
      <c r="C2155" s="3" t="str">
        <f t="shared" si="33"/>
        <v>4500136739360</v>
      </c>
      <c r="D2155" s="4">
        <v>46265</v>
      </c>
      <c r="E2155" s="3" t="s">
        <v>2196</v>
      </c>
      <c r="F2155" s="3" t="s">
        <v>2454</v>
      </c>
    </row>
    <row r="2156" spans="1:6" x14ac:dyDescent="0.3">
      <c r="A2156" s="3" t="s">
        <v>432</v>
      </c>
      <c r="B2156" s="3" t="s">
        <v>162</v>
      </c>
      <c r="C2156" s="3" t="str">
        <f t="shared" si="33"/>
        <v>4500136739370</v>
      </c>
      <c r="D2156" s="4">
        <v>46265</v>
      </c>
      <c r="E2156" s="3" t="s">
        <v>2196</v>
      </c>
      <c r="F2156" s="3" t="s">
        <v>2454</v>
      </c>
    </row>
    <row r="2157" spans="1:6" x14ac:dyDescent="0.3">
      <c r="A2157" s="3" t="s">
        <v>432</v>
      </c>
      <c r="B2157" s="3" t="s">
        <v>1132</v>
      </c>
      <c r="C2157" s="3" t="str">
        <f t="shared" si="33"/>
        <v>4500136739380</v>
      </c>
      <c r="D2157" s="4">
        <v>46265</v>
      </c>
      <c r="E2157" s="3" t="s">
        <v>2196</v>
      </c>
      <c r="F2157" s="3" t="s">
        <v>2454</v>
      </c>
    </row>
    <row r="2158" spans="1:6" x14ac:dyDescent="0.3">
      <c r="A2158" s="3" t="s">
        <v>432</v>
      </c>
      <c r="B2158" s="3" t="s">
        <v>158</v>
      </c>
      <c r="C2158" s="3" t="str">
        <f t="shared" si="33"/>
        <v>4500136739390</v>
      </c>
      <c r="D2158" s="4">
        <v>46265</v>
      </c>
      <c r="E2158" s="3" t="s">
        <v>2196</v>
      </c>
      <c r="F2158" s="3" t="s">
        <v>2454</v>
      </c>
    </row>
    <row r="2159" spans="1:6" x14ac:dyDescent="0.3">
      <c r="A2159" s="3" t="s">
        <v>432</v>
      </c>
      <c r="B2159" s="3" t="s">
        <v>178</v>
      </c>
      <c r="C2159" s="3" t="str">
        <f t="shared" si="33"/>
        <v>4500136739400</v>
      </c>
      <c r="D2159" s="4">
        <v>46265</v>
      </c>
      <c r="E2159" s="3" t="s">
        <v>2196</v>
      </c>
      <c r="F2159" s="3" t="s">
        <v>2454</v>
      </c>
    </row>
    <row r="2160" spans="1:6" x14ac:dyDescent="0.3">
      <c r="A2160" s="3" t="s">
        <v>432</v>
      </c>
      <c r="B2160" s="3" t="s">
        <v>157</v>
      </c>
      <c r="C2160" s="3" t="str">
        <f t="shared" si="33"/>
        <v>4500136739410</v>
      </c>
      <c r="D2160" s="4">
        <v>46265</v>
      </c>
      <c r="E2160" s="3" t="s">
        <v>2196</v>
      </c>
      <c r="F2160" s="3" t="s">
        <v>2454</v>
      </c>
    </row>
    <row r="2161" spans="1:6" x14ac:dyDescent="0.3">
      <c r="A2161" s="3" t="s">
        <v>432</v>
      </c>
      <c r="B2161" s="3" t="s">
        <v>155</v>
      </c>
      <c r="C2161" s="3" t="str">
        <f t="shared" si="33"/>
        <v>4500136739420</v>
      </c>
      <c r="D2161" s="4">
        <v>46265</v>
      </c>
      <c r="E2161" s="3" t="s">
        <v>2196</v>
      </c>
      <c r="F2161" s="3" t="s">
        <v>2454</v>
      </c>
    </row>
    <row r="2162" spans="1:6" x14ac:dyDescent="0.3">
      <c r="A2162" s="3" t="s">
        <v>432</v>
      </c>
      <c r="B2162" s="3" t="s">
        <v>166</v>
      </c>
      <c r="C2162" s="3" t="str">
        <f t="shared" si="33"/>
        <v>4500136739430</v>
      </c>
      <c r="D2162" s="4">
        <v>46265</v>
      </c>
      <c r="E2162" s="3" t="s">
        <v>2196</v>
      </c>
      <c r="F2162" s="3" t="s">
        <v>2454</v>
      </c>
    </row>
    <row r="2163" spans="1:6" x14ac:dyDescent="0.3">
      <c r="A2163" s="3" t="s">
        <v>432</v>
      </c>
      <c r="B2163" s="3" t="s">
        <v>164</v>
      </c>
      <c r="C2163" s="3" t="str">
        <f t="shared" si="33"/>
        <v>4500136739440</v>
      </c>
      <c r="D2163" s="4">
        <v>46265</v>
      </c>
      <c r="E2163" s="3" t="s">
        <v>2196</v>
      </c>
      <c r="F2163" s="3" t="s">
        <v>2454</v>
      </c>
    </row>
    <row r="2164" spans="1:6" x14ac:dyDescent="0.3">
      <c r="A2164" s="3" t="s">
        <v>1644</v>
      </c>
      <c r="B2164" s="3" t="s">
        <v>23</v>
      </c>
      <c r="C2164" s="3" t="str">
        <f t="shared" si="33"/>
        <v>450013674740</v>
      </c>
      <c r="D2164" s="4">
        <v>46290</v>
      </c>
      <c r="E2164" s="3" t="s">
        <v>2213</v>
      </c>
      <c r="F2164" s="3" t="s">
        <v>2443</v>
      </c>
    </row>
    <row r="2165" spans="1:6" x14ac:dyDescent="0.3">
      <c r="A2165" s="3" t="s">
        <v>1644</v>
      </c>
      <c r="B2165" s="3" t="s">
        <v>144</v>
      </c>
      <c r="C2165" s="3" t="str">
        <f t="shared" si="33"/>
        <v>450013674750</v>
      </c>
      <c r="D2165" s="4">
        <v>46310</v>
      </c>
      <c r="E2165" s="3" t="s">
        <v>2213</v>
      </c>
      <c r="F2165" s="3" t="s">
        <v>2443</v>
      </c>
    </row>
    <row r="2166" spans="1:6" x14ac:dyDescent="0.3">
      <c r="A2166" s="3" t="s">
        <v>1644</v>
      </c>
      <c r="B2166" s="3" t="s">
        <v>138</v>
      </c>
      <c r="C2166" s="3" t="str">
        <f t="shared" si="33"/>
        <v>450013674790</v>
      </c>
      <c r="D2166" s="4">
        <v>46310</v>
      </c>
      <c r="E2166" s="3" t="s">
        <v>2213</v>
      </c>
      <c r="F2166" s="3" t="s">
        <v>2443</v>
      </c>
    </row>
    <row r="2167" spans="1:6" x14ac:dyDescent="0.3">
      <c r="A2167" s="3" t="s">
        <v>1165</v>
      </c>
      <c r="B2167" s="3" t="s">
        <v>52</v>
      </c>
      <c r="C2167" s="3" t="str">
        <f t="shared" si="33"/>
        <v>450013675280</v>
      </c>
      <c r="D2167" s="4">
        <v>46265</v>
      </c>
      <c r="E2167" s="3" t="s">
        <v>2200</v>
      </c>
      <c r="F2167" s="3" t="s">
        <v>2430</v>
      </c>
    </row>
    <row r="2168" spans="1:6" x14ac:dyDescent="0.3">
      <c r="A2168" s="3" t="s">
        <v>1165</v>
      </c>
      <c r="B2168" s="3" t="s">
        <v>138</v>
      </c>
      <c r="C2168" s="3" t="str">
        <f t="shared" si="33"/>
        <v>450013675290</v>
      </c>
      <c r="D2168" s="4">
        <v>46265</v>
      </c>
      <c r="E2168" s="3" t="s">
        <v>2200</v>
      </c>
      <c r="F2168" s="3" t="s">
        <v>2430</v>
      </c>
    </row>
    <row r="2169" spans="1:6" x14ac:dyDescent="0.3">
      <c r="A2169" s="3" t="s">
        <v>1165</v>
      </c>
      <c r="B2169" s="3" t="s">
        <v>45</v>
      </c>
      <c r="C2169" s="3" t="str">
        <f t="shared" si="33"/>
        <v>4500136752100</v>
      </c>
      <c r="D2169" s="4">
        <v>46265</v>
      </c>
      <c r="E2169" s="3" t="s">
        <v>2200</v>
      </c>
      <c r="F2169" s="3" t="s">
        <v>2430</v>
      </c>
    </row>
    <row r="2170" spans="1:6" x14ac:dyDescent="0.3">
      <c r="A2170" s="3" t="s">
        <v>1165</v>
      </c>
      <c r="B2170" s="3" t="s">
        <v>156</v>
      </c>
      <c r="C2170" s="3" t="str">
        <f t="shared" si="33"/>
        <v>4500136752110</v>
      </c>
      <c r="D2170" s="4">
        <v>46265</v>
      </c>
      <c r="E2170" s="3" t="s">
        <v>2200</v>
      </c>
      <c r="F2170" s="3" t="s">
        <v>2430</v>
      </c>
    </row>
    <row r="2171" spans="1:6" x14ac:dyDescent="0.3">
      <c r="A2171" s="3" t="s">
        <v>1165</v>
      </c>
      <c r="B2171" s="3" t="s">
        <v>68</v>
      </c>
      <c r="C2171" s="3" t="str">
        <f t="shared" si="33"/>
        <v>4500136752150</v>
      </c>
      <c r="D2171" s="4">
        <v>46262</v>
      </c>
      <c r="E2171" s="3" t="s">
        <v>2200</v>
      </c>
      <c r="F2171" s="3" t="s">
        <v>2430</v>
      </c>
    </row>
    <row r="2172" spans="1:6" x14ac:dyDescent="0.3">
      <c r="A2172" s="3" t="s">
        <v>1165</v>
      </c>
      <c r="B2172" s="3" t="s">
        <v>129</v>
      </c>
      <c r="C2172" s="3" t="str">
        <f t="shared" si="33"/>
        <v>4500136752160</v>
      </c>
      <c r="D2172" s="4">
        <v>46262</v>
      </c>
      <c r="E2172" s="3" t="s">
        <v>2200</v>
      </c>
      <c r="F2172" s="3" t="s">
        <v>2430</v>
      </c>
    </row>
    <row r="2173" spans="1:6" x14ac:dyDescent="0.3">
      <c r="A2173" s="3" t="s">
        <v>1165</v>
      </c>
      <c r="B2173" s="3" t="s">
        <v>53</v>
      </c>
      <c r="C2173" s="3" t="str">
        <f t="shared" si="33"/>
        <v>4500136752170</v>
      </c>
      <c r="D2173" s="4">
        <v>46262</v>
      </c>
      <c r="E2173" s="3" t="s">
        <v>2200</v>
      </c>
      <c r="F2173" s="3" t="s">
        <v>2430</v>
      </c>
    </row>
    <row r="2174" spans="1:6" x14ac:dyDescent="0.3">
      <c r="A2174" s="3" t="s">
        <v>1165</v>
      </c>
      <c r="B2174" s="3" t="s">
        <v>130</v>
      </c>
      <c r="C2174" s="3" t="str">
        <f t="shared" si="33"/>
        <v>4500136752180</v>
      </c>
      <c r="D2174" s="4">
        <v>46262</v>
      </c>
      <c r="E2174" s="3" t="s">
        <v>2200</v>
      </c>
      <c r="F2174" s="3" t="s">
        <v>2430</v>
      </c>
    </row>
    <row r="2175" spans="1:6" x14ac:dyDescent="0.3">
      <c r="A2175" s="3" t="s">
        <v>1165</v>
      </c>
      <c r="B2175" s="3" t="s">
        <v>127</v>
      </c>
      <c r="C2175" s="3" t="str">
        <f t="shared" si="33"/>
        <v>4500136752190</v>
      </c>
      <c r="D2175" s="4">
        <v>46262</v>
      </c>
      <c r="E2175" s="3" t="s">
        <v>2200</v>
      </c>
      <c r="F2175" s="3" t="s">
        <v>2430</v>
      </c>
    </row>
    <row r="2176" spans="1:6" x14ac:dyDescent="0.3">
      <c r="A2176" s="3" t="s">
        <v>1165</v>
      </c>
      <c r="B2176" s="3" t="s">
        <v>161</v>
      </c>
      <c r="C2176" s="3" t="str">
        <f t="shared" si="33"/>
        <v>4500136752200</v>
      </c>
      <c r="D2176" s="4">
        <v>46262</v>
      </c>
      <c r="E2176" s="3" t="s">
        <v>2200</v>
      </c>
      <c r="F2176" s="3" t="s">
        <v>2430</v>
      </c>
    </row>
    <row r="2177" spans="1:6" x14ac:dyDescent="0.3">
      <c r="A2177" s="3" t="s">
        <v>1165</v>
      </c>
      <c r="B2177" s="3" t="s">
        <v>136</v>
      </c>
      <c r="C2177" s="3" t="str">
        <f t="shared" si="33"/>
        <v>4500136752210</v>
      </c>
      <c r="D2177" s="4">
        <v>46262</v>
      </c>
      <c r="E2177" s="3" t="s">
        <v>2200</v>
      </c>
      <c r="F2177" s="3" t="s">
        <v>2430</v>
      </c>
    </row>
    <row r="2178" spans="1:6" x14ac:dyDescent="0.3">
      <c r="A2178" s="3" t="s">
        <v>1165</v>
      </c>
      <c r="B2178" s="3" t="s">
        <v>140</v>
      </c>
      <c r="C2178" s="3" t="str">
        <f t="shared" si="33"/>
        <v>4500136752220</v>
      </c>
      <c r="D2178" s="4">
        <v>46262</v>
      </c>
      <c r="E2178" s="3" t="s">
        <v>2200</v>
      </c>
      <c r="F2178" s="3" t="s">
        <v>2430</v>
      </c>
    </row>
    <row r="2179" spans="1:6" x14ac:dyDescent="0.3">
      <c r="A2179" s="3" t="s">
        <v>1165</v>
      </c>
      <c r="B2179" s="3" t="s">
        <v>143</v>
      </c>
      <c r="C2179" s="3" t="str">
        <f t="shared" ref="C2179:C2242" si="34">_xlfn.CONCAT(A2179:B2179)</f>
        <v>4500136752240</v>
      </c>
      <c r="D2179" s="4">
        <v>46265</v>
      </c>
      <c r="E2179" s="3" t="s">
        <v>2200</v>
      </c>
      <c r="F2179" s="3" t="s">
        <v>2430</v>
      </c>
    </row>
    <row r="2180" spans="1:6" x14ac:dyDescent="0.3">
      <c r="A2180" s="3" t="s">
        <v>1165</v>
      </c>
      <c r="B2180" s="3" t="s">
        <v>128</v>
      </c>
      <c r="C2180" s="3" t="str">
        <f t="shared" si="34"/>
        <v>4500136752250</v>
      </c>
      <c r="D2180" s="4">
        <v>46262</v>
      </c>
      <c r="E2180" s="3" t="s">
        <v>2200</v>
      </c>
      <c r="F2180" s="3" t="s">
        <v>2430</v>
      </c>
    </row>
    <row r="2181" spans="1:6" x14ac:dyDescent="0.3">
      <c r="A2181" s="3" t="s">
        <v>1165</v>
      </c>
      <c r="B2181" s="3" t="s">
        <v>126</v>
      </c>
      <c r="C2181" s="3" t="str">
        <f t="shared" si="34"/>
        <v>4500136752260</v>
      </c>
      <c r="D2181" s="4">
        <v>46265</v>
      </c>
      <c r="E2181" s="3" t="s">
        <v>2200</v>
      </c>
      <c r="F2181" s="3" t="s">
        <v>2430</v>
      </c>
    </row>
    <row r="2182" spans="1:6" x14ac:dyDescent="0.3">
      <c r="A2182" s="3" t="s">
        <v>1165</v>
      </c>
      <c r="B2182" s="3" t="s">
        <v>146</v>
      </c>
      <c r="C2182" s="3" t="str">
        <f t="shared" si="34"/>
        <v>4500136752270</v>
      </c>
      <c r="D2182" s="4">
        <v>46268</v>
      </c>
      <c r="E2182" s="3" t="s">
        <v>2200</v>
      </c>
      <c r="F2182" s="3" t="s">
        <v>2430</v>
      </c>
    </row>
    <row r="2183" spans="1:6" x14ac:dyDescent="0.3">
      <c r="A2183" s="3" t="s">
        <v>1165</v>
      </c>
      <c r="B2183" s="3" t="s">
        <v>133</v>
      </c>
      <c r="C2183" s="3" t="str">
        <f t="shared" si="34"/>
        <v>4500136752280</v>
      </c>
      <c r="D2183" s="4">
        <v>46262</v>
      </c>
      <c r="E2183" s="3" t="s">
        <v>2200</v>
      </c>
      <c r="F2183" s="3" t="s">
        <v>2430</v>
      </c>
    </row>
    <row r="2184" spans="1:6" x14ac:dyDescent="0.3">
      <c r="A2184" s="3" t="s">
        <v>1165</v>
      </c>
      <c r="B2184" s="3" t="s">
        <v>173</v>
      </c>
      <c r="C2184" s="3" t="str">
        <f t="shared" si="34"/>
        <v>4500136752290</v>
      </c>
      <c r="D2184" s="4">
        <v>46265</v>
      </c>
      <c r="E2184" s="3" t="s">
        <v>2200</v>
      </c>
      <c r="F2184" s="3" t="s">
        <v>2430</v>
      </c>
    </row>
    <row r="2185" spans="1:6" x14ac:dyDescent="0.3">
      <c r="A2185" s="3" t="s">
        <v>1165</v>
      </c>
      <c r="B2185" s="3" t="s">
        <v>145</v>
      </c>
      <c r="C2185" s="3" t="str">
        <f t="shared" si="34"/>
        <v>4500136752300</v>
      </c>
      <c r="D2185" s="4">
        <v>46265</v>
      </c>
      <c r="E2185" s="3" t="s">
        <v>2200</v>
      </c>
      <c r="F2185" s="3" t="s">
        <v>2430</v>
      </c>
    </row>
    <row r="2186" spans="1:6" x14ac:dyDescent="0.3">
      <c r="A2186" s="3" t="s">
        <v>1165</v>
      </c>
      <c r="B2186" s="3" t="s">
        <v>147</v>
      </c>
      <c r="C2186" s="3" t="str">
        <f t="shared" si="34"/>
        <v>4500136752310</v>
      </c>
      <c r="D2186" s="4">
        <v>46262</v>
      </c>
      <c r="E2186" s="3" t="s">
        <v>2200</v>
      </c>
      <c r="F2186" s="3" t="s">
        <v>2430</v>
      </c>
    </row>
    <row r="2187" spans="1:6" x14ac:dyDescent="0.3">
      <c r="A2187" s="3" t="s">
        <v>1165</v>
      </c>
      <c r="B2187" s="3" t="s">
        <v>150</v>
      </c>
      <c r="C2187" s="3" t="str">
        <f t="shared" si="34"/>
        <v>4500136752320</v>
      </c>
      <c r="D2187" s="4">
        <v>46262</v>
      </c>
      <c r="E2187" s="3" t="s">
        <v>2200</v>
      </c>
      <c r="F2187" s="3" t="s">
        <v>2430</v>
      </c>
    </row>
    <row r="2188" spans="1:6" x14ac:dyDescent="0.3">
      <c r="A2188" s="3" t="s">
        <v>1165</v>
      </c>
      <c r="B2188" s="3" t="s">
        <v>154</v>
      </c>
      <c r="C2188" s="3" t="str">
        <f t="shared" si="34"/>
        <v>4500136752330</v>
      </c>
      <c r="D2188" s="4">
        <v>46265</v>
      </c>
      <c r="E2188" s="3" t="s">
        <v>2200</v>
      </c>
      <c r="F2188" s="3" t="s">
        <v>2430</v>
      </c>
    </row>
    <row r="2189" spans="1:6" x14ac:dyDescent="0.3">
      <c r="A2189" s="3" t="s">
        <v>1165</v>
      </c>
      <c r="B2189" s="3" t="s">
        <v>135</v>
      </c>
      <c r="C2189" s="3" t="str">
        <f t="shared" si="34"/>
        <v>4500136752340</v>
      </c>
      <c r="D2189" s="4">
        <v>46265</v>
      </c>
      <c r="E2189" s="3" t="s">
        <v>2200</v>
      </c>
      <c r="F2189" s="3" t="s">
        <v>2430</v>
      </c>
    </row>
    <row r="2190" spans="1:6" x14ac:dyDescent="0.3">
      <c r="A2190" s="3" t="s">
        <v>1165</v>
      </c>
      <c r="B2190" s="3" t="s">
        <v>139</v>
      </c>
      <c r="C2190" s="3" t="str">
        <f t="shared" si="34"/>
        <v>4500136752350</v>
      </c>
      <c r="D2190" s="4">
        <v>46265</v>
      </c>
      <c r="E2190" s="3" t="s">
        <v>2200</v>
      </c>
      <c r="F2190" s="3" t="s">
        <v>2430</v>
      </c>
    </row>
    <row r="2191" spans="1:6" x14ac:dyDescent="0.3">
      <c r="A2191" s="3" t="s">
        <v>1165</v>
      </c>
      <c r="B2191" s="3" t="s">
        <v>168</v>
      </c>
      <c r="C2191" s="3" t="str">
        <f t="shared" si="34"/>
        <v>4500136752360</v>
      </c>
      <c r="D2191" s="4">
        <v>46265</v>
      </c>
      <c r="E2191" s="3" t="s">
        <v>2200</v>
      </c>
      <c r="F2191" s="3" t="s">
        <v>2430</v>
      </c>
    </row>
    <row r="2192" spans="1:6" x14ac:dyDescent="0.3">
      <c r="A2192" s="3" t="s">
        <v>1165</v>
      </c>
      <c r="B2192" s="3" t="s">
        <v>162</v>
      </c>
      <c r="C2192" s="3" t="str">
        <f t="shared" si="34"/>
        <v>4500136752370</v>
      </c>
      <c r="D2192" s="4">
        <v>46262</v>
      </c>
      <c r="E2192" s="3" t="s">
        <v>2200</v>
      </c>
      <c r="F2192" s="3" t="s">
        <v>2430</v>
      </c>
    </row>
    <row r="2193" spans="1:6" x14ac:dyDescent="0.3">
      <c r="A2193" s="3" t="s">
        <v>404</v>
      </c>
      <c r="B2193" s="3" t="s">
        <v>30</v>
      </c>
      <c r="C2193" s="3" t="str">
        <f t="shared" si="34"/>
        <v>450013676810</v>
      </c>
      <c r="D2193" s="4">
        <v>46268</v>
      </c>
      <c r="E2193" s="3" t="s">
        <v>2196</v>
      </c>
      <c r="F2193" s="3" t="s">
        <v>2423</v>
      </c>
    </row>
    <row r="2194" spans="1:6" x14ac:dyDescent="0.3">
      <c r="A2194" s="3" t="s">
        <v>404</v>
      </c>
      <c r="B2194" s="3" t="s">
        <v>22</v>
      </c>
      <c r="C2194" s="3" t="str">
        <f t="shared" si="34"/>
        <v>450013676820</v>
      </c>
      <c r="D2194" s="4">
        <v>46268</v>
      </c>
      <c r="E2194" s="3" t="s">
        <v>2196</v>
      </c>
      <c r="F2194" s="3" t="s">
        <v>2423</v>
      </c>
    </row>
    <row r="2195" spans="1:6" x14ac:dyDescent="0.3">
      <c r="A2195" s="3" t="s">
        <v>404</v>
      </c>
      <c r="B2195" s="3" t="s">
        <v>35</v>
      </c>
      <c r="C2195" s="3" t="str">
        <f t="shared" si="34"/>
        <v>450013676830</v>
      </c>
      <c r="D2195" s="4">
        <v>46285</v>
      </c>
      <c r="E2195" s="3" t="s">
        <v>2196</v>
      </c>
      <c r="F2195" s="3" t="s">
        <v>2423</v>
      </c>
    </row>
    <row r="2196" spans="1:6" x14ac:dyDescent="0.3">
      <c r="A2196" s="3" t="s">
        <v>404</v>
      </c>
      <c r="B2196" s="3" t="s">
        <v>23</v>
      </c>
      <c r="C2196" s="3" t="str">
        <f t="shared" si="34"/>
        <v>450013676840</v>
      </c>
      <c r="D2196" s="4">
        <v>46268</v>
      </c>
      <c r="E2196" s="3" t="s">
        <v>2196</v>
      </c>
      <c r="F2196" s="3" t="s">
        <v>2423</v>
      </c>
    </row>
    <row r="2197" spans="1:6" x14ac:dyDescent="0.3">
      <c r="A2197" s="3" t="s">
        <v>404</v>
      </c>
      <c r="B2197" s="3" t="s">
        <v>144</v>
      </c>
      <c r="C2197" s="3" t="str">
        <f t="shared" si="34"/>
        <v>450013676850</v>
      </c>
      <c r="D2197" s="4">
        <v>46268</v>
      </c>
      <c r="E2197" s="3" t="s">
        <v>2196</v>
      </c>
      <c r="F2197" s="3" t="s">
        <v>2423</v>
      </c>
    </row>
    <row r="2198" spans="1:6" x14ac:dyDescent="0.3">
      <c r="A2198" s="3" t="s">
        <v>404</v>
      </c>
      <c r="B2198" s="3" t="s">
        <v>141</v>
      </c>
      <c r="C2198" s="3" t="str">
        <f t="shared" si="34"/>
        <v>450013676860</v>
      </c>
      <c r="D2198" s="4">
        <v>46268</v>
      </c>
      <c r="E2198" s="3" t="s">
        <v>2196</v>
      </c>
      <c r="F2198" s="3" t="s">
        <v>2423</v>
      </c>
    </row>
    <row r="2199" spans="1:6" x14ac:dyDescent="0.3">
      <c r="A2199" s="3" t="s">
        <v>404</v>
      </c>
      <c r="B2199" s="3" t="s">
        <v>134</v>
      </c>
      <c r="C2199" s="3" t="str">
        <f t="shared" si="34"/>
        <v>450013676870</v>
      </c>
      <c r="D2199" s="4">
        <v>46268</v>
      </c>
      <c r="E2199" s="3" t="s">
        <v>2196</v>
      </c>
      <c r="F2199" s="3" t="s">
        <v>2423</v>
      </c>
    </row>
    <row r="2200" spans="1:6" x14ac:dyDescent="0.3">
      <c r="A2200" s="3" t="s">
        <v>404</v>
      </c>
      <c r="B2200" s="3" t="s">
        <v>52</v>
      </c>
      <c r="C2200" s="3" t="str">
        <f t="shared" si="34"/>
        <v>450013676880</v>
      </c>
      <c r="D2200" s="4">
        <v>46268</v>
      </c>
      <c r="E2200" s="3" t="s">
        <v>2196</v>
      </c>
      <c r="F2200" s="3" t="s">
        <v>2423</v>
      </c>
    </row>
    <row r="2201" spans="1:6" x14ac:dyDescent="0.3">
      <c r="A2201" s="3" t="s">
        <v>404</v>
      </c>
      <c r="B2201" s="3" t="s">
        <v>138</v>
      </c>
      <c r="C2201" s="3" t="str">
        <f t="shared" si="34"/>
        <v>450013676890</v>
      </c>
      <c r="D2201" s="4">
        <v>46283</v>
      </c>
      <c r="E2201" s="3" t="s">
        <v>2196</v>
      </c>
      <c r="F2201" s="3" t="s">
        <v>2423</v>
      </c>
    </row>
    <row r="2202" spans="1:6" x14ac:dyDescent="0.3">
      <c r="A2202" s="3" t="s">
        <v>404</v>
      </c>
      <c r="B2202" s="3" t="s">
        <v>45</v>
      </c>
      <c r="C2202" s="3" t="str">
        <f t="shared" si="34"/>
        <v>4500136768100</v>
      </c>
      <c r="D2202" s="4">
        <v>46268</v>
      </c>
      <c r="E2202" s="3" t="s">
        <v>2196</v>
      </c>
      <c r="F2202" s="3" t="s">
        <v>2423</v>
      </c>
    </row>
    <row r="2203" spans="1:6" x14ac:dyDescent="0.3">
      <c r="A2203" s="3" t="s">
        <v>404</v>
      </c>
      <c r="B2203" s="3" t="s">
        <v>156</v>
      </c>
      <c r="C2203" s="3" t="str">
        <f t="shared" si="34"/>
        <v>4500136768110</v>
      </c>
      <c r="D2203" s="4">
        <v>46290</v>
      </c>
      <c r="E2203" s="3" t="s">
        <v>2196</v>
      </c>
      <c r="F2203" s="3" t="s">
        <v>2423</v>
      </c>
    </row>
    <row r="2204" spans="1:6" x14ac:dyDescent="0.3">
      <c r="A2204" s="3" t="s">
        <v>404</v>
      </c>
      <c r="B2204" s="3" t="s">
        <v>132</v>
      </c>
      <c r="C2204" s="3" t="str">
        <f t="shared" si="34"/>
        <v>4500136768120</v>
      </c>
      <c r="D2204" s="4">
        <v>46268</v>
      </c>
      <c r="E2204" s="3" t="s">
        <v>2196</v>
      </c>
      <c r="F2204" s="3" t="s">
        <v>2423</v>
      </c>
    </row>
    <row r="2205" spans="1:6" x14ac:dyDescent="0.3">
      <c r="A2205" s="3" t="s">
        <v>404</v>
      </c>
      <c r="B2205" s="3" t="s">
        <v>142</v>
      </c>
      <c r="C2205" s="3" t="str">
        <f t="shared" si="34"/>
        <v>4500136768130</v>
      </c>
      <c r="D2205" s="4">
        <v>46268</v>
      </c>
      <c r="E2205" s="3" t="s">
        <v>2196</v>
      </c>
      <c r="F2205" s="3" t="s">
        <v>2423</v>
      </c>
    </row>
    <row r="2206" spans="1:6" x14ac:dyDescent="0.3">
      <c r="A2206" s="3" t="s">
        <v>404</v>
      </c>
      <c r="B2206" s="3" t="s">
        <v>131</v>
      </c>
      <c r="C2206" s="3" t="str">
        <f t="shared" si="34"/>
        <v>4500136768140</v>
      </c>
      <c r="D2206" s="4">
        <v>46268</v>
      </c>
      <c r="E2206" s="3" t="s">
        <v>2196</v>
      </c>
      <c r="F2206" s="3" t="s">
        <v>2423</v>
      </c>
    </row>
    <row r="2207" spans="1:6" x14ac:dyDescent="0.3">
      <c r="A2207" s="3" t="s">
        <v>404</v>
      </c>
      <c r="B2207" s="3" t="s">
        <v>68</v>
      </c>
      <c r="C2207" s="3" t="str">
        <f t="shared" si="34"/>
        <v>4500136768150</v>
      </c>
      <c r="D2207" s="4">
        <v>46268</v>
      </c>
      <c r="E2207" s="3" t="s">
        <v>2196</v>
      </c>
      <c r="F2207" s="3" t="s">
        <v>2423</v>
      </c>
    </row>
    <row r="2208" spans="1:6" x14ac:dyDescent="0.3">
      <c r="A2208" s="3" t="s">
        <v>404</v>
      </c>
      <c r="B2208" s="3" t="s">
        <v>129</v>
      </c>
      <c r="C2208" s="3" t="str">
        <f t="shared" si="34"/>
        <v>4500136768160</v>
      </c>
      <c r="D2208" s="4">
        <v>46283</v>
      </c>
      <c r="E2208" s="3" t="s">
        <v>2196</v>
      </c>
      <c r="F2208" s="3" t="s">
        <v>2423</v>
      </c>
    </row>
    <row r="2209" spans="1:6" x14ac:dyDescent="0.3">
      <c r="A2209" s="3" t="s">
        <v>404</v>
      </c>
      <c r="B2209" s="3" t="s">
        <v>53</v>
      </c>
      <c r="C2209" s="3" t="str">
        <f t="shared" si="34"/>
        <v>4500136768170</v>
      </c>
      <c r="D2209" s="4">
        <v>46268</v>
      </c>
      <c r="E2209" s="3" t="s">
        <v>2196</v>
      </c>
      <c r="F2209" s="3" t="s">
        <v>2423</v>
      </c>
    </row>
    <row r="2210" spans="1:6" x14ac:dyDescent="0.3">
      <c r="A2210" s="3" t="s">
        <v>404</v>
      </c>
      <c r="B2210" s="3" t="s">
        <v>130</v>
      </c>
      <c r="C2210" s="3" t="str">
        <f t="shared" si="34"/>
        <v>4500136768180</v>
      </c>
      <c r="D2210" s="4">
        <v>46268</v>
      </c>
      <c r="E2210" s="3" t="s">
        <v>2196</v>
      </c>
      <c r="F2210" s="3" t="s">
        <v>2423</v>
      </c>
    </row>
    <row r="2211" spans="1:6" x14ac:dyDescent="0.3">
      <c r="A2211" s="3" t="s">
        <v>404</v>
      </c>
      <c r="B2211" s="3" t="s">
        <v>127</v>
      </c>
      <c r="C2211" s="3" t="str">
        <f t="shared" si="34"/>
        <v>4500136768190</v>
      </c>
      <c r="D2211" s="4">
        <v>46283</v>
      </c>
      <c r="E2211" s="3" t="s">
        <v>2196</v>
      </c>
      <c r="F2211" s="3" t="s">
        <v>2423</v>
      </c>
    </row>
    <row r="2212" spans="1:6" x14ac:dyDescent="0.3">
      <c r="A2212" s="3" t="s">
        <v>404</v>
      </c>
      <c r="B2212" s="3" t="s">
        <v>161</v>
      </c>
      <c r="C2212" s="3" t="str">
        <f t="shared" si="34"/>
        <v>4500136768200</v>
      </c>
      <c r="D2212" s="4">
        <v>46268</v>
      </c>
      <c r="E2212" s="3" t="s">
        <v>2196</v>
      </c>
      <c r="F2212" s="3" t="s">
        <v>2423</v>
      </c>
    </row>
    <row r="2213" spans="1:6" x14ac:dyDescent="0.3">
      <c r="A2213" s="3" t="s">
        <v>404</v>
      </c>
      <c r="B2213" s="3" t="s">
        <v>136</v>
      </c>
      <c r="C2213" s="3" t="str">
        <f t="shared" si="34"/>
        <v>4500136768210</v>
      </c>
      <c r="D2213" s="4">
        <v>46268</v>
      </c>
      <c r="E2213" s="3" t="s">
        <v>2196</v>
      </c>
      <c r="F2213" s="3" t="s">
        <v>2423</v>
      </c>
    </row>
    <row r="2214" spans="1:6" x14ac:dyDescent="0.3">
      <c r="A2214" s="3" t="s">
        <v>404</v>
      </c>
      <c r="B2214" s="3" t="s">
        <v>140</v>
      </c>
      <c r="C2214" s="3" t="str">
        <f t="shared" si="34"/>
        <v>4500136768220</v>
      </c>
      <c r="D2214" s="4">
        <v>46268</v>
      </c>
      <c r="E2214" s="3" t="s">
        <v>2196</v>
      </c>
      <c r="F2214" s="3" t="s">
        <v>2423</v>
      </c>
    </row>
    <row r="2215" spans="1:6" x14ac:dyDescent="0.3">
      <c r="A2215" s="3" t="s">
        <v>404</v>
      </c>
      <c r="B2215" s="3" t="s">
        <v>137</v>
      </c>
      <c r="C2215" s="3" t="str">
        <f t="shared" si="34"/>
        <v>4500136768230</v>
      </c>
      <c r="D2215" s="4">
        <v>46283</v>
      </c>
      <c r="E2215" s="3" t="s">
        <v>2196</v>
      </c>
      <c r="F2215" s="3" t="s">
        <v>2423</v>
      </c>
    </row>
    <row r="2216" spans="1:6" x14ac:dyDescent="0.3">
      <c r="A2216" s="3" t="s">
        <v>404</v>
      </c>
      <c r="B2216" s="3" t="s">
        <v>143</v>
      </c>
      <c r="C2216" s="3" t="str">
        <f t="shared" si="34"/>
        <v>4500136768240</v>
      </c>
      <c r="D2216" s="4">
        <v>46283</v>
      </c>
      <c r="E2216" s="3" t="s">
        <v>2196</v>
      </c>
      <c r="F2216" s="3" t="s">
        <v>2423</v>
      </c>
    </row>
    <row r="2217" spans="1:6" x14ac:dyDescent="0.3">
      <c r="A2217" s="3" t="s">
        <v>1634</v>
      </c>
      <c r="B2217" s="3" t="s">
        <v>30</v>
      </c>
      <c r="C2217" s="3" t="str">
        <f t="shared" si="34"/>
        <v>450013677010</v>
      </c>
      <c r="D2217" s="4">
        <v>46269</v>
      </c>
      <c r="E2217" s="3" t="s">
        <v>2196</v>
      </c>
      <c r="F2217" s="3" t="s">
        <v>2439</v>
      </c>
    </row>
    <row r="2218" spans="1:6" x14ac:dyDescent="0.3">
      <c r="A2218" s="3" t="s">
        <v>1634</v>
      </c>
      <c r="B2218" s="3" t="s">
        <v>22</v>
      </c>
      <c r="C2218" s="3" t="str">
        <f t="shared" si="34"/>
        <v>450013677020</v>
      </c>
      <c r="D2218" s="4">
        <v>46269</v>
      </c>
      <c r="E2218" s="3" t="s">
        <v>2196</v>
      </c>
      <c r="F2218" s="3" t="s">
        <v>2439</v>
      </c>
    </row>
    <row r="2219" spans="1:6" x14ac:dyDescent="0.3">
      <c r="A2219" s="3" t="s">
        <v>1634</v>
      </c>
      <c r="B2219" s="3" t="s">
        <v>35</v>
      </c>
      <c r="C2219" s="3" t="str">
        <f t="shared" si="34"/>
        <v>450013677030</v>
      </c>
      <c r="D2219" s="4">
        <v>46269</v>
      </c>
      <c r="E2219" s="3" t="s">
        <v>2196</v>
      </c>
      <c r="F2219" s="3" t="s">
        <v>2439</v>
      </c>
    </row>
    <row r="2220" spans="1:6" x14ac:dyDescent="0.3">
      <c r="A2220" s="3" t="s">
        <v>1634</v>
      </c>
      <c r="B2220" s="3" t="s">
        <v>23</v>
      </c>
      <c r="C2220" s="3" t="str">
        <f t="shared" si="34"/>
        <v>450013677040</v>
      </c>
      <c r="D2220" s="4">
        <v>46269</v>
      </c>
      <c r="E2220" s="3" t="s">
        <v>2196</v>
      </c>
      <c r="F2220" s="3" t="s">
        <v>2439</v>
      </c>
    </row>
    <row r="2221" spans="1:6" x14ac:dyDescent="0.3">
      <c r="A2221" s="3" t="s">
        <v>1167</v>
      </c>
      <c r="B2221" s="3" t="s">
        <v>30</v>
      </c>
      <c r="C2221" s="3" t="str">
        <f t="shared" si="34"/>
        <v>450013678410</v>
      </c>
      <c r="D2221" s="4">
        <v>46276</v>
      </c>
      <c r="E2221" s="3" t="s">
        <v>2207</v>
      </c>
      <c r="F2221" s="3" t="s">
        <v>2489</v>
      </c>
    </row>
    <row r="2222" spans="1:6" x14ac:dyDescent="0.3">
      <c r="A2222" s="3" t="s">
        <v>2355</v>
      </c>
      <c r="B2222" s="3" t="s">
        <v>30</v>
      </c>
      <c r="C2222" s="3" t="str">
        <f t="shared" si="34"/>
        <v>450013679010</v>
      </c>
      <c r="D2222" s="4">
        <v>46298</v>
      </c>
      <c r="E2222" s="3" t="s">
        <v>2241</v>
      </c>
      <c r="F2222" s="3" t="s">
        <v>2648</v>
      </c>
    </row>
    <row r="2223" spans="1:6" x14ac:dyDescent="0.3">
      <c r="A2223" s="3" t="s">
        <v>2355</v>
      </c>
      <c r="B2223" s="3" t="s">
        <v>22</v>
      </c>
      <c r="C2223" s="3" t="str">
        <f t="shared" si="34"/>
        <v>450013679020</v>
      </c>
      <c r="D2223" s="4">
        <v>46272</v>
      </c>
      <c r="E2223" s="3" t="s">
        <v>2241</v>
      </c>
      <c r="F2223" s="3" t="s">
        <v>2648</v>
      </c>
    </row>
    <row r="2224" spans="1:6" x14ac:dyDescent="0.3">
      <c r="A2224" s="3" t="s">
        <v>2355</v>
      </c>
      <c r="B2224" s="3" t="s">
        <v>35</v>
      </c>
      <c r="C2224" s="3" t="str">
        <f t="shared" si="34"/>
        <v>450013679030</v>
      </c>
      <c r="D2224" s="4">
        <v>46288</v>
      </c>
      <c r="E2224" s="3" t="s">
        <v>2241</v>
      </c>
      <c r="F2224" s="3" t="s">
        <v>2648</v>
      </c>
    </row>
    <row r="2225" spans="1:6" x14ac:dyDescent="0.3">
      <c r="A2225" s="3" t="s">
        <v>2355</v>
      </c>
      <c r="B2225" s="3" t="s">
        <v>23</v>
      </c>
      <c r="C2225" s="3" t="str">
        <f t="shared" si="34"/>
        <v>450013679040</v>
      </c>
      <c r="D2225" s="4">
        <v>46288</v>
      </c>
      <c r="E2225" s="3" t="s">
        <v>2241</v>
      </c>
      <c r="F2225" s="3" t="s">
        <v>2648</v>
      </c>
    </row>
    <row r="2226" spans="1:6" x14ac:dyDescent="0.3">
      <c r="A2226" s="3" t="s">
        <v>2355</v>
      </c>
      <c r="B2226" s="3" t="s">
        <v>144</v>
      </c>
      <c r="C2226" s="3" t="str">
        <f t="shared" si="34"/>
        <v>450013679050</v>
      </c>
      <c r="D2226" s="4">
        <v>46272</v>
      </c>
      <c r="E2226" s="3" t="s">
        <v>2241</v>
      </c>
      <c r="F2226" s="3" t="s">
        <v>2648</v>
      </c>
    </row>
    <row r="2227" spans="1:6" x14ac:dyDescent="0.3">
      <c r="A2227" s="3" t="s">
        <v>2355</v>
      </c>
      <c r="B2227" s="3" t="s">
        <v>141</v>
      </c>
      <c r="C2227" s="3" t="str">
        <f t="shared" si="34"/>
        <v>450013679060</v>
      </c>
      <c r="D2227" s="4">
        <v>46272</v>
      </c>
      <c r="E2227" s="3" t="s">
        <v>2241</v>
      </c>
      <c r="F2227" s="3" t="s">
        <v>2648</v>
      </c>
    </row>
    <row r="2228" spans="1:6" x14ac:dyDescent="0.3">
      <c r="A2228" s="3" t="s">
        <v>1312</v>
      </c>
      <c r="B2228" s="3" t="s">
        <v>30</v>
      </c>
      <c r="C2228" s="3" t="str">
        <f t="shared" si="34"/>
        <v>450013679610</v>
      </c>
      <c r="D2228" s="4">
        <v>46266</v>
      </c>
      <c r="E2228" s="3" t="s">
        <v>2200</v>
      </c>
      <c r="F2228" s="3" t="s">
        <v>2544</v>
      </c>
    </row>
    <row r="2229" spans="1:6" x14ac:dyDescent="0.3">
      <c r="A2229" s="3" t="s">
        <v>1312</v>
      </c>
      <c r="B2229" s="3" t="s">
        <v>23</v>
      </c>
      <c r="C2229" s="3" t="str">
        <f t="shared" si="34"/>
        <v>450013679640</v>
      </c>
      <c r="D2229" s="4">
        <v>46266</v>
      </c>
      <c r="E2229" s="3" t="s">
        <v>2200</v>
      </c>
      <c r="F2229" s="3" t="s">
        <v>2544</v>
      </c>
    </row>
    <row r="2230" spans="1:6" x14ac:dyDescent="0.3">
      <c r="A2230" s="3" t="s">
        <v>1312</v>
      </c>
      <c r="B2230" s="3" t="s">
        <v>156</v>
      </c>
      <c r="C2230" s="3" t="str">
        <f t="shared" si="34"/>
        <v>4500136796110</v>
      </c>
      <c r="D2230" s="4">
        <v>46266</v>
      </c>
      <c r="E2230" s="3" t="s">
        <v>2200</v>
      </c>
      <c r="F2230" s="3" t="s">
        <v>2544</v>
      </c>
    </row>
    <row r="2231" spans="1:6" x14ac:dyDescent="0.3">
      <c r="A2231" s="3" t="s">
        <v>1312</v>
      </c>
      <c r="B2231" s="3" t="s">
        <v>53</v>
      </c>
      <c r="C2231" s="3" t="str">
        <f t="shared" si="34"/>
        <v>4500136796170</v>
      </c>
      <c r="D2231" s="4">
        <v>46266</v>
      </c>
      <c r="E2231" s="3" t="s">
        <v>2200</v>
      </c>
      <c r="F2231" s="3" t="s">
        <v>2544</v>
      </c>
    </row>
    <row r="2232" spans="1:6" x14ac:dyDescent="0.3">
      <c r="A2232" s="3" t="s">
        <v>1212</v>
      </c>
      <c r="B2232" s="3" t="s">
        <v>30</v>
      </c>
      <c r="C2232" s="3" t="str">
        <f t="shared" si="34"/>
        <v>450013680610</v>
      </c>
      <c r="D2232" s="4">
        <v>46402</v>
      </c>
      <c r="E2232" s="3" t="s">
        <v>2239</v>
      </c>
      <c r="F2232" s="3" t="s">
        <v>2478</v>
      </c>
    </row>
    <row r="2233" spans="1:6" x14ac:dyDescent="0.3">
      <c r="A2233" s="3" t="s">
        <v>1139</v>
      </c>
      <c r="B2233" s="3" t="s">
        <v>30</v>
      </c>
      <c r="C2233" s="3" t="str">
        <f t="shared" si="34"/>
        <v>450013681610</v>
      </c>
      <c r="D2233" s="4">
        <v>46279</v>
      </c>
      <c r="E2233" s="3" t="s">
        <v>2207</v>
      </c>
      <c r="F2233" s="3" t="s">
        <v>2503</v>
      </c>
    </row>
    <row r="2234" spans="1:6" x14ac:dyDescent="0.3">
      <c r="A2234" s="3" t="s">
        <v>1197</v>
      </c>
      <c r="B2234" s="3" t="s">
        <v>30</v>
      </c>
      <c r="C2234" s="3" t="str">
        <f t="shared" si="34"/>
        <v>450013682410</v>
      </c>
      <c r="D2234" s="4">
        <v>46268</v>
      </c>
      <c r="E2234" s="3" t="s">
        <v>2196</v>
      </c>
      <c r="F2234" s="3" t="s">
        <v>2622</v>
      </c>
    </row>
    <row r="2235" spans="1:6" x14ac:dyDescent="0.3">
      <c r="A2235" s="3" t="s">
        <v>1197</v>
      </c>
      <c r="B2235" s="3" t="s">
        <v>22</v>
      </c>
      <c r="C2235" s="3" t="str">
        <f t="shared" si="34"/>
        <v>450013682420</v>
      </c>
      <c r="D2235" s="4">
        <v>46268</v>
      </c>
      <c r="E2235" s="3" t="s">
        <v>2196</v>
      </c>
      <c r="F2235" s="3" t="s">
        <v>2622</v>
      </c>
    </row>
    <row r="2236" spans="1:6" x14ac:dyDescent="0.3">
      <c r="A2236" s="3" t="s">
        <v>415</v>
      </c>
      <c r="B2236" s="3" t="s">
        <v>30</v>
      </c>
      <c r="C2236" s="3" t="str">
        <f t="shared" si="34"/>
        <v>450013684010</v>
      </c>
      <c r="D2236" s="4">
        <v>46280</v>
      </c>
      <c r="E2236" s="3" t="s">
        <v>2196</v>
      </c>
      <c r="F2236" s="3" t="s">
        <v>2454</v>
      </c>
    </row>
    <row r="2237" spans="1:6" x14ac:dyDescent="0.3">
      <c r="A2237" s="3" t="s">
        <v>415</v>
      </c>
      <c r="B2237" s="3" t="s">
        <v>35</v>
      </c>
      <c r="C2237" s="3" t="str">
        <f t="shared" si="34"/>
        <v>450013684030</v>
      </c>
      <c r="D2237" s="4">
        <v>46280</v>
      </c>
      <c r="E2237" s="3" t="s">
        <v>2196</v>
      </c>
      <c r="F2237" s="3" t="s">
        <v>2454</v>
      </c>
    </row>
    <row r="2238" spans="1:6" x14ac:dyDescent="0.3">
      <c r="A2238" s="3" t="s">
        <v>415</v>
      </c>
      <c r="B2238" s="3" t="s">
        <v>23</v>
      </c>
      <c r="C2238" s="3" t="str">
        <f t="shared" si="34"/>
        <v>450013684040</v>
      </c>
      <c r="D2238" s="4">
        <v>46280</v>
      </c>
      <c r="E2238" s="3" t="s">
        <v>2196</v>
      </c>
      <c r="F2238" s="3" t="s">
        <v>2454</v>
      </c>
    </row>
    <row r="2239" spans="1:6" x14ac:dyDescent="0.3">
      <c r="A2239" s="3" t="s">
        <v>415</v>
      </c>
      <c r="B2239" s="3" t="s">
        <v>144</v>
      </c>
      <c r="C2239" s="3" t="str">
        <f t="shared" si="34"/>
        <v>450013684050</v>
      </c>
      <c r="D2239" s="4">
        <v>46280</v>
      </c>
      <c r="E2239" s="3" t="s">
        <v>2196</v>
      </c>
      <c r="F2239" s="3" t="s">
        <v>2454</v>
      </c>
    </row>
    <row r="2240" spans="1:6" x14ac:dyDescent="0.3">
      <c r="A2240" s="3" t="s">
        <v>415</v>
      </c>
      <c r="B2240" s="3" t="s">
        <v>141</v>
      </c>
      <c r="C2240" s="3" t="str">
        <f t="shared" si="34"/>
        <v>450013684060</v>
      </c>
      <c r="D2240" s="4">
        <v>46280</v>
      </c>
      <c r="E2240" s="3" t="s">
        <v>2196</v>
      </c>
      <c r="F2240" s="3" t="s">
        <v>2454</v>
      </c>
    </row>
    <row r="2241" spans="1:6" x14ac:dyDescent="0.3">
      <c r="A2241" s="3" t="s">
        <v>415</v>
      </c>
      <c r="B2241" s="3" t="s">
        <v>134</v>
      </c>
      <c r="C2241" s="3" t="str">
        <f t="shared" si="34"/>
        <v>450013684070</v>
      </c>
      <c r="D2241" s="4">
        <v>46280</v>
      </c>
      <c r="E2241" s="3" t="s">
        <v>2196</v>
      </c>
      <c r="F2241" s="3" t="s">
        <v>2454</v>
      </c>
    </row>
    <row r="2242" spans="1:6" x14ac:dyDescent="0.3">
      <c r="A2242" s="3" t="s">
        <v>415</v>
      </c>
      <c r="B2242" s="3" t="s">
        <v>52</v>
      </c>
      <c r="C2242" s="3" t="str">
        <f t="shared" si="34"/>
        <v>450013684080</v>
      </c>
      <c r="D2242" s="4">
        <v>46280</v>
      </c>
      <c r="E2242" s="3" t="s">
        <v>2196</v>
      </c>
      <c r="F2242" s="3" t="s">
        <v>2454</v>
      </c>
    </row>
    <row r="2243" spans="1:6" x14ac:dyDescent="0.3">
      <c r="A2243" s="3" t="s">
        <v>415</v>
      </c>
      <c r="B2243" s="3" t="s">
        <v>138</v>
      </c>
      <c r="C2243" s="3" t="str">
        <f t="shared" ref="C2243:C2306" si="35">_xlfn.CONCAT(A2243:B2243)</f>
        <v>450013684090</v>
      </c>
      <c r="D2243" s="4">
        <v>46280</v>
      </c>
      <c r="E2243" s="3" t="s">
        <v>2196</v>
      </c>
      <c r="F2243" s="3" t="s">
        <v>2454</v>
      </c>
    </row>
    <row r="2244" spans="1:6" x14ac:dyDescent="0.3">
      <c r="A2244" s="3" t="s">
        <v>1365</v>
      </c>
      <c r="B2244" s="3" t="s">
        <v>30</v>
      </c>
      <c r="C2244" s="3" t="str">
        <f t="shared" si="35"/>
        <v>450013685310</v>
      </c>
      <c r="D2244" s="4">
        <v>46280</v>
      </c>
      <c r="E2244" s="3" t="s">
        <v>2204</v>
      </c>
      <c r="F2244" s="3" t="s">
        <v>2649</v>
      </c>
    </row>
    <row r="2245" spans="1:6" x14ac:dyDescent="0.3">
      <c r="A2245" s="3" t="s">
        <v>1113</v>
      </c>
      <c r="B2245" s="3" t="s">
        <v>30</v>
      </c>
      <c r="C2245" s="3" t="str">
        <f t="shared" si="35"/>
        <v>450013686410</v>
      </c>
      <c r="D2245" s="4">
        <v>46275</v>
      </c>
      <c r="E2245" s="3" t="s">
        <v>2250</v>
      </c>
      <c r="F2245" s="3" t="s">
        <v>2650</v>
      </c>
    </row>
    <row r="2246" spans="1:6" x14ac:dyDescent="0.3">
      <c r="A2246" s="3" t="s">
        <v>1158</v>
      </c>
      <c r="B2246" s="3" t="s">
        <v>30</v>
      </c>
      <c r="C2246" s="3" t="str">
        <f t="shared" si="35"/>
        <v>450013686510</v>
      </c>
      <c r="D2246" s="4">
        <v>46260</v>
      </c>
      <c r="E2246" s="3" t="s">
        <v>2207</v>
      </c>
      <c r="F2246" s="3" t="s">
        <v>2549</v>
      </c>
    </row>
    <row r="2247" spans="1:6" x14ac:dyDescent="0.3">
      <c r="A2247" s="3" t="s">
        <v>1636</v>
      </c>
      <c r="B2247" s="3" t="s">
        <v>30</v>
      </c>
      <c r="C2247" s="3" t="str">
        <f t="shared" si="35"/>
        <v>450013690610</v>
      </c>
      <c r="D2247" s="4">
        <v>46268</v>
      </c>
      <c r="E2247" s="3" t="s">
        <v>2196</v>
      </c>
      <c r="F2247" s="3" t="s">
        <v>2439</v>
      </c>
    </row>
    <row r="2248" spans="1:6" x14ac:dyDescent="0.3">
      <c r="A2248" s="3" t="s">
        <v>1636</v>
      </c>
      <c r="B2248" s="3" t="s">
        <v>22</v>
      </c>
      <c r="C2248" s="3" t="str">
        <f t="shared" si="35"/>
        <v>450013690620</v>
      </c>
      <c r="D2248" s="4">
        <v>46268</v>
      </c>
      <c r="E2248" s="3" t="s">
        <v>2196</v>
      </c>
      <c r="F2248" s="3" t="s">
        <v>2439</v>
      </c>
    </row>
    <row r="2249" spans="1:6" x14ac:dyDescent="0.3">
      <c r="A2249" s="3" t="s">
        <v>1636</v>
      </c>
      <c r="B2249" s="3" t="s">
        <v>35</v>
      </c>
      <c r="C2249" s="3" t="str">
        <f t="shared" si="35"/>
        <v>450013690630</v>
      </c>
      <c r="D2249" s="4">
        <v>46268</v>
      </c>
      <c r="E2249" s="3" t="s">
        <v>2196</v>
      </c>
      <c r="F2249" s="3" t="s">
        <v>2439</v>
      </c>
    </row>
    <row r="2250" spans="1:6" x14ac:dyDescent="0.3">
      <c r="A2250" s="3" t="s">
        <v>1636</v>
      </c>
      <c r="B2250" s="3" t="s">
        <v>23</v>
      </c>
      <c r="C2250" s="3" t="str">
        <f t="shared" si="35"/>
        <v>450013690640</v>
      </c>
      <c r="D2250" s="4">
        <v>46268</v>
      </c>
      <c r="E2250" s="3" t="s">
        <v>2196</v>
      </c>
      <c r="F2250" s="3" t="s">
        <v>2439</v>
      </c>
    </row>
    <row r="2251" spans="1:6" x14ac:dyDescent="0.3">
      <c r="A2251" s="3" t="s">
        <v>1636</v>
      </c>
      <c r="B2251" s="3" t="s">
        <v>144</v>
      </c>
      <c r="C2251" s="3" t="str">
        <f t="shared" si="35"/>
        <v>450013690650</v>
      </c>
      <c r="D2251" s="4">
        <v>46268</v>
      </c>
      <c r="E2251" s="3" t="s">
        <v>2196</v>
      </c>
      <c r="F2251" s="3" t="s">
        <v>2439</v>
      </c>
    </row>
    <row r="2252" spans="1:6" x14ac:dyDescent="0.3">
      <c r="A2252" s="3" t="s">
        <v>1636</v>
      </c>
      <c r="B2252" s="3" t="s">
        <v>141</v>
      </c>
      <c r="C2252" s="3" t="str">
        <f t="shared" si="35"/>
        <v>450013690660</v>
      </c>
      <c r="D2252" s="4">
        <v>46268</v>
      </c>
      <c r="E2252" s="3" t="s">
        <v>2196</v>
      </c>
      <c r="F2252" s="3" t="s">
        <v>2439</v>
      </c>
    </row>
    <row r="2253" spans="1:6" x14ac:dyDescent="0.3">
      <c r="A2253" s="3" t="s">
        <v>1156</v>
      </c>
      <c r="B2253" s="3" t="s">
        <v>30</v>
      </c>
      <c r="C2253" s="3" t="str">
        <f t="shared" si="35"/>
        <v>450013690710</v>
      </c>
      <c r="D2253" s="4">
        <v>46267</v>
      </c>
      <c r="E2253" s="3" t="s">
        <v>2196</v>
      </c>
      <c r="F2253" s="3" t="s">
        <v>2649</v>
      </c>
    </row>
    <row r="2254" spans="1:6" x14ac:dyDescent="0.3">
      <c r="A2254" s="3" t="s">
        <v>1939</v>
      </c>
      <c r="B2254" s="3" t="s">
        <v>30</v>
      </c>
      <c r="C2254" s="3" t="str">
        <f t="shared" si="35"/>
        <v>450013696410</v>
      </c>
      <c r="D2254" s="4">
        <v>46276</v>
      </c>
      <c r="E2254" s="3" t="s">
        <v>2196</v>
      </c>
      <c r="F2254" s="3" t="s">
        <v>2454</v>
      </c>
    </row>
    <row r="2255" spans="1:6" x14ac:dyDescent="0.3">
      <c r="A2255" s="3" t="s">
        <v>1939</v>
      </c>
      <c r="B2255" s="3" t="s">
        <v>22</v>
      </c>
      <c r="C2255" s="3" t="str">
        <f t="shared" si="35"/>
        <v>450013696420</v>
      </c>
      <c r="D2255" s="4">
        <v>46276</v>
      </c>
      <c r="E2255" s="3" t="s">
        <v>2196</v>
      </c>
      <c r="F2255" s="3" t="s">
        <v>2454</v>
      </c>
    </row>
    <row r="2256" spans="1:6" x14ac:dyDescent="0.3">
      <c r="A2256" s="3" t="s">
        <v>1939</v>
      </c>
      <c r="B2256" s="3" t="s">
        <v>35</v>
      </c>
      <c r="C2256" s="3" t="str">
        <f t="shared" si="35"/>
        <v>450013696430</v>
      </c>
      <c r="D2256" s="4">
        <v>46276</v>
      </c>
      <c r="E2256" s="3" t="s">
        <v>2196</v>
      </c>
      <c r="F2256" s="3" t="s">
        <v>2454</v>
      </c>
    </row>
    <row r="2257" spans="1:6" x14ac:dyDescent="0.3">
      <c r="A2257" s="3" t="s">
        <v>1939</v>
      </c>
      <c r="B2257" s="3" t="s">
        <v>23</v>
      </c>
      <c r="C2257" s="3" t="str">
        <f t="shared" si="35"/>
        <v>450013696440</v>
      </c>
      <c r="D2257" s="4">
        <v>46295</v>
      </c>
      <c r="E2257" s="3" t="s">
        <v>2196</v>
      </c>
      <c r="F2257" s="3" t="s">
        <v>2454</v>
      </c>
    </row>
    <row r="2258" spans="1:6" x14ac:dyDescent="0.3">
      <c r="A2258" s="3" t="s">
        <v>1939</v>
      </c>
      <c r="B2258" s="3" t="s">
        <v>144</v>
      </c>
      <c r="C2258" s="3" t="str">
        <f t="shared" si="35"/>
        <v>450013696450</v>
      </c>
      <c r="D2258" s="4">
        <v>46295</v>
      </c>
      <c r="E2258" s="3" t="s">
        <v>2196</v>
      </c>
      <c r="F2258" s="3" t="s">
        <v>2454</v>
      </c>
    </row>
    <row r="2259" spans="1:6" x14ac:dyDescent="0.3">
      <c r="A2259" s="3" t="s">
        <v>1939</v>
      </c>
      <c r="B2259" s="3" t="s">
        <v>141</v>
      </c>
      <c r="C2259" s="3" t="str">
        <f t="shared" si="35"/>
        <v>450013696460</v>
      </c>
      <c r="D2259" s="4">
        <v>46295</v>
      </c>
      <c r="E2259" s="3" t="s">
        <v>2196</v>
      </c>
      <c r="F2259" s="3" t="s">
        <v>2454</v>
      </c>
    </row>
    <row r="2260" spans="1:6" x14ac:dyDescent="0.3">
      <c r="A2260" s="3" t="s">
        <v>1701</v>
      </c>
      <c r="B2260" s="3" t="s">
        <v>30</v>
      </c>
      <c r="C2260" s="3" t="str">
        <f t="shared" si="35"/>
        <v>450013697910</v>
      </c>
      <c r="D2260" s="4">
        <v>46275</v>
      </c>
      <c r="E2260" s="3" t="s">
        <v>2240</v>
      </c>
      <c r="F2260" s="3" t="s">
        <v>2651</v>
      </c>
    </row>
    <row r="2261" spans="1:6" x14ac:dyDescent="0.3">
      <c r="A2261" s="3" t="s">
        <v>1589</v>
      </c>
      <c r="B2261" s="3" t="s">
        <v>30</v>
      </c>
      <c r="C2261" s="3" t="str">
        <f t="shared" si="35"/>
        <v>450013698410</v>
      </c>
      <c r="D2261" s="4">
        <v>46290</v>
      </c>
      <c r="E2261" s="3" t="s">
        <v>2196</v>
      </c>
      <c r="F2261" s="3" t="s">
        <v>2454</v>
      </c>
    </row>
    <row r="2262" spans="1:6" x14ac:dyDescent="0.3">
      <c r="A2262" s="3" t="s">
        <v>1589</v>
      </c>
      <c r="B2262" s="3" t="s">
        <v>22</v>
      </c>
      <c r="C2262" s="3" t="str">
        <f t="shared" si="35"/>
        <v>450013698420</v>
      </c>
      <c r="D2262" s="4">
        <v>46290</v>
      </c>
      <c r="E2262" s="3" t="s">
        <v>2196</v>
      </c>
      <c r="F2262" s="3" t="s">
        <v>2454</v>
      </c>
    </row>
    <row r="2263" spans="1:6" x14ac:dyDescent="0.3">
      <c r="A2263" s="3" t="s">
        <v>1589</v>
      </c>
      <c r="B2263" s="3" t="s">
        <v>35</v>
      </c>
      <c r="C2263" s="3" t="str">
        <f t="shared" si="35"/>
        <v>450013698430</v>
      </c>
      <c r="D2263" s="4">
        <v>46290</v>
      </c>
      <c r="E2263" s="3" t="s">
        <v>2196</v>
      </c>
      <c r="F2263" s="3" t="s">
        <v>2454</v>
      </c>
    </row>
    <row r="2264" spans="1:6" x14ac:dyDescent="0.3">
      <c r="A2264" s="3" t="s">
        <v>1589</v>
      </c>
      <c r="B2264" s="3" t="s">
        <v>23</v>
      </c>
      <c r="C2264" s="3" t="str">
        <f t="shared" si="35"/>
        <v>450013698440</v>
      </c>
      <c r="D2264" s="4">
        <v>46290</v>
      </c>
      <c r="E2264" s="3" t="s">
        <v>2196</v>
      </c>
      <c r="F2264" s="3" t="s">
        <v>2454</v>
      </c>
    </row>
    <row r="2265" spans="1:6" x14ac:dyDescent="0.3">
      <c r="A2265" s="3" t="s">
        <v>1589</v>
      </c>
      <c r="B2265" s="3" t="s">
        <v>144</v>
      </c>
      <c r="C2265" s="3" t="str">
        <f t="shared" si="35"/>
        <v>450013698450</v>
      </c>
      <c r="D2265" s="4">
        <v>46290</v>
      </c>
      <c r="E2265" s="3" t="s">
        <v>2196</v>
      </c>
      <c r="F2265" s="3" t="s">
        <v>2454</v>
      </c>
    </row>
    <row r="2266" spans="1:6" x14ac:dyDescent="0.3">
      <c r="A2266" s="3" t="s">
        <v>1589</v>
      </c>
      <c r="B2266" s="3" t="s">
        <v>141</v>
      </c>
      <c r="C2266" s="3" t="str">
        <f t="shared" si="35"/>
        <v>450013698460</v>
      </c>
      <c r="D2266" s="4">
        <v>46290</v>
      </c>
      <c r="E2266" s="3" t="s">
        <v>2196</v>
      </c>
      <c r="F2266" s="3" t="s">
        <v>2454</v>
      </c>
    </row>
    <row r="2267" spans="1:6" x14ac:dyDescent="0.3">
      <c r="A2267" s="3" t="s">
        <v>1589</v>
      </c>
      <c r="B2267" s="3" t="s">
        <v>134</v>
      </c>
      <c r="C2267" s="3" t="str">
        <f t="shared" si="35"/>
        <v>450013698470</v>
      </c>
      <c r="D2267" s="4">
        <v>46290</v>
      </c>
      <c r="E2267" s="3" t="s">
        <v>2196</v>
      </c>
      <c r="F2267" s="3" t="s">
        <v>2454</v>
      </c>
    </row>
    <row r="2268" spans="1:6" x14ac:dyDescent="0.3">
      <c r="A2268" s="3" t="s">
        <v>1589</v>
      </c>
      <c r="B2268" s="3" t="s">
        <v>52</v>
      </c>
      <c r="C2268" s="3" t="str">
        <f t="shared" si="35"/>
        <v>450013698480</v>
      </c>
      <c r="D2268" s="4">
        <v>46290</v>
      </c>
      <c r="E2268" s="3" t="s">
        <v>2196</v>
      </c>
      <c r="F2268" s="3" t="s">
        <v>2454</v>
      </c>
    </row>
    <row r="2269" spans="1:6" x14ac:dyDescent="0.3">
      <c r="A2269" s="3" t="s">
        <v>1589</v>
      </c>
      <c r="B2269" s="3" t="s">
        <v>138</v>
      </c>
      <c r="C2269" s="3" t="str">
        <f t="shared" si="35"/>
        <v>450013698490</v>
      </c>
      <c r="D2269" s="4">
        <v>46290</v>
      </c>
      <c r="E2269" s="3" t="s">
        <v>2196</v>
      </c>
      <c r="F2269" s="3" t="s">
        <v>2454</v>
      </c>
    </row>
    <row r="2270" spans="1:6" x14ac:dyDescent="0.3">
      <c r="A2270" s="3" t="s">
        <v>1589</v>
      </c>
      <c r="B2270" s="3" t="s">
        <v>45</v>
      </c>
      <c r="C2270" s="3" t="str">
        <f t="shared" si="35"/>
        <v>4500136984100</v>
      </c>
      <c r="D2270" s="4">
        <v>46290</v>
      </c>
      <c r="E2270" s="3" t="s">
        <v>2196</v>
      </c>
      <c r="F2270" s="3" t="s">
        <v>2454</v>
      </c>
    </row>
    <row r="2271" spans="1:6" x14ac:dyDescent="0.3">
      <c r="A2271" s="3" t="s">
        <v>1589</v>
      </c>
      <c r="B2271" s="3" t="s">
        <v>156</v>
      </c>
      <c r="C2271" s="3" t="str">
        <f t="shared" si="35"/>
        <v>4500136984110</v>
      </c>
      <c r="D2271" s="4">
        <v>46290</v>
      </c>
      <c r="E2271" s="3" t="s">
        <v>2196</v>
      </c>
      <c r="F2271" s="3" t="s">
        <v>2454</v>
      </c>
    </row>
    <row r="2272" spans="1:6" x14ac:dyDescent="0.3">
      <c r="A2272" s="3" t="s">
        <v>1589</v>
      </c>
      <c r="B2272" s="3" t="s">
        <v>132</v>
      </c>
      <c r="C2272" s="3" t="str">
        <f t="shared" si="35"/>
        <v>4500136984120</v>
      </c>
      <c r="D2272" s="4">
        <v>46290</v>
      </c>
      <c r="E2272" s="3" t="s">
        <v>2196</v>
      </c>
      <c r="F2272" s="3" t="s">
        <v>2454</v>
      </c>
    </row>
    <row r="2273" spans="1:6" x14ac:dyDescent="0.3">
      <c r="A2273" s="3" t="s">
        <v>1589</v>
      </c>
      <c r="B2273" s="3" t="s">
        <v>142</v>
      </c>
      <c r="C2273" s="3" t="str">
        <f t="shared" si="35"/>
        <v>4500136984130</v>
      </c>
      <c r="D2273" s="4">
        <v>46290</v>
      </c>
      <c r="E2273" s="3" t="s">
        <v>2196</v>
      </c>
      <c r="F2273" s="3" t="s">
        <v>2454</v>
      </c>
    </row>
    <row r="2274" spans="1:6" x14ac:dyDescent="0.3">
      <c r="A2274" s="3" t="s">
        <v>1589</v>
      </c>
      <c r="B2274" s="3" t="s">
        <v>131</v>
      </c>
      <c r="C2274" s="3" t="str">
        <f t="shared" si="35"/>
        <v>4500136984140</v>
      </c>
      <c r="D2274" s="4">
        <v>46290</v>
      </c>
      <c r="E2274" s="3" t="s">
        <v>2196</v>
      </c>
      <c r="F2274" s="3" t="s">
        <v>2454</v>
      </c>
    </row>
    <row r="2275" spans="1:6" x14ac:dyDescent="0.3">
      <c r="A2275" s="3" t="s">
        <v>1589</v>
      </c>
      <c r="B2275" s="3" t="s">
        <v>68</v>
      </c>
      <c r="C2275" s="3" t="str">
        <f t="shared" si="35"/>
        <v>4500136984150</v>
      </c>
      <c r="D2275" s="4">
        <v>46290</v>
      </c>
      <c r="E2275" s="3" t="s">
        <v>2196</v>
      </c>
      <c r="F2275" s="3" t="s">
        <v>2454</v>
      </c>
    </row>
    <row r="2276" spans="1:6" x14ac:dyDescent="0.3">
      <c r="A2276" s="3" t="s">
        <v>1589</v>
      </c>
      <c r="B2276" s="3" t="s">
        <v>129</v>
      </c>
      <c r="C2276" s="3" t="str">
        <f t="shared" si="35"/>
        <v>4500136984160</v>
      </c>
      <c r="D2276" s="4">
        <v>46290</v>
      </c>
      <c r="E2276" s="3" t="s">
        <v>2196</v>
      </c>
      <c r="F2276" s="3" t="s">
        <v>2454</v>
      </c>
    </row>
    <row r="2277" spans="1:6" x14ac:dyDescent="0.3">
      <c r="A2277" s="3" t="s">
        <v>1589</v>
      </c>
      <c r="B2277" s="3" t="s">
        <v>53</v>
      </c>
      <c r="C2277" s="3" t="str">
        <f t="shared" si="35"/>
        <v>4500136984170</v>
      </c>
      <c r="D2277" s="4">
        <v>46290</v>
      </c>
      <c r="E2277" s="3" t="s">
        <v>2196</v>
      </c>
      <c r="F2277" s="3" t="s">
        <v>2454</v>
      </c>
    </row>
    <row r="2278" spans="1:6" x14ac:dyDescent="0.3">
      <c r="A2278" s="3" t="s">
        <v>1589</v>
      </c>
      <c r="B2278" s="3" t="s">
        <v>130</v>
      </c>
      <c r="C2278" s="3" t="str">
        <f t="shared" si="35"/>
        <v>4500136984180</v>
      </c>
      <c r="D2278" s="4">
        <v>46290</v>
      </c>
      <c r="E2278" s="3" t="s">
        <v>2196</v>
      </c>
      <c r="F2278" s="3" t="s">
        <v>2454</v>
      </c>
    </row>
    <row r="2279" spans="1:6" x14ac:dyDescent="0.3">
      <c r="A2279" s="3" t="s">
        <v>1589</v>
      </c>
      <c r="B2279" s="3" t="s">
        <v>127</v>
      </c>
      <c r="C2279" s="3" t="str">
        <f t="shared" si="35"/>
        <v>4500136984190</v>
      </c>
      <c r="D2279" s="4">
        <v>46290</v>
      </c>
      <c r="E2279" s="3" t="s">
        <v>2196</v>
      </c>
      <c r="F2279" s="3" t="s">
        <v>2454</v>
      </c>
    </row>
    <row r="2280" spans="1:6" x14ac:dyDescent="0.3">
      <c r="A2280" s="3" t="s">
        <v>1589</v>
      </c>
      <c r="B2280" s="3" t="s">
        <v>161</v>
      </c>
      <c r="C2280" s="3" t="str">
        <f t="shared" si="35"/>
        <v>4500136984200</v>
      </c>
      <c r="D2280" s="4">
        <v>46290</v>
      </c>
      <c r="E2280" s="3" t="s">
        <v>2196</v>
      </c>
      <c r="F2280" s="3" t="s">
        <v>2454</v>
      </c>
    </row>
    <row r="2281" spans="1:6" x14ac:dyDescent="0.3">
      <c r="A2281" s="3" t="s">
        <v>1589</v>
      </c>
      <c r="B2281" s="3" t="s">
        <v>136</v>
      </c>
      <c r="C2281" s="3" t="str">
        <f t="shared" si="35"/>
        <v>4500136984210</v>
      </c>
      <c r="D2281" s="4">
        <v>46290</v>
      </c>
      <c r="E2281" s="3" t="s">
        <v>2196</v>
      </c>
      <c r="F2281" s="3" t="s">
        <v>2454</v>
      </c>
    </row>
    <row r="2282" spans="1:6" x14ac:dyDescent="0.3">
      <c r="A2282" s="3" t="s">
        <v>1589</v>
      </c>
      <c r="B2282" s="3" t="s">
        <v>140</v>
      </c>
      <c r="C2282" s="3" t="str">
        <f t="shared" si="35"/>
        <v>4500136984220</v>
      </c>
      <c r="D2282" s="4">
        <v>46290</v>
      </c>
      <c r="E2282" s="3" t="s">
        <v>2196</v>
      </c>
      <c r="F2282" s="3" t="s">
        <v>2454</v>
      </c>
    </row>
    <row r="2283" spans="1:6" x14ac:dyDescent="0.3">
      <c r="A2283" s="3" t="s">
        <v>1589</v>
      </c>
      <c r="B2283" s="3" t="s">
        <v>137</v>
      </c>
      <c r="C2283" s="3" t="str">
        <f t="shared" si="35"/>
        <v>4500136984230</v>
      </c>
      <c r="D2283" s="4">
        <v>46290</v>
      </c>
      <c r="E2283" s="3" t="s">
        <v>2196</v>
      </c>
      <c r="F2283" s="3" t="s">
        <v>2454</v>
      </c>
    </row>
    <row r="2284" spans="1:6" x14ac:dyDescent="0.3">
      <c r="A2284" s="3" t="s">
        <v>1589</v>
      </c>
      <c r="B2284" s="3" t="s">
        <v>143</v>
      </c>
      <c r="C2284" s="3" t="str">
        <f t="shared" si="35"/>
        <v>4500136984240</v>
      </c>
      <c r="D2284" s="4">
        <v>46290</v>
      </c>
      <c r="E2284" s="3" t="s">
        <v>2196</v>
      </c>
      <c r="F2284" s="3" t="s">
        <v>2454</v>
      </c>
    </row>
    <row r="2285" spans="1:6" x14ac:dyDescent="0.3">
      <c r="A2285" s="3" t="s">
        <v>1589</v>
      </c>
      <c r="B2285" s="3" t="s">
        <v>128</v>
      </c>
      <c r="C2285" s="3" t="str">
        <f t="shared" si="35"/>
        <v>4500136984250</v>
      </c>
      <c r="D2285" s="4">
        <v>46290</v>
      </c>
      <c r="E2285" s="3" t="s">
        <v>2196</v>
      </c>
      <c r="F2285" s="3" t="s">
        <v>2454</v>
      </c>
    </row>
    <row r="2286" spans="1:6" x14ac:dyDescent="0.3">
      <c r="A2286" s="3" t="s">
        <v>1589</v>
      </c>
      <c r="B2286" s="3" t="s">
        <v>126</v>
      </c>
      <c r="C2286" s="3" t="str">
        <f t="shared" si="35"/>
        <v>4500136984260</v>
      </c>
      <c r="D2286" s="4">
        <v>46290</v>
      </c>
      <c r="E2286" s="3" t="s">
        <v>2196</v>
      </c>
      <c r="F2286" s="3" t="s">
        <v>2454</v>
      </c>
    </row>
    <row r="2287" spans="1:6" x14ac:dyDescent="0.3">
      <c r="A2287" s="3" t="s">
        <v>1589</v>
      </c>
      <c r="B2287" s="3" t="s">
        <v>173</v>
      </c>
      <c r="C2287" s="3" t="str">
        <f t="shared" si="35"/>
        <v>4500136984290</v>
      </c>
      <c r="D2287" s="4">
        <v>46290</v>
      </c>
      <c r="E2287" s="3" t="s">
        <v>2196</v>
      </c>
      <c r="F2287" s="3" t="s">
        <v>2454</v>
      </c>
    </row>
    <row r="2288" spans="1:6" x14ac:dyDescent="0.3">
      <c r="A2288" s="3" t="s">
        <v>1589</v>
      </c>
      <c r="B2288" s="3" t="s">
        <v>145</v>
      </c>
      <c r="C2288" s="3" t="str">
        <f t="shared" si="35"/>
        <v>4500136984300</v>
      </c>
      <c r="D2288" s="4">
        <v>46290</v>
      </c>
      <c r="E2288" s="3" t="s">
        <v>2196</v>
      </c>
      <c r="F2288" s="3" t="s">
        <v>2454</v>
      </c>
    </row>
    <row r="2289" spans="1:6" x14ac:dyDescent="0.3">
      <c r="A2289" s="3" t="s">
        <v>1589</v>
      </c>
      <c r="B2289" s="3" t="s">
        <v>147</v>
      </c>
      <c r="C2289" s="3" t="str">
        <f t="shared" si="35"/>
        <v>4500136984310</v>
      </c>
      <c r="D2289" s="4">
        <v>46290</v>
      </c>
      <c r="E2289" s="3" t="s">
        <v>2196</v>
      </c>
      <c r="F2289" s="3" t="s">
        <v>2454</v>
      </c>
    </row>
    <row r="2290" spans="1:6" x14ac:dyDescent="0.3">
      <c r="A2290" s="3" t="s">
        <v>1589</v>
      </c>
      <c r="B2290" s="3" t="s">
        <v>150</v>
      </c>
      <c r="C2290" s="3" t="str">
        <f t="shared" si="35"/>
        <v>4500136984320</v>
      </c>
      <c r="D2290" s="4">
        <v>46290</v>
      </c>
      <c r="E2290" s="3" t="s">
        <v>2196</v>
      </c>
      <c r="F2290" s="3" t="s">
        <v>2454</v>
      </c>
    </row>
    <row r="2291" spans="1:6" x14ac:dyDescent="0.3">
      <c r="A2291" s="3" t="s">
        <v>1589</v>
      </c>
      <c r="B2291" s="3" t="s">
        <v>154</v>
      </c>
      <c r="C2291" s="3" t="str">
        <f t="shared" si="35"/>
        <v>4500136984330</v>
      </c>
      <c r="D2291" s="4">
        <v>46290</v>
      </c>
      <c r="E2291" s="3" t="s">
        <v>2196</v>
      </c>
      <c r="F2291" s="3" t="s">
        <v>2454</v>
      </c>
    </row>
    <row r="2292" spans="1:6" x14ac:dyDescent="0.3">
      <c r="A2292" s="3" t="s">
        <v>1589</v>
      </c>
      <c r="B2292" s="3" t="s">
        <v>135</v>
      </c>
      <c r="C2292" s="3" t="str">
        <f t="shared" si="35"/>
        <v>4500136984340</v>
      </c>
      <c r="D2292" s="4">
        <v>46290</v>
      </c>
      <c r="E2292" s="3" t="s">
        <v>2196</v>
      </c>
      <c r="F2292" s="3" t="s">
        <v>2454</v>
      </c>
    </row>
    <row r="2293" spans="1:6" x14ac:dyDescent="0.3">
      <c r="A2293" s="3" t="s">
        <v>1589</v>
      </c>
      <c r="B2293" s="3" t="s">
        <v>168</v>
      </c>
      <c r="C2293" s="3" t="str">
        <f t="shared" si="35"/>
        <v>4500136984360</v>
      </c>
      <c r="D2293" s="4">
        <v>46290</v>
      </c>
      <c r="E2293" s="3" t="s">
        <v>2196</v>
      </c>
      <c r="F2293" s="3" t="s">
        <v>2454</v>
      </c>
    </row>
    <row r="2294" spans="1:6" x14ac:dyDescent="0.3">
      <c r="A2294" s="3" t="s">
        <v>1589</v>
      </c>
      <c r="B2294" s="3" t="s">
        <v>162</v>
      </c>
      <c r="C2294" s="3" t="str">
        <f t="shared" si="35"/>
        <v>4500136984370</v>
      </c>
      <c r="D2294" s="4">
        <v>46290</v>
      </c>
      <c r="E2294" s="3" t="s">
        <v>2196</v>
      </c>
      <c r="F2294" s="3" t="s">
        <v>2454</v>
      </c>
    </row>
    <row r="2295" spans="1:6" x14ac:dyDescent="0.3">
      <c r="A2295" s="3" t="s">
        <v>1589</v>
      </c>
      <c r="B2295" s="3" t="s">
        <v>1132</v>
      </c>
      <c r="C2295" s="3" t="str">
        <f t="shared" si="35"/>
        <v>4500136984380</v>
      </c>
      <c r="D2295" s="4">
        <v>46290</v>
      </c>
      <c r="E2295" s="3" t="s">
        <v>2196</v>
      </c>
      <c r="F2295" s="3" t="s">
        <v>2454</v>
      </c>
    </row>
    <row r="2296" spans="1:6" x14ac:dyDescent="0.3">
      <c r="A2296" s="3" t="s">
        <v>1589</v>
      </c>
      <c r="B2296" s="3" t="s">
        <v>158</v>
      </c>
      <c r="C2296" s="3" t="str">
        <f t="shared" si="35"/>
        <v>4500136984390</v>
      </c>
      <c r="D2296" s="4">
        <v>46290</v>
      </c>
      <c r="E2296" s="3" t="s">
        <v>2196</v>
      </c>
      <c r="F2296" s="3" t="s">
        <v>2454</v>
      </c>
    </row>
    <row r="2297" spans="1:6" x14ac:dyDescent="0.3">
      <c r="A2297" s="3" t="s">
        <v>1589</v>
      </c>
      <c r="B2297" s="3" t="s">
        <v>178</v>
      </c>
      <c r="C2297" s="3" t="str">
        <f t="shared" si="35"/>
        <v>4500136984400</v>
      </c>
      <c r="D2297" s="4">
        <v>46290</v>
      </c>
      <c r="E2297" s="3" t="s">
        <v>2196</v>
      </c>
      <c r="F2297" s="3" t="s">
        <v>2454</v>
      </c>
    </row>
    <row r="2298" spans="1:6" x14ac:dyDescent="0.3">
      <c r="A2298" s="3" t="s">
        <v>1589</v>
      </c>
      <c r="B2298" s="3" t="s">
        <v>155</v>
      </c>
      <c r="C2298" s="3" t="str">
        <f t="shared" si="35"/>
        <v>4500136984420</v>
      </c>
      <c r="D2298" s="4">
        <v>46290</v>
      </c>
      <c r="E2298" s="3" t="s">
        <v>2196</v>
      </c>
      <c r="F2298" s="3" t="s">
        <v>2454</v>
      </c>
    </row>
    <row r="2299" spans="1:6" x14ac:dyDescent="0.3">
      <c r="A2299" s="3" t="s">
        <v>1589</v>
      </c>
      <c r="B2299" s="3" t="s">
        <v>166</v>
      </c>
      <c r="C2299" s="3" t="str">
        <f t="shared" si="35"/>
        <v>4500136984430</v>
      </c>
      <c r="D2299" s="4">
        <v>46290</v>
      </c>
      <c r="E2299" s="3" t="s">
        <v>2196</v>
      </c>
      <c r="F2299" s="3" t="s">
        <v>2454</v>
      </c>
    </row>
    <row r="2300" spans="1:6" x14ac:dyDescent="0.3">
      <c r="A2300" s="3" t="s">
        <v>1589</v>
      </c>
      <c r="B2300" s="3" t="s">
        <v>164</v>
      </c>
      <c r="C2300" s="3" t="str">
        <f t="shared" si="35"/>
        <v>4500136984440</v>
      </c>
      <c r="D2300" s="4">
        <v>46290</v>
      </c>
      <c r="E2300" s="3" t="s">
        <v>2196</v>
      </c>
      <c r="F2300" s="3" t="s">
        <v>2454</v>
      </c>
    </row>
    <row r="2301" spans="1:6" x14ac:dyDescent="0.3">
      <c r="A2301" s="3" t="s">
        <v>1589</v>
      </c>
      <c r="B2301" s="3" t="s">
        <v>169</v>
      </c>
      <c r="C2301" s="3" t="str">
        <f t="shared" si="35"/>
        <v>4500136984450</v>
      </c>
      <c r="D2301" s="4">
        <v>46290</v>
      </c>
      <c r="E2301" s="3" t="s">
        <v>2196</v>
      </c>
      <c r="F2301" s="3" t="s">
        <v>2454</v>
      </c>
    </row>
    <row r="2302" spans="1:6" x14ac:dyDescent="0.3">
      <c r="A2302" s="3" t="s">
        <v>1589</v>
      </c>
      <c r="B2302" s="3" t="s">
        <v>170</v>
      </c>
      <c r="C2302" s="3" t="str">
        <f t="shared" si="35"/>
        <v>4500136984460</v>
      </c>
      <c r="D2302" s="4">
        <v>46290</v>
      </c>
      <c r="E2302" s="3" t="s">
        <v>2196</v>
      </c>
      <c r="F2302" s="3" t="s">
        <v>2454</v>
      </c>
    </row>
    <row r="2303" spans="1:6" x14ac:dyDescent="0.3">
      <c r="A2303" s="3" t="s">
        <v>1589</v>
      </c>
      <c r="B2303" s="3" t="s">
        <v>171</v>
      </c>
      <c r="C2303" s="3" t="str">
        <f t="shared" si="35"/>
        <v>4500136984470</v>
      </c>
      <c r="D2303" s="4">
        <v>46290</v>
      </c>
      <c r="E2303" s="3" t="s">
        <v>2196</v>
      </c>
      <c r="F2303" s="3" t="s">
        <v>2454</v>
      </c>
    </row>
    <row r="2304" spans="1:6" x14ac:dyDescent="0.3">
      <c r="A2304" s="3" t="s">
        <v>1589</v>
      </c>
      <c r="B2304" s="3" t="s">
        <v>172</v>
      </c>
      <c r="C2304" s="3" t="str">
        <f t="shared" si="35"/>
        <v>4500136984480</v>
      </c>
      <c r="D2304" s="4">
        <v>46290</v>
      </c>
      <c r="E2304" s="3" t="s">
        <v>2196</v>
      </c>
      <c r="F2304" s="3" t="s">
        <v>2454</v>
      </c>
    </row>
    <row r="2305" spans="1:6" x14ac:dyDescent="0.3">
      <c r="A2305" s="3" t="s">
        <v>1589</v>
      </c>
      <c r="B2305" s="3" t="s">
        <v>1133</v>
      </c>
      <c r="C2305" s="3" t="str">
        <f t="shared" si="35"/>
        <v>4500136984490</v>
      </c>
      <c r="D2305" s="4">
        <v>46290</v>
      </c>
      <c r="E2305" s="3" t="s">
        <v>2196</v>
      </c>
      <c r="F2305" s="3" t="s">
        <v>2454</v>
      </c>
    </row>
    <row r="2306" spans="1:6" x14ac:dyDescent="0.3">
      <c r="A2306" s="3" t="s">
        <v>1589</v>
      </c>
      <c r="B2306" s="3" t="s">
        <v>160</v>
      </c>
      <c r="C2306" s="3" t="str">
        <f t="shared" si="35"/>
        <v>4500136984500</v>
      </c>
      <c r="D2306" s="4">
        <v>46290</v>
      </c>
      <c r="E2306" s="3" t="s">
        <v>2196</v>
      </c>
      <c r="F2306" s="3" t="s">
        <v>2454</v>
      </c>
    </row>
    <row r="2307" spans="1:6" x14ac:dyDescent="0.3">
      <c r="A2307" s="3" t="s">
        <v>1589</v>
      </c>
      <c r="B2307" s="3" t="s">
        <v>159</v>
      </c>
      <c r="C2307" s="3" t="str">
        <f t="shared" ref="C2307:C2370" si="36">_xlfn.CONCAT(A2307:B2307)</f>
        <v>4500136984510</v>
      </c>
      <c r="D2307" s="4">
        <v>46290</v>
      </c>
      <c r="E2307" s="3" t="s">
        <v>2196</v>
      </c>
      <c r="F2307" s="3" t="s">
        <v>2454</v>
      </c>
    </row>
    <row r="2308" spans="1:6" x14ac:dyDescent="0.3">
      <c r="A2308" s="3" t="s">
        <v>1589</v>
      </c>
      <c r="B2308" s="3" t="s">
        <v>1134</v>
      </c>
      <c r="C2308" s="3" t="str">
        <f t="shared" si="36"/>
        <v>4500136984520</v>
      </c>
      <c r="D2308" s="4">
        <v>46290</v>
      </c>
      <c r="E2308" s="3" t="s">
        <v>2196</v>
      </c>
      <c r="F2308" s="3" t="s">
        <v>2454</v>
      </c>
    </row>
    <row r="2309" spans="1:6" x14ac:dyDescent="0.3">
      <c r="A2309" s="3" t="s">
        <v>1589</v>
      </c>
      <c r="B2309" s="3" t="s">
        <v>167</v>
      </c>
      <c r="C2309" s="3" t="str">
        <f t="shared" si="36"/>
        <v>4500136984530</v>
      </c>
      <c r="D2309" s="4">
        <v>46290</v>
      </c>
      <c r="E2309" s="3" t="s">
        <v>2196</v>
      </c>
      <c r="F2309" s="3" t="s">
        <v>2454</v>
      </c>
    </row>
    <row r="2310" spans="1:6" x14ac:dyDescent="0.3">
      <c r="A2310" s="3" t="s">
        <v>1589</v>
      </c>
      <c r="B2310" s="3" t="s">
        <v>151</v>
      </c>
      <c r="C2310" s="3" t="str">
        <f t="shared" si="36"/>
        <v>4500136984540</v>
      </c>
      <c r="D2310" s="4">
        <v>46290</v>
      </c>
      <c r="E2310" s="3" t="s">
        <v>2196</v>
      </c>
      <c r="F2310" s="3" t="s">
        <v>2454</v>
      </c>
    </row>
    <row r="2311" spans="1:6" x14ac:dyDescent="0.3">
      <c r="A2311" s="3" t="s">
        <v>1589</v>
      </c>
      <c r="B2311" s="3" t="s">
        <v>153</v>
      </c>
      <c r="C2311" s="3" t="str">
        <f t="shared" si="36"/>
        <v>4500136984550</v>
      </c>
      <c r="D2311" s="4">
        <v>46290</v>
      </c>
      <c r="E2311" s="3" t="s">
        <v>2196</v>
      </c>
      <c r="F2311" s="3" t="s">
        <v>2454</v>
      </c>
    </row>
    <row r="2312" spans="1:6" x14ac:dyDescent="0.3">
      <c r="A2312" s="3" t="s">
        <v>1589</v>
      </c>
      <c r="B2312" s="3" t="s">
        <v>176</v>
      </c>
      <c r="C2312" s="3" t="str">
        <f t="shared" si="36"/>
        <v>4500136984560</v>
      </c>
      <c r="D2312" s="4">
        <v>46290</v>
      </c>
      <c r="E2312" s="3" t="s">
        <v>2196</v>
      </c>
      <c r="F2312" s="3" t="s">
        <v>2454</v>
      </c>
    </row>
    <row r="2313" spans="1:6" x14ac:dyDescent="0.3">
      <c r="A2313" s="3" t="s">
        <v>1589</v>
      </c>
      <c r="B2313" s="3" t="s">
        <v>177</v>
      </c>
      <c r="C2313" s="3" t="str">
        <f t="shared" si="36"/>
        <v>4500136984570</v>
      </c>
      <c r="D2313" s="4">
        <v>46290</v>
      </c>
      <c r="E2313" s="3" t="s">
        <v>2196</v>
      </c>
      <c r="F2313" s="3" t="s">
        <v>2454</v>
      </c>
    </row>
    <row r="2314" spans="1:6" x14ac:dyDescent="0.3">
      <c r="A2314" s="3" t="s">
        <v>1589</v>
      </c>
      <c r="B2314" s="3" t="s">
        <v>163</v>
      </c>
      <c r="C2314" s="3" t="str">
        <f t="shared" si="36"/>
        <v>4500136984580</v>
      </c>
      <c r="D2314" s="4">
        <v>46290</v>
      </c>
      <c r="E2314" s="3" t="s">
        <v>2196</v>
      </c>
      <c r="F2314" s="3" t="s">
        <v>2454</v>
      </c>
    </row>
    <row r="2315" spans="1:6" x14ac:dyDescent="0.3">
      <c r="A2315" s="3" t="s">
        <v>1589</v>
      </c>
      <c r="B2315" s="3" t="s">
        <v>119</v>
      </c>
      <c r="C2315" s="3" t="str">
        <f t="shared" si="36"/>
        <v>4500136984590</v>
      </c>
      <c r="D2315" s="4">
        <v>46290</v>
      </c>
      <c r="E2315" s="3" t="s">
        <v>2196</v>
      </c>
      <c r="F2315" s="3" t="s">
        <v>2454</v>
      </c>
    </row>
    <row r="2316" spans="1:6" x14ac:dyDescent="0.3">
      <c r="A2316" s="3" t="s">
        <v>1589</v>
      </c>
      <c r="B2316" s="3" t="s">
        <v>148</v>
      </c>
      <c r="C2316" s="3" t="str">
        <f t="shared" si="36"/>
        <v>4500136984610</v>
      </c>
      <c r="D2316" s="4">
        <v>46290</v>
      </c>
      <c r="E2316" s="3" t="s">
        <v>2196</v>
      </c>
      <c r="F2316" s="3" t="s">
        <v>2454</v>
      </c>
    </row>
    <row r="2317" spans="1:6" x14ac:dyDescent="0.3">
      <c r="A2317" s="3" t="s">
        <v>1589</v>
      </c>
      <c r="B2317" s="3" t="s">
        <v>175</v>
      </c>
      <c r="C2317" s="3" t="str">
        <f t="shared" si="36"/>
        <v>4500136984620</v>
      </c>
      <c r="D2317" s="4">
        <v>46290</v>
      </c>
      <c r="E2317" s="3" t="s">
        <v>2196</v>
      </c>
      <c r="F2317" s="3" t="s">
        <v>2454</v>
      </c>
    </row>
    <row r="2318" spans="1:6" x14ac:dyDescent="0.3">
      <c r="A2318" s="3" t="s">
        <v>1589</v>
      </c>
      <c r="B2318" s="3" t="s">
        <v>165</v>
      </c>
      <c r="C2318" s="3" t="str">
        <f t="shared" si="36"/>
        <v>4500136984630</v>
      </c>
      <c r="D2318" s="4">
        <v>46290</v>
      </c>
      <c r="E2318" s="3" t="s">
        <v>2196</v>
      </c>
      <c r="F2318" s="3" t="s">
        <v>2454</v>
      </c>
    </row>
    <row r="2319" spans="1:6" x14ac:dyDescent="0.3">
      <c r="A2319" s="3" t="s">
        <v>1589</v>
      </c>
      <c r="B2319" s="3" t="s">
        <v>149</v>
      </c>
      <c r="C2319" s="3" t="str">
        <f t="shared" si="36"/>
        <v>4500136984640</v>
      </c>
      <c r="D2319" s="4">
        <v>46290</v>
      </c>
      <c r="E2319" s="3" t="s">
        <v>2196</v>
      </c>
      <c r="F2319" s="3" t="s">
        <v>2454</v>
      </c>
    </row>
    <row r="2320" spans="1:6" x14ac:dyDescent="0.3">
      <c r="A2320" s="3" t="s">
        <v>1589</v>
      </c>
      <c r="B2320" s="3" t="s">
        <v>174</v>
      </c>
      <c r="C2320" s="3" t="str">
        <f t="shared" si="36"/>
        <v>4500136984650</v>
      </c>
      <c r="D2320" s="4">
        <v>46290</v>
      </c>
      <c r="E2320" s="3" t="s">
        <v>2196</v>
      </c>
      <c r="F2320" s="3" t="s">
        <v>2454</v>
      </c>
    </row>
    <row r="2321" spans="1:6" x14ac:dyDescent="0.3">
      <c r="A2321" s="3" t="s">
        <v>1589</v>
      </c>
      <c r="B2321" s="3" t="s">
        <v>179</v>
      </c>
      <c r="C2321" s="3" t="str">
        <f t="shared" si="36"/>
        <v>4500136984660</v>
      </c>
      <c r="D2321" s="4">
        <v>46290</v>
      </c>
      <c r="E2321" s="3" t="s">
        <v>2196</v>
      </c>
      <c r="F2321" s="3" t="s">
        <v>2454</v>
      </c>
    </row>
    <row r="2322" spans="1:6" x14ac:dyDescent="0.3">
      <c r="A2322" s="3" t="s">
        <v>1589</v>
      </c>
      <c r="B2322" s="3" t="s">
        <v>180</v>
      </c>
      <c r="C2322" s="3" t="str">
        <f t="shared" si="36"/>
        <v>4500136984670</v>
      </c>
      <c r="D2322" s="4">
        <v>46290</v>
      </c>
      <c r="E2322" s="3" t="s">
        <v>2196</v>
      </c>
      <c r="F2322" s="3" t="s">
        <v>2454</v>
      </c>
    </row>
    <row r="2323" spans="1:6" x14ac:dyDescent="0.3">
      <c r="A2323" s="3" t="s">
        <v>1589</v>
      </c>
      <c r="B2323" s="3" t="s">
        <v>1598</v>
      </c>
      <c r="C2323" s="3" t="str">
        <f t="shared" si="36"/>
        <v>4500136984680</v>
      </c>
      <c r="D2323" s="4">
        <v>46290</v>
      </c>
      <c r="E2323" s="3" t="s">
        <v>2196</v>
      </c>
      <c r="F2323" s="3" t="s">
        <v>2454</v>
      </c>
    </row>
    <row r="2324" spans="1:6" x14ac:dyDescent="0.3">
      <c r="A2324" s="3" t="s">
        <v>1589</v>
      </c>
      <c r="B2324" s="3" t="s">
        <v>818</v>
      </c>
      <c r="C2324" s="3" t="str">
        <f t="shared" si="36"/>
        <v>4500136984690</v>
      </c>
      <c r="D2324" s="4">
        <v>46290</v>
      </c>
      <c r="E2324" s="3" t="s">
        <v>2196</v>
      </c>
      <c r="F2324" s="3" t="s">
        <v>2454</v>
      </c>
    </row>
    <row r="2325" spans="1:6" x14ac:dyDescent="0.3">
      <c r="A2325" s="3" t="s">
        <v>1589</v>
      </c>
      <c r="B2325" s="3" t="s">
        <v>1162</v>
      </c>
      <c r="C2325" s="3" t="str">
        <f t="shared" si="36"/>
        <v>4500136984700</v>
      </c>
      <c r="D2325" s="4">
        <v>46290</v>
      </c>
      <c r="E2325" s="3" t="s">
        <v>2196</v>
      </c>
      <c r="F2325" s="3" t="s">
        <v>2454</v>
      </c>
    </row>
    <row r="2326" spans="1:6" x14ac:dyDescent="0.3">
      <c r="A2326" s="3" t="s">
        <v>1589</v>
      </c>
      <c r="B2326" s="3" t="s">
        <v>1599</v>
      </c>
      <c r="C2326" s="3" t="str">
        <f t="shared" si="36"/>
        <v>4500136984710</v>
      </c>
      <c r="D2326" s="4">
        <v>46290</v>
      </c>
      <c r="E2326" s="3" t="s">
        <v>2196</v>
      </c>
      <c r="F2326" s="3" t="s">
        <v>2454</v>
      </c>
    </row>
    <row r="2327" spans="1:6" x14ac:dyDescent="0.3">
      <c r="A2327" s="3" t="s">
        <v>1589</v>
      </c>
      <c r="B2327" s="3" t="s">
        <v>1600</v>
      </c>
      <c r="C2327" s="3" t="str">
        <f t="shared" si="36"/>
        <v>4500136984720</v>
      </c>
      <c r="D2327" s="4">
        <v>46290</v>
      </c>
      <c r="E2327" s="3" t="s">
        <v>2196</v>
      </c>
      <c r="F2327" s="3" t="s">
        <v>2454</v>
      </c>
    </row>
    <row r="2328" spans="1:6" x14ac:dyDescent="0.3">
      <c r="A2328" s="3" t="s">
        <v>1589</v>
      </c>
      <c r="B2328" s="3" t="s">
        <v>1601</v>
      </c>
      <c r="C2328" s="3" t="str">
        <f t="shared" si="36"/>
        <v>4500136984730</v>
      </c>
      <c r="D2328" s="4">
        <v>46290</v>
      </c>
      <c r="E2328" s="3" t="s">
        <v>2196</v>
      </c>
      <c r="F2328" s="3" t="s">
        <v>2454</v>
      </c>
    </row>
    <row r="2329" spans="1:6" x14ac:dyDescent="0.3">
      <c r="A2329" s="3" t="s">
        <v>1589</v>
      </c>
      <c r="B2329" s="3" t="s">
        <v>1595</v>
      </c>
      <c r="C2329" s="3" t="str">
        <f t="shared" si="36"/>
        <v>4500136984740</v>
      </c>
      <c r="D2329" s="4">
        <v>46290</v>
      </c>
      <c r="E2329" s="3" t="s">
        <v>2196</v>
      </c>
      <c r="F2329" s="3" t="s">
        <v>2454</v>
      </c>
    </row>
    <row r="2330" spans="1:6" x14ac:dyDescent="0.3">
      <c r="A2330" s="3" t="s">
        <v>1589</v>
      </c>
      <c r="B2330" s="3" t="s">
        <v>1594</v>
      </c>
      <c r="C2330" s="3" t="str">
        <f t="shared" si="36"/>
        <v>4500136984750</v>
      </c>
      <c r="D2330" s="4">
        <v>46290</v>
      </c>
      <c r="E2330" s="3" t="s">
        <v>2196</v>
      </c>
      <c r="F2330" s="3" t="s">
        <v>2454</v>
      </c>
    </row>
    <row r="2331" spans="1:6" x14ac:dyDescent="0.3">
      <c r="A2331" s="3" t="s">
        <v>1589</v>
      </c>
      <c r="B2331" s="3" t="s">
        <v>1596</v>
      </c>
      <c r="C2331" s="3" t="str">
        <f t="shared" si="36"/>
        <v>4500136984760</v>
      </c>
      <c r="D2331" s="4">
        <v>46290</v>
      </c>
      <c r="E2331" s="3" t="s">
        <v>2196</v>
      </c>
      <c r="F2331" s="3" t="s">
        <v>2454</v>
      </c>
    </row>
    <row r="2332" spans="1:6" x14ac:dyDescent="0.3">
      <c r="A2332" s="3" t="s">
        <v>1589</v>
      </c>
      <c r="B2332" s="3" t="s">
        <v>1597</v>
      </c>
      <c r="C2332" s="3" t="str">
        <f t="shared" si="36"/>
        <v>4500136984770</v>
      </c>
      <c r="D2332" s="4">
        <v>46290</v>
      </c>
      <c r="E2332" s="3" t="s">
        <v>2196</v>
      </c>
      <c r="F2332" s="3" t="s">
        <v>2454</v>
      </c>
    </row>
    <row r="2333" spans="1:6" x14ac:dyDescent="0.3">
      <c r="A2333" s="3" t="s">
        <v>1589</v>
      </c>
      <c r="B2333" s="3" t="s">
        <v>807</v>
      </c>
      <c r="C2333" s="3" t="str">
        <f t="shared" si="36"/>
        <v>4500136984780</v>
      </c>
      <c r="D2333" s="4">
        <v>46290</v>
      </c>
      <c r="E2333" s="3" t="s">
        <v>2196</v>
      </c>
      <c r="F2333" s="3" t="s">
        <v>2454</v>
      </c>
    </row>
    <row r="2334" spans="1:6" x14ac:dyDescent="0.3">
      <c r="A2334" s="3" t="s">
        <v>1589</v>
      </c>
      <c r="B2334" s="3" t="s">
        <v>578</v>
      </c>
      <c r="C2334" s="3" t="str">
        <f t="shared" si="36"/>
        <v>4500136984790</v>
      </c>
      <c r="D2334" s="4">
        <v>46290</v>
      </c>
      <c r="E2334" s="3" t="s">
        <v>2196</v>
      </c>
      <c r="F2334" s="3" t="s">
        <v>2454</v>
      </c>
    </row>
    <row r="2335" spans="1:6" x14ac:dyDescent="0.3">
      <c r="A2335" s="3" t="s">
        <v>1589</v>
      </c>
      <c r="B2335" s="3" t="s">
        <v>1590</v>
      </c>
      <c r="C2335" s="3" t="str">
        <f t="shared" si="36"/>
        <v>4500136984800</v>
      </c>
      <c r="D2335" s="4">
        <v>46290</v>
      </c>
      <c r="E2335" s="3" t="s">
        <v>2196</v>
      </c>
      <c r="F2335" s="3" t="s">
        <v>2454</v>
      </c>
    </row>
    <row r="2336" spans="1:6" x14ac:dyDescent="0.3">
      <c r="A2336" s="3" t="s">
        <v>1589</v>
      </c>
      <c r="B2336" s="3" t="s">
        <v>1602</v>
      </c>
      <c r="C2336" s="3" t="str">
        <f t="shared" si="36"/>
        <v>4500136984810</v>
      </c>
      <c r="D2336" s="4">
        <v>46290</v>
      </c>
      <c r="E2336" s="3" t="s">
        <v>2196</v>
      </c>
      <c r="F2336" s="3" t="s">
        <v>2454</v>
      </c>
    </row>
    <row r="2337" spans="1:6" x14ac:dyDescent="0.3">
      <c r="A2337" s="3" t="s">
        <v>1589</v>
      </c>
      <c r="B2337" s="3" t="s">
        <v>1603</v>
      </c>
      <c r="C2337" s="3" t="str">
        <f t="shared" si="36"/>
        <v>4500136984820</v>
      </c>
      <c r="D2337" s="4">
        <v>46290</v>
      </c>
      <c r="E2337" s="3" t="s">
        <v>2196</v>
      </c>
      <c r="F2337" s="3" t="s">
        <v>2454</v>
      </c>
    </row>
    <row r="2338" spans="1:6" x14ac:dyDescent="0.3">
      <c r="A2338" s="3" t="s">
        <v>1589</v>
      </c>
      <c r="B2338" s="3" t="s">
        <v>813</v>
      </c>
      <c r="C2338" s="3" t="str">
        <f t="shared" si="36"/>
        <v>4500136984830</v>
      </c>
      <c r="D2338" s="4">
        <v>46290</v>
      </c>
      <c r="E2338" s="3" t="s">
        <v>2196</v>
      </c>
      <c r="F2338" s="3" t="s">
        <v>2454</v>
      </c>
    </row>
    <row r="2339" spans="1:6" x14ac:dyDescent="0.3">
      <c r="A2339" s="3" t="s">
        <v>1589</v>
      </c>
      <c r="B2339" s="3" t="s">
        <v>1604</v>
      </c>
      <c r="C2339" s="3" t="str">
        <f t="shared" si="36"/>
        <v>4500136984840</v>
      </c>
      <c r="D2339" s="4">
        <v>46290</v>
      </c>
      <c r="E2339" s="3" t="s">
        <v>2196</v>
      </c>
      <c r="F2339" s="3" t="s">
        <v>2454</v>
      </c>
    </row>
    <row r="2340" spans="1:6" x14ac:dyDescent="0.3">
      <c r="A2340" s="3" t="s">
        <v>1589</v>
      </c>
      <c r="B2340" s="3" t="s">
        <v>1591</v>
      </c>
      <c r="C2340" s="3" t="str">
        <f t="shared" si="36"/>
        <v>4500136984850</v>
      </c>
      <c r="D2340" s="4">
        <v>46290</v>
      </c>
      <c r="E2340" s="3" t="s">
        <v>2196</v>
      </c>
      <c r="F2340" s="3" t="s">
        <v>2454</v>
      </c>
    </row>
    <row r="2341" spans="1:6" x14ac:dyDescent="0.3">
      <c r="A2341" s="3" t="s">
        <v>1589</v>
      </c>
      <c r="B2341" s="3" t="s">
        <v>1592</v>
      </c>
      <c r="C2341" s="3" t="str">
        <f t="shared" si="36"/>
        <v>4500136984860</v>
      </c>
      <c r="D2341" s="4">
        <v>46290</v>
      </c>
      <c r="E2341" s="3" t="s">
        <v>2196</v>
      </c>
      <c r="F2341" s="3" t="s">
        <v>2454</v>
      </c>
    </row>
    <row r="2342" spans="1:6" x14ac:dyDescent="0.3">
      <c r="A2342" s="3" t="s">
        <v>1589</v>
      </c>
      <c r="B2342" s="3" t="s">
        <v>1605</v>
      </c>
      <c r="C2342" s="3" t="str">
        <f t="shared" si="36"/>
        <v>4500136984870</v>
      </c>
      <c r="D2342" s="4">
        <v>46290</v>
      </c>
      <c r="E2342" s="3" t="s">
        <v>2196</v>
      </c>
      <c r="F2342" s="3" t="s">
        <v>2454</v>
      </c>
    </row>
    <row r="2343" spans="1:6" x14ac:dyDescent="0.3">
      <c r="A2343" s="3" t="s">
        <v>1589</v>
      </c>
      <c r="B2343" s="3" t="s">
        <v>1606</v>
      </c>
      <c r="C2343" s="3" t="str">
        <f t="shared" si="36"/>
        <v>4500136984880</v>
      </c>
      <c r="D2343" s="4">
        <v>46290</v>
      </c>
      <c r="E2343" s="3" t="s">
        <v>2196</v>
      </c>
      <c r="F2343" s="3" t="s">
        <v>2454</v>
      </c>
    </row>
    <row r="2344" spans="1:6" x14ac:dyDescent="0.3">
      <c r="A2344" s="3" t="s">
        <v>1589</v>
      </c>
      <c r="B2344" s="3" t="s">
        <v>1593</v>
      </c>
      <c r="C2344" s="3" t="str">
        <f t="shared" si="36"/>
        <v>4500136984890</v>
      </c>
      <c r="D2344" s="4">
        <v>46290</v>
      </c>
      <c r="E2344" s="3" t="s">
        <v>2196</v>
      </c>
      <c r="F2344" s="3" t="s">
        <v>2454</v>
      </c>
    </row>
    <row r="2345" spans="1:6" x14ac:dyDescent="0.3">
      <c r="A2345" s="3" t="s">
        <v>1589</v>
      </c>
      <c r="B2345" s="3" t="s">
        <v>1607</v>
      </c>
      <c r="C2345" s="3" t="str">
        <f t="shared" si="36"/>
        <v>4500136984900</v>
      </c>
      <c r="D2345" s="4">
        <v>46290</v>
      </c>
      <c r="E2345" s="3" t="s">
        <v>2196</v>
      </c>
      <c r="F2345" s="3" t="s">
        <v>2454</v>
      </c>
    </row>
    <row r="2346" spans="1:6" x14ac:dyDescent="0.3">
      <c r="A2346" s="3" t="s">
        <v>1290</v>
      </c>
      <c r="B2346" s="3" t="s">
        <v>30</v>
      </c>
      <c r="C2346" s="3" t="str">
        <f t="shared" si="36"/>
        <v>450013701710</v>
      </c>
      <c r="D2346" s="4">
        <v>46272</v>
      </c>
      <c r="E2346" s="3" t="s">
        <v>2244</v>
      </c>
      <c r="F2346" s="3" t="s">
        <v>2467</v>
      </c>
    </row>
    <row r="2347" spans="1:6" x14ac:dyDescent="0.3">
      <c r="A2347" s="3" t="s">
        <v>1290</v>
      </c>
      <c r="B2347" s="3" t="s">
        <v>22</v>
      </c>
      <c r="C2347" s="3" t="str">
        <f t="shared" si="36"/>
        <v>450013701720</v>
      </c>
      <c r="D2347" s="4">
        <v>46272</v>
      </c>
      <c r="E2347" s="3" t="s">
        <v>2244</v>
      </c>
      <c r="F2347" s="3" t="s">
        <v>2467</v>
      </c>
    </row>
    <row r="2348" spans="1:6" x14ac:dyDescent="0.3">
      <c r="A2348" s="3" t="s">
        <v>1290</v>
      </c>
      <c r="B2348" s="3" t="s">
        <v>35</v>
      </c>
      <c r="C2348" s="3" t="str">
        <f t="shared" si="36"/>
        <v>450013701730</v>
      </c>
      <c r="D2348" s="4">
        <v>46272</v>
      </c>
      <c r="E2348" s="3" t="s">
        <v>2244</v>
      </c>
      <c r="F2348" s="3" t="s">
        <v>2467</v>
      </c>
    </row>
    <row r="2349" spans="1:6" x14ac:dyDescent="0.3">
      <c r="A2349" s="3" t="s">
        <v>1290</v>
      </c>
      <c r="B2349" s="3" t="s">
        <v>23</v>
      </c>
      <c r="C2349" s="3" t="str">
        <f t="shared" si="36"/>
        <v>450013701740</v>
      </c>
      <c r="D2349" s="4">
        <v>46272</v>
      </c>
      <c r="E2349" s="3" t="s">
        <v>2244</v>
      </c>
      <c r="F2349" s="3" t="s">
        <v>2467</v>
      </c>
    </row>
    <row r="2350" spans="1:6" x14ac:dyDescent="0.3">
      <c r="A2350" s="3" t="s">
        <v>1290</v>
      </c>
      <c r="B2350" s="3" t="s">
        <v>144</v>
      </c>
      <c r="C2350" s="3" t="str">
        <f t="shared" si="36"/>
        <v>450013701750</v>
      </c>
      <c r="D2350" s="4">
        <v>46272</v>
      </c>
      <c r="E2350" s="3" t="s">
        <v>2244</v>
      </c>
      <c r="F2350" s="3" t="s">
        <v>2467</v>
      </c>
    </row>
    <row r="2351" spans="1:6" x14ac:dyDescent="0.3">
      <c r="A2351" s="3" t="s">
        <v>1290</v>
      </c>
      <c r="B2351" s="3" t="s">
        <v>141</v>
      </c>
      <c r="C2351" s="3" t="str">
        <f t="shared" si="36"/>
        <v>450013701760</v>
      </c>
      <c r="D2351" s="4">
        <v>46272</v>
      </c>
      <c r="E2351" s="3" t="s">
        <v>2244</v>
      </c>
      <c r="F2351" s="3" t="s">
        <v>2467</v>
      </c>
    </row>
    <row r="2352" spans="1:6" x14ac:dyDescent="0.3">
      <c r="A2352" s="3" t="s">
        <v>1290</v>
      </c>
      <c r="B2352" s="3" t="s">
        <v>134</v>
      </c>
      <c r="C2352" s="3" t="str">
        <f t="shared" si="36"/>
        <v>450013701770</v>
      </c>
      <c r="D2352" s="4">
        <v>46272</v>
      </c>
      <c r="E2352" s="3" t="s">
        <v>2244</v>
      </c>
      <c r="F2352" s="3" t="s">
        <v>2467</v>
      </c>
    </row>
    <row r="2353" spans="1:6" x14ac:dyDescent="0.3">
      <c r="A2353" s="3" t="s">
        <v>1290</v>
      </c>
      <c r="B2353" s="3" t="s">
        <v>52</v>
      </c>
      <c r="C2353" s="3" t="str">
        <f t="shared" si="36"/>
        <v>450013701780</v>
      </c>
      <c r="D2353" s="4">
        <v>46272</v>
      </c>
      <c r="E2353" s="3" t="s">
        <v>2244</v>
      </c>
      <c r="F2353" s="3" t="s">
        <v>2467</v>
      </c>
    </row>
    <row r="2354" spans="1:6" x14ac:dyDescent="0.3">
      <c r="A2354" s="3" t="s">
        <v>1290</v>
      </c>
      <c r="B2354" s="3" t="s">
        <v>138</v>
      </c>
      <c r="C2354" s="3" t="str">
        <f t="shared" si="36"/>
        <v>450013701790</v>
      </c>
      <c r="D2354" s="4">
        <v>46272</v>
      </c>
      <c r="E2354" s="3" t="s">
        <v>2244</v>
      </c>
      <c r="F2354" s="3" t="s">
        <v>2467</v>
      </c>
    </row>
    <row r="2355" spans="1:6" x14ac:dyDescent="0.3">
      <c r="A2355" s="3" t="s">
        <v>1290</v>
      </c>
      <c r="B2355" s="3" t="s">
        <v>45</v>
      </c>
      <c r="C2355" s="3" t="str">
        <f t="shared" si="36"/>
        <v>4500137017100</v>
      </c>
      <c r="D2355" s="4">
        <v>46272</v>
      </c>
      <c r="E2355" s="3" t="s">
        <v>2244</v>
      </c>
      <c r="F2355" s="3" t="s">
        <v>2467</v>
      </c>
    </row>
    <row r="2356" spans="1:6" x14ac:dyDescent="0.3">
      <c r="A2356" s="3" t="s">
        <v>1290</v>
      </c>
      <c r="B2356" s="3" t="s">
        <v>156</v>
      </c>
      <c r="C2356" s="3" t="str">
        <f t="shared" si="36"/>
        <v>4500137017110</v>
      </c>
      <c r="D2356" s="4">
        <v>46272</v>
      </c>
      <c r="E2356" s="3" t="s">
        <v>2244</v>
      </c>
      <c r="F2356" s="3" t="s">
        <v>2467</v>
      </c>
    </row>
    <row r="2357" spans="1:6" x14ac:dyDescent="0.3">
      <c r="A2357" s="3" t="s">
        <v>1838</v>
      </c>
      <c r="B2357" s="3" t="s">
        <v>30</v>
      </c>
      <c r="C2357" s="3" t="str">
        <f t="shared" si="36"/>
        <v>450013705010</v>
      </c>
      <c r="D2357" s="4">
        <v>46290</v>
      </c>
      <c r="E2357" s="3" t="s">
        <v>2196</v>
      </c>
      <c r="F2357" s="3" t="s">
        <v>2478</v>
      </c>
    </row>
    <row r="2358" spans="1:6" x14ac:dyDescent="0.3">
      <c r="A2358" s="3" t="s">
        <v>1838</v>
      </c>
      <c r="B2358" s="3" t="s">
        <v>22</v>
      </c>
      <c r="C2358" s="3" t="str">
        <f t="shared" si="36"/>
        <v>450013705020</v>
      </c>
      <c r="D2358" s="4">
        <v>46290</v>
      </c>
      <c r="E2358" s="3" t="s">
        <v>2196</v>
      </c>
      <c r="F2358" s="3" t="s">
        <v>2478</v>
      </c>
    </row>
    <row r="2359" spans="1:6" x14ac:dyDescent="0.3">
      <c r="A2359" s="3" t="s">
        <v>1838</v>
      </c>
      <c r="B2359" s="3" t="s">
        <v>35</v>
      </c>
      <c r="C2359" s="3" t="str">
        <f t="shared" si="36"/>
        <v>450013705030</v>
      </c>
      <c r="D2359" s="4">
        <v>46290</v>
      </c>
      <c r="E2359" s="3" t="s">
        <v>2196</v>
      </c>
      <c r="F2359" s="3" t="s">
        <v>2478</v>
      </c>
    </row>
    <row r="2360" spans="1:6" x14ac:dyDescent="0.3">
      <c r="A2360" s="3" t="s">
        <v>1239</v>
      </c>
      <c r="B2360" s="3" t="s">
        <v>30</v>
      </c>
      <c r="C2360" s="3" t="str">
        <f t="shared" si="36"/>
        <v>450013711610</v>
      </c>
      <c r="D2360" s="4">
        <v>46271</v>
      </c>
      <c r="E2360" s="3" t="s">
        <v>2196</v>
      </c>
      <c r="F2360" s="3" t="s">
        <v>2476</v>
      </c>
    </row>
    <row r="2361" spans="1:6" x14ac:dyDescent="0.3">
      <c r="A2361" s="3" t="s">
        <v>1239</v>
      </c>
      <c r="B2361" s="3" t="s">
        <v>22</v>
      </c>
      <c r="C2361" s="3" t="str">
        <f t="shared" si="36"/>
        <v>450013711620</v>
      </c>
      <c r="D2361" s="4">
        <v>46271</v>
      </c>
      <c r="E2361" s="3" t="s">
        <v>2196</v>
      </c>
      <c r="F2361" s="3" t="s">
        <v>2476</v>
      </c>
    </row>
    <row r="2362" spans="1:6" x14ac:dyDescent="0.3">
      <c r="A2362" s="3" t="s">
        <v>1706</v>
      </c>
      <c r="B2362" s="3" t="s">
        <v>30</v>
      </c>
      <c r="C2362" s="3" t="str">
        <f t="shared" si="36"/>
        <v>450013711810</v>
      </c>
      <c r="D2362" s="4">
        <v>46295</v>
      </c>
      <c r="E2362" s="3" t="s">
        <v>2196</v>
      </c>
      <c r="F2362" s="3" t="s">
        <v>2478</v>
      </c>
    </row>
    <row r="2363" spans="1:6" x14ac:dyDescent="0.3">
      <c r="A2363" s="3" t="s">
        <v>1706</v>
      </c>
      <c r="B2363" s="3" t="s">
        <v>22</v>
      </c>
      <c r="C2363" s="3" t="str">
        <f t="shared" si="36"/>
        <v>450013711820</v>
      </c>
      <c r="D2363" s="4">
        <v>46295</v>
      </c>
      <c r="E2363" s="3" t="s">
        <v>2196</v>
      </c>
      <c r="F2363" s="3" t="s">
        <v>2478</v>
      </c>
    </row>
    <row r="2364" spans="1:6" x14ac:dyDescent="0.3">
      <c r="A2364" s="3" t="s">
        <v>1706</v>
      </c>
      <c r="B2364" s="3" t="s">
        <v>35</v>
      </c>
      <c r="C2364" s="3" t="str">
        <f t="shared" si="36"/>
        <v>450013711830</v>
      </c>
      <c r="D2364" s="4">
        <v>46295</v>
      </c>
      <c r="E2364" s="3" t="s">
        <v>2196</v>
      </c>
      <c r="F2364" s="3" t="s">
        <v>2478</v>
      </c>
    </row>
    <row r="2365" spans="1:6" x14ac:dyDescent="0.3">
      <c r="A2365" s="3" t="s">
        <v>1706</v>
      </c>
      <c r="B2365" s="3" t="s">
        <v>23</v>
      </c>
      <c r="C2365" s="3" t="str">
        <f t="shared" si="36"/>
        <v>450013711840</v>
      </c>
      <c r="D2365" s="4">
        <v>46295</v>
      </c>
      <c r="E2365" s="3" t="s">
        <v>2196</v>
      </c>
      <c r="F2365" s="3" t="s">
        <v>2478</v>
      </c>
    </row>
    <row r="2366" spans="1:6" x14ac:dyDescent="0.3">
      <c r="A2366" s="3" t="s">
        <v>1706</v>
      </c>
      <c r="B2366" s="3" t="s">
        <v>144</v>
      </c>
      <c r="C2366" s="3" t="str">
        <f t="shared" si="36"/>
        <v>450013711850</v>
      </c>
      <c r="D2366" s="4">
        <v>46295</v>
      </c>
      <c r="E2366" s="3" t="s">
        <v>2196</v>
      </c>
      <c r="F2366" s="3" t="s">
        <v>2478</v>
      </c>
    </row>
    <row r="2367" spans="1:6" x14ac:dyDescent="0.3">
      <c r="A2367" s="3" t="s">
        <v>1706</v>
      </c>
      <c r="B2367" s="3" t="s">
        <v>141</v>
      </c>
      <c r="C2367" s="3" t="str">
        <f t="shared" si="36"/>
        <v>450013711860</v>
      </c>
      <c r="D2367" s="4">
        <v>46295</v>
      </c>
      <c r="E2367" s="3" t="s">
        <v>2196</v>
      </c>
      <c r="F2367" s="3" t="s">
        <v>2478</v>
      </c>
    </row>
    <row r="2368" spans="1:6" x14ac:dyDescent="0.3">
      <c r="A2368" s="3" t="s">
        <v>1706</v>
      </c>
      <c r="B2368" s="3" t="s">
        <v>134</v>
      </c>
      <c r="C2368" s="3" t="str">
        <f t="shared" si="36"/>
        <v>450013711870</v>
      </c>
      <c r="D2368" s="4">
        <v>46295</v>
      </c>
      <c r="E2368" s="3" t="s">
        <v>2196</v>
      </c>
      <c r="F2368" s="3" t="s">
        <v>2478</v>
      </c>
    </row>
    <row r="2369" spans="1:6" x14ac:dyDescent="0.3">
      <c r="A2369" s="3" t="s">
        <v>1706</v>
      </c>
      <c r="B2369" s="3" t="s">
        <v>52</v>
      </c>
      <c r="C2369" s="3" t="str">
        <f t="shared" si="36"/>
        <v>450013711880</v>
      </c>
      <c r="D2369" s="4">
        <v>46295</v>
      </c>
      <c r="E2369" s="3" t="s">
        <v>2196</v>
      </c>
      <c r="F2369" s="3" t="s">
        <v>2478</v>
      </c>
    </row>
    <row r="2370" spans="1:6" x14ac:dyDescent="0.3">
      <c r="A2370" s="3" t="s">
        <v>1706</v>
      </c>
      <c r="B2370" s="3" t="s">
        <v>138</v>
      </c>
      <c r="C2370" s="3" t="str">
        <f t="shared" si="36"/>
        <v>450013711890</v>
      </c>
      <c r="D2370" s="4">
        <v>46295</v>
      </c>
      <c r="E2370" s="3" t="s">
        <v>2196</v>
      </c>
      <c r="F2370" s="3" t="s">
        <v>2478</v>
      </c>
    </row>
    <row r="2371" spans="1:6" x14ac:dyDescent="0.3">
      <c r="A2371" s="3" t="s">
        <v>1706</v>
      </c>
      <c r="B2371" s="3" t="s">
        <v>45</v>
      </c>
      <c r="C2371" s="3" t="str">
        <f t="shared" ref="C2371:C2434" si="37">_xlfn.CONCAT(A2371:B2371)</f>
        <v>4500137118100</v>
      </c>
      <c r="D2371" s="4">
        <v>46295</v>
      </c>
      <c r="E2371" s="3" t="s">
        <v>2196</v>
      </c>
      <c r="F2371" s="3" t="s">
        <v>2478</v>
      </c>
    </row>
    <row r="2372" spans="1:6" x14ac:dyDescent="0.3">
      <c r="A2372" s="3" t="s">
        <v>1706</v>
      </c>
      <c r="B2372" s="3" t="s">
        <v>156</v>
      </c>
      <c r="C2372" s="3" t="str">
        <f t="shared" si="37"/>
        <v>4500137118110</v>
      </c>
      <c r="D2372" s="4">
        <v>46295</v>
      </c>
      <c r="E2372" s="3" t="s">
        <v>2196</v>
      </c>
      <c r="F2372" s="3" t="s">
        <v>2478</v>
      </c>
    </row>
    <row r="2373" spans="1:6" x14ac:dyDescent="0.3">
      <c r="A2373" s="3" t="s">
        <v>1706</v>
      </c>
      <c r="B2373" s="3" t="s">
        <v>132</v>
      </c>
      <c r="C2373" s="3" t="str">
        <f t="shared" si="37"/>
        <v>4500137118120</v>
      </c>
      <c r="D2373" s="4">
        <v>46295</v>
      </c>
      <c r="E2373" s="3" t="s">
        <v>2196</v>
      </c>
      <c r="F2373" s="3" t="s">
        <v>2478</v>
      </c>
    </row>
    <row r="2374" spans="1:6" x14ac:dyDescent="0.3">
      <c r="A2374" s="3" t="s">
        <v>1706</v>
      </c>
      <c r="B2374" s="3" t="s">
        <v>142</v>
      </c>
      <c r="C2374" s="3" t="str">
        <f t="shared" si="37"/>
        <v>4500137118130</v>
      </c>
      <c r="D2374" s="4">
        <v>46295</v>
      </c>
      <c r="E2374" s="3" t="s">
        <v>2196</v>
      </c>
      <c r="F2374" s="3" t="s">
        <v>2478</v>
      </c>
    </row>
    <row r="2375" spans="1:6" x14ac:dyDescent="0.3">
      <c r="A2375" s="3" t="s">
        <v>1706</v>
      </c>
      <c r="B2375" s="3" t="s">
        <v>131</v>
      </c>
      <c r="C2375" s="3" t="str">
        <f t="shared" si="37"/>
        <v>4500137118140</v>
      </c>
      <c r="D2375" s="4">
        <v>46295</v>
      </c>
      <c r="E2375" s="3" t="s">
        <v>2196</v>
      </c>
      <c r="F2375" s="3" t="s">
        <v>2478</v>
      </c>
    </row>
    <row r="2376" spans="1:6" x14ac:dyDescent="0.3">
      <c r="A2376" s="3" t="s">
        <v>1706</v>
      </c>
      <c r="B2376" s="3" t="s">
        <v>68</v>
      </c>
      <c r="C2376" s="3" t="str">
        <f t="shared" si="37"/>
        <v>4500137118150</v>
      </c>
      <c r="D2376" s="4">
        <v>46295</v>
      </c>
      <c r="E2376" s="3" t="s">
        <v>2196</v>
      </c>
      <c r="F2376" s="3" t="s">
        <v>2478</v>
      </c>
    </row>
    <row r="2377" spans="1:6" x14ac:dyDescent="0.3">
      <c r="A2377" s="3" t="s">
        <v>1706</v>
      </c>
      <c r="B2377" s="3" t="s">
        <v>129</v>
      </c>
      <c r="C2377" s="3" t="str">
        <f t="shared" si="37"/>
        <v>4500137118160</v>
      </c>
      <c r="D2377" s="4">
        <v>46295</v>
      </c>
      <c r="E2377" s="3" t="s">
        <v>2196</v>
      </c>
      <c r="F2377" s="3" t="s">
        <v>2478</v>
      </c>
    </row>
    <row r="2378" spans="1:6" x14ac:dyDescent="0.3">
      <c r="A2378" s="3" t="s">
        <v>1706</v>
      </c>
      <c r="B2378" s="3" t="s">
        <v>53</v>
      </c>
      <c r="C2378" s="3" t="str">
        <f t="shared" si="37"/>
        <v>4500137118170</v>
      </c>
      <c r="D2378" s="4">
        <v>46295</v>
      </c>
      <c r="E2378" s="3" t="s">
        <v>2196</v>
      </c>
      <c r="F2378" s="3" t="s">
        <v>2478</v>
      </c>
    </row>
    <row r="2379" spans="1:6" x14ac:dyDescent="0.3">
      <c r="A2379" s="3" t="s">
        <v>1706</v>
      </c>
      <c r="B2379" s="3" t="s">
        <v>130</v>
      </c>
      <c r="C2379" s="3" t="str">
        <f t="shared" si="37"/>
        <v>4500137118180</v>
      </c>
      <c r="D2379" s="4">
        <v>46295</v>
      </c>
      <c r="E2379" s="3" t="s">
        <v>2196</v>
      </c>
      <c r="F2379" s="3" t="s">
        <v>2478</v>
      </c>
    </row>
    <row r="2380" spans="1:6" x14ac:dyDescent="0.3">
      <c r="A2380" s="3" t="s">
        <v>459</v>
      </c>
      <c r="B2380" s="3" t="s">
        <v>30</v>
      </c>
      <c r="C2380" s="3" t="str">
        <f t="shared" si="37"/>
        <v>450013712510</v>
      </c>
      <c r="D2380" s="4">
        <v>46295</v>
      </c>
      <c r="E2380" s="3" t="s">
        <v>2196</v>
      </c>
      <c r="F2380" s="3" t="s">
        <v>2439</v>
      </c>
    </row>
    <row r="2381" spans="1:6" x14ac:dyDescent="0.3">
      <c r="A2381" s="3" t="s">
        <v>459</v>
      </c>
      <c r="B2381" s="3" t="s">
        <v>22</v>
      </c>
      <c r="C2381" s="3" t="str">
        <f t="shared" si="37"/>
        <v>450013712520</v>
      </c>
      <c r="D2381" s="4">
        <v>46295</v>
      </c>
      <c r="E2381" s="3" t="s">
        <v>2196</v>
      </c>
      <c r="F2381" s="3" t="s">
        <v>2439</v>
      </c>
    </row>
    <row r="2382" spans="1:6" x14ac:dyDescent="0.3">
      <c r="A2382" s="3" t="s">
        <v>459</v>
      </c>
      <c r="B2382" s="3" t="s">
        <v>35</v>
      </c>
      <c r="C2382" s="3" t="str">
        <f t="shared" si="37"/>
        <v>450013712530</v>
      </c>
      <c r="D2382" s="4">
        <v>46295</v>
      </c>
      <c r="E2382" s="3" t="s">
        <v>2196</v>
      </c>
      <c r="F2382" s="3" t="s">
        <v>2439</v>
      </c>
    </row>
    <row r="2383" spans="1:6" x14ac:dyDescent="0.3">
      <c r="A2383" s="3" t="s">
        <v>459</v>
      </c>
      <c r="B2383" s="3" t="s">
        <v>23</v>
      </c>
      <c r="C2383" s="3" t="str">
        <f t="shared" si="37"/>
        <v>450013712540</v>
      </c>
      <c r="D2383" s="4">
        <v>46295</v>
      </c>
      <c r="E2383" s="3" t="s">
        <v>2196</v>
      </c>
      <c r="F2383" s="3" t="s">
        <v>2439</v>
      </c>
    </row>
    <row r="2384" spans="1:6" x14ac:dyDescent="0.3">
      <c r="A2384" s="3" t="s">
        <v>459</v>
      </c>
      <c r="B2384" s="3" t="s">
        <v>144</v>
      </c>
      <c r="C2384" s="3" t="str">
        <f t="shared" si="37"/>
        <v>450013712550</v>
      </c>
      <c r="D2384" s="4">
        <v>46295</v>
      </c>
      <c r="E2384" s="3" t="s">
        <v>2196</v>
      </c>
      <c r="F2384" s="3" t="s">
        <v>2439</v>
      </c>
    </row>
    <row r="2385" spans="1:6" x14ac:dyDescent="0.3">
      <c r="A2385" s="3" t="s">
        <v>459</v>
      </c>
      <c r="B2385" s="3" t="s">
        <v>141</v>
      </c>
      <c r="C2385" s="3" t="str">
        <f t="shared" si="37"/>
        <v>450013712560</v>
      </c>
      <c r="D2385" s="4">
        <v>46295</v>
      </c>
      <c r="E2385" s="3" t="s">
        <v>2196</v>
      </c>
      <c r="F2385" s="3" t="s">
        <v>2439</v>
      </c>
    </row>
    <row r="2386" spans="1:6" x14ac:dyDescent="0.3">
      <c r="A2386" s="3" t="s">
        <v>459</v>
      </c>
      <c r="B2386" s="3" t="s">
        <v>134</v>
      </c>
      <c r="C2386" s="3" t="str">
        <f t="shared" si="37"/>
        <v>450013712570</v>
      </c>
      <c r="D2386" s="4">
        <v>46295</v>
      </c>
      <c r="E2386" s="3" t="s">
        <v>2196</v>
      </c>
      <c r="F2386" s="3" t="s">
        <v>2439</v>
      </c>
    </row>
    <row r="2387" spans="1:6" x14ac:dyDescent="0.3">
      <c r="A2387" s="3" t="s">
        <v>459</v>
      </c>
      <c r="B2387" s="3" t="s">
        <v>52</v>
      </c>
      <c r="C2387" s="3" t="str">
        <f t="shared" si="37"/>
        <v>450013712580</v>
      </c>
      <c r="D2387" s="4">
        <v>46295</v>
      </c>
      <c r="E2387" s="3" t="s">
        <v>2196</v>
      </c>
      <c r="F2387" s="3" t="s">
        <v>2439</v>
      </c>
    </row>
    <row r="2388" spans="1:6" x14ac:dyDescent="0.3">
      <c r="A2388" s="3" t="s">
        <v>459</v>
      </c>
      <c r="B2388" s="3" t="s">
        <v>138</v>
      </c>
      <c r="C2388" s="3" t="str">
        <f t="shared" si="37"/>
        <v>450013712590</v>
      </c>
      <c r="D2388" s="4">
        <v>46295</v>
      </c>
      <c r="E2388" s="3" t="s">
        <v>2196</v>
      </c>
      <c r="F2388" s="3" t="s">
        <v>2439</v>
      </c>
    </row>
    <row r="2389" spans="1:6" x14ac:dyDescent="0.3">
      <c r="A2389" s="3" t="s">
        <v>459</v>
      </c>
      <c r="B2389" s="3" t="s">
        <v>45</v>
      </c>
      <c r="C2389" s="3" t="str">
        <f t="shared" si="37"/>
        <v>4500137125100</v>
      </c>
      <c r="D2389" s="4">
        <v>46295</v>
      </c>
      <c r="E2389" s="3" t="s">
        <v>2196</v>
      </c>
      <c r="F2389" s="3" t="s">
        <v>2439</v>
      </c>
    </row>
    <row r="2390" spans="1:6" x14ac:dyDescent="0.3">
      <c r="A2390" s="3" t="s">
        <v>459</v>
      </c>
      <c r="B2390" s="3" t="s">
        <v>156</v>
      </c>
      <c r="C2390" s="3" t="str">
        <f t="shared" si="37"/>
        <v>4500137125110</v>
      </c>
      <c r="D2390" s="4">
        <v>46295</v>
      </c>
      <c r="E2390" s="3" t="s">
        <v>2196</v>
      </c>
      <c r="F2390" s="3" t="s">
        <v>2439</v>
      </c>
    </row>
    <row r="2391" spans="1:6" x14ac:dyDescent="0.3">
      <c r="A2391" s="3" t="s">
        <v>459</v>
      </c>
      <c r="B2391" s="3" t="s">
        <v>132</v>
      </c>
      <c r="C2391" s="3" t="str">
        <f t="shared" si="37"/>
        <v>4500137125120</v>
      </c>
      <c r="D2391" s="4">
        <v>46295</v>
      </c>
      <c r="E2391" s="3" t="s">
        <v>2196</v>
      </c>
      <c r="F2391" s="3" t="s">
        <v>2439</v>
      </c>
    </row>
    <row r="2392" spans="1:6" x14ac:dyDescent="0.3">
      <c r="A2392" s="3" t="s">
        <v>459</v>
      </c>
      <c r="B2392" s="3" t="s">
        <v>142</v>
      </c>
      <c r="C2392" s="3" t="str">
        <f t="shared" si="37"/>
        <v>4500137125130</v>
      </c>
      <c r="D2392" s="4">
        <v>46295</v>
      </c>
      <c r="E2392" s="3" t="s">
        <v>2196</v>
      </c>
      <c r="F2392" s="3" t="s">
        <v>2439</v>
      </c>
    </row>
    <row r="2393" spans="1:6" x14ac:dyDescent="0.3">
      <c r="A2393" s="3" t="s">
        <v>459</v>
      </c>
      <c r="B2393" s="3" t="s">
        <v>131</v>
      </c>
      <c r="C2393" s="3" t="str">
        <f t="shared" si="37"/>
        <v>4500137125140</v>
      </c>
      <c r="D2393" s="4">
        <v>46295</v>
      </c>
      <c r="E2393" s="3" t="s">
        <v>2196</v>
      </c>
      <c r="F2393" s="3" t="s">
        <v>2439</v>
      </c>
    </row>
    <row r="2394" spans="1:6" x14ac:dyDescent="0.3">
      <c r="A2394" s="3" t="s">
        <v>459</v>
      </c>
      <c r="B2394" s="3" t="s">
        <v>68</v>
      </c>
      <c r="C2394" s="3" t="str">
        <f t="shared" si="37"/>
        <v>4500137125150</v>
      </c>
      <c r="D2394" s="4">
        <v>46295</v>
      </c>
      <c r="E2394" s="3" t="s">
        <v>2196</v>
      </c>
      <c r="F2394" s="3" t="s">
        <v>2439</v>
      </c>
    </row>
    <row r="2395" spans="1:6" x14ac:dyDescent="0.3">
      <c r="A2395" s="3" t="s">
        <v>459</v>
      </c>
      <c r="B2395" s="3" t="s">
        <v>129</v>
      </c>
      <c r="C2395" s="3" t="str">
        <f t="shared" si="37"/>
        <v>4500137125160</v>
      </c>
      <c r="D2395" s="4">
        <v>46295</v>
      </c>
      <c r="E2395" s="3" t="s">
        <v>2196</v>
      </c>
      <c r="F2395" s="3" t="s">
        <v>2439</v>
      </c>
    </row>
    <row r="2396" spans="1:6" x14ac:dyDescent="0.3">
      <c r="A2396" s="3" t="s">
        <v>459</v>
      </c>
      <c r="B2396" s="3" t="s">
        <v>53</v>
      </c>
      <c r="C2396" s="3" t="str">
        <f t="shared" si="37"/>
        <v>4500137125170</v>
      </c>
      <c r="D2396" s="4">
        <v>46295</v>
      </c>
      <c r="E2396" s="3" t="s">
        <v>2196</v>
      </c>
      <c r="F2396" s="3" t="s">
        <v>2439</v>
      </c>
    </row>
    <row r="2397" spans="1:6" x14ac:dyDescent="0.3">
      <c r="A2397" s="3" t="s">
        <v>459</v>
      </c>
      <c r="B2397" s="3" t="s">
        <v>130</v>
      </c>
      <c r="C2397" s="3" t="str">
        <f t="shared" si="37"/>
        <v>4500137125180</v>
      </c>
      <c r="D2397" s="4">
        <v>46295</v>
      </c>
      <c r="E2397" s="3" t="s">
        <v>2196</v>
      </c>
      <c r="F2397" s="3" t="s">
        <v>2439</v>
      </c>
    </row>
    <row r="2398" spans="1:6" x14ac:dyDescent="0.3">
      <c r="A2398" s="3" t="s">
        <v>459</v>
      </c>
      <c r="B2398" s="3" t="s">
        <v>127</v>
      </c>
      <c r="C2398" s="3" t="str">
        <f t="shared" si="37"/>
        <v>4500137125190</v>
      </c>
      <c r="D2398" s="4">
        <v>46295</v>
      </c>
      <c r="E2398" s="3" t="s">
        <v>2196</v>
      </c>
      <c r="F2398" s="3" t="s">
        <v>2439</v>
      </c>
    </row>
    <row r="2399" spans="1:6" x14ac:dyDescent="0.3">
      <c r="A2399" s="3" t="s">
        <v>459</v>
      </c>
      <c r="B2399" s="3" t="s">
        <v>161</v>
      </c>
      <c r="C2399" s="3" t="str">
        <f t="shared" si="37"/>
        <v>4500137125200</v>
      </c>
      <c r="D2399" s="4">
        <v>46295</v>
      </c>
      <c r="E2399" s="3" t="s">
        <v>2196</v>
      </c>
      <c r="F2399" s="3" t="s">
        <v>2439</v>
      </c>
    </row>
    <row r="2400" spans="1:6" x14ac:dyDescent="0.3">
      <c r="A2400" s="3" t="s">
        <v>459</v>
      </c>
      <c r="B2400" s="3" t="s">
        <v>136</v>
      </c>
      <c r="C2400" s="3" t="str">
        <f t="shared" si="37"/>
        <v>4500137125210</v>
      </c>
      <c r="D2400" s="4">
        <v>46295</v>
      </c>
      <c r="E2400" s="3" t="s">
        <v>2196</v>
      </c>
      <c r="F2400" s="3" t="s">
        <v>2439</v>
      </c>
    </row>
    <row r="2401" spans="1:6" x14ac:dyDescent="0.3">
      <c r="A2401" s="3" t="s">
        <v>459</v>
      </c>
      <c r="B2401" s="3" t="s">
        <v>140</v>
      </c>
      <c r="C2401" s="3" t="str">
        <f t="shared" si="37"/>
        <v>4500137125220</v>
      </c>
      <c r="D2401" s="4">
        <v>46295</v>
      </c>
      <c r="E2401" s="3" t="s">
        <v>2196</v>
      </c>
      <c r="F2401" s="3" t="s">
        <v>2439</v>
      </c>
    </row>
    <row r="2402" spans="1:6" x14ac:dyDescent="0.3">
      <c r="A2402" s="3" t="s">
        <v>459</v>
      </c>
      <c r="B2402" s="3" t="s">
        <v>137</v>
      </c>
      <c r="C2402" s="3" t="str">
        <f t="shared" si="37"/>
        <v>4500137125230</v>
      </c>
      <c r="D2402" s="4">
        <v>46295</v>
      </c>
      <c r="E2402" s="3" t="s">
        <v>2196</v>
      </c>
      <c r="F2402" s="3" t="s">
        <v>2439</v>
      </c>
    </row>
    <row r="2403" spans="1:6" x14ac:dyDescent="0.3">
      <c r="A2403" s="3" t="s">
        <v>459</v>
      </c>
      <c r="B2403" s="3" t="s">
        <v>143</v>
      </c>
      <c r="C2403" s="3" t="str">
        <f t="shared" si="37"/>
        <v>4500137125240</v>
      </c>
      <c r="D2403" s="4">
        <v>46295</v>
      </c>
      <c r="E2403" s="3" t="s">
        <v>2196</v>
      </c>
      <c r="F2403" s="3" t="s">
        <v>2439</v>
      </c>
    </row>
    <row r="2404" spans="1:6" x14ac:dyDescent="0.3">
      <c r="A2404" s="3" t="s">
        <v>459</v>
      </c>
      <c r="B2404" s="3" t="s">
        <v>128</v>
      </c>
      <c r="C2404" s="3" t="str">
        <f t="shared" si="37"/>
        <v>4500137125250</v>
      </c>
      <c r="D2404" s="4">
        <v>46295</v>
      </c>
      <c r="E2404" s="3" t="s">
        <v>2196</v>
      </c>
      <c r="F2404" s="3" t="s">
        <v>2439</v>
      </c>
    </row>
    <row r="2405" spans="1:6" x14ac:dyDescent="0.3">
      <c r="A2405" s="3" t="s">
        <v>459</v>
      </c>
      <c r="B2405" s="3" t="s">
        <v>126</v>
      </c>
      <c r="C2405" s="3" t="str">
        <f t="shared" si="37"/>
        <v>4500137125260</v>
      </c>
      <c r="D2405" s="4">
        <v>46295</v>
      </c>
      <c r="E2405" s="3" t="s">
        <v>2196</v>
      </c>
      <c r="F2405" s="3" t="s">
        <v>2439</v>
      </c>
    </row>
    <row r="2406" spans="1:6" x14ac:dyDescent="0.3">
      <c r="A2406" s="3" t="s">
        <v>459</v>
      </c>
      <c r="B2406" s="3" t="s">
        <v>146</v>
      </c>
      <c r="C2406" s="3" t="str">
        <f t="shared" si="37"/>
        <v>4500137125270</v>
      </c>
      <c r="D2406" s="4">
        <v>46295</v>
      </c>
      <c r="E2406" s="3" t="s">
        <v>2196</v>
      </c>
      <c r="F2406" s="3" t="s">
        <v>2439</v>
      </c>
    </row>
    <row r="2407" spans="1:6" x14ac:dyDescent="0.3">
      <c r="A2407" s="3" t="s">
        <v>459</v>
      </c>
      <c r="B2407" s="3" t="s">
        <v>133</v>
      </c>
      <c r="C2407" s="3" t="str">
        <f t="shared" si="37"/>
        <v>4500137125280</v>
      </c>
      <c r="D2407" s="4">
        <v>46295</v>
      </c>
      <c r="E2407" s="3" t="s">
        <v>2196</v>
      </c>
      <c r="F2407" s="3" t="s">
        <v>2439</v>
      </c>
    </row>
    <row r="2408" spans="1:6" x14ac:dyDescent="0.3">
      <c r="A2408" s="3" t="s">
        <v>459</v>
      </c>
      <c r="B2408" s="3" t="s">
        <v>173</v>
      </c>
      <c r="C2408" s="3" t="str">
        <f t="shared" si="37"/>
        <v>4500137125290</v>
      </c>
      <c r="D2408" s="4">
        <v>46295</v>
      </c>
      <c r="E2408" s="3" t="s">
        <v>2196</v>
      </c>
      <c r="F2408" s="3" t="s">
        <v>2439</v>
      </c>
    </row>
    <row r="2409" spans="1:6" x14ac:dyDescent="0.3">
      <c r="A2409" s="3" t="s">
        <v>1220</v>
      </c>
      <c r="B2409" s="3" t="s">
        <v>30</v>
      </c>
      <c r="C2409" s="3" t="str">
        <f t="shared" si="37"/>
        <v>450013712610</v>
      </c>
      <c r="D2409" s="4">
        <v>46282</v>
      </c>
      <c r="E2409" s="3" t="s">
        <v>2207</v>
      </c>
      <c r="F2409" s="3" t="s">
        <v>2652</v>
      </c>
    </row>
    <row r="2410" spans="1:6" x14ac:dyDescent="0.3">
      <c r="A2410" s="3" t="s">
        <v>1160</v>
      </c>
      <c r="B2410" s="3" t="s">
        <v>30</v>
      </c>
      <c r="C2410" s="3" t="str">
        <f t="shared" si="37"/>
        <v>450013714010</v>
      </c>
      <c r="D2410" s="4">
        <v>46263</v>
      </c>
      <c r="E2410" s="3" t="s">
        <v>2196</v>
      </c>
      <c r="F2410" s="3" t="s">
        <v>2549</v>
      </c>
    </row>
    <row r="2411" spans="1:6" x14ac:dyDescent="0.3">
      <c r="A2411" s="3" t="s">
        <v>1612</v>
      </c>
      <c r="B2411" s="3" t="s">
        <v>30</v>
      </c>
      <c r="C2411" s="3" t="str">
        <f t="shared" si="37"/>
        <v>450013714910</v>
      </c>
      <c r="D2411" s="4">
        <v>46310</v>
      </c>
      <c r="E2411" s="3" t="s">
        <v>2249</v>
      </c>
      <c r="F2411" s="3" t="s">
        <v>2478</v>
      </c>
    </row>
    <row r="2412" spans="1:6" x14ac:dyDescent="0.3">
      <c r="A2412" s="3" t="s">
        <v>1336</v>
      </c>
      <c r="B2412" s="3" t="s">
        <v>30</v>
      </c>
      <c r="C2412" s="3" t="str">
        <f t="shared" si="37"/>
        <v>450013715110</v>
      </c>
      <c r="D2412" s="4">
        <v>46267</v>
      </c>
      <c r="E2412" s="3" t="s">
        <v>2239</v>
      </c>
      <c r="F2412" s="3" t="s">
        <v>2628</v>
      </c>
    </row>
    <row r="2413" spans="1:6" x14ac:dyDescent="0.3">
      <c r="A2413" s="3" t="s">
        <v>1336</v>
      </c>
      <c r="B2413" s="3" t="s">
        <v>22</v>
      </c>
      <c r="C2413" s="3" t="str">
        <f t="shared" si="37"/>
        <v>450013715120</v>
      </c>
      <c r="D2413" s="4">
        <v>46267</v>
      </c>
      <c r="E2413" s="3" t="s">
        <v>2239</v>
      </c>
      <c r="F2413" s="3" t="s">
        <v>2628</v>
      </c>
    </row>
    <row r="2414" spans="1:6" x14ac:dyDescent="0.3">
      <c r="A2414" s="3" t="s">
        <v>2324</v>
      </c>
      <c r="B2414" s="3" t="s">
        <v>30</v>
      </c>
      <c r="C2414" s="3" t="str">
        <f t="shared" si="37"/>
        <v>450013715410</v>
      </c>
      <c r="D2414" s="4">
        <v>46326</v>
      </c>
      <c r="E2414" s="3" t="s">
        <v>2194</v>
      </c>
      <c r="F2414" s="3" t="s">
        <v>2653</v>
      </c>
    </row>
    <row r="2415" spans="1:6" x14ac:dyDescent="0.3">
      <c r="A2415" s="3" t="s">
        <v>1743</v>
      </c>
      <c r="B2415" s="3" t="s">
        <v>30</v>
      </c>
      <c r="C2415" s="3" t="str">
        <f t="shared" si="37"/>
        <v>450013716710</v>
      </c>
      <c r="D2415" s="4">
        <v>46288</v>
      </c>
      <c r="E2415" s="3" t="s">
        <v>2238</v>
      </c>
      <c r="F2415" s="3" t="s">
        <v>2597</v>
      </c>
    </row>
    <row r="2416" spans="1:6" x14ac:dyDescent="0.3">
      <c r="A2416" s="3" t="s">
        <v>1743</v>
      </c>
      <c r="B2416" s="3" t="s">
        <v>22</v>
      </c>
      <c r="C2416" s="3" t="str">
        <f t="shared" si="37"/>
        <v>450013716720</v>
      </c>
      <c r="D2416" s="4">
        <v>46266</v>
      </c>
      <c r="E2416" s="3" t="s">
        <v>2238</v>
      </c>
      <c r="F2416" s="3" t="s">
        <v>2597</v>
      </c>
    </row>
    <row r="2417" spans="1:6" x14ac:dyDescent="0.3">
      <c r="A2417" s="3" t="s">
        <v>1743</v>
      </c>
      <c r="B2417" s="3" t="s">
        <v>35</v>
      </c>
      <c r="C2417" s="3" t="str">
        <f t="shared" si="37"/>
        <v>450013716730</v>
      </c>
      <c r="D2417" s="4">
        <v>46266</v>
      </c>
      <c r="E2417" s="3" t="s">
        <v>2238</v>
      </c>
      <c r="F2417" s="3" t="s">
        <v>2597</v>
      </c>
    </row>
    <row r="2418" spans="1:6" x14ac:dyDescent="0.3">
      <c r="A2418" s="3" t="s">
        <v>1476</v>
      </c>
      <c r="B2418" s="3" t="s">
        <v>30</v>
      </c>
      <c r="C2418" s="3" t="str">
        <f t="shared" si="37"/>
        <v>450013719010</v>
      </c>
      <c r="D2418" s="4">
        <v>46276</v>
      </c>
      <c r="E2418" s="3" t="s">
        <v>2196</v>
      </c>
      <c r="F2418" s="3" t="s">
        <v>2622</v>
      </c>
    </row>
    <row r="2419" spans="1:6" x14ac:dyDescent="0.3">
      <c r="A2419" s="3" t="s">
        <v>1476</v>
      </c>
      <c r="B2419" s="3" t="s">
        <v>22</v>
      </c>
      <c r="C2419" s="3" t="str">
        <f t="shared" si="37"/>
        <v>450013719020</v>
      </c>
      <c r="D2419" s="4">
        <v>46276</v>
      </c>
      <c r="E2419" s="3" t="s">
        <v>2196</v>
      </c>
      <c r="F2419" s="3" t="s">
        <v>2622</v>
      </c>
    </row>
    <row r="2420" spans="1:6" x14ac:dyDescent="0.3">
      <c r="A2420" s="3" t="s">
        <v>1448</v>
      </c>
      <c r="B2420" s="3" t="s">
        <v>30</v>
      </c>
      <c r="C2420" s="3" t="str">
        <f t="shared" si="37"/>
        <v>450013721010</v>
      </c>
      <c r="D2420" s="4">
        <v>46269</v>
      </c>
      <c r="E2420" s="3" t="s">
        <v>2200</v>
      </c>
      <c r="F2420" s="3" t="s">
        <v>2430</v>
      </c>
    </row>
    <row r="2421" spans="1:6" x14ac:dyDescent="0.3">
      <c r="A2421" s="3" t="s">
        <v>1474</v>
      </c>
      <c r="B2421" s="3" t="s">
        <v>30</v>
      </c>
      <c r="C2421" s="3" t="str">
        <f t="shared" si="37"/>
        <v>450013726110</v>
      </c>
      <c r="D2421" s="4">
        <v>46287</v>
      </c>
      <c r="E2421" s="3" t="s">
        <v>2196</v>
      </c>
      <c r="F2421" s="3" t="s">
        <v>2622</v>
      </c>
    </row>
    <row r="2422" spans="1:6" x14ac:dyDescent="0.3">
      <c r="A2422" s="3" t="s">
        <v>1183</v>
      </c>
      <c r="B2422" s="3" t="s">
        <v>30</v>
      </c>
      <c r="C2422" s="3" t="str">
        <f t="shared" si="37"/>
        <v>450013726910</v>
      </c>
      <c r="D2422" s="4">
        <v>46274</v>
      </c>
      <c r="E2422" s="3" t="s">
        <v>2239</v>
      </c>
      <c r="F2422" s="3" t="s">
        <v>2495</v>
      </c>
    </row>
    <row r="2423" spans="1:6" x14ac:dyDescent="0.3">
      <c r="A2423" s="3" t="s">
        <v>1185</v>
      </c>
      <c r="B2423" s="3" t="s">
        <v>30</v>
      </c>
      <c r="C2423" s="3" t="str">
        <f t="shared" si="37"/>
        <v>450013727210</v>
      </c>
      <c r="D2423" s="4">
        <v>46274</v>
      </c>
      <c r="E2423" s="3" t="s">
        <v>2239</v>
      </c>
      <c r="F2423" s="3" t="s">
        <v>2495</v>
      </c>
    </row>
    <row r="2424" spans="1:6" x14ac:dyDescent="0.3">
      <c r="A2424" s="3" t="s">
        <v>1185</v>
      </c>
      <c r="B2424" s="3" t="s">
        <v>22</v>
      </c>
      <c r="C2424" s="3" t="str">
        <f t="shared" si="37"/>
        <v>450013727220</v>
      </c>
      <c r="D2424" s="4">
        <v>46274</v>
      </c>
      <c r="E2424" s="3" t="s">
        <v>2239</v>
      </c>
      <c r="F2424" s="3" t="s">
        <v>2495</v>
      </c>
    </row>
    <row r="2425" spans="1:6" x14ac:dyDescent="0.3">
      <c r="A2425" s="3" t="s">
        <v>1192</v>
      </c>
      <c r="B2425" s="3" t="s">
        <v>30</v>
      </c>
      <c r="C2425" s="3" t="str">
        <f t="shared" si="37"/>
        <v>450013727310</v>
      </c>
      <c r="D2425" s="4">
        <v>46274</v>
      </c>
      <c r="E2425" s="3" t="s">
        <v>2239</v>
      </c>
      <c r="F2425" s="3" t="s">
        <v>2495</v>
      </c>
    </row>
    <row r="2426" spans="1:6" x14ac:dyDescent="0.3">
      <c r="A2426" s="3" t="s">
        <v>1194</v>
      </c>
      <c r="B2426" s="3" t="s">
        <v>30</v>
      </c>
      <c r="C2426" s="3" t="str">
        <f t="shared" si="37"/>
        <v>450013728110</v>
      </c>
      <c r="D2426" s="4">
        <v>46295</v>
      </c>
      <c r="E2426" s="3" t="s">
        <v>2239</v>
      </c>
      <c r="F2426" s="3" t="s">
        <v>2495</v>
      </c>
    </row>
    <row r="2427" spans="1:6" x14ac:dyDescent="0.3">
      <c r="A2427" s="3" t="s">
        <v>2053</v>
      </c>
      <c r="B2427" s="3" t="s">
        <v>30</v>
      </c>
      <c r="C2427" s="3" t="str">
        <f t="shared" si="37"/>
        <v>450013729510</v>
      </c>
      <c r="D2427" s="4">
        <v>46269</v>
      </c>
      <c r="E2427" s="3" t="s">
        <v>2200</v>
      </c>
      <c r="F2427" s="3" t="s">
        <v>2470</v>
      </c>
    </row>
    <row r="2428" spans="1:6" x14ac:dyDescent="0.3">
      <c r="A2428" s="3" t="s">
        <v>1416</v>
      </c>
      <c r="B2428" s="3" t="s">
        <v>30</v>
      </c>
      <c r="C2428" s="3" t="str">
        <f t="shared" si="37"/>
        <v>450013729910</v>
      </c>
      <c r="D2428" s="4">
        <v>46273</v>
      </c>
      <c r="E2428" s="3" t="s">
        <v>2200</v>
      </c>
      <c r="F2428" s="3" t="s">
        <v>2470</v>
      </c>
    </row>
    <row r="2429" spans="1:6" x14ac:dyDescent="0.3">
      <c r="A2429" s="3" t="s">
        <v>1416</v>
      </c>
      <c r="B2429" s="3" t="s">
        <v>22</v>
      </c>
      <c r="C2429" s="3" t="str">
        <f t="shared" si="37"/>
        <v>450013729920</v>
      </c>
      <c r="D2429" s="4">
        <v>46273</v>
      </c>
      <c r="E2429" s="3" t="s">
        <v>2200</v>
      </c>
      <c r="F2429" s="3" t="s">
        <v>2470</v>
      </c>
    </row>
    <row r="2430" spans="1:6" x14ac:dyDescent="0.3">
      <c r="A2430" s="3" t="s">
        <v>1416</v>
      </c>
      <c r="B2430" s="3" t="s">
        <v>35</v>
      </c>
      <c r="C2430" s="3" t="str">
        <f t="shared" si="37"/>
        <v>450013729930</v>
      </c>
      <c r="D2430" s="4">
        <v>46273</v>
      </c>
      <c r="E2430" s="3" t="s">
        <v>2200</v>
      </c>
      <c r="F2430" s="3" t="s">
        <v>2470</v>
      </c>
    </row>
    <row r="2431" spans="1:6" x14ac:dyDescent="0.3">
      <c r="A2431" s="3" t="s">
        <v>2098</v>
      </c>
      <c r="B2431" s="3" t="s">
        <v>30</v>
      </c>
      <c r="C2431" s="3" t="str">
        <f t="shared" si="37"/>
        <v>450013731410</v>
      </c>
      <c r="D2431" s="4">
        <v>46293</v>
      </c>
      <c r="E2431" s="3" t="s">
        <v>2238</v>
      </c>
      <c r="F2431" s="3" t="s">
        <v>2654</v>
      </c>
    </row>
    <row r="2432" spans="1:6" x14ac:dyDescent="0.3">
      <c r="A2432" s="3" t="s">
        <v>1214</v>
      </c>
      <c r="B2432" s="3" t="s">
        <v>30</v>
      </c>
      <c r="C2432" s="3" t="str">
        <f t="shared" si="37"/>
        <v>450013731510</v>
      </c>
      <c r="D2432" s="4">
        <v>46272</v>
      </c>
      <c r="E2432" s="3" t="s">
        <v>2239</v>
      </c>
      <c r="F2432" s="3" t="s">
        <v>2574</v>
      </c>
    </row>
    <row r="2433" spans="1:6" x14ac:dyDescent="0.3">
      <c r="A2433" s="3" t="s">
        <v>2999</v>
      </c>
      <c r="B2433" s="3" t="s">
        <v>30</v>
      </c>
      <c r="C2433" s="3" t="str">
        <f t="shared" si="37"/>
        <v>450013731810</v>
      </c>
      <c r="D2433" s="4">
        <v>46290</v>
      </c>
      <c r="E2433" s="3" t="s">
        <v>2256</v>
      </c>
      <c r="F2433" s="3" t="s">
        <v>2461</v>
      </c>
    </row>
    <row r="2434" spans="1:6" x14ac:dyDescent="0.3">
      <c r="A2434" s="3" t="s">
        <v>2999</v>
      </c>
      <c r="B2434" s="3" t="s">
        <v>22</v>
      </c>
      <c r="C2434" s="3" t="str">
        <f t="shared" si="37"/>
        <v>450013731820</v>
      </c>
      <c r="D2434" s="4">
        <v>46290</v>
      </c>
      <c r="E2434" s="3" t="s">
        <v>2256</v>
      </c>
      <c r="F2434" s="3" t="s">
        <v>2461</v>
      </c>
    </row>
    <row r="2435" spans="1:6" x14ac:dyDescent="0.3">
      <c r="A2435" s="3" t="s">
        <v>1374</v>
      </c>
      <c r="B2435" s="3" t="s">
        <v>30</v>
      </c>
      <c r="C2435" s="3" t="str">
        <f t="shared" ref="C2435:C2498" si="38">_xlfn.CONCAT(A2435:B2435)</f>
        <v>450013734110</v>
      </c>
      <c r="D2435" s="4">
        <v>46265</v>
      </c>
      <c r="E2435" s="3" t="s">
        <v>2207</v>
      </c>
      <c r="F2435" s="3" t="s">
        <v>2593</v>
      </c>
    </row>
    <row r="2436" spans="1:6" x14ac:dyDescent="0.3">
      <c r="A2436" s="3" t="s">
        <v>1374</v>
      </c>
      <c r="B2436" s="3" t="s">
        <v>22</v>
      </c>
      <c r="C2436" s="3" t="str">
        <f t="shared" si="38"/>
        <v>450013734120</v>
      </c>
      <c r="D2436" s="4">
        <v>46265</v>
      </c>
      <c r="E2436" s="3" t="s">
        <v>2207</v>
      </c>
      <c r="F2436" s="3" t="s">
        <v>2593</v>
      </c>
    </row>
    <row r="2437" spans="1:6" x14ac:dyDescent="0.3">
      <c r="A2437" s="3" t="s">
        <v>1374</v>
      </c>
      <c r="B2437" s="3" t="s">
        <v>35</v>
      </c>
      <c r="C2437" s="3" t="str">
        <f t="shared" si="38"/>
        <v>450013734130</v>
      </c>
      <c r="D2437" s="4">
        <v>46265</v>
      </c>
      <c r="E2437" s="3" t="s">
        <v>2207</v>
      </c>
      <c r="F2437" s="3" t="s">
        <v>2593</v>
      </c>
    </row>
    <row r="2438" spans="1:6" x14ac:dyDescent="0.3">
      <c r="A2438" s="3" t="s">
        <v>1374</v>
      </c>
      <c r="B2438" s="3" t="s">
        <v>23</v>
      </c>
      <c r="C2438" s="3" t="str">
        <f t="shared" si="38"/>
        <v>450013734140</v>
      </c>
      <c r="D2438" s="4">
        <v>46265</v>
      </c>
      <c r="E2438" s="3" t="s">
        <v>2207</v>
      </c>
      <c r="F2438" s="3" t="s">
        <v>2593</v>
      </c>
    </row>
    <row r="2439" spans="1:6" x14ac:dyDescent="0.3">
      <c r="A2439" s="3" t="s">
        <v>1282</v>
      </c>
      <c r="B2439" s="3" t="s">
        <v>30</v>
      </c>
      <c r="C2439" s="3" t="str">
        <f t="shared" si="38"/>
        <v>450013735210</v>
      </c>
      <c r="D2439" s="4">
        <v>46280</v>
      </c>
      <c r="E2439" s="3" t="s">
        <v>2239</v>
      </c>
      <c r="F2439" s="3" t="s">
        <v>2632</v>
      </c>
    </row>
    <row r="2440" spans="1:6" x14ac:dyDescent="0.3">
      <c r="A2440" s="3" t="s">
        <v>1314</v>
      </c>
      <c r="B2440" s="3" t="s">
        <v>30</v>
      </c>
      <c r="C2440" s="3" t="str">
        <f t="shared" si="38"/>
        <v>450013738210</v>
      </c>
      <c r="D2440" s="4">
        <v>46275</v>
      </c>
      <c r="E2440" s="3" t="s">
        <v>2236</v>
      </c>
      <c r="F2440" s="3" t="s">
        <v>2554</v>
      </c>
    </row>
    <row r="2441" spans="1:6" x14ac:dyDescent="0.3">
      <c r="A2441" s="3" t="s">
        <v>1986</v>
      </c>
      <c r="B2441" s="3" t="s">
        <v>22</v>
      </c>
      <c r="C2441" s="3" t="str">
        <f t="shared" si="38"/>
        <v>450013738520</v>
      </c>
      <c r="D2441" s="4">
        <v>46301</v>
      </c>
      <c r="E2441" s="3" t="s">
        <v>2239</v>
      </c>
      <c r="F2441" s="3" t="s">
        <v>2512</v>
      </c>
    </row>
    <row r="2442" spans="1:6" x14ac:dyDescent="0.3">
      <c r="A2442" s="3" t="s">
        <v>1189</v>
      </c>
      <c r="B2442" s="3" t="s">
        <v>30</v>
      </c>
      <c r="C2442" s="3" t="str">
        <f t="shared" si="38"/>
        <v>450013740110</v>
      </c>
      <c r="D2442" s="4">
        <v>46280</v>
      </c>
      <c r="E2442" s="3" t="s">
        <v>2196</v>
      </c>
      <c r="F2442" s="3" t="s">
        <v>2549</v>
      </c>
    </row>
    <row r="2443" spans="1:6" x14ac:dyDescent="0.3">
      <c r="A2443" s="3" t="s">
        <v>1704</v>
      </c>
      <c r="B2443" s="3" t="s">
        <v>30</v>
      </c>
      <c r="C2443" s="3" t="str">
        <f t="shared" si="38"/>
        <v>450013740510</v>
      </c>
      <c r="D2443" s="4">
        <v>46295</v>
      </c>
      <c r="E2443" s="3" t="s">
        <v>2204</v>
      </c>
      <c r="F2443" s="3" t="s">
        <v>2478</v>
      </c>
    </row>
    <row r="2444" spans="1:6" x14ac:dyDescent="0.3">
      <c r="A2444" s="3" t="s">
        <v>2767</v>
      </c>
      <c r="B2444" s="3" t="s">
        <v>30</v>
      </c>
      <c r="C2444" s="3" t="str">
        <f t="shared" si="38"/>
        <v>450013740910</v>
      </c>
      <c r="D2444" s="4">
        <v>46295</v>
      </c>
      <c r="E2444" s="3" t="s">
        <v>2196</v>
      </c>
      <c r="F2444" s="3" t="s">
        <v>2491</v>
      </c>
    </row>
    <row r="2445" spans="1:6" x14ac:dyDescent="0.3">
      <c r="A2445" s="3" t="s">
        <v>2049</v>
      </c>
      <c r="B2445" s="3" t="s">
        <v>30</v>
      </c>
      <c r="C2445" s="3" t="str">
        <f t="shared" si="38"/>
        <v>450013741710</v>
      </c>
      <c r="D2445" s="4">
        <v>46272</v>
      </c>
      <c r="E2445" s="3" t="s">
        <v>2200</v>
      </c>
      <c r="F2445" s="3" t="s">
        <v>2470</v>
      </c>
    </row>
    <row r="2446" spans="1:6" x14ac:dyDescent="0.3">
      <c r="A2446" s="3" t="s">
        <v>2736</v>
      </c>
      <c r="B2446" s="3" t="s">
        <v>30</v>
      </c>
      <c r="C2446" s="3" t="str">
        <f t="shared" si="38"/>
        <v>450013742410</v>
      </c>
      <c r="D2446" s="4">
        <v>46298</v>
      </c>
      <c r="E2446" s="3" t="s">
        <v>2241</v>
      </c>
      <c r="F2446" s="3" t="s">
        <v>2788</v>
      </c>
    </row>
    <row r="2447" spans="1:6" x14ac:dyDescent="0.3">
      <c r="A2447" s="3" t="s">
        <v>2736</v>
      </c>
      <c r="B2447" s="3" t="s">
        <v>22</v>
      </c>
      <c r="C2447" s="3" t="str">
        <f t="shared" si="38"/>
        <v>450013742420</v>
      </c>
      <c r="D2447" s="4">
        <v>46275</v>
      </c>
      <c r="E2447" s="3" t="s">
        <v>2241</v>
      </c>
      <c r="F2447" s="3" t="s">
        <v>2788</v>
      </c>
    </row>
    <row r="2448" spans="1:6" x14ac:dyDescent="0.3">
      <c r="A2448" s="3" t="s">
        <v>1358</v>
      </c>
      <c r="B2448" s="3" t="s">
        <v>30</v>
      </c>
      <c r="C2448" s="3" t="str">
        <f t="shared" si="38"/>
        <v>450013747210</v>
      </c>
      <c r="D2448" s="4">
        <v>46272</v>
      </c>
      <c r="E2448" s="3" t="s">
        <v>2200</v>
      </c>
      <c r="F2448" s="3" t="s">
        <v>2655</v>
      </c>
    </row>
    <row r="2449" spans="1:6" x14ac:dyDescent="0.3">
      <c r="A2449" s="3" t="s">
        <v>1358</v>
      </c>
      <c r="B2449" s="3" t="s">
        <v>22</v>
      </c>
      <c r="C2449" s="3" t="str">
        <f t="shared" si="38"/>
        <v>450013747220</v>
      </c>
      <c r="D2449" s="4">
        <v>46272</v>
      </c>
      <c r="E2449" s="3" t="s">
        <v>2200</v>
      </c>
      <c r="F2449" s="3" t="s">
        <v>2655</v>
      </c>
    </row>
    <row r="2450" spans="1:6" x14ac:dyDescent="0.3">
      <c r="A2450" s="3" t="s">
        <v>1358</v>
      </c>
      <c r="B2450" s="3" t="s">
        <v>35</v>
      </c>
      <c r="C2450" s="3" t="str">
        <f t="shared" si="38"/>
        <v>450013747230</v>
      </c>
      <c r="D2450" s="4">
        <v>46272</v>
      </c>
      <c r="E2450" s="3" t="s">
        <v>2200</v>
      </c>
      <c r="F2450" s="3" t="s">
        <v>2655</v>
      </c>
    </row>
    <row r="2451" spans="1:6" x14ac:dyDescent="0.3">
      <c r="A2451" s="3" t="s">
        <v>1547</v>
      </c>
      <c r="B2451" s="3" t="s">
        <v>30</v>
      </c>
      <c r="C2451" s="3" t="str">
        <f t="shared" si="38"/>
        <v>450013747810</v>
      </c>
      <c r="D2451" s="4">
        <v>46280</v>
      </c>
      <c r="E2451" s="3" t="s">
        <v>2196</v>
      </c>
      <c r="F2451" s="3" t="s">
        <v>2439</v>
      </c>
    </row>
    <row r="2452" spans="1:6" x14ac:dyDescent="0.3">
      <c r="A2452" s="3" t="s">
        <v>1725</v>
      </c>
      <c r="B2452" s="3" t="s">
        <v>30</v>
      </c>
      <c r="C2452" s="3" t="str">
        <f t="shared" si="38"/>
        <v>450013748710</v>
      </c>
      <c r="D2452" s="4">
        <v>46286</v>
      </c>
      <c r="E2452" s="3" t="s">
        <v>2196</v>
      </c>
      <c r="F2452" s="3" t="s">
        <v>2423</v>
      </c>
    </row>
    <row r="2453" spans="1:6" x14ac:dyDescent="0.3">
      <c r="A2453" s="3" t="s">
        <v>1207</v>
      </c>
      <c r="B2453" s="3" t="s">
        <v>30</v>
      </c>
      <c r="C2453" s="3" t="str">
        <f t="shared" si="38"/>
        <v>450013749610</v>
      </c>
      <c r="D2453" s="4">
        <v>46276</v>
      </c>
      <c r="E2453" s="3" t="s">
        <v>2241</v>
      </c>
      <c r="F2453" s="3" t="s">
        <v>2656</v>
      </c>
    </row>
    <row r="2454" spans="1:6" x14ac:dyDescent="0.3">
      <c r="A2454" s="3" t="s">
        <v>1467</v>
      </c>
      <c r="B2454" s="3" t="s">
        <v>30</v>
      </c>
      <c r="C2454" s="3" t="str">
        <f t="shared" si="38"/>
        <v>450013750310</v>
      </c>
      <c r="D2454" s="4">
        <v>46290</v>
      </c>
      <c r="E2454" s="3" t="s">
        <v>2252</v>
      </c>
      <c r="F2454" s="3" t="s">
        <v>2452</v>
      </c>
    </row>
    <row r="2455" spans="1:6" x14ac:dyDescent="0.3">
      <c r="A2455" s="3" t="s">
        <v>1995</v>
      </c>
      <c r="B2455" s="3" t="s">
        <v>30</v>
      </c>
      <c r="C2455" s="3" t="str">
        <f t="shared" si="38"/>
        <v>450013750710</v>
      </c>
      <c r="D2455" s="4">
        <v>46290</v>
      </c>
      <c r="E2455" s="3" t="s">
        <v>2196</v>
      </c>
      <c r="F2455" s="3" t="s">
        <v>2454</v>
      </c>
    </row>
    <row r="2456" spans="1:6" x14ac:dyDescent="0.3">
      <c r="A2456" s="3" t="s">
        <v>1694</v>
      </c>
      <c r="B2456" s="3" t="s">
        <v>30</v>
      </c>
      <c r="C2456" s="3" t="str">
        <f t="shared" si="38"/>
        <v>450013751010</v>
      </c>
      <c r="D2456" s="4">
        <v>46281</v>
      </c>
      <c r="E2456" s="3" t="s">
        <v>2204</v>
      </c>
      <c r="F2456" s="3" t="s">
        <v>2657</v>
      </c>
    </row>
    <row r="2457" spans="1:6" x14ac:dyDescent="0.3">
      <c r="A2457" s="3" t="s">
        <v>2753</v>
      </c>
      <c r="B2457" s="3" t="s">
        <v>30</v>
      </c>
      <c r="C2457" s="3" t="str">
        <f t="shared" si="38"/>
        <v>450013753410</v>
      </c>
      <c r="D2457" s="4">
        <v>46295</v>
      </c>
      <c r="E2457" s="3" t="s">
        <v>2196</v>
      </c>
      <c r="F2457" s="3" t="s">
        <v>2478</v>
      </c>
    </row>
    <row r="2458" spans="1:6" x14ac:dyDescent="0.3">
      <c r="A2458" s="3" t="s">
        <v>1310</v>
      </c>
      <c r="B2458" s="3" t="s">
        <v>30</v>
      </c>
      <c r="C2458" s="3" t="str">
        <f t="shared" si="38"/>
        <v>450013753510</v>
      </c>
      <c r="D2458" s="4">
        <v>46270</v>
      </c>
      <c r="E2458" s="3" t="s">
        <v>2242</v>
      </c>
      <c r="F2458" s="3" t="s">
        <v>2439</v>
      </c>
    </row>
    <row r="2459" spans="1:6" x14ac:dyDescent="0.3">
      <c r="A2459" s="3" t="s">
        <v>1310</v>
      </c>
      <c r="B2459" s="3" t="s">
        <v>22</v>
      </c>
      <c r="C2459" s="3" t="str">
        <f t="shared" si="38"/>
        <v>450013753520</v>
      </c>
      <c r="D2459" s="4">
        <v>46270</v>
      </c>
      <c r="E2459" s="3" t="s">
        <v>2242</v>
      </c>
      <c r="F2459" s="3" t="s">
        <v>2439</v>
      </c>
    </row>
    <row r="2460" spans="1:6" x14ac:dyDescent="0.3">
      <c r="A2460" s="3" t="s">
        <v>1310</v>
      </c>
      <c r="B2460" s="3" t="s">
        <v>35</v>
      </c>
      <c r="C2460" s="3" t="str">
        <f t="shared" si="38"/>
        <v>450013753530</v>
      </c>
      <c r="D2460" s="4">
        <v>46270</v>
      </c>
      <c r="E2460" s="3" t="s">
        <v>2242</v>
      </c>
      <c r="F2460" s="3" t="s">
        <v>2439</v>
      </c>
    </row>
    <row r="2461" spans="1:6" x14ac:dyDescent="0.3">
      <c r="A2461" s="3" t="s">
        <v>1229</v>
      </c>
      <c r="B2461" s="3" t="s">
        <v>30</v>
      </c>
      <c r="C2461" s="3" t="str">
        <f t="shared" si="38"/>
        <v>450013753810</v>
      </c>
      <c r="D2461" s="4">
        <v>46272</v>
      </c>
      <c r="E2461" s="3" t="s">
        <v>2238</v>
      </c>
      <c r="F2461" s="3" t="s">
        <v>2597</v>
      </c>
    </row>
    <row r="2462" spans="1:6" x14ac:dyDescent="0.3">
      <c r="A2462" s="3" t="s">
        <v>1229</v>
      </c>
      <c r="B2462" s="3" t="s">
        <v>22</v>
      </c>
      <c r="C2462" s="3" t="str">
        <f t="shared" si="38"/>
        <v>450013753820</v>
      </c>
      <c r="D2462" s="4">
        <v>46272</v>
      </c>
      <c r="E2462" s="3" t="s">
        <v>2238</v>
      </c>
      <c r="F2462" s="3" t="s">
        <v>2597</v>
      </c>
    </row>
    <row r="2463" spans="1:6" x14ac:dyDescent="0.3">
      <c r="A2463" s="3" t="s">
        <v>1229</v>
      </c>
      <c r="B2463" s="3" t="s">
        <v>35</v>
      </c>
      <c r="C2463" s="3" t="str">
        <f t="shared" si="38"/>
        <v>450013753830</v>
      </c>
      <c r="D2463" s="4">
        <v>46272</v>
      </c>
      <c r="E2463" s="3" t="s">
        <v>2238</v>
      </c>
      <c r="F2463" s="3" t="s">
        <v>2597</v>
      </c>
    </row>
    <row r="2464" spans="1:6" x14ac:dyDescent="0.3">
      <c r="A2464" s="3" t="s">
        <v>1229</v>
      </c>
      <c r="B2464" s="3" t="s">
        <v>23</v>
      </c>
      <c r="C2464" s="3" t="str">
        <f t="shared" si="38"/>
        <v>450013753840</v>
      </c>
      <c r="D2464" s="4">
        <v>46272</v>
      </c>
      <c r="E2464" s="3" t="s">
        <v>2238</v>
      </c>
      <c r="F2464" s="3" t="s">
        <v>2597</v>
      </c>
    </row>
    <row r="2465" spans="1:6" x14ac:dyDescent="0.3">
      <c r="A2465" s="3" t="s">
        <v>1229</v>
      </c>
      <c r="B2465" s="3" t="s">
        <v>144</v>
      </c>
      <c r="C2465" s="3" t="str">
        <f t="shared" si="38"/>
        <v>450013753850</v>
      </c>
      <c r="D2465" s="4">
        <v>46272</v>
      </c>
      <c r="E2465" s="3" t="s">
        <v>2238</v>
      </c>
      <c r="F2465" s="3" t="s">
        <v>2597</v>
      </c>
    </row>
    <row r="2466" spans="1:6" x14ac:dyDescent="0.3">
      <c r="A2466" s="3" t="s">
        <v>1294</v>
      </c>
      <c r="B2466" s="3" t="s">
        <v>30</v>
      </c>
      <c r="C2466" s="3" t="str">
        <f t="shared" si="38"/>
        <v>450013754210</v>
      </c>
      <c r="D2466" s="4">
        <v>46274</v>
      </c>
      <c r="E2466" s="3" t="s">
        <v>2239</v>
      </c>
      <c r="F2466" s="3" t="s">
        <v>2628</v>
      </c>
    </row>
    <row r="2467" spans="1:6" x14ac:dyDescent="0.3">
      <c r="A2467" s="3" t="s">
        <v>1367</v>
      </c>
      <c r="B2467" s="3" t="s">
        <v>30</v>
      </c>
      <c r="C2467" s="3" t="str">
        <f t="shared" si="38"/>
        <v>450013757910</v>
      </c>
      <c r="D2467" s="4">
        <v>46282</v>
      </c>
      <c r="E2467" s="3" t="s">
        <v>2204</v>
      </c>
      <c r="F2467" s="3" t="s">
        <v>2461</v>
      </c>
    </row>
    <row r="2468" spans="1:6" x14ac:dyDescent="0.3">
      <c r="A2468" s="3" t="s">
        <v>1354</v>
      </c>
      <c r="B2468" s="3" t="s">
        <v>30</v>
      </c>
      <c r="C2468" s="3" t="str">
        <f t="shared" si="38"/>
        <v>450013758610</v>
      </c>
      <c r="D2468" s="4">
        <v>46281</v>
      </c>
      <c r="E2468" s="3" t="s">
        <v>2196</v>
      </c>
      <c r="F2468" s="3" t="s">
        <v>2658</v>
      </c>
    </row>
    <row r="2469" spans="1:6" x14ac:dyDescent="0.3">
      <c r="A2469" s="3" t="s">
        <v>1275</v>
      </c>
      <c r="B2469" s="3" t="s">
        <v>30</v>
      </c>
      <c r="C2469" s="3" t="str">
        <f t="shared" si="38"/>
        <v>450013759310</v>
      </c>
      <c r="D2469" s="4">
        <v>46275</v>
      </c>
      <c r="E2469" s="3" t="s">
        <v>2200</v>
      </c>
      <c r="F2469" s="3" t="s">
        <v>2456</v>
      </c>
    </row>
    <row r="2470" spans="1:6" x14ac:dyDescent="0.3">
      <c r="A2470" s="3" t="s">
        <v>1275</v>
      </c>
      <c r="B2470" s="3" t="s">
        <v>22</v>
      </c>
      <c r="C2470" s="3" t="str">
        <f t="shared" si="38"/>
        <v>450013759320</v>
      </c>
      <c r="D2470" s="4">
        <v>46275</v>
      </c>
      <c r="E2470" s="3" t="s">
        <v>2200</v>
      </c>
      <c r="F2470" s="3" t="s">
        <v>2456</v>
      </c>
    </row>
    <row r="2471" spans="1:6" x14ac:dyDescent="0.3">
      <c r="A2471" s="3" t="s">
        <v>1275</v>
      </c>
      <c r="B2471" s="3" t="s">
        <v>23</v>
      </c>
      <c r="C2471" s="3" t="str">
        <f t="shared" si="38"/>
        <v>450013759340</v>
      </c>
      <c r="D2471" s="4">
        <v>46275</v>
      </c>
      <c r="E2471" s="3" t="s">
        <v>2200</v>
      </c>
      <c r="F2471" s="3" t="s">
        <v>2456</v>
      </c>
    </row>
    <row r="2472" spans="1:6" x14ac:dyDescent="0.3">
      <c r="A2472" s="3" t="s">
        <v>1275</v>
      </c>
      <c r="B2472" s="3" t="s">
        <v>134</v>
      </c>
      <c r="C2472" s="3" t="str">
        <f t="shared" si="38"/>
        <v>450013759370</v>
      </c>
      <c r="D2472" s="4">
        <v>46275</v>
      </c>
      <c r="E2472" s="3" t="s">
        <v>2200</v>
      </c>
      <c r="F2472" s="3" t="s">
        <v>2456</v>
      </c>
    </row>
    <row r="2473" spans="1:6" x14ac:dyDescent="0.3">
      <c r="A2473" s="3" t="s">
        <v>1275</v>
      </c>
      <c r="B2473" s="3" t="s">
        <v>52</v>
      </c>
      <c r="C2473" s="3" t="str">
        <f t="shared" si="38"/>
        <v>450013759380</v>
      </c>
      <c r="D2473" s="4">
        <v>46275</v>
      </c>
      <c r="E2473" s="3" t="s">
        <v>2200</v>
      </c>
      <c r="F2473" s="3" t="s">
        <v>2456</v>
      </c>
    </row>
    <row r="2474" spans="1:6" x14ac:dyDescent="0.3">
      <c r="A2474" s="3" t="s">
        <v>1275</v>
      </c>
      <c r="B2474" s="3" t="s">
        <v>138</v>
      </c>
      <c r="C2474" s="3" t="str">
        <f t="shared" si="38"/>
        <v>450013759390</v>
      </c>
      <c r="D2474" s="4">
        <v>46275</v>
      </c>
      <c r="E2474" s="3" t="s">
        <v>2200</v>
      </c>
      <c r="F2474" s="3" t="s">
        <v>2456</v>
      </c>
    </row>
    <row r="2475" spans="1:6" x14ac:dyDescent="0.3">
      <c r="A2475" s="3" t="s">
        <v>1275</v>
      </c>
      <c r="B2475" s="3" t="s">
        <v>45</v>
      </c>
      <c r="C2475" s="3" t="str">
        <f t="shared" si="38"/>
        <v>4500137593100</v>
      </c>
      <c r="D2475" s="4">
        <v>46275</v>
      </c>
      <c r="E2475" s="3" t="s">
        <v>2200</v>
      </c>
      <c r="F2475" s="3" t="s">
        <v>2456</v>
      </c>
    </row>
    <row r="2476" spans="1:6" x14ac:dyDescent="0.3">
      <c r="A2476" s="3" t="s">
        <v>1275</v>
      </c>
      <c r="B2476" s="3" t="s">
        <v>156</v>
      </c>
      <c r="C2476" s="3" t="str">
        <f t="shared" si="38"/>
        <v>4500137593110</v>
      </c>
      <c r="D2476" s="4">
        <v>46275</v>
      </c>
      <c r="E2476" s="3" t="s">
        <v>2200</v>
      </c>
      <c r="F2476" s="3" t="s">
        <v>2456</v>
      </c>
    </row>
    <row r="2477" spans="1:6" x14ac:dyDescent="0.3">
      <c r="A2477" s="3" t="s">
        <v>1275</v>
      </c>
      <c r="B2477" s="3" t="s">
        <v>132</v>
      </c>
      <c r="C2477" s="3" t="str">
        <f t="shared" si="38"/>
        <v>4500137593120</v>
      </c>
      <c r="D2477" s="4">
        <v>46275</v>
      </c>
      <c r="E2477" s="3" t="s">
        <v>2200</v>
      </c>
      <c r="F2477" s="3" t="s">
        <v>2456</v>
      </c>
    </row>
    <row r="2478" spans="1:6" x14ac:dyDescent="0.3">
      <c r="A2478" s="3" t="s">
        <v>1275</v>
      </c>
      <c r="B2478" s="3" t="s">
        <v>142</v>
      </c>
      <c r="C2478" s="3" t="str">
        <f t="shared" si="38"/>
        <v>4500137593130</v>
      </c>
      <c r="D2478" s="4">
        <v>46275</v>
      </c>
      <c r="E2478" s="3" t="s">
        <v>2200</v>
      </c>
      <c r="F2478" s="3" t="s">
        <v>2456</v>
      </c>
    </row>
    <row r="2479" spans="1:6" x14ac:dyDescent="0.3">
      <c r="A2479" s="3" t="s">
        <v>1275</v>
      </c>
      <c r="B2479" s="3" t="s">
        <v>68</v>
      </c>
      <c r="C2479" s="3" t="str">
        <f t="shared" si="38"/>
        <v>4500137593150</v>
      </c>
      <c r="D2479" s="4">
        <v>46275</v>
      </c>
      <c r="E2479" s="3" t="s">
        <v>2200</v>
      </c>
      <c r="F2479" s="3" t="s">
        <v>2456</v>
      </c>
    </row>
    <row r="2480" spans="1:6" x14ac:dyDescent="0.3">
      <c r="A2480" s="3" t="s">
        <v>1275</v>
      </c>
      <c r="B2480" s="3" t="s">
        <v>129</v>
      </c>
      <c r="C2480" s="3" t="str">
        <f t="shared" si="38"/>
        <v>4500137593160</v>
      </c>
      <c r="D2480" s="4">
        <v>46275</v>
      </c>
      <c r="E2480" s="3" t="s">
        <v>2200</v>
      </c>
      <c r="F2480" s="3" t="s">
        <v>2456</v>
      </c>
    </row>
    <row r="2481" spans="1:6" x14ac:dyDescent="0.3">
      <c r="A2481" s="3" t="s">
        <v>1275</v>
      </c>
      <c r="B2481" s="3" t="s">
        <v>130</v>
      </c>
      <c r="C2481" s="3" t="str">
        <f t="shared" si="38"/>
        <v>4500137593180</v>
      </c>
      <c r="D2481" s="4">
        <v>46275</v>
      </c>
      <c r="E2481" s="3" t="s">
        <v>2200</v>
      </c>
      <c r="F2481" s="3" t="s">
        <v>2456</v>
      </c>
    </row>
    <row r="2482" spans="1:6" x14ac:dyDescent="0.3">
      <c r="A2482" s="3" t="s">
        <v>1275</v>
      </c>
      <c r="B2482" s="3" t="s">
        <v>127</v>
      </c>
      <c r="C2482" s="3" t="str">
        <f t="shared" si="38"/>
        <v>4500137593190</v>
      </c>
      <c r="D2482" s="4">
        <v>46275</v>
      </c>
      <c r="E2482" s="3" t="s">
        <v>2200</v>
      </c>
      <c r="F2482" s="3" t="s">
        <v>2456</v>
      </c>
    </row>
    <row r="2483" spans="1:6" x14ac:dyDescent="0.3">
      <c r="A2483" s="3" t="s">
        <v>1275</v>
      </c>
      <c r="B2483" s="3" t="s">
        <v>161</v>
      </c>
      <c r="C2483" s="3" t="str">
        <f t="shared" si="38"/>
        <v>4500137593200</v>
      </c>
      <c r="D2483" s="4">
        <v>46275</v>
      </c>
      <c r="E2483" s="3" t="s">
        <v>2200</v>
      </c>
      <c r="F2483" s="3" t="s">
        <v>2456</v>
      </c>
    </row>
    <row r="2484" spans="1:6" x14ac:dyDescent="0.3">
      <c r="A2484" s="3" t="s">
        <v>1275</v>
      </c>
      <c r="B2484" s="3" t="s">
        <v>136</v>
      </c>
      <c r="C2484" s="3" t="str">
        <f t="shared" si="38"/>
        <v>4500137593210</v>
      </c>
      <c r="D2484" s="4">
        <v>46275</v>
      </c>
      <c r="E2484" s="3" t="s">
        <v>2200</v>
      </c>
      <c r="F2484" s="3" t="s">
        <v>2456</v>
      </c>
    </row>
    <row r="2485" spans="1:6" x14ac:dyDescent="0.3">
      <c r="A2485" s="3" t="s">
        <v>1275</v>
      </c>
      <c r="B2485" s="3" t="s">
        <v>140</v>
      </c>
      <c r="C2485" s="3" t="str">
        <f t="shared" si="38"/>
        <v>4500137593220</v>
      </c>
      <c r="D2485" s="4">
        <v>46275</v>
      </c>
      <c r="E2485" s="3" t="s">
        <v>2200</v>
      </c>
      <c r="F2485" s="3" t="s">
        <v>2456</v>
      </c>
    </row>
    <row r="2486" spans="1:6" x14ac:dyDescent="0.3">
      <c r="A2486" s="3" t="s">
        <v>1275</v>
      </c>
      <c r="B2486" s="3" t="s">
        <v>137</v>
      </c>
      <c r="C2486" s="3" t="str">
        <f t="shared" si="38"/>
        <v>4500137593230</v>
      </c>
      <c r="D2486" s="4">
        <v>46275</v>
      </c>
      <c r="E2486" s="3" t="s">
        <v>2200</v>
      </c>
      <c r="F2486" s="3" t="s">
        <v>2456</v>
      </c>
    </row>
    <row r="2487" spans="1:6" x14ac:dyDescent="0.3">
      <c r="A2487" s="3" t="s">
        <v>1275</v>
      </c>
      <c r="B2487" s="3" t="s">
        <v>143</v>
      </c>
      <c r="C2487" s="3" t="str">
        <f t="shared" si="38"/>
        <v>4500137593240</v>
      </c>
      <c r="D2487" s="4">
        <v>46275</v>
      </c>
      <c r="E2487" s="3" t="s">
        <v>2200</v>
      </c>
      <c r="F2487" s="3" t="s">
        <v>2456</v>
      </c>
    </row>
    <row r="2488" spans="1:6" x14ac:dyDescent="0.3">
      <c r="A2488" s="3" t="s">
        <v>1275</v>
      </c>
      <c r="B2488" s="3" t="s">
        <v>128</v>
      </c>
      <c r="C2488" s="3" t="str">
        <f t="shared" si="38"/>
        <v>4500137593250</v>
      </c>
      <c r="D2488" s="4">
        <v>46275</v>
      </c>
      <c r="E2488" s="3" t="s">
        <v>2200</v>
      </c>
      <c r="F2488" s="3" t="s">
        <v>2456</v>
      </c>
    </row>
    <row r="2489" spans="1:6" x14ac:dyDescent="0.3">
      <c r="A2489" s="3" t="s">
        <v>1275</v>
      </c>
      <c r="B2489" s="3" t="s">
        <v>126</v>
      </c>
      <c r="C2489" s="3" t="str">
        <f t="shared" si="38"/>
        <v>4500137593260</v>
      </c>
      <c r="D2489" s="4">
        <v>46275</v>
      </c>
      <c r="E2489" s="3" t="s">
        <v>2200</v>
      </c>
      <c r="F2489" s="3" t="s">
        <v>2456</v>
      </c>
    </row>
    <row r="2490" spans="1:6" x14ac:dyDescent="0.3">
      <c r="A2490" s="3" t="s">
        <v>1275</v>
      </c>
      <c r="B2490" s="3" t="s">
        <v>146</v>
      </c>
      <c r="C2490" s="3" t="str">
        <f t="shared" si="38"/>
        <v>4500137593270</v>
      </c>
      <c r="D2490" s="4">
        <v>46275</v>
      </c>
      <c r="E2490" s="3" t="s">
        <v>2200</v>
      </c>
      <c r="F2490" s="3" t="s">
        <v>2456</v>
      </c>
    </row>
    <row r="2491" spans="1:6" x14ac:dyDescent="0.3">
      <c r="A2491" s="3" t="s">
        <v>1275</v>
      </c>
      <c r="B2491" s="3" t="s">
        <v>133</v>
      </c>
      <c r="C2491" s="3" t="str">
        <f t="shared" si="38"/>
        <v>4500137593280</v>
      </c>
      <c r="D2491" s="4">
        <v>46275</v>
      </c>
      <c r="E2491" s="3" t="s">
        <v>2200</v>
      </c>
      <c r="F2491" s="3" t="s">
        <v>2456</v>
      </c>
    </row>
    <row r="2492" spans="1:6" x14ac:dyDescent="0.3">
      <c r="A2492" s="3" t="s">
        <v>1275</v>
      </c>
      <c r="B2492" s="3" t="s">
        <v>173</v>
      </c>
      <c r="C2492" s="3" t="str">
        <f t="shared" si="38"/>
        <v>4500137593290</v>
      </c>
      <c r="D2492" s="4">
        <v>46275</v>
      </c>
      <c r="E2492" s="3" t="s">
        <v>2200</v>
      </c>
      <c r="F2492" s="3" t="s">
        <v>2456</v>
      </c>
    </row>
    <row r="2493" spans="1:6" x14ac:dyDescent="0.3">
      <c r="A2493" s="3" t="s">
        <v>1275</v>
      </c>
      <c r="B2493" s="3" t="s">
        <v>145</v>
      </c>
      <c r="C2493" s="3" t="str">
        <f t="shared" si="38"/>
        <v>4500137593300</v>
      </c>
      <c r="D2493" s="4">
        <v>46275</v>
      </c>
      <c r="E2493" s="3" t="s">
        <v>2200</v>
      </c>
      <c r="F2493" s="3" t="s">
        <v>2456</v>
      </c>
    </row>
    <row r="2494" spans="1:6" x14ac:dyDescent="0.3">
      <c r="A2494" s="3" t="s">
        <v>1275</v>
      </c>
      <c r="B2494" s="3" t="s">
        <v>147</v>
      </c>
      <c r="C2494" s="3" t="str">
        <f t="shared" si="38"/>
        <v>4500137593310</v>
      </c>
      <c r="D2494" s="4">
        <v>46275</v>
      </c>
      <c r="E2494" s="3" t="s">
        <v>2200</v>
      </c>
      <c r="F2494" s="3" t="s">
        <v>2456</v>
      </c>
    </row>
    <row r="2495" spans="1:6" x14ac:dyDescent="0.3">
      <c r="A2495" s="3" t="s">
        <v>1275</v>
      </c>
      <c r="B2495" s="3" t="s">
        <v>150</v>
      </c>
      <c r="C2495" s="3" t="str">
        <f t="shared" si="38"/>
        <v>4500137593320</v>
      </c>
      <c r="D2495" s="4">
        <v>46275</v>
      </c>
      <c r="E2495" s="3" t="s">
        <v>2200</v>
      </c>
      <c r="F2495" s="3" t="s">
        <v>2456</v>
      </c>
    </row>
    <row r="2496" spans="1:6" x14ac:dyDescent="0.3">
      <c r="A2496" s="3" t="s">
        <v>1275</v>
      </c>
      <c r="B2496" s="3" t="s">
        <v>154</v>
      </c>
      <c r="C2496" s="3" t="str">
        <f t="shared" si="38"/>
        <v>4500137593330</v>
      </c>
      <c r="D2496" s="4">
        <v>46275</v>
      </c>
      <c r="E2496" s="3" t="s">
        <v>2200</v>
      </c>
      <c r="F2496" s="3" t="s">
        <v>2456</v>
      </c>
    </row>
    <row r="2497" spans="1:6" x14ac:dyDescent="0.3">
      <c r="A2497" s="3" t="s">
        <v>1275</v>
      </c>
      <c r="B2497" s="3" t="s">
        <v>135</v>
      </c>
      <c r="C2497" s="3" t="str">
        <f t="shared" si="38"/>
        <v>4500137593340</v>
      </c>
      <c r="D2497" s="4">
        <v>46275</v>
      </c>
      <c r="E2497" s="3" t="s">
        <v>2200</v>
      </c>
      <c r="F2497" s="3" t="s">
        <v>2456</v>
      </c>
    </row>
    <row r="2498" spans="1:6" x14ac:dyDescent="0.3">
      <c r="A2498" s="3" t="s">
        <v>1275</v>
      </c>
      <c r="B2498" s="3" t="s">
        <v>139</v>
      </c>
      <c r="C2498" s="3" t="str">
        <f t="shared" si="38"/>
        <v>4500137593350</v>
      </c>
      <c r="D2498" s="4">
        <v>46275</v>
      </c>
      <c r="E2498" s="3" t="s">
        <v>2200</v>
      </c>
      <c r="F2498" s="3" t="s">
        <v>2456</v>
      </c>
    </row>
    <row r="2499" spans="1:6" x14ac:dyDescent="0.3">
      <c r="A2499" s="3" t="s">
        <v>1275</v>
      </c>
      <c r="B2499" s="3" t="s">
        <v>168</v>
      </c>
      <c r="C2499" s="3" t="str">
        <f t="shared" ref="C2499:C2562" si="39">_xlfn.CONCAT(A2499:B2499)</f>
        <v>4500137593360</v>
      </c>
      <c r="D2499" s="4">
        <v>46275</v>
      </c>
      <c r="E2499" s="3" t="s">
        <v>2200</v>
      </c>
      <c r="F2499" s="3" t="s">
        <v>2456</v>
      </c>
    </row>
    <row r="2500" spans="1:6" x14ac:dyDescent="0.3">
      <c r="A2500" s="3" t="s">
        <v>1275</v>
      </c>
      <c r="B2500" s="3" t="s">
        <v>158</v>
      </c>
      <c r="C2500" s="3" t="str">
        <f t="shared" si="39"/>
        <v>4500137593390</v>
      </c>
      <c r="D2500" s="4">
        <v>46275</v>
      </c>
      <c r="E2500" s="3" t="s">
        <v>2200</v>
      </c>
      <c r="F2500" s="3" t="s">
        <v>2456</v>
      </c>
    </row>
    <row r="2501" spans="1:6" x14ac:dyDescent="0.3">
      <c r="A2501" s="3" t="s">
        <v>1275</v>
      </c>
      <c r="B2501" s="3" t="s">
        <v>178</v>
      </c>
      <c r="C2501" s="3" t="str">
        <f t="shared" si="39"/>
        <v>4500137593400</v>
      </c>
      <c r="D2501" s="4">
        <v>46275</v>
      </c>
      <c r="E2501" s="3" t="s">
        <v>2200</v>
      </c>
      <c r="F2501" s="3" t="s">
        <v>2456</v>
      </c>
    </row>
    <row r="2502" spans="1:6" x14ac:dyDescent="0.3">
      <c r="A2502" s="3" t="s">
        <v>1275</v>
      </c>
      <c r="B2502" s="3" t="s">
        <v>157</v>
      </c>
      <c r="C2502" s="3" t="str">
        <f t="shared" si="39"/>
        <v>4500137593410</v>
      </c>
      <c r="D2502" s="4">
        <v>46275</v>
      </c>
      <c r="E2502" s="3" t="s">
        <v>2200</v>
      </c>
      <c r="F2502" s="3" t="s">
        <v>2456</v>
      </c>
    </row>
    <row r="2503" spans="1:6" x14ac:dyDescent="0.3">
      <c r="A2503" s="3" t="s">
        <v>1275</v>
      </c>
      <c r="B2503" s="3" t="s">
        <v>155</v>
      </c>
      <c r="C2503" s="3" t="str">
        <f t="shared" si="39"/>
        <v>4500137593420</v>
      </c>
      <c r="D2503" s="4">
        <v>46275</v>
      </c>
      <c r="E2503" s="3" t="s">
        <v>2200</v>
      </c>
      <c r="F2503" s="3" t="s">
        <v>2456</v>
      </c>
    </row>
    <row r="2504" spans="1:6" x14ac:dyDescent="0.3">
      <c r="A2504" s="3" t="s">
        <v>1275</v>
      </c>
      <c r="B2504" s="3" t="s">
        <v>170</v>
      </c>
      <c r="C2504" s="3" t="str">
        <f t="shared" si="39"/>
        <v>4500137593460</v>
      </c>
      <c r="D2504" s="4">
        <v>46275</v>
      </c>
      <c r="E2504" s="3" t="s">
        <v>2200</v>
      </c>
      <c r="F2504" s="3" t="s">
        <v>2456</v>
      </c>
    </row>
    <row r="2505" spans="1:6" x14ac:dyDescent="0.3">
      <c r="A2505" s="3" t="s">
        <v>1275</v>
      </c>
      <c r="B2505" s="3" t="s">
        <v>171</v>
      </c>
      <c r="C2505" s="3" t="str">
        <f t="shared" si="39"/>
        <v>4500137593470</v>
      </c>
      <c r="D2505" s="4">
        <v>46275</v>
      </c>
      <c r="E2505" s="3" t="s">
        <v>2200</v>
      </c>
      <c r="F2505" s="3" t="s">
        <v>2456</v>
      </c>
    </row>
    <row r="2506" spans="1:6" x14ac:dyDescent="0.3">
      <c r="A2506" s="3" t="s">
        <v>1275</v>
      </c>
      <c r="B2506" s="3" t="s">
        <v>172</v>
      </c>
      <c r="C2506" s="3" t="str">
        <f t="shared" si="39"/>
        <v>4500137593480</v>
      </c>
      <c r="D2506" s="4">
        <v>46275</v>
      </c>
      <c r="E2506" s="3" t="s">
        <v>2200</v>
      </c>
      <c r="F2506" s="3" t="s">
        <v>2456</v>
      </c>
    </row>
    <row r="2507" spans="1:6" x14ac:dyDescent="0.3">
      <c r="A2507" s="3" t="s">
        <v>1322</v>
      </c>
      <c r="B2507" s="3" t="s">
        <v>30</v>
      </c>
      <c r="C2507" s="3" t="str">
        <f t="shared" si="39"/>
        <v>450013759810</v>
      </c>
      <c r="D2507" s="4">
        <v>46287</v>
      </c>
      <c r="E2507" s="3" t="s">
        <v>2251</v>
      </c>
      <c r="F2507" s="3" t="s">
        <v>2476</v>
      </c>
    </row>
    <row r="2508" spans="1:6" x14ac:dyDescent="0.3">
      <c r="A2508" s="3" t="s">
        <v>1273</v>
      </c>
      <c r="B2508" s="3" t="s">
        <v>22</v>
      </c>
      <c r="C2508" s="3" t="str">
        <f t="shared" si="39"/>
        <v>450013761820</v>
      </c>
      <c r="D2508" s="4">
        <v>46281</v>
      </c>
      <c r="E2508" s="3" t="s">
        <v>2200</v>
      </c>
      <c r="F2508" s="3" t="s">
        <v>2456</v>
      </c>
    </row>
    <row r="2509" spans="1:6" x14ac:dyDescent="0.3">
      <c r="A2509" s="3" t="s">
        <v>1324</v>
      </c>
      <c r="B2509" s="3" t="s">
        <v>30</v>
      </c>
      <c r="C2509" s="3" t="str">
        <f t="shared" si="39"/>
        <v>450013762310</v>
      </c>
      <c r="D2509" s="4">
        <v>46288</v>
      </c>
      <c r="E2509" s="3" t="s">
        <v>2196</v>
      </c>
      <c r="F2509" s="3" t="s">
        <v>2476</v>
      </c>
    </row>
    <row r="2510" spans="1:6" x14ac:dyDescent="0.3">
      <c r="A2510" s="3" t="s">
        <v>1345</v>
      </c>
      <c r="B2510" s="3" t="s">
        <v>30</v>
      </c>
      <c r="C2510" s="3" t="str">
        <f t="shared" si="39"/>
        <v>450013765110</v>
      </c>
      <c r="D2510" s="4">
        <v>46280</v>
      </c>
      <c r="E2510" s="3" t="s">
        <v>2239</v>
      </c>
      <c r="F2510" s="3" t="s">
        <v>2602</v>
      </c>
    </row>
    <row r="2511" spans="1:6" x14ac:dyDescent="0.3">
      <c r="A2511" s="3" t="s">
        <v>380</v>
      </c>
      <c r="B2511" s="3" t="s">
        <v>30</v>
      </c>
      <c r="C2511" s="3" t="str">
        <f t="shared" si="39"/>
        <v>450013765310</v>
      </c>
      <c r="D2511" s="4">
        <v>46248</v>
      </c>
      <c r="E2511" s="3" t="s">
        <v>2211</v>
      </c>
      <c r="F2511" s="3" t="s">
        <v>2583</v>
      </c>
    </row>
    <row r="2512" spans="1:6" x14ac:dyDescent="0.3">
      <c r="A2512" s="3" t="s">
        <v>380</v>
      </c>
      <c r="B2512" s="3" t="s">
        <v>22</v>
      </c>
      <c r="C2512" s="3" t="str">
        <f t="shared" si="39"/>
        <v>450013765320</v>
      </c>
      <c r="D2512" s="4">
        <v>46248</v>
      </c>
      <c r="E2512" s="3" t="s">
        <v>2211</v>
      </c>
      <c r="F2512" s="3" t="s">
        <v>2583</v>
      </c>
    </row>
    <row r="2513" spans="1:6" x14ac:dyDescent="0.3">
      <c r="A2513" s="3" t="s">
        <v>380</v>
      </c>
      <c r="B2513" s="3" t="s">
        <v>35</v>
      </c>
      <c r="C2513" s="3" t="str">
        <f t="shared" si="39"/>
        <v>450013765330</v>
      </c>
      <c r="D2513" s="4">
        <v>46248</v>
      </c>
      <c r="E2513" s="3" t="s">
        <v>2211</v>
      </c>
      <c r="F2513" s="3" t="s">
        <v>2583</v>
      </c>
    </row>
    <row r="2514" spans="1:6" x14ac:dyDescent="0.3">
      <c r="A2514" s="3" t="s">
        <v>380</v>
      </c>
      <c r="B2514" s="3" t="s">
        <v>23</v>
      </c>
      <c r="C2514" s="3" t="str">
        <f t="shared" si="39"/>
        <v>450013765340</v>
      </c>
      <c r="D2514" s="4">
        <v>46248</v>
      </c>
      <c r="E2514" s="3" t="s">
        <v>2211</v>
      </c>
      <c r="F2514" s="3" t="s">
        <v>2583</v>
      </c>
    </row>
    <row r="2515" spans="1:6" x14ac:dyDescent="0.3">
      <c r="A2515" s="3" t="s">
        <v>1398</v>
      </c>
      <c r="B2515" s="3" t="s">
        <v>30</v>
      </c>
      <c r="C2515" s="3" t="str">
        <f t="shared" si="39"/>
        <v>450013767410</v>
      </c>
      <c r="D2515" s="4">
        <v>46286</v>
      </c>
      <c r="E2515" s="3" t="s">
        <v>2241</v>
      </c>
      <c r="F2515" s="3" t="s">
        <v>2659</v>
      </c>
    </row>
    <row r="2516" spans="1:6" x14ac:dyDescent="0.3">
      <c r="A2516" s="3" t="s">
        <v>1284</v>
      </c>
      <c r="B2516" s="3" t="s">
        <v>30</v>
      </c>
      <c r="C2516" s="3" t="str">
        <f t="shared" si="39"/>
        <v>450013768910</v>
      </c>
      <c r="D2516" s="4">
        <v>46280</v>
      </c>
      <c r="E2516" s="3" t="s">
        <v>2239</v>
      </c>
      <c r="F2516" s="3" t="s">
        <v>2619</v>
      </c>
    </row>
    <row r="2517" spans="1:6" x14ac:dyDescent="0.3">
      <c r="A2517" s="3" t="s">
        <v>1457</v>
      </c>
      <c r="B2517" s="3" t="s">
        <v>30</v>
      </c>
      <c r="C2517" s="3" t="str">
        <f t="shared" si="39"/>
        <v>450013772810</v>
      </c>
      <c r="D2517" s="4">
        <v>46287</v>
      </c>
      <c r="E2517" s="3" t="s">
        <v>2250</v>
      </c>
      <c r="F2517" s="3" t="s">
        <v>2463</v>
      </c>
    </row>
    <row r="2518" spans="1:6" x14ac:dyDescent="0.3">
      <c r="A2518" s="3" t="s">
        <v>1539</v>
      </c>
      <c r="B2518" s="3" t="s">
        <v>30</v>
      </c>
      <c r="C2518" s="3" t="str">
        <f t="shared" si="39"/>
        <v>450013773210</v>
      </c>
      <c r="D2518" s="4">
        <v>46283</v>
      </c>
      <c r="E2518" s="3" t="s">
        <v>2243</v>
      </c>
      <c r="F2518" s="3" t="s">
        <v>2660</v>
      </c>
    </row>
    <row r="2519" spans="1:6" x14ac:dyDescent="0.3">
      <c r="A2519" s="3" t="s">
        <v>1563</v>
      </c>
      <c r="B2519" s="3" t="s">
        <v>30</v>
      </c>
      <c r="C2519" s="3" t="str">
        <f t="shared" si="39"/>
        <v>450013773810</v>
      </c>
      <c r="D2519" s="4">
        <v>46287</v>
      </c>
      <c r="E2519" s="3" t="s">
        <v>2196</v>
      </c>
      <c r="F2519" s="3" t="s">
        <v>2457</v>
      </c>
    </row>
    <row r="2520" spans="1:6" x14ac:dyDescent="0.3">
      <c r="A2520" s="3" t="s">
        <v>1227</v>
      </c>
      <c r="B2520" s="3" t="s">
        <v>30</v>
      </c>
      <c r="C2520" s="3" t="str">
        <f t="shared" si="39"/>
        <v>450013774510</v>
      </c>
      <c r="D2520" s="4">
        <v>46270</v>
      </c>
      <c r="E2520" s="3" t="s">
        <v>2207</v>
      </c>
      <c r="F2520" s="3" t="s">
        <v>2549</v>
      </c>
    </row>
    <row r="2521" spans="1:6" x14ac:dyDescent="0.3">
      <c r="A2521" s="3" t="s">
        <v>1733</v>
      </c>
      <c r="B2521" s="3" t="s">
        <v>30</v>
      </c>
      <c r="C2521" s="3" t="str">
        <f t="shared" si="39"/>
        <v>450013775810</v>
      </c>
      <c r="D2521" s="4">
        <v>46290</v>
      </c>
      <c r="E2521" s="3" t="s">
        <v>2196</v>
      </c>
      <c r="F2521" s="3" t="s">
        <v>2423</v>
      </c>
    </row>
    <row r="2522" spans="1:6" x14ac:dyDescent="0.3">
      <c r="A2522" s="3" t="s">
        <v>1733</v>
      </c>
      <c r="B2522" s="3" t="s">
        <v>22</v>
      </c>
      <c r="C2522" s="3" t="str">
        <f t="shared" si="39"/>
        <v>450013775820</v>
      </c>
      <c r="D2522" s="4">
        <v>46291</v>
      </c>
      <c r="E2522" s="3" t="s">
        <v>2196</v>
      </c>
      <c r="F2522" s="3" t="s">
        <v>2423</v>
      </c>
    </row>
    <row r="2523" spans="1:6" x14ac:dyDescent="0.3">
      <c r="A2523" s="3" t="s">
        <v>1733</v>
      </c>
      <c r="B2523" s="3" t="s">
        <v>35</v>
      </c>
      <c r="C2523" s="3" t="str">
        <f t="shared" si="39"/>
        <v>450013775830</v>
      </c>
      <c r="D2523" s="4">
        <v>46275</v>
      </c>
      <c r="E2523" s="3" t="s">
        <v>2196</v>
      </c>
      <c r="F2523" s="3" t="s">
        <v>2423</v>
      </c>
    </row>
    <row r="2524" spans="1:6" x14ac:dyDescent="0.3">
      <c r="A2524" s="3" t="s">
        <v>1401</v>
      </c>
      <c r="B2524" s="3" t="s">
        <v>30</v>
      </c>
      <c r="C2524" s="3" t="str">
        <f t="shared" si="39"/>
        <v>450013776310</v>
      </c>
      <c r="D2524" s="4">
        <v>46281</v>
      </c>
      <c r="E2524" s="3" t="s">
        <v>2244</v>
      </c>
      <c r="F2524" s="3" t="s">
        <v>2661</v>
      </c>
    </row>
    <row r="2525" spans="1:6" x14ac:dyDescent="0.3">
      <c r="A2525" s="3" t="s">
        <v>2892</v>
      </c>
      <c r="B2525" s="3" t="s">
        <v>30</v>
      </c>
      <c r="C2525" s="3" t="str">
        <f t="shared" si="39"/>
        <v>450013778210</v>
      </c>
      <c r="D2525" s="4">
        <v>46290</v>
      </c>
      <c r="E2525" s="3" t="s">
        <v>2241</v>
      </c>
      <c r="F2525" s="3" t="s">
        <v>3245</v>
      </c>
    </row>
    <row r="2526" spans="1:6" x14ac:dyDescent="0.3">
      <c r="A2526" s="3" t="s">
        <v>2892</v>
      </c>
      <c r="B2526" s="3" t="s">
        <v>22</v>
      </c>
      <c r="C2526" s="3" t="str">
        <f t="shared" si="39"/>
        <v>450013778220</v>
      </c>
      <c r="D2526" s="4">
        <v>46277</v>
      </c>
      <c r="E2526" s="3" t="s">
        <v>2241</v>
      </c>
      <c r="F2526" s="3" t="s">
        <v>3245</v>
      </c>
    </row>
    <row r="2527" spans="1:6" x14ac:dyDescent="0.3">
      <c r="A2527" s="3" t="s">
        <v>2892</v>
      </c>
      <c r="B2527" s="3" t="s">
        <v>141</v>
      </c>
      <c r="C2527" s="3" t="str">
        <f t="shared" si="39"/>
        <v>450013778260</v>
      </c>
      <c r="D2527" s="4">
        <v>46277</v>
      </c>
      <c r="E2527" s="3" t="s">
        <v>2241</v>
      </c>
      <c r="F2527" s="3" t="s">
        <v>3245</v>
      </c>
    </row>
    <row r="2528" spans="1:6" x14ac:dyDescent="0.3">
      <c r="A2528" s="3" t="s">
        <v>2892</v>
      </c>
      <c r="B2528" s="3" t="s">
        <v>134</v>
      </c>
      <c r="C2528" s="3" t="str">
        <f t="shared" si="39"/>
        <v>450013778270</v>
      </c>
      <c r="D2528" s="4">
        <v>46303</v>
      </c>
      <c r="E2528" s="3" t="s">
        <v>2241</v>
      </c>
      <c r="F2528" s="3" t="s">
        <v>3245</v>
      </c>
    </row>
    <row r="2529" spans="1:6" x14ac:dyDescent="0.3">
      <c r="A2529" s="3" t="s">
        <v>1259</v>
      </c>
      <c r="B2529" s="3" t="s">
        <v>30</v>
      </c>
      <c r="C2529" s="3" t="str">
        <f t="shared" si="39"/>
        <v>450013778710</v>
      </c>
      <c r="D2529" s="4">
        <v>46275</v>
      </c>
      <c r="E2529" s="3" t="s">
        <v>2241</v>
      </c>
      <c r="F2529" s="3" t="s">
        <v>2662</v>
      </c>
    </row>
    <row r="2530" spans="1:6" x14ac:dyDescent="0.3">
      <c r="A2530" s="3" t="s">
        <v>1677</v>
      </c>
      <c r="B2530" s="3" t="s">
        <v>30</v>
      </c>
      <c r="C2530" s="3" t="str">
        <f t="shared" si="39"/>
        <v>450013780710</v>
      </c>
      <c r="D2530" s="4">
        <v>46289</v>
      </c>
      <c r="E2530" s="3" t="s">
        <v>2241</v>
      </c>
      <c r="F2530" s="3" t="s">
        <v>2443</v>
      </c>
    </row>
    <row r="2531" spans="1:6" x14ac:dyDescent="0.3">
      <c r="A2531" s="3" t="s">
        <v>1278</v>
      </c>
      <c r="B2531" s="3" t="s">
        <v>30</v>
      </c>
      <c r="C2531" s="3" t="str">
        <f t="shared" si="39"/>
        <v>450013781910</v>
      </c>
      <c r="D2531" s="4">
        <v>46280</v>
      </c>
      <c r="E2531" s="3" t="s">
        <v>2236</v>
      </c>
      <c r="F2531" s="3" t="s">
        <v>2488</v>
      </c>
    </row>
    <row r="2532" spans="1:6" x14ac:dyDescent="0.3">
      <c r="A2532" s="3" t="s">
        <v>1278</v>
      </c>
      <c r="B2532" s="3" t="s">
        <v>22</v>
      </c>
      <c r="C2532" s="3" t="str">
        <f t="shared" si="39"/>
        <v>450013781920</v>
      </c>
      <c r="D2532" s="4">
        <v>46280</v>
      </c>
      <c r="E2532" s="3" t="s">
        <v>2236</v>
      </c>
      <c r="F2532" s="3" t="s">
        <v>2488</v>
      </c>
    </row>
    <row r="2533" spans="1:6" x14ac:dyDescent="0.3">
      <c r="A2533" s="3" t="s">
        <v>1511</v>
      </c>
      <c r="B2533" s="3" t="s">
        <v>30</v>
      </c>
      <c r="C2533" s="3" t="str">
        <f t="shared" si="39"/>
        <v>450013782610</v>
      </c>
      <c r="D2533" s="4">
        <v>46283</v>
      </c>
      <c r="E2533" s="3" t="s">
        <v>2200</v>
      </c>
      <c r="F2533" s="3" t="s">
        <v>2432</v>
      </c>
    </row>
    <row r="2534" spans="1:6" x14ac:dyDescent="0.3">
      <c r="A2534" s="3" t="s">
        <v>1511</v>
      </c>
      <c r="B2534" s="3" t="s">
        <v>22</v>
      </c>
      <c r="C2534" s="3" t="str">
        <f t="shared" si="39"/>
        <v>450013782620</v>
      </c>
      <c r="D2534" s="4">
        <v>46283</v>
      </c>
      <c r="E2534" s="3" t="s">
        <v>2200</v>
      </c>
      <c r="F2534" s="3" t="s">
        <v>2432</v>
      </c>
    </row>
    <row r="2535" spans="1:6" x14ac:dyDescent="0.3">
      <c r="A2535" s="3" t="s">
        <v>1511</v>
      </c>
      <c r="B2535" s="3" t="s">
        <v>35</v>
      </c>
      <c r="C2535" s="3" t="str">
        <f t="shared" si="39"/>
        <v>450013782630</v>
      </c>
      <c r="D2535" s="4">
        <v>46283</v>
      </c>
      <c r="E2535" s="3" t="s">
        <v>2200</v>
      </c>
      <c r="F2535" s="3" t="s">
        <v>2432</v>
      </c>
    </row>
    <row r="2536" spans="1:6" x14ac:dyDescent="0.3">
      <c r="A2536" s="3" t="s">
        <v>2121</v>
      </c>
      <c r="B2536" s="3" t="s">
        <v>30</v>
      </c>
      <c r="C2536" s="3" t="str">
        <f t="shared" si="39"/>
        <v>450013783610</v>
      </c>
      <c r="D2536" s="4">
        <v>46290</v>
      </c>
      <c r="E2536" s="3" t="s">
        <v>2251</v>
      </c>
      <c r="F2536" s="3" t="s">
        <v>2467</v>
      </c>
    </row>
    <row r="2537" spans="1:6" x14ac:dyDescent="0.3">
      <c r="A2537" s="3" t="s">
        <v>2121</v>
      </c>
      <c r="B2537" s="3" t="s">
        <v>22</v>
      </c>
      <c r="C2537" s="3" t="str">
        <f t="shared" si="39"/>
        <v>450013783620</v>
      </c>
      <c r="D2537" s="4">
        <v>46290</v>
      </c>
      <c r="E2537" s="3" t="s">
        <v>2251</v>
      </c>
      <c r="F2537" s="3" t="s">
        <v>2467</v>
      </c>
    </row>
    <row r="2538" spans="1:6" x14ac:dyDescent="0.3">
      <c r="A2538" s="3" t="s">
        <v>1469</v>
      </c>
      <c r="B2538" s="3" t="s">
        <v>30</v>
      </c>
      <c r="C2538" s="3" t="str">
        <f t="shared" si="39"/>
        <v>450013783710</v>
      </c>
      <c r="D2538" s="4">
        <v>46288</v>
      </c>
      <c r="E2538" s="3" t="s">
        <v>2204</v>
      </c>
      <c r="F2538" s="3" t="s">
        <v>2622</v>
      </c>
    </row>
    <row r="2539" spans="1:6" x14ac:dyDescent="0.3">
      <c r="A2539" s="3" t="s">
        <v>1469</v>
      </c>
      <c r="B2539" s="3" t="s">
        <v>22</v>
      </c>
      <c r="C2539" s="3" t="str">
        <f t="shared" si="39"/>
        <v>450013783720</v>
      </c>
      <c r="D2539" s="4">
        <v>46288</v>
      </c>
      <c r="E2539" s="3" t="s">
        <v>2204</v>
      </c>
      <c r="F2539" s="3" t="s">
        <v>2622</v>
      </c>
    </row>
    <row r="2540" spans="1:6" x14ac:dyDescent="0.3">
      <c r="A2540" s="3" t="s">
        <v>409</v>
      </c>
      <c r="B2540" s="3" t="s">
        <v>22</v>
      </c>
      <c r="C2540" s="3" t="str">
        <f t="shared" si="39"/>
        <v>450013784120</v>
      </c>
      <c r="D2540" s="4">
        <v>46282</v>
      </c>
      <c r="E2540" s="3" t="s">
        <v>2200</v>
      </c>
      <c r="F2540" s="3" t="s">
        <v>2663</v>
      </c>
    </row>
    <row r="2541" spans="1:6" x14ac:dyDescent="0.3">
      <c r="A2541" s="3" t="s">
        <v>1567</v>
      </c>
      <c r="B2541" s="3" t="s">
        <v>30</v>
      </c>
      <c r="C2541" s="3" t="str">
        <f t="shared" si="39"/>
        <v>450013785710</v>
      </c>
      <c r="D2541" s="4">
        <v>46287</v>
      </c>
      <c r="E2541" s="3" t="s">
        <v>2196</v>
      </c>
      <c r="F2541" s="3" t="s">
        <v>2457</v>
      </c>
    </row>
    <row r="2542" spans="1:6" x14ac:dyDescent="0.3">
      <c r="A2542" s="3" t="s">
        <v>1403</v>
      </c>
      <c r="B2542" s="3" t="s">
        <v>30</v>
      </c>
      <c r="C2542" s="3" t="str">
        <f t="shared" si="39"/>
        <v>450013788310</v>
      </c>
      <c r="D2542" s="4">
        <v>46293</v>
      </c>
      <c r="E2542" s="3" t="s">
        <v>2204</v>
      </c>
      <c r="F2542" s="3" t="s">
        <v>2658</v>
      </c>
    </row>
    <row r="2543" spans="1:6" x14ac:dyDescent="0.3">
      <c r="A2543" s="3" t="s">
        <v>402</v>
      </c>
      <c r="B2543" s="3" t="s">
        <v>30</v>
      </c>
      <c r="C2543" s="3" t="str">
        <f t="shared" si="39"/>
        <v>450013790610</v>
      </c>
      <c r="D2543" s="4">
        <v>46295</v>
      </c>
      <c r="E2543" s="3" t="s">
        <v>2203</v>
      </c>
      <c r="F2543" s="3" t="s">
        <v>2410</v>
      </c>
    </row>
    <row r="2544" spans="1:6" x14ac:dyDescent="0.3">
      <c r="A2544" s="3" t="s">
        <v>1269</v>
      </c>
      <c r="B2544" s="3" t="s">
        <v>30</v>
      </c>
      <c r="C2544" s="3" t="str">
        <f t="shared" si="39"/>
        <v>450013791910</v>
      </c>
      <c r="D2544" s="4">
        <v>46279</v>
      </c>
      <c r="E2544" s="3" t="s">
        <v>2238</v>
      </c>
      <c r="F2544" s="3" t="s">
        <v>2664</v>
      </c>
    </row>
    <row r="2545" spans="1:6" x14ac:dyDescent="0.3">
      <c r="A2545" s="3" t="s">
        <v>1269</v>
      </c>
      <c r="B2545" s="3" t="s">
        <v>22</v>
      </c>
      <c r="C2545" s="3" t="str">
        <f t="shared" si="39"/>
        <v>450013791920</v>
      </c>
      <c r="D2545" s="4">
        <v>46279</v>
      </c>
      <c r="E2545" s="3" t="s">
        <v>2238</v>
      </c>
      <c r="F2545" s="3" t="s">
        <v>2664</v>
      </c>
    </row>
    <row r="2546" spans="1:6" x14ac:dyDescent="0.3">
      <c r="A2546" s="3" t="s">
        <v>1269</v>
      </c>
      <c r="B2546" s="3" t="s">
        <v>35</v>
      </c>
      <c r="C2546" s="3" t="str">
        <f t="shared" si="39"/>
        <v>450013791930</v>
      </c>
      <c r="D2546" s="4">
        <v>46279</v>
      </c>
      <c r="E2546" s="3" t="s">
        <v>2238</v>
      </c>
      <c r="F2546" s="3" t="s">
        <v>2664</v>
      </c>
    </row>
    <row r="2547" spans="1:6" x14ac:dyDescent="0.3">
      <c r="A2547" s="3" t="s">
        <v>1269</v>
      </c>
      <c r="B2547" s="3" t="s">
        <v>23</v>
      </c>
      <c r="C2547" s="3" t="str">
        <f t="shared" si="39"/>
        <v>450013791940</v>
      </c>
      <c r="D2547" s="4">
        <v>46279</v>
      </c>
      <c r="E2547" s="3" t="s">
        <v>2238</v>
      </c>
      <c r="F2547" s="3" t="s">
        <v>2664</v>
      </c>
    </row>
    <row r="2548" spans="1:6" x14ac:dyDescent="0.3">
      <c r="A2548" s="3" t="s">
        <v>1269</v>
      </c>
      <c r="B2548" s="3" t="s">
        <v>144</v>
      </c>
      <c r="C2548" s="3" t="str">
        <f t="shared" si="39"/>
        <v>450013791950</v>
      </c>
      <c r="D2548" s="4">
        <v>46279</v>
      </c>
      <c r="E2548" s="3" t="s">
        <v>2238</v>
      </c>
      <c r="F2548" s="3" t="s">
        <v>2664</v>
      </c>
    </row>
    <row r="2549" spans="1:6" x14ac:dyDescent="0.3">
      <c r="A2549" s="3" t="s">
        <v>1269</v>
      </c>
      <c r="B2549" s="3" t="s">
        <v>141</v>
      </c>
      <c r="C2549" s="3" t="str">
        <f t="shared" si="39"/>
        <v>450013791960</v>
      </c>
      <c r="D2549" s="4">
        <v>46279</v>
      </c>
      <c r="E2549" s="3" t="s">
        <v>2238</v>
      </c>
      <c r="F2549" s="3" t="s">
        <v>2664</v>
      </c>
    </row>
    <row r="2550" spans="1:6" x14ac:dyDescent="0.3">
      <c r="A2550" s="3" t="s">
        <v>1269</v>
      </c>
      <c r="B2550" s="3" t="s">
        <v>134</v>
      </c>
      <c r="C2550" s="3" t="str">
        <f t="shared" si="39"/>
        <v>450013791970</v>
      </c>
      <c r="D2550" s="4">
        <v>46279</v>
      </c>
      <c r="E2550" s="3" t="s">
        <v>2238</v>
      </c>
      <c r="F2550" s="3" t="s">
        <v>2664</v>
      </c>
    </row>
    <row r="2551" spans="1:6" x14ac:dyDescent="0.3">
      <c r="A2551" s="3" t="s">
        <v>1267</v>
      </c>
      <c r="B2551" s="3" t="s">
        <v>30</v>
      </c>
      <c r="C2551" s="3" t="str">
        <f t="shared" si="39"/>
        <v>450013792610</v>
      </c>
      <c r="D2551" s="4">
        <v>46280</v>
      </c>
      <c r="E2551" s="3" t="s">
        <v>2238</v>
      </c>
      <c r="F2551" s="3" t="s">
        <v>2664</v>
      </c>
    </row>
    <row r="2552" spans="1:6" x14ac:dyDescent="0.3">
      <c r="A2552" s="3" t="s">
        <v>1267</v>
      </c>
      <c r="B2552" s="3" t="s">
        <v>22</v>
      </c>
      <c r="C2552" s="3" t="str">
        <f t="shared" si="39"/>
        <v>450013792620</v>
      </c>
      <c r="D2552" s="4">
        <v>46280</v>
      </c>
      <c r="E2552" s="3" t="s">
        <v>2238</v>
      </c>
      <c r="F2552" s="3" t="s">
        <v>2664</v>
      </c>
    </row>
    <row r="2553" spans="1:6" x14ac:dyDescent="0.3">
      <c r="A2553" s="3" t="s">
        <v>1267</v>
      </c>
      <c r="B2553" s="3" t="s">
        <v>35</v>
      </c>
      <c r="C2553" s="3" t="str">
        <f t="shared" si="39"/>
        <v>450013792630</v>
      </c>
      <c r="D2553" s="4">
        <v>46280</v>
      </c>
      <c r="E2553" s="3" t="s">
        <v>2238</v>
      </c>
      <c r="F2553" s="3" t="s">
        <v>2664</v>
      </c>
    </row>
    <row r="2554" spans="1:6" x14ac:dyDescent="0.3">
      <c r="A2554" s="3" t="s">
        <v>1267</v>
      </c>
      <c r="B2554" s="3" t="s">
        <v>23</v>
      </c>
      <c r="C2554" s="3" t="str">
        <f t="shared" si="39"/>
        <v>450013792640</v>
      </c>
      <c r="D2554" s="4">
        <v>46280</v>
      </c>
      <c r="E2554" s="3" t="s">
        <v>2238</v>
      </c>
      <c r="F2554" s="3" t="s">
        <v>2664</v>
      </c>
    </row>
    <row r="2555" spans="1:6" x14ac:dyDescent="0.3">
      <c r="A2555" s="3" t="s">
        <v>1271</v>
      </c>
      <c r="B2555" s="3" t="s">
        <v>30</v>
      </c>
      <c r="C2555" s="3" t="str">
        <f t="shared" si="39"/>
        <v>450013793310</v>
      </c>
      <c r="D2555" s="4">
        <v>46302</v>
      </c>
      <c r="E2555" s="3" t="s">
        <v>2196</v>
      </c>
      <c r="F2555" s="3" t="s">
        <v>2622</v>
      </c>
    </row>
    <row r="2556" spans="1:6" x14ac:dyDescent="0.3">
      <c r="A2556" s="3" t="s">
        <v>3002</v>
      </c>
      <c r="B2556" s="3" t="s">
        <v>30</v>
      </c>
      <c r="C2556" s="3" t="str">
        <f t="shared" si="39"/>
        <v>450013794010</v>
      </c>
      <c r="D2556" s="4">
        <v>46290</v>
      </c>
      <c r="E2556" s="3" t="s">
        <v>2239</v>
      </c>
      <c r="F2556" s="3" t="s">
        <v>3246</v>
      </c>
    </row>
    <row r="2557" spans="1:6" x14ac:dyDescent="0.3">
      <c r="A2557" s="3" t="s">
        <v>1528</v>
      </c>
      <c r="B2557" s="3" t="s">
        <v>30</v>
      </c>
      <c r="C2557" s="3" t="str">
        <f t="shared" si="39"/>
        <v>450013795010</v>
      </c>
      <c r="D2557" s="4">
        <v>46286</v>
      </c>
      <c r="E2557" s="3" t="s">
        <v>2196</v>
      </c>
      <c r="F2557" s="3" t="s">
        <v>2439</v>
      </c>
    </row>
    <row r="2558" spans="1:6" x14ac:dyDescent="0.3">
      <c r="A2558" s="3" t="s">
        <v>1528</v>
      </c>
      <c r="B2558" s="3" t="s">
        <v>22</v>
      </c>
      <c r="C2558" s="3" t="str">
        <f t="shared" si="39"/>
        <v>450013795020</v>
      </c>
      <c r="D2558" s="4">
        <v>46286</v>
      </c>
      <c r="E2558" s="3" t="s">
        <v>2196</v>
      </c>
      <c r="F2558" s="3" t="s">
        <v>2439</v>
      </c>
    </row>
    <row r="2559" spans="1:6" x14ac:dyDescent="0.3">
      <c r="A2559" s="3" t="s">
        <v>1528</v>
      </c>
      <c r="B2559" s="3" t="s">
        <v>35</v>
      </c>
      <c r="C2559" s="3" t="str">
        <f t="shared" si="39"/>
        <v>450013795030</v>
      </c>
      <c r="D2559" s="4">
        <v>46286</v>
      </c>
      <c r="E2559" s="3" t="s">
        <v>2196</v>
      </c>
      <c r="F2559" s="3" t="s">
        <v>2439</v>
      </c>
    </row>
    <row r="2560" spans="1:6" x14ac:dyDescent="0.3">
      <c r="A2560" s="3" t="s">
        <v>1528</v>
      </c>
      <c r="B2560" s="3" t="s">
        <v>23</v>
      </c>
      <c r="C2560" s="3" t="str">
        <f t="shared" si="39"/>
        <v>450013795040</v>
      </c>
      <c r="D2560" s="4">
        <v>46286</v>
      </c>
      <c r="E2560" s="3" t="s">
        <v>2196</v>
      </c>
      <c r="F2560" s="3" t="s">
        <v>2439</v>
      </c>
    </row>
    <row r="2561" spans="1:6" x14ac:dyDescent="0.3">
      <c r="A2561" s="3" t="s">
        <v>1528</v>
      </c>
      <c r="B2561" s="3" t="s">
        <v>144</v>
      </c>
      <c r="C2561" s="3" t="str">
        <f t="shared" si="39"/>
        <v>450013795050</v>
      </c>
      <c r="D2561" s="4">
        <v>46286</v>
      </c>
      <c r="E2561" s="3" t="s">
        <v>2196</v>
      </c>
      <c r="F2561" s="3" t="s">
        <v>2439</v>
      </c>
    </row>
    <row r="2562" spans="1:6" x14ac:dyDescent="0.3">
      <c r="A2562" s="3" t="s">
        <v>1528</v>
      </c>
      <c r="B2562" s="3" t="s">
        <v>141</v>
      </c>
      <c r="C2562" s="3" t="str">
        <f t="shared" si="39"/>
        <v>450013795060</v>
      </c>
      <c r="D2562" s="4">
        <v>46286</v>
      </c>
      <c r="E2562" s="3" t="s">
        <v>2196</v>
      </c>
      <c r="F2562" s="3" t="s">
        <v>2439</v>
      </c>
    </row>
    <row r="2563" spans="1:6" x14ac:dyDescent="0.3">
      <c r="A2563" s="3" t="s">
        <v>1528</v>
      </c>
      <c r="B2563" s="3" t="s">
        <v>134</v>
      </c>
      <c r="C2563" s="3" t="str">
        <f t="shared" ref="C2563:C2626" si="40">_xlfn.CONCAT(A2563:B2563)</f>
        <v>450013795070</v>
      </c>
      <c r="D2563" s="4">
        <v>46286</v>
      </c>
      <c r="E2563" s="3" t="s">
        <v>2196</v>
      </c>
      <c r="F2563" s="3" t="s">
        <v>2439</v>
      </c>
    </row>
    <row r="2564" spans="1:6" x14ac:dyDescent="0.3">
      <c r="A2564" s="3" t="s">
        <v>1528</v>
      </c>
      <c r="B2564" s="3" t="s">
        <v>52</v>
      </c>
      <c r="C2564" s="3" t="str">
        <f t="shared" si="40"/>
        <v>450013795080</v>
      </c>
      <c r="D2564" s="4">
        <v>46286</v>
      </c>
      <c r="E2564" s="3" t="s">
        <v>2196</v>
      </c>
      <c r="F2564" s="3" t="s">
        <v>2439</v>
      </c>
    </row>
    <row r="2565" spans="1:6" x14ac:dyDescent="0.3">
      <c r="A2565" s="3" t="s">
        <v>1528</v>
      </c>
      <c r="B2565" s="3" t="s">
        <v>138</v>
      </c>
      <c r="C2565" s="3" t="str">
        <f t="shared" si="40"/>
        <v>450013795090</v>
      </c>
      <c r="D2565" s="4">
        <v>46286</v>
      </c>
      <c r="E2565" s="3" t="s">
        <v>2196</v>
      </c>
      <c r="F2565" s="3" t="s">
        <v>2439</v>
      </c>
    </row>
    <row r="2566" spans="1:6" x14ac:dyDescent="0.3">
      <c r="A2566" s="3" t="s">
        <v>1528</v>
      </c>
      <c r="B2566" s="3" t="s">
        <v>45</v>
      </c>
      <c r="C2566" s="3" t="str">
        <f t="shared" si="40"/>
        <v>4500137950100</v>
      </c>
      <c r="D2566" s="4">
        <v>46286</v>
      </c>
      <c r="E2566" s="3" t="s">
        <v>2196</v>
      </c>
      <c r="F2566" s="3" t="s">
        <v>2439</v>
      </c>
    </row>
    <row r="2567" spans="1:6" x14ac:dyDescent="0.3">
      <c r="A2567" s="3" t="s">
        <v>1528</v>
      </c>
      <c r="B2567" s="3" t="s">
        <v>156</v>
      </c>
      <c r="C2567" s="3" t="str">
        <f t="shared" si="40"/>
        <v>4500137950110</v>
      </c>
      <c r="D2567" s="4">
        <v>46286</v>
      </c>
      <c r="E2567" s="3" t="s">
        <v>2196</v>
      </c>
      <c r="F2567" s="3" t="s">
        <v>2439</v>
      </c>
    </row>
    <row r="2568" spans="1:6" x14ac:dyDescent="0.3">
      <c r="A2568" s="3" t="s">
        <v>1528</v>
      </c>
      <c r="B2568" s="3" t="s">
        <v>132</v>
      </c>
      <c r="C2568" s="3" t="str">
        <f t="shared" si="40"/>
        <v>4500137950120</v>
      </c>
      <c r="D2568" s="4">
        <v>46286</v>
      </c>
      <c r="E2568" s="3" t="s">
        <v>2196</v>
      </c>
      <c r="F2568" s="3" t="s">
        <v>2439</v>
      </c>
    </row>
    <row r="2569" spans="1:6" x14ac:dyDescent="0.3">
      <c r="A2569" s="3" t="s">
        <v>1528</v>
      </c>
      <c r="B2569" s="3" t="s">
        <v>142</v>
      </c>
      <c r="C2569" s="3" t="str">
        <f t="shared" si="40"/>
        <v>4500137950130</v>
      </c>
      <c r="D2569" s="4">
        <v>46286</v>
      </c>
      <c r="E2569" s="3" t="s">
        <v>2196</v>
      </c>
      <c r="F2569" s="3" t="s">
        <v>2439</v>
      </c>
    </row>
    <row r="2570" spans="1:6" x14ac:dyDescent="0.3">
      <c r="A2570" s="3" t="s">
        <v>1528</v>
      </c>
      <c r="B2570" s="3" t="s">
        <v>131</v>
      </c>
      <c r="C2570" s="3" t="str">
        <f t="shared" si="40"/>
        <v>4500137950140</v>
      </c>
      <c r="D2570" s="4">
        <v>46286</v>
      </c>
      <c r="E2570" s="3" t="s">
        <v>2196</v>
      </c>
      <c r="F2570" s="3" t="s">
        <v>2439</v>
      </c>
    </row>
    <row r="2571" spans="1:6" x14ac:dyDescent="0.3">
      <c r="A2571" s="3" t="s">
        <v>1528</v>
      </c>
      <c r="B2571" s="3" t="s">
        <v>68</v>
      </c>
      <c r="C2571" s="3" t="str">
        <f t="shared" si="40"/>
        <v>4500137950150</v>
      </c>
      <c r="D2571" s="4">
        <v>46286</v>
      </c>
      <c r="E2571" s="3" t="s">
        <v>2196</v>
      </c>
      <c r="F2571" s="3" t="s">
        <v>2439</v>
      </c>
    </row>
    <row r="2572" spans="1:6" x14ac:dyDescent="0.3">
      <c r="A2572" s="3" t="s">
        <v>1528</v>
      </c>
      <c r="B2572" s="3" t="s">
        <v>129</v>
      </c>
      <c r="C2572" s="3" t="str">
        <f t="shared" si="40"/>
        <v>4500137950160</v>
      </c>
      <c r="D2572" s="4">
        <v>46286</v>
      </c>
      <c r="E2572" s="3" t="s">
        <v>2196</v>
      </c>
      <c r="F2572" s="3" t="s">
        <v>2439</v>
      </c>
    </row>
    <row r="2573" spans="1:6" x14ac:dyDescent="0.3">
      <c r="A2573" s="3" t="s">
        <v>1528</v>
      </c>
      <c r="B2573" s="3" t="s">
        <v>53</v>
      </c>
      <c r="C2573" s="3" t="str">
        <f t="shared" si="40"/>
        <v>4500137950170</v>
      </c>
      <c r="D2573" s="4">
        <v>46286</v>
      </c>
      <c r="E2573" s="3" t="s">
        <v>2196</v>
      </c>
      <c r="F2573" s="3" t="s">
        <v>2439</v>
      </c>
    </row>
    <row r="2574" spans="1:6" x14ac:dyDescent="0.3">
      <c r="A2574" s="3" t="s">
        <v>1528</v>
      </c>
      <c r="B2574" s="3" t="s">
        <v>130</v>
      </c>
      <c r="C2574" s="3" t="str">
        <f t="shared" si="40"/>
        <v>4500137950180</v>
      </c>
      <c r="D2574" s="4">
        <v>46287</v>
      </c>
      <c r="E2574" s="3" t="s">
        <v>2196</v>
      </c>
      <c r="F2574" s="3" t="s">
        <v>2439</v>
      </c>
    </row>
    <row r="2575" spans="1:6" x14ac:dyDescent="0.3">
      <c r="A2575" s="3" t="s">
        <v>1528</v>
      </c>
      <c r="B2575" s="3" t="s">
        <v>127</v>
      </c>
      <c r="C2575" s="3" t="str">
        <f t="shared" si="40"/>
        <v>4500137950190</v>
      </c>
      <c r="D2575" s="4">
        <v>46295</v>
      </c>
      <c r="E2575" s="3" t="s">
        <v>2196</v>
      </c>
      <c r="F2575" s="3" t="s">
        <v>2439</v>
      </c>
    </row>
    <row r="2576" spans="1:6" x14ac:dyDescent="0.3">
      <c r="A2576" s="3" t="s">
        <v>1480</v>
      </c>
      <c r="B2576" s="3" t="s">
        <v>30</v>
      </c>
      <c r="C2576" s="3" t="str">
        <f t="shared" si="40"/>
        <v>450013795610</v>
      </c>
      <c r="D2576" s="4">
        <v>46294</v>
      </c>
      <c r="E2576" s="3" t="s">
        <v>2204</v>
      </c>
      <c r="F2576" s="3" t="s">
        <v>2478</v>
      </c>
    </row>
    <row r="2577" spans="1:6" x14ac:dyDescent="0.3">
      <c r="A2577" s="3" t="s">
        <v>1480</v>
      </c>
      <c r="B2577" s="3" t="s">
        <v>22</v>
      </c>
      <c r="C2577" s="3" t="str">
        <f t="shared" si="40"/>
        <v>450013795620</v>
      </c>
      <c r="D2577" s="4">
        <v>46289</v>
      </c>
      <c r="E2577" s="3" t="s">
        <v>2204</v>
      </c>
      <c r="F2577" s="3" t="s">
        <v>2478</v>
      </c>
    </row>
    <row r="2578" spans="1:6" x14ac:dyDescent="0.3">
      <c r="A2578" s="3" t="s">
        <v>1480</v>
      </c>
      <c r="B2578" s="3" t="s">
        <v>35</v>
      </c>
      <c r="C2578" s="3" t="str">
        <f t="shared" si="40"/>
        <v>450013795630</v>
      </c>
      <c r="D2578" s="4">
        <v>46289</v>
      </c>
      <c r="E2578" s="3" t="s">
        <v>2204</v>
      </c>
      <c r="F2578" s="3" t="s">
        <v>2478</v>
      </c>
    </row>
    <row r="2579" spans="1:6" x14ac:dyDescent="0.3">
      <c r="A2579" s="3" t="s">
        <v>1280</v>
      </c>
      <c r="B2579" s="3" t="s">
        <v>30</v>
      </c>
      <c r="C2579" s="3" t="str">
        <f t="shared" si="40"/>
        <v>450013796010</v>
      </c>
      <c r="D2579" s="4">
        <v>46285</v>
      </c>
      <c r="E2579" s="3" t="s">
        <v>2236</v>
      </c>
      <c r="F2579" s="3" t="s">
        <v>2488</v>
      </c>
    </row>
    <row r="2580" spans="1:6" x14ac:dyDescent="0.3">
      <c r="A2580" s="3" t="s">
        <v>1901</v>
      </c>
      <c r="B2580" s="3" t="s">
        <v>30</v>
      </c>
      <c r="C2580" s="3" t="str">
        <f t="shared" si="40"/>
        <v>450013800610</v>
      </c>
      <c r="D2580" s="4">
        <v>46338</v>
      </c>
      <c r="E2580" s="3" t="s">
        <v>2196</v>
      </c>
      <c r="F2580" s="3" t="s">
        <v>2423</v>
      </c>
    </row>
    <row r="2581" spans="1:6" x14ac:dyDescent="0.3">
      <c r="A2581" s="3" t="s">
        <v>1901</v>
      </c>
      <c r="B2581" s="3" t="s">
        <v>22</v>
      </c>
      <c r="C2581" s="3" t="str">
        <f t="shared" si="40"/>
        <v>450013800620</v>
      </c>
      <c r="D2581" s="4">
        <v>46338</v>
      </c>
      <c r="E2581" s="3" t="s">
        <v>2196</v>
      </c>
      <c r="F2581" s="3" t="s">
        <v>2423</v>
      </c>
    </row>
    <row r="2582" spans="1:6" x14ac:dyDescent="0.3">
      <c r="A2582" s="3" t="s">
        <v>1901</v>
      </c>
      <c r="B2582" s="3" t="s">
        <v>35</v>
      </c>
      <c r="C2582" s="3" t="str">
        <f t="shared" si="40"/>
        <v>450013800630</v>
      </c>
      <c r="D2582" s="4">
        <v>46338</v>
      </c>
      <c r="E2582" s="3" t="s">
        <v>2196</v>
      </c>
      <c r="F2582" s="3" t="s">
        <v>2423</v>
      </c>
    </row>
    <row r="2583" spans="1:6" x14ac:dyDescent="0.3">
      <c r="A2583" s="3" t="s">
        <v>1901</v>
      </c>
      <c r="B2583" s="3" t="s">
        <v>23</v>
      </c>
      <c r="C2583" s="3" t="str">
        <f t="shared" si="40"/>
        <v>450013800640</v>
      </c>
      <c r="D2583" s="4">
        <v>46338</v>
      </c>
      <c r="E2583" s="3" t="s">
        <v>2196</v>
      </c>
      <c r="F2583" s="3" t="s">
        <v>2423</v>
      </c>
    </row>
    <row r="2584" spans="1:6" x14ac:dyDescent="0.3">
      <c r="A2584" s="3" t="s">
        <v>1901</v>
      </c>
      <c r="B2584" s="3" t="s">
        <v>144</v>
      </c>
      <c r="C2584" s="3" t="str">
        <f t="shared" si="40"/>
        <v>450013800650</v>
      </c>
      <c r="D2584" s="4">
        <v>46338</v>
      </c>
      <c r="E2584" s="3" t="s">
        <v>2196</v>
      </c>
      <c r="F2584" s="3" t="s">
        <v>2423</v>
      </c>
    </row>
    <row r="2585" spans="1:6" x14ac:dyDescent="0.3">
      <c r="A2585" s="3" t="s">
        <v>1901</v>
      </c>
      <c r="B2585" s="3" t="s">
        <v>141</v>
      </c>
      <c r="C2585" s="3" t="str">
        <f t="shared" si="40"/>
        <v>450013800660</v>
      </c>
      <c r="D2585" s="4">
        <v>46338</v>
      </c>
      <c r="E2585" s="3" t="s">
        <v>2196</v>
      </c>
      <c r="F2585" s="3" t="s">
        <v>2423</v>
      </c>
    </row>
    <row r="2586" spans="1:6" x14ac:dyDescent="0.3">
      <c r="A2586" s="3" t="s">
        <v>1901</v>
      </c>
      <c r="B2586" s="3" t="s">
        <v>134</v>
      </c>
      <c r="C2586" s="3" t="str">
        <f t="shared" si="40"/>
        <v>450013800670</v>
      </c>
      <c r="D2586" s="4">
        <v>46338</v>
      </c>
      <c r="E2586" s="3" t="s">
        <v>2196</v>
      </c>
      <c r="F2586" s="3" t="s">
        <v>2423</v>
      </c>
    </row>
    <row r="2587" spans="1:6" x14ac:dyDescent="0.3">
      <c r="A2587" s="3" t="s">
        <v>1901</v>
      </c>
      <c r="B2587" s="3" t="s">
        <v>52</v>
      </c>
      <c r="C2587" s="3" t="str">
        <f t="shared" si="40"/>
        <v>450013800680</v>
      </c>
      <c r="D2587" s="4">
        <v>46338</v>
      </c>
      <c r="E2587" s="3" t="s">
        <v>2196</v>
      </c>
      <c r="F2587" s="3" t="s">
        <v>2423</v>
      </c>
    </row>
    <row r="2588" spans="1:6" x14ac:dyDescent="0.3">
      <c r="A2588" s="3" t="s">
        <v>1901</v>
      </c>
      <c r="B2588" s="3" t="s">
        <v>138</v>
      </c>
      <c r="C2588" s="3" t="str">
        <f t="shared" si="40"/>
        <v>450013800690</v>
      </c>
      <c r="D2588" s="4">
        <v>46338</v>
      </c>
      <c r="E2588" s="3" t="s">
        <v>2196</v>
      </c>
      <c r="F2588" s="3" t="s">
        <v>2423</v>
      </c>
    </row>
    <row r="2589" spans="1:6" x14ac:dyDescent="0.3">
      <c r="A2589" s="3" t="s">
        <v>1901</v>
      </c>
      <c r="B2589" s="3" t="s">
        <v>45</v>
      </c>
      <c r="C2589" s="3" t="str">
        <f t="shared" si="40"/>
        <v>4500138006100</v>
      </c>
      <c r="D2589" s="4">
        <v>46338</v>
      </c>
      <c r="E2589" s="3" t="s">
        <v>2196</v>
      </c>
      <c r="F2589" s="3" t="s">
        <v>2423</v>
      </c>
    </row>
    <row r="2590" spans="1:6" x14ac:dyDescent="0.3">
      <c r="A2590" s="3" t="s">
        <v>1901</v>
      </c>
      <c r="B2590" s="3" t="s">
        <v>132</v>
      </c>
      <c r="C2590" s="3" t="str">
        <f t="shared" si="40"/>
        <v>4500138006120</v>
      </c>
      <c r="D2590" s="4">
        <v>46338</v>
      </c>
      <c r="E2590" s="3" t="s">
        <v>2196</v>
      </c>
      <c r="F2590" s="3" t="s">
        <v>2423</v>
      </c>
    </row>
    <row r="2591" spans="1:6" x14ac:dyDescent="0.3">
      <c r="A2591" s="3" t="s">
        <v>1901</v>
      </c>
      <c r="B2591" s="3" t="s">
        <v>142</v>
      </c>
      <c r="C2591" s="3" t="str">
        <f t="shared" si="40"/>
        <v>4500138006130</v>
      </c>
      <c r="D2591" s="4">
        <v>46338</v>
      </c>
      <c r="E2591" s="3" t="s">
        <v>2196</v>
      </c>
      <c r="F2591" s="3" t="s">
        <v>2423</v>
      </c>
    </row>
    <row r="2592" spans="1:6" x14ac:dyDescent="0.3">
      <c r="A2592" s="3" t="s">
        <v>1901</v>
      </c>
      <c r="B2592" s="3" t="s">
        <v>131</v>
      </c>
      <c r="C2592" s="3" t="str">
        <f t="shared" si="40"/>
        <v>4500138006140</v>
      </c>
      <c r="D2592" s="4">
        <v>46338</v>
      </c>
      <c r="E2592" s="3" t="s">
        <v>2196</v>
      </c>
      <c r="F2592" s="3" t="s">
        <v>2423</v>
      </c>
    </row>
    <row r="2593" spans="1:6" x14ac:dyDescent="0.3">
      <c r="A2593" s="3" t="s">
        <v>1901</v>
      </c>
      <c r="B2593" s="3" t="s">
        <v>68</v>
      </c>
      <c r="C2593" s="3" t="str">
        <f t="shared" si="40"/>
        <v>4500138006150</v>
      </c>
      <c r="D2593" s="4">
        <v>46338</v>
      </c>
      <c r="E2593" s="3" t="s">
        <v>2196</v>
      </c>
      <c r="F2593" s="3" t="s">
        <v>2423</v>
      </c>
    </row>
    <row r="2594" spans="1:6" x14ac:dyDescent="0.3">
      <c r="A2594" s="3" t="s">
        <v>1901</v>
      </c>
      <c r="B2594" s="3" t="s">
        <v>129</v>
      </c>
      <c r="C2594" s="3" t="str">
        <f t="shared" si="40"/>
        <v>4500138006160</v>
      </c>
      <c r="D2594" s="4">
        <v>46338</v>
      </c>
      <c r="E2594" s="3" t="s">
        <v>2196</v>
      </c>
      <c r="F2594" s="3" t="s">
        <v>2423</v>
      </c>
    </row>
    <row r="2595" spans="1:6" x14ac:dyDescent="0.3">
      <c r="A2595" s="3" t="s">
        <v>1901</v>
      </c>
      <c r="B2595" s="3" t="s">
        <v>53</v>
      </c>
      <c r="C2595" s="3" t="str">
        <f t="shared" si="40"/>
        <v>4500138006170</v>
      </c>
      <c r="D2595" s="4">
        <v>46338</v>
      </c>
      <c r="E2595" s="3" t="s">
        <v>2196</v>
      </c>
      <c r="F2595" s="3" t="s">
        <v>2423</v>
      </c>
    </row>
    <row r="2596" spans="1:6" x14ac:dyDescent="0.3">
      <c r="A2596" s="3" t="s">
        <v>1901</v>
      </c>
      <c r="B2596" s="3" t="s">
        <v>130</v>
      </c>
      <c r="C2596" s="3" t="str">
        <f t="shared" si="40"/>
        <v>4500138006180</v>
      </c>
      <c r="D2596" s="4">
        <v>46338</v>
      </c>
      <c r="E2596" s="3" t="s">
        <v>2196</v>
      </c>
      <c r="F2596" s="3" t="s">
        <v>2423</v>
      </c>
    </row>
    <row r="2597" spans="1:6" x14ac:dyDescent="0.3">
      <c r="A2597" s="3" t="s">
        <v>1901</v>
      </c>
      <c r="B2597" s="3" t="s">
        <v>127</v>
      </c>
      <c r="C2597" s="3" t="str">
        <f t="shared" si="40"/>
        <v>4500138006190</v>
      </c>
      <c r="D2597" s="4">
        <v>46338</v>
      </c>
      <c r="E2597" s="3" t="s">
        <v>2196</v>
      </c>
      <c r="F2597" s="3" t="s">
        <v>2423</v>
      </c>
    </row>
    <row r="2598" spans="1:6" x14ac:dyDescent="0.3">
      <c r="A2598" s="3" t="s">
        <v>1901</v>
      </c>
      <c r="B2598" s="3" t="s">
        <v>161</v>
      </c>
      <c r="C2598" s="3" t="str">
        <f t="shared" si="40"/>
        <v>4500138006200</v>
      </c>
      <c r="D2598" s="4">
        <v>46338</v>
      </c>
      <c r="E2598" s="3" t="s">
        <v>2196</v>
      </c>
      <c r="F2598" s="3" t="s">
        <v>2423</v>
      </c>
    </row>
    <row r="2599" spans="1:6" x14ac:dyDescent="0.3">
      <c r="A2599" s="3" t="s">
        <v>1901</v>
      </c>
      <c r="B2599" s="3" t="s">
        <v>136</v>
      </c>
      <c r="C2599" s="3" t="str">
        <f t="shared" si="40"/>
        <v>4500138006210</v>
      </c>
      <c r="D2599" s="4">
        <v>46338</v>
      </c>
      <c r="E2599" s="3" t="s">
        <v>2196</v>
      </c>
      <c r="F2599" s="3" t="s">
        <v>2423</v>
      </c>
    </row>
    <row r="2600" spans="1:6" x14ac:dyDescent="0.3">
      <c r="A2600" s="3" t="s">
        <v>1901</v>
      </c>
      <c r="B2600" s="3" t="s">
        <v>140</v>
      </c>
      <c r="C2600" s="3" t="str">
        <f t="shared" si="40"/>
        <v>4500138006220</v>
      </c>
      <c r="D2600" s="4">
        <v>46338</v>
      </c>
      <c r="E2600" s="3" t="s">
        <v>2196</v>
      </c>
      <c r="F2600" s="3" t="s">
        <v>2423</v>
      </c>
    </row>
    <row r="2601" spans="1:6" x14ac:dyDescent="0.3">
      <c r="A2601" s="3" t="s">
        <v>1901</v>
      </c>
      <c r="B2601" s="3" t="s">
        <v>137</v>
      </c>
      <c r="C2601" s="3" t="str">
        <f t="shared" si="40"/>
        <v>4500138006230</v>
      </c>
      <c r="D2601" s="4">
        <v>46338</v>
      </c>
      <c r="E2601" s="3" t="s">
        <v>2196</v>
      </c>
      <c r="F2601" s="3" t="s">
        <v>2423</v>
      </c>
    </row>
    <row r="2602" spans="1:6" x14ac:dyDescent="0.3">
      <c r="A2602" s="3" t="s">
        <v>1901</v>
      </c>
      <c r="B2602" s="3" t="s">
        <v>143</v>
      </c>
      <c r="C2602" s="3" t="str">
        <f t="shared" si="40"/>
        <v>4500138006240</v>
      </c>
      <c r="D2602" s="4">
        <v>46338</v>
      </c>
      <c r="E2602" s="3" t="s">
        <v>2196</v>
      </c>
      <c r="F2602" s="3" t="s">
        <v>2423</v>
      </c>
    </row>
    <row r="2603" spans="1:6" x14ac:dyDescent="0.3">
      <c r="A2603" s="3" t="s">
        <v>1901</v>
      </c>
      <c r="B2603" s="3" t="s">
        <v>128</v>
      </c>
      <c r="C2603" s="3" t="str">
        <f t="shared" si="40"/>
        <v>4500138006250</v>
      </c>
      <c r="D2603" s="4">
        <v>46338</v>
      </c>
      <c r="E2603" s="3" t="s">
        <v>2196</v>
      </c>
      <c r="F2603" s="3" t="s">
        <v>2423</v>
      </c>
    </row>
    <row r="2604" spans="1:6" x14ac:dyDescent="0.3">
      <c r="A2604" s="3" t="s">
        <v>1901</v>
      </c>
      <c r="B2604" s="3" t="s">
        <v>126</v>
      </c>
      <c r="C2604" s="3" t="str">
        <f t="shared" si="40"/>
        <v>4500138006260</v>
      </c>
      <c r="D2604" s="4">
        <v>46338</v>
      </c>
      <c r="E2604" s="3" t="s">
        <v>2196</v>
      </c>
      <c r="F2604" s="3" t="s">
        <v>2423</v>
      </c>
    </row>
    <row r="2605" spans="1:6" x14ac:dyDescent="0.3">
      <c r="A2605" s="3" t="s">
        <v>1901</v>
      </c>
      <c r="B2605" s="3" t="s">
        <v>146</v>
      </c>
      <c r="C2605" s="3" t="str">
        <f t="shared" si="40"/>
        <v>4500138006270</v>
      </c>
      <c r="D2605" s="4">
        <v>46338</v>
      </c>
      <c r="E2605" s="3" t="s">
        <v>2196</v>
      </c>
      <c r="F2605" s="3" t="s">
        <v>2423</v>
      </c>
    </row>
    <row r="2606" spans="1:6" x14ac:dyDescent="0.3">
      <c r="A2606" s="3" t="s">
        <v>1901</v>
      </c>
      <c r="B2606" s="3" t="s">
        <v>133</v>
      </c>
      <c r="C2606" s="3" t="str">
        <f t="shared" si="40"/>
        <v>4500138006280</v>
      </c>
      <c r="D2606" s="4">
        <v>46338</v>
      </c>
      <c r="E2606" s="3" t="s">
        <v>2196</v>
      </c>
      <c r="F2606" s="3" t="s">
        <v>2423</v>
      </c>
    </row>
    <row r="2607" spans="1:6" x14ac:dyDescent="0.3">
      <c r="A2607" s="3" t="s">
        <v>1901</v>
      </c>
      <c r="B2607" s="3" t="s">
        <v>173</v>
      </c>
      <c r="C2607" s="3" t="str">
        <f t="shared" si="40"/>
        <v>4500138006290</v>
      </c>
      <c r="D2607" s="4">
        <v>46338</v>
      </c>
      <c r="E2607" s="3" t="s">
        <v>2196</v>
      </c>
      <c r="F2607" s="3" t="s">
        <v>2423</v>
      </c>
    </row>
    <row r="2608" spans="1:6" x14ac:dyDescent="0.3">
      <c r="A2608" s="3" t="s">
        <v>1901</v>
      </c>
      <c r="B2608" s="3" t="s">
        <v>145</v>
      </c>
      <c r="C2608" s="3" t="str">
        <f t="shared" si="40"/>
        <v>4500138006300</v>
      </c>
      <c r="D2608" s="4">
        <v>46338</v>
      </c>
      <c r="E2608" s="3" t="s">
        <v>2196</v>
      </c>
      <c r="F2608" s="3" t="s">
        <v>2423</v>
      </c>
    </row>
    <row r="2609" spans="1:6" x14ac:dyDescent="0.3">
      <c r="A2609" s="3" t="s">
        <v>1901</v>
      </c>
      <c r="B2609" s="3" t="s">
        <v>147</v>
      </c>
      <c r="C2609" s="3" t="str">
        <f t="shared" si="40"/>
        <v>4500138006310</v>
      </c>
      <c r="D2609" s="4">
        <v>46338</v>
      </c>
      <c r="E2609" s="3" t="s">
        <v>2196</v>
      </c>
      <c r="F2609" s="3" t="s">
        <v>2423</v>
      </c>
    </row>
    <row r="2610" spans="1:6" x14ac:dyDescent="0.3">
      <c r="A2610" s="3" t="s">
        <v>1901</v>
      </c>
      <c r="B2610" s="3" t="s">
        <v>154</v>
      </c>
      <c r="C2610" s="3" t="str">
        <f t="shared" si="40"/>
        <v>4500138006330</v>
      </c>
      <c r="D2610" s="4">
        <v>46338</v>
      </c>
      <c r="E2610" s="3" t="s">
        <v>2196</v>
      </c>
      <c r="F2610" s="3" t="s">
        <v>2423</v>
      </c>
    </row>
    <row r="2611" spans="1:6" x14ac:dyDescent="0.3">
      <c r="A2611" s="3" t="s">
        <v>1516</v>
      </c>
      <c r="B2611" s="3" t="s">
        <v>22</v>
      </c>
      <c r="C2611" s="3" t="str">
        <f t="shared" si="40"/>
        <v>450013801120</v>
      </c>
      <c r="D2611" s="4">
        <v>46282</v>
      </c>
      <c r="E2611" s="3" t="s">
        <v>2204</v>
      </c>
      <c r="F2611" s="3" t="s">
        <v>2461</v>
      </c>
    </row>
    <row r="2612" spans="1:6" x14ac:dyDescent="0.3">
      <c r="A2612" s="3" t="s">
        <v>1516</v>
      </c>
      <c r="B2612" s="3" t="s">
        <v>35</v>
      </c>
      <c r="C2612" s="3" t="str">
        <f t="shared" si="40"/>
        <v>450013801130</v>
      </c>
      <c r="D2612" s="4">
        <v>46282</v>
      </c>
      <c r="E2612" s="3" t="s">
        <v>2204</v>
      </c>
      <c r="F2612" s="3" t="s">
        <v>2461</v>
      </c>
    </row>
    <row r="2613" spans="1:6" x14ac:dyDescent="0.3">
      <c r="A2613" s="3" t="s">
        <v>1516</v>
      </c>
      <c r="B2613" s="3" t="s">
        <v>23</v>
      </c>
      <c r="C2613" s="3" t="str">
        <f t="shared" si="40"/>
        <v>450013801140</v>
      </c>
      <c r="D2613" s="4">
        <v>46282</v>
      </c>
      <c r="E2613" s="3" t="s">
        <v>2204</v>
      </c>
      <c r="F2613" s="3" t="s">
        <v>2461</v>
      </c>
    </row>
    <row r="2614" spans="1:6" x14ac:dyDescent="0.3">
      <c r="A2614" s="3" t="s">
        <v>1455</v>
      </c>
      <c r="B2614" s="3" t="s">
        <v>30</v>
      </c>
      <c r="C2614" s="3" t="str">
        <f t="shared" si="40"/>
        <v>450013802510</v>
      </c>
      <c r="D2614" s="4">
        <v>46277</v>
      </c>
      <c r="E2614" s="3" t="s">
        <v>2196</v>
      </c>
      <c r="F2614" s="3" t="s">
        <v>2423</v>
      </c>
    </row>
    <row r="2615" spans="1:6" x14ac:dyDescent="0.3">
      <c r="A2615" s="3" t="s">
        <v>2188</v>
      </c>
      <c r="B2615" s="3" t="s">
        <v>30</v>
      </c>
      <c r="C2615" s="3" t="str">
        <f t="shared" si="40"/>
        <v>450013803110</v>
      </c>
      <c r="D2615" s="4">
        <v>46280</v>
      </c>
      <c r="E2615" s="3" t="s">
        <v>2239</v>
      </c>
      <c r="F2615" s="3" t="s">
        <v>2665</v>
      </c>
    </row>
    <row r="2616" spans="1:6" x14ac:dyDescent="0.3">
      <c r="A2616" s="3" t="s">
        <v>1970</v>
      </c>
      <c r="B2616" s="3" t="s">
        <v>30</v>
      </c>
      <c r="C2616" s="3" t="str">
        <f t="shared" si="40"/>
        <v>450013804010</v>
      </c>
      <c r="D2616" s="4">
        <v>46301</v>
      </c>
      <c r="E2616" s="3" t="s">
        <v>2208</v>
      </c>
      <c r="F2616" s="3" t="s">
        <v>2666</v>
      </c>
    </row>
    <row r="2617" spans="1:6" x14ac:dyDescent="0.3">
      <c r="A2617" s="3" t="s">
        <v>1970</v>
      </c>
      <c r="B2617" s="3" t="s">
        <v>22</v>
      </c>
      <c r="C2617" s="3" t="str">
        <f t="shared" si="40"/>
        <v>450013804020</v>
      </c>
      <c r="D2617" s="4">
        <v>46286</v>
      </c>
      <c r="E2617" s="3" t="s">
        <v>2208</v>
      </c>
      <c r="F2617" s="3" t="s">
        <v>2666</v>
      </c>
    </row>
    <row r="2618" spans="1:6" x14ac:dyDescent="0.3">
      <c r="A2618" s="3" t="s">
        <v>1970</v>
      </c>
      <c r="B2618" s="3" t="s">
        <v>35</v>
      </c>
      <c r="C2618" s="3" t="str">
        <f t="shared" si="40"/>
        <v>450013804030</v>
      </c>
      <c r="D2618" s="4">
        <v>46286</v>
      </c>
      <c r="E2618" s="3" t="s">
        <v>2208</v>
      </c>
      <c r="F2618" s="3" t="s">
        <v>2666</v>
      </c>
    </row>
    <row r="2619" spans="1:6" x14ac:dyDescent="0.3">
      <c r="A2619" s="3" t="s">
        <v>1857</v>
      </c>
      <c r="B2619" s="3" t="s">
        <v>22</v>
      </c>
      <c r="C2619" s="3" t="str">
        <f t="shared" si="40"/>
        <v>450013805220</v>
      </c>
      <c r="D2619" s="4">
        <v>46290</v>
      </c>
      <c r="E2619" s="3" t="s">
        <v>2204</v>
      </c>
      <c r="F2619" s="3" t="s">
        <v>2454</v>
      </c>
    </row>
    <row r="2620" spans="1:6" x14ac:dyDescent="0.3">
      <c r="A2620" s="3" t="s">
        <v>1857</v>
      </c>
      <c r="B2620" s="3" t="s">
        <v>35</v>
      </c>
      <c r="C2620" s="3" t="str">
        <f t="shared" si="40"/>
        <v>450013805230</v>
      </c>
      <c r="D2620" s="4">
        <v>46290</v>
      </c>
      <c r="E2620" s="3" t="s">
        <v>2204</v>
      </c>
      <c r="F2620" s="3" t="s">
        <v>2454</v>
      </c>
    </row>
    <row r="2621" spans="1:6" x14ac:dyDescent="0.3">
      <c r="A2621" s="3" t="s">
        <v>1297</v>
      </c>
      <c r="B2621" s="3" t="s">
        <v>30</v>
      </c>
      <c r="C2621" s="3" t="str">
        <f t="shared" si="40"/>
        <v>450013805610</v>
      </c>
      <c r="D2621" s="4">
        <v>46285</v>
      </c>
      <c r="E2621" s="3" t="s">
        <v>2236</v>
      </c>
      <c r="F2621" s="3" t="s">
        <v>2460</v>
      </c>
    </row>
    <row r="2622" spans="1:6" x14ac:dyDescent="0.3">
      <c r="A2622" s="3" t="s">
        <v>1340</v>
      </c>
      <c r="B2622" s="3" t="s">
        <v>30</v>
      </c>
      <c r="C2622" s="3" t="str">
        <f t="shared" si="40"/>
        <v>450013807110</v>
      </c>
      <c r="D2622" s="4">
        <v>46282</v>
      </c>
      <c r="E2622" s="3" t="s">
        <v>2239</v>
      </c>
      <c r="F2622" s="3" t="s">
        <v>2574</v>
      </c>
    </row>
    <row r="2623" spans="1:6" x14ac:dyDescent="0.3">
      <c r="A2623" s="3" t="s">
        <v>1338</v>
      </c>
      <c r="B2623" s="3" t="s">
        <v>30</v>
      </c>
      <c r="C2623" s="3" t="str">
        <f t="shared" si="40"/>
        <v>450013807210</v>
      </c>
      <c r="D2623" s="4">
        <v>46284</v>
      </c>
      <c r="E2623" s="3" t="s">
        <v>2200</v>
      </c>
      <c r="F2623" s="3" t="s">
        <v>2456</v>
      </c>
    </row>
    <row r="2624" spans="1:6" x14ac:dyDescent="0.3">
      <c r="A2624" s="3" t="s">
        <v>1338</v>
      </c>
      <c r="B2624" s="3" t="s">
        <v>23</v>
      </c>
      <c r="C2624" s="3" t="str">
        <f t="shared" si="40"/>
        <v>450013807240</v>
      </c>
      <c r="D2624" s="4">
        <v>46284</v>
      </c>
      <c r="E2624" s="3" t="s">
        <v>2200</v>
      </c>
      <c r="F2624" s="3" t="s">
        <v>2456</v>
      </c>
    </row>
    <row r="2625" spans="1:6" x14ac:dyDescent="0.3">
      <c r="A2625" s="3" t="s">
        <v>1338</v>
      </c>
      <c r="B2625" s="3" t="s">
        <v>144</v>
      </c>
      <c r="C2625" s="3" t="str">
        <f t="shared" si="40"/>
        <v>450013807250</v>
      </c>
      <c r="D2625" s="4">
        <v>46284</v>
      </c>
      <c r="E2625" s="3" t="s">
        <v>2200</v>
      </c>
      <c r="F2625" s="3" t="s">
        <v>2456</v>
      </c>
    </row>
    <row r="2626" spans="1:6" x14ac:dyDescent="0.3">
      <c r="A2626" s="3" t="s">
        <v>1338</v>
      </c>
      <c r="B2626" s="3" t="s">
        <v>132</v>
      </c>
      <c r="C2626" s="3" t="str">
        <f t="shared" si="40"/>
        <v>4500138072120</v>
      </c>
      <c r="D2626" s="4">
        <v>46284</v>
      </c>
      <c r="E2626" s="3" t="s">
        <v>2200</v>
      </c>
      <c r="F2626" s="3" t="s">
        <v>2456</v>
      </c>
    </row>
    <row r="2627" spans="1:6" x14ac:dyDescent="0.3">
      <c r="A2627" s="3" t="s">
        <v>1554</v>
      </c>
      <c r="B2627" s="3" t="s">
        <v>30</v>
      </c>
      <c r="C2627" s="3" t="str">
        <f t="shared" ref="C2627:C2690" si="41">_xlfn.CONCAT(A2627:B2627)</f>
        <v>450013807510</v>
      </c>
      <c r="D2627" s="4">
        <v>46290</v>
      </c>
      <c r="E2627" s="3" t="s">
        <v>2196</v>
      </c>
      <c r="F2627" s="3" t="s">
        <v>2439</v>
      </c>
    </row>
    <row r="2628" spans="1:6" x14ac:dyDescent="0.3">
      <c r="A2628" s="3" t="s">
        <v>1554</v>
      </c>
      <c r="B2628" s="3" t="s">
        <v>22</v>
      </c>
      <c r="C2628" s="3" t="str">
        <f t="shared" si="41"/>
        <v>450013807520</v>
      </c>
      <c r="D2628" s="4">
        <v>46290</v>
      </c>
      <c r="E2628" s="3" t="s">
        <v>2196</v>
      </c>
      <c r="F2628" s="3" t="s">
        <v>2439</v>
      </c>
    </row>
    <row r="2629" spans="1:6" x14ac:dyDescent="0.3">
      <c r="A2629" s="3" t="s">
        <v>1554</v>
      </c>
      <c r="B2629" s="3" t="s">
        <v>35</v>
      </c>
      <c r="C2629" s="3" t="str">
        <f t="shared" si="41"/>
        <v>450013807530</v>
      </c>
      <c r="D2629" s="4">
        <v>46290</v>
      </c>
      <c r="E2629" s="3" t="s">
        <v>2196</v>
      </c>
      <c r="F2629" s="3" t="s">
        <v>2439</v>
      </c>
    </row>
    <row r="2630" spans="1:6" x14ac:dyDescent="0.3">
      <c r="A2630" s="3" t="s">
        <v>1554</v>
      </c>
      <c r="B2630" s="3" t="s">
        <v>23</v>
      </c>
      <c r="C2630" s="3" t="str">
        <f t="shared" si="41"/>
        <v>450013807540</v>
      </c>
      <c r="D2630" s="4">
        <v>46290</v>
      </c>
      <c r="E2630" s="3" t="s">
        <v>2196</v>
      </c>
      <c r="F2630" s="3" t="s">
        <v>2439</v>
      </c>
    </row>
    <row r="2631" spans="1:6" x14ac:dyDescent="0.3">
      <c r="A2631" s="3" t="s">
        <v>1554</v>
      </c>
      <c r="B2631" s="3" t="s">
        <v>144</v>
      </c>
      <c r="C2631" s="3" t="str">
        <f t="shared" si="41"/>
        <v>450013807550</v>
      </c>
      <c r="D2631" s="4">
        <v>46290</v>
      </c>
      <c r="E2631" s="3" t="s">
        <v>2196</v>
      </c>
      <c r="F2631" s="3" t="s">
        <v>2439</v>
      </c>
    </row>
    <row r="2632" spans="1:6" x14ac:dyDescent="0.3">
      <c r="A2632" s="3" t="s">
        <v>1554</v>
      </c>
      <c r="B2632" s="3" t="s">
        <v>141</v>
      </c>
      <c r="C2632" s="3" t="str">
        <f t="shared" si="41"/>
        <v>450013807560</v>
      </c>
      <c r="D2632" s="4">
        <v>46290</v>
      </c>
      <c r="E2632" s="3" t="s">
        <v>2196</v>
      </c>
      <c r="F2632" s="3" t="s">
        <v>2439</v>
      </c>
    </row>
    <row r="2633" spans="1:6" x14ac:dyDescent="0.3">
      <c r="A2633" s="3" t="s">
        <v>1554</v>
      </c>
      <c r="B2633" s="3" t="s">
        <v>134</v>
      </c>
      <c r="C2633" s="3" t="str">
        <f t="shared" si="41"/>
        <v>450013807570</v>
      </c>
      <c r="D2633" s="4">
        <v>46290</v>
      </c>
      <c r="E2633" s="3" t="s">
        <v>2196</v>
      </c>
      <c r="F2633" s="3" t="s">
        <v>2439</v>
      </c>
    </row>
    <row r="2634" spans="1:6" x14ac:dyDescent="0.3">
      <c r="A2634" s="3" t="s">
        <v>1554</v>
      </c>
      <c r="B2634" s="3" t="s">
        <v>52</v>
      </c>
      <c r="C2634" s="3" t="str">
        <f t="shared" si="41"/>
        <v>450013807580</v>
      </c>
      <c r="D2634" s="4">
        <v>46290</v>
      </c>
      <c r="E2634" s="3" t="s">
        <v>2196</v>
      </c>
      <c r="F2634" s="3" t="s">
        <v>2439</v>
      </c>
    </row>
    <row r="2635" spans="1:6" x14ac:dyDescent="0.3">
      <c r="A2635" s="3" t="s">
        <v>1554</v>
      </c>
      <c r="B2635" s="3" t="s">
        <v>138</v>
      </c>
      <c r="C2635" s="3" t="str">
        <f t="shared" si="41"/>
        <v>450013807590</v>
      </c>
      <c r="D2635" s="4">
        <v>46290</v>
      </c>
      <c r="E2635" s="3" t="s">
        <v>2196</v>
      </c>
      <c r="F2635" s="3" t="s">
        <v>2439</v>
      </c>
    </row>
    <row r="2636" spans="1:6" x14ac:dyDescent="0.3">
      <c r="A2636" s="3" t="s">
        <v>1554</v>
      </c>
      <c r="B2636" s="3" t="s">
        <v>45</v>
      </c>
      <c r="C2636" s="3" t="str">
        <f t="shared" si="41"/>
        <v>4500138075100</v>
      </c>
      <c r="D2636" s="4">
        <v>46290</v>
      </c>
      <c r="E2636" s="3" t="s">
        <v>2196</v>
      </c>
      <c r="F2636" s="3" t="s">
        <v>2439</v>
      </c>
    </row>
    <row r="2637" spans="1:6" x14ac:dyDescent="0.3">
      <c r="A2637" s="3" t="s">
        <v>1554</v>
      </c>
      <c r="B2637" s="3" t="s">
        <v>156</v>
      </c>
      <c r="C2637" s="3" t="str">
        <f t="shared" si="41"/>
        <v>4500138075110</v>
      </c>
      <c r="D2637" s="4">
        <v>46290</v>
      </c>
      <c r="E2637" s="3" t="s">
        <v>2196</v>
      </c>
      <c r="F2637" s="3" t="s">
        <v>2439</v>
      </c>
    </row>
    <row r="2638" spans="1:6" x14ac:dyDescent="0.3">
      <c r="A2638" s="3" t="s">
        <v>1554</v>
      </c>
      <c r="B2638" s="3" t="s">
        <v>132</v>
      </c>
      <c r="C2638" s="3" t="str">
        <f t="shared" si="41"/>
        <v>4500138075120</v>
      </c>
      <c r="D2638" s="4">
        <v>46290</v>
      </c>
      <c r="E2638" s="3" t="s">
        <v>2196</v>
      </c>
      <c r="F2638" s="3" t="s">
        <v>2439</v>
      </c>
    </row>
    <row r="2639" spans="1:6" x14ac:dyDescent="0.3">
      <c r="A2639" s="3" t="s">
        <v>1554</v>
      </c>
      <c r="B2639" s="3" t="s">
        <v>142</v>
      </c>
      <c r="C2639" s="3" t="str">
        <f t="shared" si="41"/>
        <v>4500138075130</v>
      </c>
      <c r="D2639" s="4">
        <v>46290</v>
      </c>
      <c r="E2639" s="3" t="s">
        <v>2196</v>
      </c>
      <c r="F2639" s="3" t="s">
        <v>2439</v>
      </c>
    </row>
    <row r="2640" spans="1:6" x14ac:dyDescent="0.3">
      <c r="A2640" s="3" t="s">
        <v>1554</v>
      </c>
      <c r="B2640" s="3" t="s">
        <v>131</v>
      </c>
      <c r="C2640" s="3" t="str">
        <f t="shared" si="41"/>
        <v>4500138075140</v>
      </c>
      <c r="D2640" s="4">
        <v>46290</v>
      </c>
      <c r="E2640" s="3" t="s">
        <v>2196</v>
      </c>
      <c r="F2640" s="3" t="s">
        <v>2439</v>
      </c>
    </row>
    <row r="2641" spans="1:6" x14ac:dyDescent="0.3">
      <c r="A2641" s="3" t="s">
        <v>1554</v>
      </c>
      <c r="B2641" s="3" t="s">
        <v>68</v>
      </c>
      <c r="C2641" s="3" t="str">
        <f t="shared" si="41"/>
        <v>4500138075150</v>
      </c>
      <c r="D2641" s="4">
        <v>46290</v>
      </c>
      <c r="E2641" s="3" t="s">
        <v>2196</v>
      </c>
      <c r="F2641" s="3" t="s">
        <v>2439</v>
      </c>
    </row>
    <row r="2642" spans="1:6" x14ac:dyDescent="0.3">
      <c r="A2642" s="3" t="s">
        <v>1554</v>
      </c>
      <c r="B2642" s="3" t="s">
        <v>129</v>
      </c>
      <c r="C2642" s="3" t="str">
        <f t="shared" si="41"/>
        <v>4500138075160</v>
      </c>
      <c r="D2642" s="4">
        <v>46290</v>
      </c>
      <c r="E2642" s="3" t="s">
        <v>2196</v>
      </c>
      <c r="F2642" s="3" t="s">
        <v>2439</v>
      </c>
    </row>
    <row r="2643" spans="1:6" x14ac:dyDescent="0.3">
      <c r="A2643" s="3" t="s">
        <v>1554</v>
      </c>
      <c r="B2643" s="3" t="s">
        <v>53</v>
      </c>
      <c r="C2643" s="3" t="str">
        <f t="shared" si="41"/>
        <v>4500138075170</v>
      </c>
      <c r="D2643" s="4">
        <v>46290</v>
      </c>
      <c r="E2643" s="3" t="s">
        <v>2196</v>
      </c>
      <c r="F2643" s="3" t="s">
        <v>2439</v>
      </c>
    </row>
    <row r="2644" spans="1:6" x14ac:dyDescent="0.3">
      <c r="A2644" s="3" t="s">
        <v>1554</v>
      </c>
      <c r="B2644" s="3" t="s">
        <v>130</v>
      </c>
      <c r="C2644" s="3" t="str">
        <f t="shared" si="41"/>
        <v>4500138075180</v>
      </c>
      <c r="D2644" s="4">
        <v>46290</v>
      </c>
      <c r="E2644" s="3" t="s">
        <v>2196</v>
      </c>
      <c r="F2644" s="3" t="s">
        <v>2439</v>
      </c>
    </row>
    <row r="2645" spans="1:6" x14ac:dyDescent="0.3">
      <c r="A2645" s="3" t="s">
        <v>1554</v>
      </c>
      <c r="B2645" s="3" t="s">
        <v>127</v>
      </c>
      <c r="C2645" s="3" t="str">
        <f t="shared" si="41"/>
        <v>4500138075190</v>
      </c>
      <c r="D2645" s="4">
        <v>46290</v>
      </c>
      <c r="E2645" s="3" t="s">
        <v>2196</v>
      </c>
      <c r="F2645" s="3" t="s">
        <v>2439</v>
      </c>
    </row>
    <row r="2646" spans="1:6" x14ac:dyDescent="0.3">
      <c r="A2646" s="3" t="s">
        <v>1554</v>
      </c>
      <c r="B2646" s="3" t="s">
        <v>161</v>
      </c>
      <c r="C2646" s="3" t="str">
        <f t="shared" si="41"/>
        <v>4500138075200</v>
      </c>
      <c r="D2646" s="4">
        <v>46290</v>
      </c>
      <c r="E2646" s="3" t="s">
        <v>2196</v>
      </c>
      <c r="F2646" s="3" t="s">
        <v>2439</v>
      </c>
    </row>
    <row r="2647" spans="1:6" x14ac:dyDescent="0.3">
      <c r="A2647" s="3" t="s">
        <v>1554</v>
      </c>
      <c r="B2647" s="3" t="s">
        <v>136</v>
      </c>
      <c r="C2647" s="3" t="str">
        <f t="shared" si="41"/>
        <v>4500138075210</v>
      </c>
      <c r="D2647" s="4">
        <v>46290</v>
      </c>
      <c r="E2647" s="3" t="s">
        <v>2196</v>
      </c>
      <c r="F2647" s="3" t="s">
        <v>2439</v>
      </c>
    </row>
    <row r="2648" spans="1:6" x14ac:dyDescent="0.3">
      <c r="A2648" s="3" t="s">
        <v>1554</v>
      </c>
      <c r="B2648" s="3" t="s">
        <v>140</v>
      </c>
      <c r="C2648" s="3" t="str">
        <f t="shared" si="41"/>
        <v>4500138075220</v>
      </c>
      <c r="D2648" s="4">
        <v>46290</v>
      </c>
      <c r="E2648" s="3" t="s">
        <v>2196</v>
      </c>
      <c r="F2648" s="3" t="s">
        <v>2439</v>
      </c>
    </row>
    <row r="2649" spans="1:6" x14ac:dyDescent="0.3">
      <c r="A2649" s="3" t="s">
        <v>1554</v>
      </c>
      <c r="B2649" s="3" t="s">
        <v>137</v>
      </c>
      <c r="C2649" s="3" t="str">
        <f t="shared" si="41"/>
        <v>4500138075230</v>
      </c>
      <c r="D2649" s="4">
        <v>46290</v>
      </c>
      <c r="E2649" s="3" t="s">
        <v>2196</v>
      </c>
      <c r="F2649" s="3" t="s">
        <v>2439</v>
      </c>
    </row>
    <row r="2650" spans="1:6" x14ac:dyDescent="0.3">
      <c r="A2650" s="3" t="s">
        <v>1554</v>
      </c>
      <c r="B2650" s="3" t="s">
        <v>143</v>
      </c>
      <c r="C2650" s="3" t="str">
        <f t="shared" si="41"/>
        <v>4500138075240</v>
      </c>
      <c r="D2650" s="4">
        <v>46290</v>
      </c>
      <c r="E2650" s="3" t="s">
        <v>2196</v>
      </c>
      <c r="F2650" s="3" t="s">
        <v>2439</v>
      </c>
    </row>
    <row r="2651" spans="1:6" x14ac:dyDescent="0.3">
      <c r="A2651" s="3" t="s">
        <v>1554</v>
      </c>
      <c r="B2651" s="3" t="s">
        <v>128</v>
      </c>
      <c r="C2651" s="3" t="str">
        <f t="shared" si="41"/>
        <v>4500138075250</v>
      </c>
      <c r="D2651" s="4">
        <v>46290</v>
      </c>
      <c r="E2651" s="3" t="s">
        <v>2196</v>
      </c>
      <c r="F2651" s="3" t="s">
        <v>2439</v>
      </c>
    </row>
    <row r="2652" spans="1:6" x14ac:dyDescent="0.3">
      <c r="A2652" s="3" t="s">
        <v>1554</v>
      </c>
      <c r="B2652" s="3" t="s">
        <v>126</v>
      </c>
      <c r="C2652" s="3" t="str">
        <f t="shared" si="41"/>
        <v>4500138075260</v>
      </c>
      <c r="D2652" s="4">
        <v>46290</v>
      </c>
      <c r="E2652" s="3" t="s">
        <v>2196</v>
      </c>
      <c r="F2652" s="3" t="s">
        <v>2439</v>
      </c>
    </row>
    <row r="2653" spans="1:6" x14ac:dyDescent="0.3">
      <c r="A2653" s="3" t="s">
        <v>1554</v>
      </c>
      <c r="B2653" s="3" t="s">
        <v>146</v>
      </c>
      <c r="C2653" s="3" t="str">
        <f t="shared" si="41"/>
        <v>4500138075270</v>
      </c>
      <c r="D2653" s="4">
        <v>46290</v>
      </c>
      <c r="E2653" s="3" t="s">
        <v>2196</v>
      </c>
      <c r="F2653" s="3" t="s">
        <v>2439</v>
      </c>
    </row>
    <row r="2654" spans="1:6" x14ac:dyDescent="0.3">
      <c r="A2654" s="3" t="s">
        <v>1554</v>
      </c>
      <c r="B2654" s="3" t="s">
        <v>133</v>
      </c>
      <c r="C2654" s="3" t="str">
        <f t="shared" si="41"/>
        <v>4500138075280</v>
      </c>
      <c r="D2654" s="4">
        <v>46290</v>
      </c>
      <c r="E2654" s="3" t="s">
        <v>2196</v>
      </c>
      <c r="F2654" s="3" t="s">
        <v>2439</v>
      </c>
    </row>
    <row r="2655" spans="1:6" x14ac:dyDescent="0.3">
      <c r="A2655" s="3" t="s">
        <v>1554</v>
      </c>
      <c r="B2655" s="3" t="s">
        <v>173</v>
      </c>
      <c r="C2655" s="3" t="str">
        <f t="shared" si="41"/>
        <v>4500138075290</v>
      </c>
      <c r="D2655" s="4">
        <v>46290</v>
      </c>
      <c r="E2655" s="3" t="s">
        <v>2196</v>
      </c>
      <c r="F2655" s="3" t="s">
        <v>2439</v>
      </c>
    </row>
    <row r="2656" spans="1:6" x14ac:dyDescent="0.3">
      <c r="A2656" s="3" t="s">
        <v>1554</v>
      </c>
      <c r="B2656" s="3" t="s">
        <v>145</v>
      </c>
      <c r="C2656" s="3" t="str">
        <f t="shared" si="41"/>
        <v>4500138075300</v>
      </c>
      <c r="D2656" s="4">
        <v>46290</v>
      </c>
      <c r="E2656" s="3" t="s">
        <v>2196</v>
      </c>
      <c r="F2656" s="3" t="s">
        <v>2439</v>
      </c>
    </row>
    <row r="2657" spans="1:6" x14ac:dyDescent="0.3">
      <c r="A2657" s="3" t="s">
        <v>1554</v>
      </c>
      <c r="B2657" s="3" t="s">
        <v>147</v>
      </c>
      <c r="C2657" s="3" t="str">
        <f t="shared" si="41"/>
        <v>4500138075310</v>
      </c>
      <c r="D2657" s="4">
        <v>46290</v>
      </c>
      <c r="E2657" s="3" t="s">
        <v>2196</v>
      </c>
      <c r="F2657" s="3" t="s">
        <v>2439</v>
      </c>
    </row>
    <row r="2658" spans="1:6" x14ac:dyDescent="0.3">
      <c r="A2658" s="3" t="s">
        <v>1554</v>
      </c>
      <c r="B2658" s="3" t="s">
        <v>150</v>
      </c>
      <c r="C2658" s="3" t="str">
        <f t="shared" si="41"/>
        <v>4500138075320</v>
      </c>
      <c r="D2658" s="4">
        <v>46290</v>
      </c>
      <c r="E2658" s="3" t="s">
        <v>2196</v>
      </c>
      <c r="F2658" s="3" t="s">
        <v>2439</v>
      </c>
    </row>
    <row r="2659" spans="1:6" x14ac:dyDescent="0.3">
      <c r="A2659" s="3" t="s">
        <v>1554</v>
      </c>
      <c r="B2659" s="3" t="s">
        <v>154</v>
      </c>
      <c r="C2659" s="3" t="str">
        <f t="shared" si="41"/>
        <v>4500138075330</v>
      </c>
      <c r="D2659" s="4">
        <v>46290</v>
      </c>
      <c r="E2659" s="3" t="s">
        <v>2196</v>
      </c>
      <c r="F2659" s="3" t="s">
        <v>2439</v>
      </c>
    </row>
    <row r="2660" spans="1:6" x14ac:dyDescent="0.3">
      <c r="A2660" s="3" t="s">
        <v>1554</v>
      </c>
      <c r="B2660" s="3" t="s">
        <v>135</v>
      </c>
      <c r="C2660" s="3" t="str">
        <f t="shared" si="41"/>
        <v>4500138075340</v>
      </c>
      <c r="D2660" s="4">
        <v>46290</v>
      </c>
      <c r="E2660" s="3" t="s">
        <v>2196</v>
      </c>
      <c r="F2660" s="3" t="s">
        <v>2439</v>
      </c>
    </row>
    <row r="2661" spans="1:6" x14ac:dyDescent="0.3">
      <c r="A2661" s="3" t="s">
        <v>1554</v>
      </c>
      <c r="B2661" s="3" t="s">
        <v>139</v>
      </c>
      <c r="C2661" s="3" t="str">
        <f t="shared" si="41"/>
        <v>4500138075350</v>
      </c>
      <c r="D2661" s="4">
        <v>46290</v>
      </c>
      <c r="E2661" s="3" t="s">
        <v>2196</v>
      </c>
      <c r="F2661" s="3" t="s">
        <v>2439</v>
      </c>
    </row>
    <row r="2662" spans="1:6" x14ac:dyDescent="0.3">
      <c r="A2662" s="3" t="s">
        <v>1554</v>
      </c>
      <c r="B2662" s="3" t="s">
        <v>168</v>
      </c>
      <c r="C2662" s="3" t="str">
        <f t="shared" si="41"/>
        <v>4500138075360</v>
      </c>
      <c r="D2662" s="4">
        <v>46290</v>
      </c>
      <c r="E2662" s="3" t="s">
        <v>2196</v>
      </c>
      <c r="F2662" s="3" t="s">
        <v>2439</v>
      </c>
    </row>
    <row r="2663" spans="1:6" x14ac:dyDescent="0.3">
      <c r="A2663" s="3" t="s">
        <v>1554</v>
      </c>
      <c r="B2663" s="3" t="s">
        <v>162</v>
      </c>
      <c r="C2663" s="3" t="str">
        <f t="shared" si="41"/>
        <v>4500138075370</v>
      </c>
      <c r="D2663" s="4">
        <v>46290</v>
      </c>
      <c r="E2663" s="3" t="s">
        <v>2196</v>
      </c>
      <c r="F2663" s="3" t="s">
        <v>2439</v>
      </c>
    </row>
    <row r="2664" spans="1:6" x14ac:dyDescent="0.3">
      <c r="A2664" s="3" t="s">
        <v>1554</v>
      </c>
      <c r="B2664" s="3" t="s">
        <v>1132</v>
      </c>
      <c r="C2664" s="3" t="str">
        <f t="shared" si="41"/>
        <v>4500138075380</v>
      </c>
      <c r="D2664" s="4">
        <v>46290</v>
      </c>
      <c r="E2664" s="3" t="s">
        <v>2196</v>
      </c>
      <c r="F2664" s="3" t="s">
        <v>2439</v>
      </c>
    </row>
    <row r="2665" spans="1:6" x14ac:dyDescent="0.3">
      <c r="A2665" s="3" t="s">
        <v>1554</v>
      </c>
      <c r="B2665" s="3" t="s">
        <v>158</v>
      </c>
      <c r="C2665" s="3" t="str">
        <f t="shared" si="41"/>
        <v>4500138075390</v>
      </c>
      <c r="D2665" s="4">
        <v>46290</v>
      </c>
      <c r="E2665" s="3" t="s">
        <v>2196</v>
      </c>
      <c r="F2665" s="3" t="s">
        <v>2439</v>
      </c>
    </row>
    <row r="2666" spans="1:6" x14ac:dyDescent="0.3">
      <c r="A2666" s="3" t="s">
        <v>1554</v>
      </c>
      <c r="B2666" s="3" t="s">
        <v>178</v>
      </c>
      <c r="C2666" s="3" t="str">
        <f t="shared" si="41"/>
        <v>4500138075400</v>
      </c>
      <c r="D2666" s="4">
        <v>46290</v>
      </c>
      <c r="E2666" s="3" t="s">
        <v>2196</v>
      </c>
      <c r="F2666" s="3" t="s">
        <v>2439</v>
      </c>
    </row>
    <row r="2667" spans="1:6" x14ac:dyDescent="0.3">
      <c r="A2667" s="3" t="s">
        <v>1459</v>
      </c>
      <c r="B2667" s="3" t="s">
        <v>23</v>
      </c>
      <c r="C2667" s="3" t="str">
        <f t="shared" si="41"/>
        <v>450013807740</v>
      </c>
      <c r="D2667" s="4">
        <v>46304</v>
      </c>
      <c r="E2667" s="3" t="s">
        <v>2196</v>
      </c>
      <c r="F2667" s="3" t="s">
        <v>2478</v>
      </c>
    </row>
    <row r="2668" spans="1:6" x14ac:dyDescent="0.3">
      <c r="A2668" s="3" t="s">
        <v>1459</v>
      </c>
      <c r="B2668" s="3" t="s">
        <v>138</v>
      </c>
      <c r="C2668" s="3" t="str">
        <f t="shared" si="41"/>
        <v>450013807790</v>
      </c>
      <c r="D2668" s="4">
        <v>46304</v>
      </c>
      <c r="E2668" s="3" t="s">
        <v>2196</v>
      </c>
      <c r="F2668" s="3" t="s">
        <v>2478</v>
      </c>
    </row>
    <row r="2669" spans="1:6" x14ac:dyDescent="0.3">
      <c r="A2669" s="3" t="s">
        <v>1343</v>
      </c>
      <c r="B2669" s="3" t="s">
        <v>30</v>
      </c>
      <c r="C2669" s="3" t="str">
        <f t="shared" si="41"/>
        <v>450013807810</v>
      </c>
      <c r="D2669" s="4">
        <v>46282</v>
      </c>
      <c r="E2669" s="3" t="s">
        <v>2239</v>
      </c>
      <c r="F2669" s="3" t="s">
        <v>2574</v>
      </c>
    </row>
    <row r="2670" spans="1:6" x14ac:dyDescent="0.3">
      <c r="A2670" s="3" t="s">
        <v>1439</v>
      </c>
      <c r="B2670" s="3" t="s">
        <v>30</v>
      </c>
      <c r="C2670" s="3" t="str">
        <f t="shared" si="41"/>
        <v>450013809110</v>
      </c>
      <c r="D2670" s="4">
        <v>46288</v>
      </c>
      <c r="E2670" s="3" t="s">
        <v>2199</v>
      </c>
      <c r="F2670" s="3" t="s">
        <v>2667</v>
      </c>
    </row>
    <row r="2671" spans="1:6" x14ac:dyDescent="0.3">
      <c r="A2671" s="3" t="s">
        <v>1439</v>
      </c>
      <c r="B2671" s="3" t="s">
        <v>22</v>
      </c>
      <c r="C2671" s="3" t="str">
        <f t="shared" si="41"/>
        <v>450013809120</v>
      </c>
      <c r="D2671" s="4">
        <v>46288</v>
      </c>
      <c r="E2671" s="3" t="s">
        <v>2199</v>
      </c>
      <c r="F2671" s="3" t="s">
        <v>2667</v>
      </c>
    </row>
    <row r="2672" spans="1:6" x14ac:dyDescent="0.3">
      <c r="A2672" s="3" t="s">
        <v>1760</v>
      </c>
      <c r="B2672" s="3" t="s">
        <v>30</v>
      </c>
      <c r="C2672" s="3" t="str">
        <f t="shared" si="41"/>
        <v>450013809310</v>
      </c>
      <c r="D2672" s="4">
        <v>46291</v>
      </c>
      <c r="E2672" s="3" t="s">
        <v>2199</v>
      </c>
      <c r="F2672" s="3" t="s">
        <v>2668</v>
      </c>
    </row>
    <row r="2673" spans="1:6" x14ac:dyDescent="0.3">
      <c r="A2673" s="3" t="s">
        <v>1434</v>
      </c>
      <c r="B2673" s="3" t="s">
        <v>30</v>
      </c>
      <c r="C2673" s="3" t="str">
        <f t="shared" si="41"/>
        <v>450013810510</v>
      </c>
      <c r="D2673" s="4">
        <v>46286</v>
      </c>
      <c r="E2673" s="3" t="s">
        <v>2204</v>
      </c>
      <c r="F2673" s="3" t="s">
        <v>2478</v>
      </c>
    </row>
    <row r="2674" spans="1:6" x14ac:dyDescent="0.3">
      <c r="A2674" s="3" t="s">
        <v>1444</v>
      </c>
      <c r="B2674" s="3" t="s">
        <v>30</v>
      </c>
      <c r="C2674" s="3" t="str">
        <f t="shared" si="41"/>
        <v>450013811310</v>
      </c>
      <c r="D2674" s="4">
        <v>46281</v>
      </c>
      <c r="E2674" s="3" t="s">
        <v>2196</v>
      </c>
      <c r="F2674" s="3" t="s">
        <v>2544</v>
      </c>
    </row>
    <row r="2675" spans="1:6" x14ac:dyDescent="0.3">
      <c r="A2675" s="3" t="s">
        <v>2956</v>
      </c>
      <c r="B2675" s="3" t="s">
        <v>30</v>
      </c>
      <c r="C2675" s="3" t="str">
        <f t="shared" si="41"/>
        <v>450013811910</v>
      </c>
      <c r="D2675" s="4">
        <v>46290</v>
      </c>
      <c r="E2675" s="3" t="s">
        <v>2239</v>
      </c>
      <c r="F2675" s="3" t="s">
        <v>3247</v>
      </c>
    </row>
    <row r="2676" spans="1:6" x14ac:dyDescent="0.3">
      <c r="A2676" s="3" t="s">
        <v>1582</v>
      </c>
      <c r="B2676" s="3" t="s">
        <v>30</v>
      </c>
      <c r="C2676" s="3" t="str">
        <f t="shared" si="41"/>
        <v>450013812310</v>
      </c>
      <c r="D2676" s="4">
        <v>46290</v>
      </c>
      <c r="E2676" s="3" t="s">
        <v>2239</v>
      </c>
      <c r="F2676" s="3" t="s">
        <v>2602</v>
      </c>
    </row>
    <row r="2677" spans="1:6" x14ac:dyDescent="0.3">
      <c r="A2677" s="3" t="s">
        <v>1559</v>
      </c>
      <c r="B2677" s="3" t="s">
        <v>30</v>
      </c>
      <c r="C2677" s="3" t="str">
        <f t="shared" si="41"/>
        <v>450013812610</v>
      </c>
      <c r="D2677" s="4">
        <v>46290</v>
      </c>
      <c r="E2677" s="3" t="s">
        <v>2236</v>
      </c>
      <c r="F2677" s="3" t="s">
        <v>2581</v>
      </c>
    </row>
    <row r="2678" spans="1:6" x14ac:dyDescent="0.3">
      <c r="A2678" s="3" t="s">
        <v>1334</v>
      </c>
      <c r="B2678" s="3" t="s">
        <v>30</v>
      </c>
      <c r="C2678" s="3" t="str">
        <f t="shared" si="41"/>
        <v>450013813210</v>
      </c>
      <c r="D2678" s="4">
        <v>46275</v>
      </c>
      <c r="E2678" s="3" t="s">
        <v>2239</v>
      </c>
      <c r="F2678" s="3" t="s">
        <v>2628</v>
      </c>
    </row>
    <row r="2679" spans="1:6" x14ac:dyDescent="0.3">
      <c r="A2679" s="3" t="s">
        <v>2974</v>
      </c>
      <c r="B2679" s="3" t="s">
        <v>30</v>
      </c>
      <c r="C2679" s="3" t="str">
        <f t="shared" si="41"/>
        <v>450013813410</v>
      </c>
      <c r="D2679" s="4">
        <v>46280</v>
      </c>
      <c r="E2679" s="3" t="s">
        <v>2239</v>
      </c>
      <c r="F2679" s="3" t="s">
        <v>2619</v>
      </c>
    </row>
    <row r="2680" spans="1:6" x14ac:dyDescent="0.3">
      <c r="A2680" s="3" t="s">
        <v>2292</v>
      </c>
      <c r="B2680" s="3" t="s">
        <v>30</v>
      </c>
      <c r="C2680" s="3" t="str">
        <f t="shared" si="41"/>
        <v>450013813610</v>
      </c>
      <c r="D2680" s="4">
        <v>46291</v>
      </c>
      <c r="E2680" s="3" t="s">
        <v>2196</v>
      </c>
      <c r="F2680" s="3" t="s">
        <v>2491</v>
      </c>
    </row>
    <row r="2681" spans="1:6" x14ac:dyDescent="0.3">
      <c r="A2681" s="3" t="s">
        <v>2292</v>
      </c>
      <c r="B2681" s="3" t="s">
        <v>22</v>
      </c>
      <c r="C2681" s="3" t="str">
        <f t="shared" si="41"/>
        <v>450013813620</v>
      </c>
      <c r="D2681" s="4">
        <v>46310</v>
      </c>
      <c r="E2681" s="3" t="s">
        <v>2196</v>
      </c>
      <c r="F2681" s="3" t="s">
        <v>2491</v>
      </c>
    </row>
    <row r="2682" spans="1:6" x14ac:dyDescent="0.3">
      <c r="A2682" s="3" t="s">
        <v>2292</v>
      </c>
      <c r="B2682" s="3" t="s">
        <v>35</v>
      </c>
      <c r="C2682" s="3" t="str">
        <f t="shared" si="41"/>
        <v>450013813630</v>
      </c>
      <c r="D2682" s="4">
        <v>46291</v>
      </c>
      <c r="E2682" s="3" t="s">
        <v>2196</v>
      </c>
      <c r="F2682" s="3" t="s">
        <v>2491</v>
      </c>
    </row>
    <row r="2683" spans="1:6" x14ac:dyDescent="0.3">
      <c r="A2683" s="3" t="s">
        <v>2292</v>
      </c>
      <c r="B2683" s="3" t="s">
        <v>23</v>
      </c>
      <c r="C2683" s="3" t="str">
        <f t="shared" si="41"/>
        <v>450013813640</v>
      </c>
      <c r="D2683" s="4">
        <v>46291</v>
      </c>
      <c r="E2683" s="3" t="s">
        <v>2196</v>
      </c>
      <c r="F2683" s="3" t="s">
        <v>2491</v>
      </c>
    </row>
    <row r="2684" spans="1:6" x14ac:dyDescent="0.3">
      <c r="A2684" s="3" t="s">
        <v>2292</v>
      </c>
      <c r="B2684" s="3" t="s">
        <v>144</v>
      </c>
      <c r="C2684" s="3" t="str">
        <f t="shared" si="41"/>
        <v>450013813650</v>
      </c>
      <c r="D2684" s="4">
        <v>46291</v>
      </c>
      <c r="E2684" s="3" t="s">
        <v>2196</v>
      </c>
      <c r="F2684" s="3" t="s">
        <v>2491</v>
      </c>
    </row>
    <row r="2685" spans="1:6" x14ac:dyDescent="0.3">
      <c r="A2685" s="3" t="s">
        <v>2292</v>
      </c>
      <c r="B2685" s="3" t="s">
        <v>141</v>
      </c>
      <c r="C2685" s="3" t="str">
        <f t="shared" si="41"/>
        <v>450013813660</v>
      </c>
      <c r="D2685" s="4">
        <v>46291</v>
      </c>
      <c r="E2685" s="3" t="s">
        <v>2196</v>
      </c>
      <c r="F2685" s="3" t="s">
        <v>2491</v>
      </c>
    </row>
    <row r="2686" spans="1:6" x14ac:dyDescent="0.3">
      <c r="A2686" s="3" t="s">
        <v>1316</v>
      </c>
      <c r="B2686" s="3" t="s">
        <v>22</v>
      </c>
      <c r="C2686" s="3" t="str">
        <f t="shared" si="41"/>
        <v>450013813820</v>
      </c>
      <c r="D2686" s="4">
        <v>46285</v>
      </c>
      <c r="E2686" s="3" t="s">
        <v>2239</v>
      </c>
      <c r="F2686" s="3" t="s">
        <v>2554</v>
      </c>
    </row>
    <row r="2687" spans="1:6" x14ac:dyDescent="0.3">
      <c r="A2687" s="3" t="s">
        <v>1316</v>
      </c>
      <c r="B2687" s="3" t="s">
        <v>35</v>
      </c>
      <c r="C2687" s="3" t="str">
        <f t="shared" si="41"/>
        <v>450013813830</v>
      </c>
      <c r="D2687" s="4">
        <v>46285</v>
      </c>
      <c r="E2687" s="3" t="s">
        <v>2239</v>
      </c>
      <c r="F2687" s="3" t="s">
        <v>2554</v>
      </c>
    </row>
    <row r="2688" spans="1:6" x14ac:dyDescent="0.3">
      <c r="A2688" s="3" t="s">
        <v>2047</v>
      </c>
      <c r="B2688" s="3" t="s">
        <v>30</v>
      </c>
      <c r="C2688" s="3" t="str">
        <f t="shared" si="41"/>
        <v>450013815010</v>
      </c>
      <c r="D2688" s="4">
        <v>46290</v>
      </c>
      <c r="E2688" s="3" t="s">
        <v>2233</v>
      </c>
      <c r="F2688" s="3" t="s">
        <v>2669</v>
      </c>
    </row>
    <row r="2689" spans="1:6" x14ac:dyDescent="0.3">
      <c r="A2689" s="3" t="s">
        <v>1883</v>
      </c>
      <c r="B2689" s="3" t="s">
        <v>30</v>
      </c>
      <c r="C2689" s="3" t="str">
        <f t="shared" si="41"/>
        <v>450013816310</v>
      </c>
      <c r="D2689" s="4">
        <v>46295</v>
      </c>
      <c r="E2689" s="3" t="s">
        <v>2196</v>
      </c>
      <c r="F2689" s="3" t="s">
        <v>2423</v>
      </c>
    </row>
    <row r="2690" spans="1:6" x14ac:dyDescent="0.3">
      <c r="A2690" s="3" t="s">
        <v>1883</v>
      </c>
      <c r="B2690" s="3" t="s">
        <v>22</v>
      </c>
      <c r="C2690" s="3" t="str">
        <f t="shared" si="41"/>
        <v>450013816320</v>
      </c>
      <c r="D2690" s="4">
        <v>46295</v>
      </c>
      <c r="E2690" s="3" t="s">
        <v>2196</v>
      </c>
      <c r="F2690" s="3" t="s">
        <v>2423</v>
      </c>
    </row>
    <row r="2691" spans="1:6" x14ac:dyDescent="0.3">
      <c r="A2691" s="3" t="s">
        <v>1883</v>
      </c>
      <c r="B2691" s="3" t="s">
        <v>35</v>
      </c>
      <c r="C2691" s="3" t="str">
        <f t="shared" ref="C2691:C2754" si="42">_xlfn.CONCAT(A2691:B2691)</f>
        <v>450013816330</v>
      </c>
      <c r="D2691" s="4">
        <v>46295</v>
      </c>
      <c r="E2691" s="3" t="s">
        <v>2196</v>
      </c>
      <c r="F2691" s="3" t="s">
        <v>2423</v>
      </c>
    </row>
    <row r="2692" spans="1:6" x14ac:dyDescent="0.3">
      <c r="A2692" s="3" t="s">
        <v>1883</v>
      </c>
      <c r="B2692" s="3" t="s">
        <v>23</v>
      </c>
      <c r="C2692" s="3" t="str">
        <f t="shared" si="42"/>
        <v>450013816340</v>
      </c>
      <c r="D2692" s="4">
        <v>46295</v>
      </c>
      <c r="E2692" s="3" t="s">
        <v>2196</v>
      </c>
      <c r="F2692" s="3" t="s">
        <v>2423</v>
      </c>
    </row>
    <row r="2693" spans="1:6" x14ac:dyDescent="0.3">
      <c r="A2693" s="3" t="s">
        <v>1883</v>
      </c>
      <c r="B2693" s="3" t="s">
        <v>144</v>
      </c>
      <c r="C2693" s="3" t="str">
        <f t="shared" si="42"/>
        <v>450013816350</v>
      </c>
      <c r="D2693" s="4">
        <v>46295</v>
      </c>
      <c r="E2693" s="3" t="s">
        <v>2196</v>
      </c>
      <c r="F2693" s="3" t="s">
        <v>2423</v>
      </c>
    </row>
    <row r="2694" spans="1:6" x14ac:dyDescent="0.3">
      <c r="A2694" s="3" t="s">
        <v>1883</v>
      </c>
      <c r="B2694" s="3" t="s">
        <v>141</v>
      </c>
      <c r="C2694" s="3" t="str">
        <f t="shared" si="42"/>
        <v>450013816360</v>
      </c>
      <c r="D2694" s="4">
        <v>46295</v>
      </c>
      <c r="E2694" s="3" t="s">
        <v>2196</v>
      </c>
      <c r="F2694" s="3" t="s">
        <v>2423</v>
      </c>
    </row>
    <row r="2695" spans="1:6" x14ac:dyDescent="0.3">
      <c r="A2695" s="3" t="s">
        <v>1883</v>
      </c>
      <c r="B2695" s="3" t="s">
        <v>134</v>
      </c>
      <c r="C2695" s="3" t="str">
        <f t="shared" si="42"/>
        <v>450013816370</v>
      </c>
      <c r="D2695" s="4">
        <v>46295</v>
      </c>
      <c r="E2695" s="3" t="s">
        <v>2196</v>
      </c>
      <c r="F2695" s="3" t="s">
        <v>2423</v>
      </c>
    </row>
    <row r="2696" spans="1:6" x14ac:dyDescent="0.3">
      <c r="A2696" s="3" t="s">
        <v>1883</v>
      </c>
      <c r="B2696" s="3" t="s">
        <v>52</v>
      </c>
      <c r="C2696" s="3" t="str">
        <f t="shared" si="42"/>
        <v>450013816380</v>
      </c>
      <c r="D2696" s="4">
        <v>46295</v>
      </c>
      <c r="E2696" s="3" t="s">
        <v>2196</v>
      </c>
      <c r="F2696" s="3" t="s">
        <v>2423</v>
      </c>
    </row>
    <row r="2697" spans="1:6" x14ac:dyDescent="0.3">
      <c r="A2697" s="3" t="s">
        <v>1883</v>
      </c>
      <c r="B2697" s="3" t="s">
        <v>138</v>
      </c>
      <c r="C2697" s="3" t="str">
        <f t="shared" si="42"/>
        <v>450013816390</v>
      </c>
      <c r="D2697" s="4">
        <v>46295</v>
      </c>
      <c r="E2697" s="3" t="s">
        <v>2196</v>
      </c>
      <c r="F2697" s="3" t="s">
        <v>2423</v>
      </c>
    </row>
    <row r="2698" spans="1:6" x14ac:dyDescent="0.3">
      <c r="A2698" s="3" t="s">
        <v>1883</v>
      </c>
      <c r="B2698" s="3" t="s">
        <v>45</v>
      </c>
      <c r="C2698" s="3" t="str">
        <f t="shared" si="42"/>
        <v>4500138163100</v>
      </c>
      <c r="D2698" s="4">
        <v>46295</v>
      </c>
      <c r="E2698" s="3" t="s">
        <v>2196</v>
      </c>
      <c r="F2698" s="3" t="s">
        <v>2423</v>
      </c>
    </row>
    <row r="2699" spans="1:6" x14ac:dyDescent="0.3">
      <c r="A2699" s="3" t="s">
        <v>1883</v>
      </c>
      <c r="B2699" s="3" t="s">
        <v>156</v>
      </c>
      <c r="C2699" s="3" t="str">
        <f t="shared" si="42"/>
        <v>4500138163110</v>
      </c>
      <c r="D2699" s="4">
        <v>46295</v>
      </c>
      <c r="E2699" s="3" t="s">
        <v>2196</v>
      </c>
      <c r="F2699" s="3" t="s">
        <v>2423</v>
      </c>
    </row>
    <row r="2700" spans="1:6" x14ac:dyDescent="0.3">
      <c r="A2700" s="3" t="s">
        <v>1883</v>
      </c>
      <c r="B2700" s="3" t="s">
        <v>132</v>
      </c>
      <c r="C2700" s="3" t="str">
        <f t="shared" si="42"/>
        <v>4500138163120</v>
      </c>
      <c r="D2700" s="4">
        <v>46295</v>
      </c>
      <c r="E2700" s="3" t="s">
        <v>2196</v>
      </c>
      <c r="F2700" s="3" t="s">
        <v>2423</v>
      </c>
    </row>
    <row r="2701" spans="1:6" x14ac:dyDescent="0.3">
      <c r="A2701" s="3" t="s">
        <v>1883</v>
      </c>
      <c r="B2701" s="3" t="s">
        <v>142</v>
      </c>
      <c r="C2701" s="3" t="str">
        <f t="shared" si="42"/>
        <v>4500138163130</v>
      </c>
      <c r="D2701" s="4">
        <v>46295</v>
      </c>
      <c r="E2701" s="3" t="s">
        <v>2196</v>
      </c>
      <c r="F2701" s="3" t="s">
        <v>2423</v>
      </c>
    </row>
    <row r="2702" spans="1:6" x14ac:dyDescent="0.3">
      <c r="A2702" s="3" t="s">
        <v>1883</v>
      </c>
      <c r="B2702" s="3" t="s">
        <v>131</v>
      </c>
      <c r="C2702" s="3" t="str">
        <f t="shared" si="42"/>
        <v>4500138163140</v>
      </c>
      <c r="D2702" s="4">
        <v>46295</v>
      </c>
      <c r="E2702" s="3" t="s">
        <v>2196</v>
      </c>
      <c r="F2702" s="3" t="s">
        <v>2423</v>
      </c>
    </row>
    <row r="2703" spans="1:6" x14ac:dyDescent="0.3">
      <c r="A2703" s="3" t="s">
        <v>1883</v>
      </c>
      <c r="B2703" s="3" t="s">
        <v>68</v>
      </c>
      <c r="C2703" s="3" t="str">
        <f t="shared" si="42"/>
        <v>4500138163150</v>
      </c>
      <c r="D2703" s="4">
        <v>46295</v>
      </c>
      <c r="E2703" s="3" t="s">
        <v>2196</v>
      </c>
      <c r="F2703" s="3" t="s">
        <v>2423</v>
      </c>
    </row>
    <row r="2704" spans="1:6" x14ac:dyDescent="0.3">
      <c r="A2704" s="3" t="s">
        <v>1883</v>
      </c>
      <c r="B2704" s="3" t="s">
        <v>129</v>
      </c>
      <c r="C2704" s="3" t="str">
        <f t="shared" si="42"/>
        <v>4500138163160</v>
      </c>
      <c r="D2704" s="4">
        <v>46295</v>
      </c>
      <c r="E2704" s="3" t="s">
        <v>2196</v>
      </c>
      <c r="F2704" s="3" t="s">
        <v>2423</v>
      </c>
    </row>
    <row r="2705" spans="1:6" x14ac:dyDescent="0.3">
      <c r="A2705" s="3" t="s">
        <v>1883</v>
      </c>
      <c r="B2705" s="3" t="s">
        <v>53</v>
      </c>
      <c r="C2705" s="3" t="str">
        <f t="shared" si="42"/>
        <v>4500138163170</v>
      </c>
      <c r="D2705" s="4">
        <v>46295</v>
      </c>
      <c r="E2705" s="3" t="s">
        <v>2196</v>
      </c>
      <c r="F2705" s="3" t="s">
        <v>2423</v>
      </c>
    </row>
    <row r="2706" spans="1:6" x14ac:dyDescent="0.3">
      <c r="A2706" s="3" t="s">
        <v>1883</v>
      </c>
      <c r="B2706" s="3" t="s">
        <v>130</v>
      </c>
      <c r="C2706" s="3" t="str">
        <f t="shared" si="42"/>
        <v>4500138163180</v>
      </c>
      <c r="D2706" s="4">
        <v>46295</v>
      </c>
      <c r="E2706" s="3" t="s">
        <v>2196</v>
      </c>
      <c r="F2706" s="3" t="s">
        <v>2423</v>
      </c>
    </row>
    <row r="2707" spans="1:6" x14ac:dyDescent="0.3">
      <c r="A2707" s="3" t="s">
        <v>1883</v>
      </c>
      <c r="B2707" s="3" t="s">
        <v>127</v>
      </c>
      <c r="C2707" s="3" t="str">
        <f t="shared" si="42"/>
        <v>4500138163190</v>
      </c>
      <c r="D2707" s="4">
        <v>46295</v>
      </c>
      <c r="E2707" s="3" t="s">
        <v>2196</v>
      </c>
      <c r="F2707" s="3" t="s">
        <v>2423</v>
      </c>
    </row>
    <row r="2708" spans="1:6" x14ac:dyDescent="0.3">
      <c r="A2708" s="3" t="s">
        <v>1883</v>
      </c>
      <c r="B2708" s="3" t="s">
        <v>161</v>
      </c>
      <c r="C2708" s="3" t="str">
        <f t="shared" si="42"/>
        <v>4500138163200</v>
      </c>
      <c r="D2708" s="4">
        <v>46295</v>
      </c>
      <c r="E2708" s="3" t="s">
        <v>2196</v>
      </c>
      <c r="F2708" s="3" t="s">
        <v>2423</v>
      </c>
    </row>
    <row r="2709" spans="1:6" x14ac:dyDescent="0.3">
      <c r="A2709" s="3" t="s">
        <v>1883</v>
      </c>
      <c r="B2709" s="3" t="s">
        <v>136</v>
      </c>
      <c r="C2709" s="3" t="str">
        <f t="shared" si="42"/>
        <v>4500138163210</v>
      </c>
      <c r="D2709" s="4">
        <v>46295</v>
      </c>
      <c r="E2709" s="3" t="s">
        <v>2196</v>
      </c>
      <c r="F2709" s="3" t="s">
        <v>2423</v>
      </c>
    </row>
    <row r="2710" spans="1:6" x14ac:dyDescent="0.3">
      <c r="A2710" s="3" t="s">
        <v>1883</v>
      </c>
      <c r="B2710" s="3" t="s">
        <v>140</v>
      </c>
      <c r="C2710" s="3" t="str">
        <f t="shared" si="42"/>
        <v>4500138163220</v>
      </c>
      <c r="D2710" s="4">
        <v>46295</v>
      </c>
      <c r="E2710" s="3" t="s">
        <v>2196</v>
      </c>
      <c r="F2710" s="3" t="s">
        <v>2423</v>
      </c>
    </row>
    <row r="2711" spans="1:6" x14ac:dyDescent="0.3">
      <c r="A2711" s="3" t="s">
        <v>1883</v>
      </c>
      <c r="B2711" s="3" t="s">
        <v>137</v>
      </c>
      <c r="C2711" s="3" t="str">
        <f t="shared" si="42"/>
        <v>4500138163230</v>
      </c>
      <c r="D2711" s="4">
        <v>46295</v>
      </c>
      <c r="E2711" s="3" t="s">
        <v>2196</v>
      </c>
      <c r="F2711" s="3" t="s">
        <v>2423</v>
      </c>
    </row>
    <row r="2712" spans="1:6" x14ac:dyDescent="0.3">
      <c r="A2712" s="3" t="s">
        <v>1883</v>
      </c>
      <c r="B2712" s="3" t="s">
        <v>128</v>
      </c>
      <c r="C2712" s="3" t="str">
        <f t="shared" si="42"/>
        <v>4500138163250</v>
      </c>
      <c r="D2712" s="4">
        <v>46295</v>
      </c>
      <c r="E2712" s="3" t="s">
        <v>2196</v>
      </c>
      <c r="F2712" s="3" t="s">
        <v>2423</v>
      </c>
    </row>
    <row r="2713" spans="1:6" x14ac:dyDescent="0.3">
      <c r="A2713" s="3" t="s">
        <v>1883</v>
      </c>
      <c r="B2713" s="3" t="s">
        <v>126</v>
      </c>
      <c r="C2713" s="3" t="str">
        <f t="shared" si="42"/>
        <v>4500138163260</v>
      </c>
      <c r="D2713" s="4">
        <v>46295</v>
      </c>
      <c r="E2713" s="3" t="s">
        <v>2196</v>
      </c>
      <c r="F2713" s="3" t="s">
        <v>2423</v>
      </c>
    </row>
    <row r="2714" spans="1:6" x14ac:dyDescent="0.3">
      <c r="A2714" s="3" t="s">
        <v>1883</v>
      </c>
      <c r="B2714" s="3" t="s">
        <v>133</v>
      </c>
      <c r="C2714" s="3" t="str">
        <f t="shared" si="42"/>
        <v>4500138163280</v>
      </c>
      <c r="D2714" s="4">
        <v>46295</v>
      </c>
      <c r="E2714" s="3" t="s">
        <v>2196</v>
      </c>
      <c r="F2714" s="3" t="s">
        <v>2423</v>
      </c>
    </row>
    <row r="2715" spans="1:6" x14ac:dyDescent="0.3">
      <c r="A2715" s="3" t="s">
        <v>1883</v>
      </c>
      <c r="B2715" s="3" t="s">
        <v>173</v>
      </c>
      <c r="C2715" s="3" t="str">
        <f t="shared" si="42"/>
        <v>4500138163290</v>
      </c>
      <c r="D2715" s="4">
        <v>46295</v>
      </c>
      <c r="E2715" s="3" t="s">
        <v>2196</v>
      </c>
      <c r="F2715" s="3" t="s">
        <v>2423</v>
      </c>
    </row>
    <row r="2716" spans="1:6" x14ac:dyDescent="0.3">
      <c r="A2716" s="3" t="s">
        <v>1883</v>
      </c>
      <c r="B2716" s="3" t="s">
        <v>145</v>
      </c>
      <c r="C2716" s="3" t="str">
        <f t="shared" si="42"/>
        <v>4500138163300</v>
      </c>
      <c r="D2716" s="4">
        <v>46295</v>
      </c>
      <c r="E2716" s="3" t="s">
        <v>2196</v>
      </c>
      <c r="F2716" s="3" t="s">
        <v>2423</v>
      </c>
    </row>
    <row r="2717" spans="1:6" x14ac:dyDescent="0.3">
      <c r="A2717" s="3" t="s">
        <v>1883</v>
      </c>
      <c r="B2717" s="3" t="s">
        <v>147</v>
      </c>
      <c r="C2717" s="3" t="str">
        <f t="shared" si="42"/>
        <v>4500138163310</v>
      </c>
      <c r="D2717" s="4">
        <v>46295</v>
      </c>
      <c r="E2717" s="3" t="s">
        <v>2196</v>
      </c>
      <c r="F2717" s="3" t="s">
        <v>2423</v>
      </c>
    </row>
    <row r="2718" spans="1:6" x14ac:dyDescent="0.3">
      <c r="A2718" s="3" t="s">
        <v>1883</v>
      </c>
      <c r="B2718" s="3" t="s">
        <v>150</v>
      </c>
      <c r="C2718" s="3" t="str">
        <f t="shared" si="42"/>
        <v>4500138163320</v>
      </c>
      <c r="D2718" s="4">
        <v>46295</v>
      </c>
      <c r="E2718" s="3" t="s">
        <v>2196</v>
      </c>
      <c r="F2718" s="3" t="s">
        <v>2423</v>
      </c>
    </row>
    <row r="2719" spans="1:6" x14ac:dyDescent="0.3">
      <c r="A2719" s="3" t="s">
        <v>1883</v>
      </c>
      <c r="B2719" s="3" t="s">
        <v>154</v>
      </c>
      <c r="C2719" s="3" t="str">
        <f t="shared" si="42"/>
        <v>4500138163330</v>
      </c>
      <c r="D2719" s="4">
        <v>46295</v>
      </c>
      <c r="E2719" s="3" t="s">
        <v>2196</v>
      </c>
      <c r="F2719" s="3" t="s">
        <v>2423</v>
      </c>
    </row>
    <row r="2720" spans="1:6" x14ac:dyDescent="0.3">
      <c r="A2720" s="3" t="s">
        <v>1883</v>
      </c>
      <c r="B2720" s="3" t="s">
        <v>135</v>
      </c>
      <c r="C2720" s="3" t="str">
        <f t="shared" si="42"/>
        <v>4500138163340</v>
      </c>
      <c r="D2720" s="4">
        <v>46295</v>
      </c>
      <c r="E2720" s="3" t="s">
        <v>2196</v>
      </c>
      <c r="F2720" s="3" t="s">
        <v>2423</v>
      </c>
    </row>
    <row r="2721" spans="1:6" x14ac:dyDescent="0.3">
      <c r="A2721" s="3" t="s">
        <v>1883</v>
      </c>
      <c r="B2721" s="3" t="s">
        <v>139</v>
      </c>
      <c r="C2721" s="3" t="str">
        <f t="shared" si="42"/>
        <v>4500138163350</v>
      </c>
      <c r="D2721" s="4">
        <v>46295</v>
      </c>
      <c r="E2721" s="3" t="s">
        <v>2196</v>
      </c>
      <c r="F2721" s="3" t="s">
        <v>2423</v>
      </c>
    </row>
    <row r="2722" spans="1:6" x14ac:dyDescent="0.3">
      <c r="A2722" s="3" t="s">
        <v>1883</v>
      </c>
      <c r="B2722" s="3" t="s">
        <v>168</v>
      </c>
      <c r="C2722" s="3" t="str">
        <f t="shared" si="42"/>
        <v>4500138163360</v>
      </c>
      <c r="D2722" s="4">
        <v>46295</v>
      </c>
      <c r="E2722" s="3" t="s">
        <v>2196</v>
      </c>
      <c r="F2722" s="3" t="s">
        <v>2423</v>
      </c>
    </row>
    <row r="2723" spans="1:6" x14ac:dyDescent="0.3">
      <c r="A2723" s="3" t="s">
        <v>1883</v>
      </c>
      <c r="B2723" s="3" t="s">
        <v>162</v>
      </c>
      <c r="C2723" s="3" t="str">
        <f t="shared" si="42"/>
        <v>4500138163370</v>
      </c>
      <c r="D2723" s="4">
        <v>46295</v>
      </c>
      <c r="E2723" s="3" t="s">
        <v>2196</v>
      </c>
      <c r="F2723" s="3" t="s">
        <v>2423</v>
      </c>
    </row>
    <row r="2724" spans="1:6" x14ac:dyDescent="0.3">
      <c r="A2724" s="3" t="s">
        <v>1883</v>
      </c>
      <c r="B2724" s="3" t="s">
        <v>1132</v>
      </c>
      <c r="C2724" s="3" t="str">
        <f t="shared" si="42"/>
        <v>4500138163380</v>
      </c>
      <c r="D2724" s="4">
        <v>46295</v>
      </c>
      <c r="E2724" s="3" t="s">
        <v>2196</v>
      </c>
      <c r="F2724" s="3" t="s">
        <v>2423</v>
      </c>
    </row>
    <row r="2725" spans="1:6" x14ac:dyDescent="0.3">
      <c r="A2725" s="3" t="s">
        <v>1883</v>
      </c>
      <c r="B2725" s="3" t="s">
        <v>158</v>
      </c>
      <c r="C2725" s="3" t="str">
        <f t="shared" si="42"/>
        <v>4500138163390</v>
      </c>
      <c r="D2725" s="4">
        <v>46295</v>
      </c>
      <c r="E2725" s="3" t="s">
        <v>2196</v>
      </c>
      <c r="F2725" s="3" t="s">
        <v>2423</v>
      </c>
    </row>
    <row r="2726" spans="1:6" x14ac:dyDescent="0.3">
      <c r="A2726" s="3" t="s">
        <v>1446</v>
      </c>
      <c r="B2726" s="3" t="s">
        <v>35</v>
      </c>
      <c r="C2726" s="3" t="str">
        <f t="shared" si="42"/>
        <v>450013816430</v>
      </c>
      <c r="D2726" s="4">
        <v>46281</v>
      </c>
      <c r="E2726" s="3" t="s">
        <v>2200</v>
      </c>
      <c r="F2726" s="3" t="s">
        <v>2544</v>
      </c>
    </row>
    <row r="2727" spans="1:6" x14ac:dyDescent="0.3">
      <c r="A2727" s="3" t="s">
        <v>1446</v>
      </c>
      <c r="B2727" s="3" t="s">
        <v>144</v>
      </c>
      <c r="C2727" s="3" t="str">
        <f t="shared" si="42"/>
        <v>450013816450</v>
      </c>
      <c r="D2727" s="4">
        <v>46281</v>
      </c>
      <c r="E2727" s="3" t="s">
        <v>2200</v>
      </c>
      <c r="F2727" s="3" t="s">
        <v>2544</v>
      </c>
    </row>
    <row r="2728" spans="1:6" x14ac:dyDescent="0.3">
      <c r="A2728" s="3" t="s">
        <v>1446</v>
      </c>
      <c r="B2728" s="3" t="s">
        <v>141</v>
      </c>
      <c r="C2728" s="3" t="str">
        <f t="shared" si="42"/>
        <v>450013816460</v>
      </c>
      <c r="D2728" s="4">
        <v>46281</v>
      </c>
      <c r="E2728" s="3" t="s">
        <v>2200</v>
      </c>
      <c r="F2728" s="3" t="s">
        <v>2544</v>
      </c>
    </row>
    <row r="2729" spans="1:6" x14ac:dyDescent="0.3">
      <c r="A2729" s="3" t="s">
        <v>1482</v>
      </c>
      <c r="B2729" s="3" t="s">
        <v>30</v>
      </c>
      <c r="C2729" s="3" t="str">
        <f t="shared" si="42"/>
        <v>450013817910</v>
      </c>
      <c r="D2729" s="4">
        <v>46287</v>
      </c>
      <c r="E2729" s="3" t="s">
        <v>2196</v>
      </c>
      <c r="F2729" s="3" t="s">
        <v>2476</v>
      </c>
    </row>
    <row r="2730" spans="1:6" x14ac:dyDescent="0.3">
      <c r="A2730" s="3" t="s">
        <v>1407</v>
      </c>
      <c r="B2730" s="3" t="s">
        <v>22</v>
      </c>
      <c r="C2730" s="3" t="str">
        <f t="shared" si="42"/>
        <v>450013819620</v>
      </c>
      <c r="D2730" s="4">
        <v>46281</v>
      </c>
      <c r="E2730" s="3" t="s">
        <v>2249</v>
      </c>
      <c r="F2730" s="3" t="s">
        <v>2478</v>
      </c>
    </row>
    <row r="2731" spans="1:6" x14ac:dyDescent="0.3">
      <c r="A2731" s="3" t="s">
        <v>1407</v>
      </c>
      <c r="B2731" s="3" t="s">
        <v>35</v>
      </c>
      <c r="C2731" s="3" t="str">
        <f t="shared" si="42"/>
        <v>450013819630</v>
      </c>
      <c r="D2731" s="4">
        <v>46341</v>
      </c>
      <c r="E2731" s="3" t="s">
        <v>2249</v>
      </c>
      <c r="F2731" s="3" t="s">
        <v>2478</v>
      </c>
    </row>
    <row r="2732" spans="1:6" x14ac:dyDescent="0.3">
      <c r="A2732" s="3" t="s">
        <v>1393</v>
      </c>
      <c r="B2732" s="3" t="s">
        <v>30</v>
      </c>
      <c r="C2732" s="3" t="str">
        <f t="shared" si="42"/>
        <v>450013822110</v>
      </c>
      <c r="D2732" s="4">
        <v>46293</v>
      </c>
      <c r="E2732" s="3" t="s">
        <v>2207</v>
      </c>
      <c r="F2732" s="3" t="s">
        <v>2503</v>
      </c>
    </row>
    <row r="2733" spans="1:6" x14ac:dyDescent="0.3">
      <c r="A2733" s="3" t="s">
        <v>1774</v>
      </c>
      <c r="B2733" s="3" t="s">
        <v>30</v>
      </c>
      <c r="C2733" s="3" t="str">
        <f t="shared" si="42"/>
        <v>450013823410</v>
      </c>
      <c r="D2733" s="4">
        <v>46289</v>
      </c>
      <c r="E2733" s="3" t="s">
        <v>2210</v>
      </c>
      <c r="F2733" s="3" t="s">
        <v>2429</v>
      </c>
    </row>
    <row r="2734" spans="1:6" x14ac:dyDescent="0.3">
      <c r="A2734" s="3" t="s">
        <v>1561</v>
      </c>
      <c r="B2734" s="3" t="s">
        <v>30</v>
      </c>
      <c r="C2734" s="3" t="str">
        <f t="shared" si="42"/>
        <v>450013823610</v>
      </c>
      <c r="D2734" s="4">
        <v>46287</v>
      </c>
      <c r="E2734" s="3" t="s">
        <v>2196</v>
      </c>
      <c r="F2734" s="3" t="s">
        <v>2457</v>
      </c>
    </row>
    <row r="2735" spans="1:6" x14ac:dyDescent="0.3">
      <c r="A2735" s="3" t="s">
        <v>1395</v>
      </c>
      <c r="B2735" s="3" t="s">
        <v>30</v>
      </c>
      <c r="C2735" s="3" t="str">
        <f t="shared" si="42"/>
        <v>450013824410</v>
      </c>
      <c r="D2735" s="4">
        <v>46294</v>
      </c>
      <c r="E2735" s="3" t="s">
        <v>2207</v>
      </c>
      <c r="F2735" s="3" t="s">
        <v>2503</v>
      </c>
    </row>
    <row r="2736" spans="1:6" x14ac:dyDescent="0.3">
      <c r="A2736" s="3" t="s">
        <v>1395</v>
      </c>
      <c r="B2736" s="3" t="s">
        <v>22</v>
      </c>
      <c r="C2736" s="3" t="str">
        <f t="shared" si="42"/>
        <v>450013824420</v>
      </c>
      <c r="D2736" s="4">
        <v>46294</v>
      </c>
      <c r="E2736" s="3" t="s">
        <v>2207</v>
      </c>
      <c r="F2736" s="3" t="s">
        <v>2503</v>
      </c>
    </row>
    <row r="2737" spans="1:6" x14ac:dyDescent="0.3">
      <c r="A2737" s="3" t="s">
        <v>1387</v>
      </c>
      <c r="B2737" s="3" t="s">
        <v>30</v>
      </c>
      <c r="C2737" s="3" t="str">
        <f t="shared" si="42"/>
        <v>450013825210</v>
      </c>
      <c r="D2737" s="4">
        <v>46281</v>
      </c>
      <c r="E2737" s="3" t="s">
        <v>2241</v>
      </c>
      <c r="F2737" s="3" t="s">
        <v>2670</v>
      </c>
    </row>
    <row r="2738" spans="1:6" x14ac:dyDescent="0.3">
      <c r="A2738" s="3" t="s">
        <v>1387</v>
      </c>
      <c r="B2738" s="3" t="s">
        <v>22</v>
      </c>
      <c r="C2738" s="3" t="str">
        <f t="shared" si="42"/>
        <v>450013825220</v>
      </c>
      <c r="D2738" s="4">
        <v>46281</v>
      </c>
      <c r="E2738" s="3" t="s">
        <v>2241</v>
      </c>
      <c r="F2738" s="3" t="s">
        <v>2670</v>
      </c>
    </row>
    <row r="2739" spans="1:6" x14ac:dyDescent="0.3">
      <c r="A2739" s="3" t="s">
        <v>2769</v>
      </c>
      <c r="B2739" s="3" t="s">
        <v>30</v>
      </c>
      <c r="C2739" s="3" t="str">
        <f t="shared" si="42"/>
        <v>450013826910</v>
      </c>
      <c r="D2739" s="4">
        <v>46294</v>
      </c>
      <c r="E2739" s="3" t="s">
        <v>2196</v>
      </c>
      <c r="F2739" s="3" t="s">
        <v>2490</v>
      </c>
    </row>
    <row r="2740" spans="1:6" x14ac:dyDescent="0.3">
      <c r="A2740" s="3" t="s">
        <v>443</v>
      </c>
      <c r="B2740" s="3" t="s">
        <v>30</v>
      </c>
      <c r="C2740" s="3" t="str">
        <f t="shared" si="42"/>
        <v>450013827010</v>
      </c>
      <c r="D2740" s="4">
        <v>46301</v>
      </c>
      <c r="E2740" s="3" t="s">
        <v>2204</v>
      </c>
      <c r="F2740" s="3" t="s">
        <v>2658</v>
      </c>
    </row>
    <row r="2741" spans="1:6" x14ac:dyDescent="0.3">
      <c r="A2741" s="3" t="s">
        <v>1907</v>
      </c>
      <c r="B2741" s="3" t="s">
        <v>30</v>
      </c>
      <c r="C2741" s="3" t="str">
        <f t="shared" si="42"/>
        <v>450013827410</v>
      </c>
      <c r="D2741" s="4">
        <v>46295</v>
      </c>
      <c r="E2741" s="3" t="s">
        <v>2196</v>
      </c>
      <c r="F2741" s="3" t="s">
        <v>2423</v>
      </c>
    </row>
    <row r="2742" spans="1:6" x14ac:dyDescent="0.3">
      <c r="A2742" s="3" t="s">
        <v>1907</v>
      </c>
      <c r="B2742" s="3" t="s">
        <v>22</v>
      </c>
      <c r="C2742" s="3" t="str">
        <f t="shared" si="42"/>
        <v>450013827420</v>
      </c>
      <c r="D2742" s="4">
        <v>46282</v>
      </c>
      <c r="E2742" s="3" t="s">
        <v>2196</v>
      </c>
      <c r="F2742" s="3" t="s">
        <v>2423</v>
      </c>
    </row>
    <row r="2743" spans="1:6" x14ac:dyDescent="0.3">
      <c r="A2743" s="3" t="s">
        <v>1421</v>
      </c>
      <c r="B2743" s="3" t="s">
        <v>30</v>
      </c>
      <c r="C2743" s="3" t="str">
        <f t="shared" si="42"/>
        <v>450013828910</v>
      </c>
      <c r="D2743" s="4">
        <v>46281</v>
      </c>
      <c r="E2743" s="3" t="s">
        <v>2196</v>
      </c>
      <c r="F2743" s="3" t="s">
        <v>2625</v>
      </c>
    </row>
    <row r="2744" spans="1:6" x14ac:dyDescent="0.3">
      <c r="A2744" s="3" t="s">
        <v>394</v>
      </c>
      <c r="B2744" s="3" t="s">
        <v>30</v>
      </c>
      <c r="C2744" s="3" t="str">
        <f t="shared" si="42"/>
        <v>450013829910</v>
      </c>
      <c r="D2744" s="4">
        <v>46309</v>
      </c>
      <c r="E2744" s="3" t="s">
        <v>2234</v>
      </c>
      <c r="F2744" s="3" t="s">
        <v>2449</v>
      </c>
    </row>
    <row r="2745" spans="1:6" x14ac:dyDescent="0.3">
      <c r="A2745" s="3" t="s">
        <v>394</v>
      </c>
      <c r="B2745" s="3" t="s">
        <v>22</v>
      </c>
      <c r="C2745" s="3" t="str">
        <f t="shared" si="42"/>
        <v>450013829920</v>
      </c>
      <c r="D2745" s="4">
        <v>46309</v>
      </c>
      <c r="E2745" s="3" t="s">
        <v>2234</v>
      </c>
      <c r="F2745" s="3" t="s">
        <v>2449</v>
      </c>
    </row>
    <row r="2746" spans="1:6" x14ac:dyDescent="0.3">
      <c r="A2746" s="3" t="s">
        <v>394</v>
      </c>
      <c r="B2746" s="3" t="s">
        <v>35</v>
      </c>
      <c r="C2746" s="3" t="str">
        <f t="shared" si="42"/>
        <v>450013829930</v>
      </c>
      <c r="D2746" s="4">
        <v>46309</v>
      </c>
      <c r="E2746" s="3" t="s">
        <v>2234</v>
      </c>
      <c r="F2746" s="3" t="s">
        <v>2449</v>
      </c>
    </row>
    <row r="2747" spans="1:6" x14ac:dyDescent="0.3">
      <c r="A2747" s="3" t="s">
        <v>394</v>
      </c>
      <c r="B2747" s="3" t="s">
        <v>23</v>
      </c>
      <c r="C2747" s="3" t="str">
        <f t="shared" si="42"/>
        <v>450013829940</v>
      </c>
      <c r="D2747" s="4">
        <v>46309</v>
      </c>
      <c r="E2747" s="3" t="s">
        <v>2234</v>
      </c>
      <c r="F2747" s="3" t="s">
        <v>2449</v>
      </c>
    </row>
    <row r="2748" spans="1:6" x14ac:dyDescent="0.3">
      <c r="A2748" s="3" t="s">
        <v>394</v>
      </c>
      <c r="B2748" s="3" t="s">
        <v>141</v>
      </c>
      <c r="C2748" s="3" t="str">
        <f t="shared" si="42"/>
        <v>450013829960</v>
      </c>
      <c r="D2748" s="4">
        <v>46309</v>
      </c>
      <c r="E2748" s="3" t="s">
        <v>2234</v>
      </c>
      <c r="F2748" s="3" t="s">
        <v>2449</v>
      </c>
    </row>
    <row r="2749" spans="1:6" x14ac:dyDescent="0.3">
      <c r="A2749" s="3" t="s">
        <v>2030</v>
      </c>
      <c r="B2749" s="3" t="s">
        <v>30</v>
      </c>
      <c r="C2749" s="3" t="str">
        <f t="shared" si="42"/>
        <v>450013831210</v>
      </c>
      <c r="D2749" s="4">
        <v>46301</v>
      </c>
      <c r="E2749" s="3" t="s">
        <v>2204</v>
      </c>
      <c r="F2749" s="3" t="s">
        <v>2671</v>
      </c>
    </row>
    <row r="2750" spans="1:6" x14ac:dyDescent="0.3">
      <c r="A2750" s="3" t="s">
        <v>1696</v>
      </c>
      <c r="B2750" s="3" t="s">
        <v>30</v>
      </c>
      <c r="C2750" s="3" t="str">
        <f t="shared" si="42"/>
        <v>450013832710</v>
      </c>
      <c r="D2750" s="4">
        <v>46295</v>
      </c>
      <c r="E2750" s="3" t="s">
        <v>2196</v>
      </c>
      <c r="F2750" s="3" t="s">
        <v>2439</v>
      </c>
    </row>
    <row r="2751" spans="1:6" x14ac:dyDescent="0.3">
      <c r="A2751" s="3" t="s">
        <v>1696</v>
      </c>
      <c r="B2751" s="3" t="s">
        <v>22</v>
      </c>
      <c r="C2751" s="3" t="str">
        <f t="shared" si="42"/>
        <v>450013832720</v>
      </c>
      <c r="D2751" s="4">
        <v>46295</v>
      </c>
      <c r="E2751" s="3" t="s">
        <v>2196</v>
      </c>
      <c r="F2751" s="3" t="s">
        <v>2439</v>
      </c>
    </row>
    <row r="2752" spans="1:6" x14ac:dyDescent="0.3">
      <c r="A2752" s="3" t="s">
        <v>1696</v>
      </c>
      <c r="B2752" s="3" t="s">
        <v>35</v>
      </c>
      <c r="C2752" s="3" t="str">
        <f t="shared" si="42"/>
        <v>450013832730</v>
      </c>
      <c r="D2752" s="4">
        <v>46295</v>
      </c>
      <c r="E2752" s="3" t="s">
        <v>2196</v>
      </c>
      <c r="F2752" s="3" t="s">
        <v>2439</v>
      </c>
    </row>
    <row r="2753" spans="1:6" x14ac:dyDescent="0.3">
      <c r="A2753" s="3" t="s">
        <v>1696</v>
      </c>
      <c r="B2753" s="3" t="s">
        <v>23</v>
      </c>
      <c r="C2753" s="3" t="str">
        <f t="shared" si="42"/>
        <v>450013832740</v>
      </c>
      <c r="D2753" s="4">
        <v>46295</v>
      </c>
      <c r="E2753" s="3" t="s">
        <v>2196</v>
      </c>
      <c r="F2753" s="3" t="s">
        <v>2439</v>
      </c>
    </row>
    <row r="2754" spans="1:6" x14ac:dyDescent="0.3">
      <c r="A2754" s="3" t="s">
        <v>1696</v>
      </c>
      <c r="B2754" s="3" t="s">
        <v>144</v>
      </c>
      <c r="C2754" s="3" t="str">
        <f t="shared" si="42"/>
        <v>450013832750</v>
      </c>
      <c r="D2754" s="4">
        <v>46295</v>
      </c>
      <c r="E2754" s="3" t="s">
        <v>2196</v>
      </c>
      <c r="F2754" s="3" t="s">
        <v>2439</v>
      </c>
    </row>
    <row r="2755" spans="1:6" x14ac:dyDescent="0.3">
      <c r="A2755" s="3" t="s">
        <v>1696</v>
      </c>
      <c r="B2755" s="3" t="s">
        <v>134</v>
      </c>
      <c r="C2755" s="3" t="str">
        <f t="shared" ref="C2755:C2818" si="43">_xlfn.CONCAT(A2755:B2755)</f>
        <v>450013832770</v>
      </c>
      <c r="D2755" s="4">
        <v>46295</v>
      </c>
      <c r="E2755" s="3" t="s">
        <v>2196</v>
      </c>
      <c r="F2755" s="3" t="s">
        <v>2439</v>
      </c>
    </row>
    <row r="2756" spans="1:6" x14ac:dyDescent="0.3">
      <c r="A2756" s="3" t="s">
        <v>1696</v>
      </c>
      <c r="B2756" s="3" t="s">
        <v>52</v>
      </c>
      <c r="C2756" s="3" t="str">
        <f t="shared" si="43"/>
        <v>450013832780</v>
      </c>
      <c r="D2756" s="4">
        <v>46295</v>
      </c>
      <c r="E2756" s="3" t="s">
        <v>2196</v>
      </c>
      <c r="F2756" s="3" t="s">
        <v>2439</v>
      </c>
    </row>
    <row r="2757" spans="1:6" x14ac:dyDescent="0.3">
      <c r="A2757" s="3" t="s">
        <v>1696</v>
      </c>
      <c r="B2757" s="3" t="s">
        <v>138</v>
      </c>
      <c r="C2757" s="3" t="str">
        <f t="shared" si="43"/>
        <v>450013832790</v>
      </c>
      <c r="D2757" s="4">
        <v>46295</v>
      </c>
      <c r="E2757" s="3" t="s">
        <v>2196</v>
      </c>
      <c r="F2757" s="3" t="s">
        <v>2439</v>
      </c>
    </row>
    <row r="2758" spans="1:6" x14ac:dyDescent="0.3">
      <c r="A2758" s="3" t="s">
        <v>1696</v>
      </c>
      <c r="B2758" s="3" t="s">
        <v>45</v>
      </c>
      <c r="C2758" s="3" t="str">
        <f t="shared" si="43"/>
        <v>4500138327100</v>
      </c>
      <c r="D2758" s="4">
        <v>46295</v>
      </c>
      <c r="E2758" s="3" t="s">
        <v>2196</v>
      </c>
      <c r="F2758" s="3" t="s">
        <v>2439</v>
      </c>
    </row>
    <row r="2759" spans="1:6" x14ac:dyDescent="0.3">
      <c r="A2759" s="3" t="s">
        <v>1696</v>
      </c>
      <c r="B2759" s="3" t="s">
        <v>156</v>
      </c>
      <c r="C2759" s="3" t="str">
        <f t="shared" si="43"/>
        <v>4500138327110</v>
      </c>
      <c r="D2759" s="4">
        <v>46295</v>
      </c>
      <c r="E2759" s="3" t="s">
        <v>2196</v>
      </c>
      <c r="F2759" s="3" t="s">
        <v>2439</v>
      </c>
    </row>
    <row r="2760" spans="1:6" x14ac:dyDescent="0.3">
      <c r="A2760" s="3" t="s">
        <v>1696</v>
      </c>
      <c r="B2760" s="3" t="s">
        <v>132</v>
      </c>
      <c r="C2760" s="3" t="str">
        <f t="shared" si="43"/>
        <v>4500138327120</v>
      </c>
      <c r="D2760" s="4">
        <v>46295</v>
      </c>
      <c r="E2760" s="3" t="s">
        <v>2196</v>
      </c>
      <c r="F2760" s="3" t="s">
        <v>2439</v>
      </c>
    </row>
    <row r="2761" spans="1:6" x14ac:dyDescent="0.3">
      <c r="A2761" s="3" t="s">
        <v>1696</v>
      </c>
      <c r="B2761" s="3" t="s">
        <v>142</v>
      </c>
      <c r="C2761" s="3" t="str">
        <f t="shared" si="43"/>
        <v>4500138327130</v>
      </c>
      <c r="D2761" s="4">
        <v>46295</v>
      </c>
      <c r="E2761" s="3" t="s">
        <v>2196</v>
      </c>
      <c r="F2761" s="3" t="s">
        <v>2439</v>
      </c>
    </row>
    <row r="2762" spans="1:6" x14ac:dyDescent="0.3">
      <c r="A2762" s="3" t="s">
        <v>1696</v>
      </c>
      <c r="B2762" s="3" t="s">
        <v>131</v>
      </c>
      <c r="C2762" s="3" t="str">
        <f t="shared" si="43"/>
        <v>4500138327140</v>
      </c>
      <c r="D2762" s="4">
        <v>46295</v>
      </c>
      <c r="E2762" s="3" t="s">
        <v>2196</v>
      </c>
      <c r="F2762" s="3" t="s">
        <v>2439</v>
      </c>
    </row>
    <row r="2763" spans="1:6" x14ac:dyDescent="0.3">
      <c r="A2763" s="3" t="s">
        <v>1696</v>
      </c>
      <c r="B2763" s="3" t="s">
        <v>68</v>
      </c>
      <c r="C2763" s="3" t="str">
        <f t="shared" si="43"/>
        <v>4500138327150</v>
      </c>
      <c r="D2763" s="4">
        <v>46295</v>
      </c>
      <c r="E2763" s="3" t="s">
        <v>2196</v>
      </c>
      <c r="F2763" s="3" t="s">
        <v>2439</v>
      </c>
    </row>
    <row r="2764" spans="1:6" x14ac:dyDescent="0.3">
      <c r="A2764" s="3" t="s">
        <v>1696</v>
      </c>
      <c r="B2764" s="3" t="s">
        <v>129</v>
      </c>
      <c r="C2764" s="3" t="str">
        <f t="shared" si="43"/>
        <v>4500138327160</v>
      </c>
      <c r="D2764" s="4">
        <v>46295</v>
      </c>
      <c r="E2764" s="3" t="s">
        <v>2196</v>
      </c>
      <c r="F2764" s="3" t="s">
        <v>2439</v>
      </c>
    </row>
    <row r="2765" spans="1:6" x14ac:dyDescent="0.3">
      <c r="A2765" s="3" t="s">
        <v>1696</v>
      </c>
      <c r="B2765" s="3" t="s">
        <v>53</v>
      </c>
      <c r="C2765" s="3" t="str">
        <f t="shared" si="43"/>
        <v>4500138327170</v>
      </c>
      <c r="D2765" s="4">
        <v>46295</v>
      </c>
      <c r="E2765" s="3" t="s">
        <v>2196</v>
      </c>
      <c r="F2765" s="3" t="s">
        <v>2439</v>
      </c>
    </row>
    <row r="2766" spans="1:6" x14ac:dyDescent="0.3">
      <c r="A2766" s="3" t="s">
        <v>1696</v>
      </c>
      <c r="B2766" s="3" t="s">
        <v>130</v>
      </c>
      <c r="C2766" s="3" t="str">
        <f t="shared" si="43"/>
        <v>4500138327180</v>
      </c>
      <c r="D2766" s="4">
        <v>46295</v>
      </c>
      <c r="E2766" s="3" t="s">
        <v>2196</v>
      </c>
      <c r="F2766" s="3" t="s">
        <v>2439</v>
      </c>
    </row>
    <row r="2767" spans="1:6" x14ac:dyDescent="0.3">
      <c r="A2767" s="3" t="s">
        <v>1696</v>
      </c>
      <c r="B2767" s="3" t="s">
        <v>161</v>
      </c>
      <c r="C2767" s="3" t="str">
        <f t="shared" si="43"/>
        <v>4500138327200</v>
      </c>
      <c r="D2767" s="4">
        <v>46295</v>
      </c>
      <c r="E2767" s="3" t="s">
        <v>2196</v>
      </c>
      <c r="F2767" s="3" t="s">
        <v>2439</v>
      </c>
    </row>
    <row r="2768" spans="1:6" x14ac:dyDescent="0.3">
      <c r="A2768" s="3" t="s">
        <v>1696</v>
      </c>
      <c r="B2768" s="3" t="s">
        <v>136</v>
      </c>
      <c r="C2768" s="3" t="str">
        <f t="shared" si="43"/>
        <v>4500138327210</v>
      </c>
      <c r="D2768" s="4">
        <v>46295</v>
      </c>
      <c r="E2768" s="3" t="s">
        <v>2196</v>
      </c>
      <c r="F2768" s="3" t="s">
        <v>2439</v>
      </c>
    </row>
    <row r="2769" spans="1:6" x14ac:dyDescent="0.3">
      <c r="A2769" s="3" t="s">
        <v>1696</v>
      </c>
      <c r="B2769" s="3" t="s">
        <v>140</v>
      </c>
      <c r="C2769" s="3" t="str">
        <f t="shared" si="43"/>
        <v>4500138327220</v>
      </c>
      <c r="D2769" s="4">
        <v>46295</v>
      </c>
      <c r="E2769" s="3" t="s">
        <v>2196</v>
      </c>
      <c r="F2769" s="3" t="s">
        <v>2439</v>
      </c>
    </row>
    <row r="2770" spans="1:6" x14ac:dyDescent="0.3">
      <c r="A2770" s="3" t="s">
        <v>1696</v>
      </c>
      <c r="B2770" s="3" t="s">
        <v>137</v>
      </c>
      <c r="C2770" s="3" t="str">
        <f t="shared" si="43"/>
        <v>4500138327230</v>
      </c>
      <c r="D2770" s="4">
        <v>46295</v>
      </c>
      <c r="E2770" s="3" t="s">
        <v>2196</v>
      </c>
      <c r="F2770" s="3" t="s">
        <v>2439</v>
      </c>
    </row>
    <row r="2771" spans="1:6" x14ac:dyDescent="0.3">
      <c r="A2771" s="3" t="s">
        <v>1427</v>
      </c>
      <c r="B2771" s="3" t="s">
        <v>30</v>
      </c>
      <c r="C2771" s="3" t="str">
        <f t="shared" si="43"/>
        <v>450013832810</v>
      </c>
      <c r="D2771" s="4">
        <v>46283</v>
      </c>
      <c r="E2771" s="3" t="s">
        <v>2249</v>
      </c>
      <c r="F2771" s="3" t="s">
        <v>2467</v>
      </c>
    </row>
    <row r="2772" spans="1:6" x14ac:dyDescent="0.3">
      <c r="A2772" s="3" t="s">
        <v>1427</v>
      </c>
      <c r="B2772" s="3" t="s">
        <v>22</v>
      </c>
      <c r="C2772" s="3" t="str">
        <f t="shared" si="43"/>
        <v>450013832820</v>
      </c>
      <c r="D2772" s="4">
        <v>46283</v>
      </c>
      <c r="E2772" s="3" t="s">
        <v>2249</v>
      </c>
      <c r="F2772" s="3" t="s">
        <v>2467</v>
      </c>
    </row>
    <row r="2773" spans="1:6" x14ac:dyDescent="0.3">
      <c r="A2773" s="3" t="s">
        <v>1389</v>
      </c>
      <c r="B2773" s="3" t="s">
        <v>30</v>
      </c>
      <c r="C2773" s="3" t="str">
        <f t="shared" si="43"/>
        <v>450013833110</v>
      </c>
      <c r="D2773" s="4">
        <v>46279</v>
      </c>
      <c r="E2773" s="3" t="s">
        <v>2207</v>
      </c>
      <c r="F2773" s="3" t="s">
        <v>2672</v>
      </c>
    </row>
    <row r="2774" spans="1:6" x14ac:dyDescent="0.3">
      <c r="A2774" s="3" t="s">
        <v>1391</v>
      </c>
      <c r="B2774" s="3" t="s">
        <v>30</v>
      </c>
      <c r="C2774" s="3" t="str">
        <f t="shared" si="43"/>
        <v>450013836310</v>
      </c>
      <c r="D2774" s="4">
        <v>46280</v>
      </c>
      <c r="E2774" s="3" t="s">
        <v>2239</v>
      </c>
      <c r="F2774" s="3" t="s">
        <v>2632</v>
      </c>
    </row>
    <row r="2775" spans="1:6" x14ac:dyDescent="0.3">
      <c r="A2775" s="3" t="s">
        <v>1451</v>
      </c>
      <c r="B2775" s="3" t="s">
        <v>30</v>
      </c>
      <c r="C2775" s="3" t="str">
        <f t="shared" si="43"/>
        <v>450013836610</v>
      </c>
      <c r="D2775" s="4">
        <v>46295</v>
      </c>
      <c r="E2775" s="3" t="s">
        <v>2196</v>
      </c>
      <c r="F2775" s="3" t="s">
        <v>2478</v>
      </c>
    </row>
    <row r="2776" spans="1:6" x14ac:dyDescent="0.3">
      <c r="A2776" s="3" t="s">
        <v>1451</v>
      </c>
      <c r="B2776" s="3" t="s">
        <v>22</v>
      </c>
      <c r="C2776" s="3" t="str">
        <f t="shared" si="43"/>
        <v>450013836620</v>
      </c>
      <c r="D2776" s="4">
        <v>46295</v>
      </c>
      <c r="E2776" s="3" t="s">
        <v>2196</v>
      </c>
      <c r="F2776" s="3" t="s">
        <v>2478</v>
      </c>
    </row>
    <row r="2777" spans="1:6" x14ac:dyDescent="0.3">
      <c r="A2777" s="3" t="s">
        <v>1451</v>
      </c>
      <c r="B2777" s="3" t="s">
        <v>35</v>
      </c>
      <c r="C2777" s="3" t="str">
        <f t="shared" si="43"/>
        <v>450013836630</v>
      </c>
      <c r="D2777" s="4">
        <v>46295</v>
      </c>
      <c r="E2777" s="3" t="s">
        <v>2196</v>
      </c>
      <c r="F2777" s="3" t="s">
        <v>2478</v>
      </c>
    </row>
    <row r="2778" spans="1:6" x14ac:dyDescent="0.3">
      <c r="A2778" s="3" t="s">
        <v>1451</v>
      </c>
      <c r="B2778" s="3" t="s">
        <v>23</v>
      </c>
      <c r="C2778" s="3" t="str">
        <f t="shared" si="43"/>
        <v>450013836640</v>
      </c>
      <c r="D2778" s="4">
        <v>46295</v>
      </c>
      <c r="E2778" s="3" t="s">
        <v>2196</v>
      </c>
      <c r="F2778" s="3" t="s">
        <v>2478</v>
      </c>
    </row>
    <row r="2779" spans="1:6" x14ac:dyDescent="0.3">
      <c r="A2779" s="3" t="s">
        <v>1451</v>
      </c>
      <c r="B2779" s="3" t="s">
        <v>144</v>
      </c>
      <c r="C2779" s="3" t="str">
        <f t="shared" si="43"/>
        <v>450013836650</v>
      </c>
      <c r="D2779" s="4">
        <v>46295</v>
      </c>
      <c r="E2779" s="3" t="s">
        <v>2196</v>
      </c>
      <c r="F2779" s="3" t="s">
        <v>2478</v>
      </c>
    </row>
    <row r="2780" spans="1:6" x14ac:dyDescent="0.3">
      <c r="A2780" s="3" t="s">
        <v>1451</v>
      </c>
      <c r="B2780" s="3" t="s">
        <v>141</v>
      </c>
      <c r="C2780" s="3" t="str">
        <f t="shared" si="43"/>
        <v>450013836660</v>
      </c>
      <c r="D2780" s="4">
        <v>46295</v>
      </c>
      <c r="E2780" s="3" t="s">
        <v>2196</v>
      </c>
      <c r="F2780" s="3" t="s">
        <v>2478</v>
      </c>
    </row>
    <row r="2781" spans="1:6" x14ac:dyDescent="0.3">
      <c r="A2781" s="3" t="s">
        <v>1451</v>
      </c>
      <c r="B2781" s="3" t="s">
        <v>134</v>
      </c>
      <c r="C2781" s="3" t="str">
        <f t="shared" si="43"/>
        <v>450013836670</v>
      </c>
      <c r="D2781" s="4">
        <v>46295</v>
      </c>
      <c r="E2781" s="3" t="s">
        <v>2196</v>
      </c>
      <c r="F2781" s="3" t="s">
        <v>2478</v>
      </c>
    </row>
    <row r="2782" spans="1:6" x14ac:dyDescent="0.3">
      <c r="A2782" s="3" t="s">
        <v>1451</v>
      </c>
      <c r="B2782" s="3" t="s">
        <v>52</v>
      </c>
      <c r="C2782" s="3" t="str">
        <f t="shared" si="43"/>
        <v>450013836680</v>
      </c>
      <c r="D2782" s="4">
        <v>46295</v>
      </c>
      <c r="E2782" s="3" t="s">
        <v>2196</v>
      </c>
      <c r="F2782" s="3" t="s">
        <v>2478</v>
      </c>
    </row>
    <row r="2783" spans="1:6" x14ac:dyDescent="0.3">
      <c r="A2783" s="3" t="s">
        <v>1509</v>
      </c>
      <c r="B2783" s="3" t="s">
        <v>30</v>
      </c>
      <c r="C2783" s="3" t="str">
        <f t="shared" si="43"/>
        <v>450013837110</v>
      </c>
      <c r="D2783" s="4">
        <v>46281</v>
      </c>
      <c r="E2783" s="3" t="s">
        <v>2211</v>
      </c>
      <c r="F2783" s="3" t="s">
        <v>2462</v>
      </c>
    </row>
    <row r="2784" spans="1:6" x14ac:dyDescent="0.3">
      <c r="A2784" s="3" t="s">
        <v>1509</v>
      </c>
      <c r="B2784" s="3" t="s">
        <v>22</v>
      </c>
      <c r="C2784" s="3" t="str">
        <f t="shared" si="43"/>
        <v>450013837120</v>
      </c>
      <c r="D2784" s="4">
        <v>46281</v>
      </c>
      <c r="E2784" s="3" t="s">
        <v>2211</v>
      </c>
      <c r="F2784" s="3" t="s">
        <v>2462</v>
      </c>
    </row>
    <row r="2785" spans="1:6" x14ac:dyDescent="0.3">
      <c r="A2785" s="3" t="s">
        <v>1521</v>
      </c>
      <c r="B2785" s="3" t="s">
        <v>30</v>
      </c>
      <c r="C2785" s="3" t="str">
        <f t="shared" si="43"/>
        <v>450013837610</v>
      </c>
      <c r="D2785" s="4">
        <v>46290</v>
      </c>
      <c r="E2785" s="3" t="s">
        <v>2204</v>
      </c>
      <c r="F2785" s="3" t="s">
        <v>2673</v>
      </c>
    </row>
    <row r="2786" spans="1:6" x14ac:dyDescent="0.3">
      <c r="A2786" s="3" t="s">
        <v>1423</v>
      </c>
      <c r="B2786" s="3" t="s">
        <v>30</v>
      </c>
      <c r="C2786" s="3" t="str">
        <f t="shared" si="43"/>
        <v>450013838310</v>
      </c>
      <c r="D2786" s="4">
        <v>46275</v>
      </c>
      <c r="E2786" s="3" t="s">
        <v>2200</v>
      </c>
      <c r="F2786" s="3" t="s">
        <v>2544</v>
      </c>
    </row>
    <row r="2787" spans="1:6" x14ac:dyDescent="0.3">
      <c r="A2787" s="3" t="s">
        <v>1423</v>
      </c>
      <c r="B2787" s="3" t="s">
        <v>22</v>
      </c>
      <c r="C2787" s="3" t="str">
        <f t="shared" si="43"/>
        <v>450013838320</v>
      </c>
      <c r="D2787" s="4">
        <v>46275</v>
      </c>
      <c r="E2787" s="3" t="s">
        <v>2200</v>
      </c>
      <c r="F2787" s="3" t="s">
        <v>2544</v>
      </c>
    </row>
    <row r="2788" spans="1:6" x14ac:dyDescent="0.3">
      <c r="A2788" s="3" t="s">
        <v>1425</v>
      </c>
      <c r="B2788" s="3" t="s">
        <v>30</v>
      </c>
      <c r="C2788" s="3" t="str">
        <f t="shared" si="43"/>
        <v>450013838410</v>
      </c>
      <c r="D2788" s="4">
        <v>46296</v>
      </c>
      <c r="E2788" s="3" t="s">
        <v>2207</v>
      </c>
      <c r="F2788" s="3" t="s">
        <v>2503</v>
      </c>
    </row>
    <row r="2789" spans="1:6" x14ac:dyDescent="0.3">
      <c r="A2789" s="3" t="s">
        <v>1949</v>
      </c>
      <c r="B2789" s="3" t="s">
        <v>30</v>
      </c>
      <c r="C2789" s="3" t="str">
        <f t="shared" si="43"/>
        <v>450013840210</v>
      </c>
      <c r="D2789" s="4">
        <v>46294</v>
      </c>
      <c r="E2789" s="3" t="s">
        <v>2241</v>
      </c>
      <c r="F2789" s="3" t="s">
        <v>2453</v>
      </c>
    </row>
    <row r="2790" spans="1:6" x14ac:dyDescent="0.3">
      <c r="A2790" s="3" t="s">
        <v>2936</v>
      </c>
      <c r="B2790" s="3" t="s">
        <v>22</v>
      </c>
      <c r="C2790" s="3" t="str">
        <f t="shared" si="43"/>
        <v>450013841220</v>
      </c>
      <c r="D2790" s="4">
        <v>46289</v>
      </c>
      <c r="E2790" s="3" t="s">
        <v>2200</v>
      </c>
      <c r="F2790" s="3" t="s">
        <v>2544</v>
      </c>
    </row>
    <row r="2791" spans="1:6" x14ac:dyDescent="0.3">
      <c r="A2791" s="3" t="s">
        <v>2152</v>
      </c>
      <c r="B2791" s="3" t="s">
        <v>30</v>
      </c>
      <c r="C2791" s="3" t="str">
        <f t="shared" si="43"/>
        <v>450013841410</v>
      </c>
      <c r="D2791" s="4">
        <v>46286</v>
      </c>
      <c r="E2791" s="3" t="s">
        <v>2212</v>
      </c>
      <c r="F2791" s="3" t="s">
        <v>2674</v>
      </c>
    </row>
    <row r="2792" spans="1:6" x14ac:dyDescent="0.3">
      <c r="A2792" s="3" t="s">
        <v>1530</v>
      </c>
      <c r="B2792" s="3" t="s">
        <v>30</v>
      </c>
      <c r="C2792" s="3" t="str">
        <f t="shared" si="43"/>
        <v>450013842610</v>
      </c>
      <c r="D2792" s="4">
        <v>46293</v>
      </c>
      <c r="E2792" s="3" t="s">
        <v>2196</v>
      </c>
      <c r="F2792" s="3" t="s">
        <v>2625</v>
      </c>
    </row>
    <row r="2793" spans="1:6" x14ac:dyDescent="0.3">
      <c r="A2793" s="3" t="s">
        <v>1462</v>
      </c>
      <c r="B2793" s="3" t="s">
        <v>30</v>
      </c>
      <c r="C2793" s="3" t="str">
        <f t="shared" si="43"/>
        <v>450013843310</v>
      </c>
      <c r="D2793" s="4">
        <v>46290</v>
      </c>
      <c r="E2793" s="3" t="s">
        <v>2196</v>
      </c>
      <c r="F2793" s="3" t="s">
        <v>2675</v>
      </c>
    </row>
    <row r="2794" spans="1:6" x14ac:dyDescent="0.3">
      <c r="A2794" s="3" t="s">
        <v>1684</v>
      </c>
      <c r="B2794" s="3" t="s">
        <v>30</v>
      </c>
      <c r="C2794" s="3" t="str">
        <f t="shared" si="43"/>
        <v>450013848510</v>
      </c>
      <c r="D2794" s="4">
        <v>46297</v>
      </c>
      <c r="E2794" s="3" t="s">
        <v>2207</v>
      </c>
      <c r="F2794" s="3" t="s">
        <v>2489</v>
      </c>
    </row>
    <row r="2795" spans="1:6" x14ac:dyDescent="0.3">
      <c r="A2795" s="3" t="s">
        <v>1684</v>
      </c>
      <c r="B2795" s="3" t="s">
        <v>22</v>
      </c>
      <c r="C2795" s="3" t="str">
        <f t="shared" si="43"/>
        <v>450013848520</v>
      </c>
      <c r="D2795" s="4">
        <v>46297</v>
      </c>
      <c r="E2795" s="3" t="s">
        <v>2207</v>
      </c>
      <c r="F2795" s="3" t="s">
        <v>2489</v>
      </c>
    </row>
    <row r="2796" spans="1:6" x14ac:dyDescent="0.3">
      <c r="A2796" s="3" t="s">
        <v>1442</v>
      </c>
      <c r="B2796" s="3" t="s">
        <v>30</v>
      </c>
      <c r="C2796" s="3" t="str">
        <f t="shared" si="43"/>
        <v>450013850510</v>
      </c>
      <c r="D2796" s="4">
        <v>46290</v>
      </c>
      <c r="E2796" s="3" t="s">
        <v>2199</v>
      </c>
      <c r="F2796" s="3" t="s">
        <v>2676</v>
      </c>
    </row>
    <row r="2797" spans="1:6" x14ac:dyDescent="0.3">
      <c r="A2797" s="3" t="s">
        <v>1442</v>
      </c>
      <c r="B2797" s="3" t="s">
        <v>22</v>
      </c>
      <c r="C2797" s="3" t="str">
        <f t="shared" si="43"/>
        <v>450013850520</v>
      </c>
      <c r="D2797" s="4">
        <v>46282</v>
      </c>
      <c r="E2797" s="3" t="s">
        <v>2199</v>
      </c>
      <c r="F2797" s="3" t="s">
        <v>2676</v>
      </c>
    </row>
    <row r="2798" spans="1:6" x14ac:dyDescent="0.3">
      <c r="A2798" s="3" t="s">
        <v>1442</v>
      </c>
      <c r="B2798" s="3" t="s">
        <v>35</v>
      </c>
      <c r="C2798" s="3" t="str">
        <f t="shared" si="43"/>
        <v>450013850530</v>
      </c>
      <c r="D2798" s="4">
        <v>46282</v>
      </c>
      <c r="E2798" s="3" t="s">
        <v>2199</v>
      </c>
      <c r="F2798" s="3" t="s">
        <v>2676</v>
      </c>
    </row>
    <row r="2799" spans="1:6" x14ac:dyDescent="0.3">
      <c r="A2799" s="3" t="s">
        <v>1442</v>
      </c>
      <c r="B2799" s="3" t="s">
        <v>144</v>
      </c>
      <c r="C2799" s="3" t="str">
        <f t="shared" si="43"/>
        <v>450013850550</v>
      </c>
      <c r="D2799" s="4">
        <v>46293</v>
      </c>
      <c r="E2799" s="3" t="s">
        <v>2199</v>
      </c>
      <c r="F2799" s="3" t="s">
        <v>2676</v>
      </c>
    </row>
    <row r="2800" spans="1:6" x14ac:dyDescent="0.3">
      <c r="A2800" s="3" t="s">
        <v>1442</v>
      </c>
      <c r="B2800" s="3" t="s">
        <v>45</v>
      </c>
      <c r="C2800" s="3" t="str">
        <f t="shared" si="43"/>
        <v>4500138505100</v>
      </c>
      <c r="D2800" s="4">
        <v>46293</v>
      </c>
      <c r="E2800" s="3" t="s">
        <v>2199</v>
      </c>
      <c r="F2800" s="3" t="s">
        <v>2676</v>
      </c>
    </row>
    <row r="2801" spans="1:6" x14ac:dyDescent="0.3">
      <c r="A2801" s="3" t="s">
        <v>1661</v>
      </c>
      <c r="B2801" s="3" t="s">
        <v>30</v>
      </c>
      <c r="C2801" s="3" t="str">
        <f t="shared" si="43"/>
        <v>450013850710</v>
      </c>
      <c r="D2801" s="4">
        <v>46283</v>
      </c>
      <c r="E2801" s="3" t="s">
        <v>2196</v>
      </c>
      <c r="F2801" s="3" t="s">
        <v>2454</v>
      </c>
    </row>
    <row r="2802" spans="1:6" x14ac:dyDescent="0.3">
      <c r="A2802" s="3" t="s">
        <v>1661</v>
      </c>
      <c r="B2802" s="3" t="s">
        <v>22</v>
      </c>
      <c r="C2802" s="3" t="str">
        <f t="shared" si="43"/>
        <v>450013850720</v>
      </c>
      <c r="D2802" s="4">
        <v>46283</v>
      </c>
      <c r="E2802" s="3" t="s">
        <v>2196</v>
      </c>
      <c r="F2802" s="3" t="s">
        <v>2454</v>
      </c>
    </row>
    <row r="2803" spans="1:6" x14ac:dyDescent="0.3">
      <c r="A2803" s="3" t="s">
        <v>1661</v>
      </c>
      <c r="B2803" s="3" t="s">
        <v>35</v>
      </c>
      <c r="C2803" s="3" t="str">
        <f t="shared" si="43"/>
        <v>450013850730</v>
      </c>
      <c r="D2803" s="4">
        <v>46283</v>
      </c>
      <c r="E2803" s="3" t="s">
        <v>2196</v>
      </c>
      <c r="F2803" s="3" t="s">
        <v>2454</v>
      </c>
    </row>
    <row r="2804" spans="1:6" x14ac:dyDescent="0.3">
      <c r="A2804" s="3" t="s">
        <v>1661</v>
      </c>
      <c r="B2804" s="3" t="s">
        <v>23</v>
      </c>
      <c r="C2804" s="3" t="str">
        <f t="shared" si="43"/>
        <v>450013850740</v>
      </c>
      <c r="D2804" s="4">
        <v>46283</v>
      </c>
      <c r="E2804" s="3" t="s">
        <v>2196</v>
      </c>
      <c r="F2804" s="3" t="s">
        <v>2454</v>
      </c>
    </row>
    <row r="2805" spans="1:6" x14ac:dyDescent="0.3">
      <c r="A2805" s="3" t="s">
        <v>1661</v>
      </c>
      <c r="B2805" s="3" t="s">
        <v>144</v>
      </c>
      <c r="C2805" s="3" t="str">
        <f t="shared" si="43"/>
        <v>450013850750</v>
      </c>
      <c r="D2805" s="4">
        <v>46283</v>
      </c>
      <c r="E2805" s="3" t="s">
        <v>2196</v>
      </c>
      <c r="F2805" s="3" t="s">
        <v>2454</v>
      </c>
    </row>
    <row r="2806" spans="1:6" x14ac:dyDescent="0.3">
      <c r="A2806" s="3" t="s">
        <v>1661</v>
      </c>
      <c r="B2806" s="3" t="s">
        <v>141</v>
      </c>
      <c r="C2806" s="3" t="str">
        <f t="shared" si="43"/>
        <v>450013850760</v>
      </c>
      <c r="D2806" s="4">
        <v>46283</v>
      </c>
      <c r="E2806" s="3" t="s">
        <v>2196</v>
      </c>
      <c r="F2806" s="3" t="s">
        <v>2454</v>
      </c>
    </row>
    <row r="2807" spans="1:6" x14ac:dyDescent="0.3">
      <c r="A2807" s="3" t="s">
        <v>1661</v>
      </c>
      <c r="B2807" s="3" t="s">
        <v>134</v>
      </c>
      <c r="C2807" s="3" t="str">
        <f t="shared" si="43"/>
        <v>450013850770</v>
      </c>
      <c r="D2807" s="4">
        <v>46283</v>
      </c>
      <c r="E2807" s="3" t="s">
        <v>2196</v>
      </c>
      <c r="F2807" s="3" t="s">
        <v>2454</v>
      </c>
    </row>
    <row r="2808" spans="1:6" x14ac:dyDescent="0.3">
      <c r="A2808" s="3" t="s">
        <v>1661</v>
      </c>
      <c r="B2808" s="3" t="s">
        <v>52</v>
      </c>
      <c r="C2808" s="3" t="str">
        <f t="shared" si="43"/>
        <v>450013850780</v>
      </c>
      <c r="D2808" s="4">
        <v>46283</v>
      </c>
      <c r="E2808" s="3" t="s">
        <v>2196</v>
      </c>
      <c r="F2808" s="3" t="s">
        <v>2454</v>
      </c>
    </row>
    <row r="2809" spans="1:6" x14ac:dyDescent="0.3">
      <c r="A2809" s="3" t="s">
        <v>1661</v>
      </c>
      <c r="B2809" s="3" t="s">
        <v>138</v>
      </c>
      <c r="C2809" s="3" t="str">
        <f t="shared" si="43"/>
        <v>450013850790</v>
      </c>
      <c r="D2809" s="4">
        <v>46283</v>
      </c>
      <c r="E2809" s="3" t="s">
        <v>2196</v>
      </c>
      <c r="F2809" s="3" t="s">
        <v>2454</v>
      </c>
    </row>
    <row r="2810" spans="1:6" x14ac:dyDescent="0.3">
      <c r="A2810" s="3" t="s">
        <v>1661</v>
      </c>
      <c r="B2810" s="3" t="s">
        <v>45</v>
      </c>
      <c r="C2810" s="3" t="str">
        <f t="shared" si="43"/>
        <v>4500138507100</v>
      </c>
      <c r="D2810" s="4">
        <v>46283</v>
      </c>
      <c r="E2810" s="3" t="s">
        <v>2196</v>
      </c>
      <c r="F2810" s="3" t="s">
        <v>2454</v>
      </c>
    </row>
    <row r="2811" spans="1:6" x14ac:dyDescent="0.3">
      <c r="A2811" s="3" t="s">
        <v>1661</v>
      </c>
      <c r="B2811" s="3" t="s">
        <v>156</v>
      </c>
      <c r="C2811" s="3" t="str">
        <f t="shared" si="43"/>
        <v>4500138507110</v>
      </c>
      <c r="D2811" s="4">
        <v>46283</v>
      </c>
      <c r="E2811" s="3" t="s">
        <v>2196</v>
      </c>
      <c r="F2811" s="3" t="s">
        <v>2454</v>
      </c>
    </row>
    <row r="2812" spans="1:6" x14ac:dyDescent="0.3">
      <c r="A2812" s="3" t="s">
        <v>1661</v>
      </c>
      <c r="B2812" s="3" t="s">
        <v>132</v>
      </c>
      <c r="C2812" s="3" t="str">
        <f t="shared" si="43"/>
        <v>4500138507120</v>
      </c>
      <c r="D2812" s="4">
        <v>46283</v>
      </c>
      <c r="E2812" s="3" t="s">
        <v>2196</v>
      </c>
      <c r="F2812" s="3" t="s">
        <v>2454</v>
      </c>
    </row>
    <row r="2813" spans="1:6" x14ac:dyDescent="0.3">
      <c r="A2813" s="3" t="s">
        <v>1661</v>
      </c>
      <c r="B2813" s="3" t="s">
        <v>142</v>
      </c>
      <c r="C2813" s="3" t="str">
        <f t="shared" si="43"/>
        <v>4500138507130</v>
      </c>
      <c r="D2813" s="4">
        <v>46283</v>
      </c>
      <c r="E2813" s="3" t="s">
        <v>2196</v>
      </c>
      <c r="F2813" s="3" t="s">
        <v>2454</v>
      </c>
    </row>
    <row r="2814" spans="1:6" x14ac:dyDescent="0.3">
      <c r="A2814" s="3" t="s">
        <v>1661</v>
      </c>
      <c r="B2814" s="3" t="s">
        <v>131</v>
      </c>
      <c r="C2814" s="3" t="str">
        <f t="shared" si="43"/>
        <v>4500138507140</v>
      </c>
      <c r="D2814" s="4">
        <v>46283</v>
      </c>
      <c r="E2814" s="3" t="s">
        <v>2196</v>
      </c>
      <c r="F2814" s="3" t="s">
        <v>2454</v>
      </c>
    </row>
    <row r="2815" spans="1:6" x14ac:dyDescent="0.3">
      <c r="A2815" s="3" t="s">
        <v>1661</v>
      </c>
      <c r="B2815" s="3" t="s">
        <v>68</v>
      </c>
      <c r="C2815" s="3" t="str">
        <f t="shared" si="43"/>
        <v>4500138507150</v>
      </c>
      <c r="D2815" s="4">
        <v>46283</v>
      </c>
      <c r="E2815" s="3" t="s">
        <v>2196</v>
      </c>
      <c r="F2815" s="3" t="s">
        <v>2454</v>
      </c>
    </row>
    <row r="2816" spans="1:6" x14ac:dyDescent="0.3">
      <c r="A2816" s="3" t="s">
        <v>1661</v>
      </c>
      <c r="B2816" s="3" t="s">
        <v>53</v>
      </c>
      <c r="C2816" s="3" t="str">
        <f t="shared" si="43"/>
        <v>4500138507170</v>
      </c>
      <c r="D2816" s="4">
        <v>46283</v>
      </c>
      <c r="E2816" s="3" t="s">
        <v>2196</v>
      </c>
      <c r="F2816" s="3" t="s">
        <v>2454</v>
      </c>
    </row>
    <row r="2817" spans="1:6" x14ac:dyDescent="0.3">
      <c r="A2817" s="3" t="s">
        <v>1661</v>
      </c>
      <c r="B2817" s="3" t="s">
        <v>130</v>
      </c>
      <c r="C2817" s="3" t="str">
        <f t="shared" si="43"/>
        <v>4500138507180</v>
      </c>
      <c r="D2817" s="4">
        <v>46283</v>
      </c>
      <c r="E2817" s="3" t="s">
        <v>2196</v>
      </c>
      <c r="F2817" s="3" t="s">
        <v>2454</v>
      </c>
    </row>
    <row r="2818" spans="1:6" x14ac:dyDescent="0.3">
      <c r="A2818" s="3" t="s">
        <v>1661</v>
      </c>
      <c r="B2818" s="3" t="s">
        <v>127</v>
      </c>
      <c r="C2818" s="3" t="str">
        <f t="shared" si="43"/>
        <v>4500138507190</v>
      </c>
      <c r="D2818" s="4">
        <v>46283</v>
      </c>
      <c r="E2818" s="3" t="s">
        <v>2196</v>
      </c>
      <c r="F2818" s="3" t="s">
        <v>2454</v>
      </c>
    </row>
    <row r="2819" spans="1:6" x14ac:dyDescent="0.3">
      <c r="A2819" s="3" t="s">
        <v>1661</v>
      </c>
      <c r="B2819" s="3" t="s">
        <v>161</v>
      </c>
      <c r="C2819" s="3" t="str">
        <f t="shared" ref="C2819:C2882" si="44">_xlfn.CONCAT(A2819:B2819)</f>
        <v>4500138507200</v>
      </c>
      <c r="D2819" s="4">
        <v>46283</v>
      </c>
      <c r="E2819" s="3" t="s">
        <v>2196</v>
      </c>
      <c r="F2819" s="3" t="s">
        <v>2454</v>
      </c>
    </row>
    <row r="2820" spans="1:6" x14ac:dyDescent="0.3">
      <c r="A2820" s="3" t="s">
        <v>1661</v>
      </c>
      <c r="B2820" s="3" t="s">
        <v>136</v>
      </c>
      <c r="C2820" s="3" t="str">
        <f t="shared" si="44"/>
        <v>4500138507210</v>
      </c>
      <c r="D2820" s="4">
        <v>46283</v>
      </c>
      <c r="E2820" s="3" t="s">
        <v>2196</v>
      </c>
      <c r="F2820" s="3" t="s">
        <v>2454</v>
      </c>
    </row>
    <row r="2821" spans="1:6" x14ac:dyDescent="0.3">
      <c r="A2821" s="3" t="s">
        <v>1661</v>
      </c>
      <c r="B2821" s="3" t="s">
        <v>140</v>
      </c>
      <c r="C2821" s="3" t="str">
        <f t="shared" si="44"/>
        <v>4500138507220</v>
      </c>
      <c r="D2821" s="4">
        <v>46283</v>
      </c>
      <c r="E2821" s="3" t="s">
        <v>2196</v>
      </c>
      <c r="F2821" s="3" t="s">
        <v>2454</v>
      </c>
    </row>
    <row r="2822" spans="1:6" x14ac:dyDescent="0.3">
      <c r="A2822" s="3" t="s">
        <v>1661</v>
      </c>
      <c r="B2822" s="3" t="s">
        <v>137</v>
      </c>
      <c r="C2822" s="3" t="str">
        <f t="shared" si="44"/>
        <v>4500138507230</v>
      </c>
      <c r="D2822" s="4">
        <v>46283</v>
      </c>
      <c r="E2822" s="3" t="s">
        <v>2196</v>
      </c>
      <c r="F2822" s="3" t="s">
        <v>2454</v>
      </c>
    </row>
    <row r="2823" spans="1:6" x14ac:dyDescent="0.3">
      <c r="A2823" s="3" t="s">
        <v>1661</v>
      </c>
      <c r="B2823" s="3" t="s">
        <v>128</v>
      </c>
      <c r="C2823" s="3" t="str">
        <f t="shared" si="44"/>
        <v>4500138507250</v>
      </c>
      <c r="D2823" s="4">
        <v>46283</v>
      </c>
      <c r="E2823" s="3" t="s">
        <v>2196</v>
      </c>
      <c r="F2823" s="3" t="s">
        <v>2454</v>
      </c>
    </row>
    <row r="2824" spans="1:6" x14ac:dyDescent="0.3">
      <c r="A2824" s="3" t="s">
        <v>1661</v>
      </c>
      <c r="B2824" s="3" t="s">
        <v>126</v>
      </c>
      <c r="C2824" s="3" t="str">
        <f t="shared" si="44"/>
        <v>4500138507260</v>
      </c>
      <c r="D2824" s="4">
        <v>46283</v>
      </c>
      <c r="E2824" s="3" t="s">
        <v>2196</v>
      </c>
      <c r="F2824" s="3" t="s">
        <v>2454</v>
      </c>
    </row>
    <row r="2825" spans="1:6" x14ac:dyDescent="0.3">
      <c r="A2825" s="3" t="s">
        <v>1661</v>
      </c>
      <c r="B2825" s="3" t="s">
        <v>146</v>
      </c>
      <c r="C2825" s="3" t="str">
        <f t="shared" si="44"/>
        <v>4500138507270</v>
      </c>
      <c r="D2825" s="4">
        <v>46283</v>
      </c>
      <c r="E2825" s="3" t="s">
        <v>2196</v>
      </c>
      <c r="F2825" s="3" t="s">
        <v>2454</v>
      </c>
    </row>
    <row r="2826" spans="1:6" x14ac:dyDescent="0.3">
      <c r="A2826" s="3" t="s">
        <v>1661</v>
      </c>
      <c r="B2826" s="3" t="s">
        <v>133</v>
      </c>
      <c r="C2826" s="3" t="str">
        <f t="shared" si="44"/>
        <v>4500138507280</v>
      </c>
      <c r="D2826" s="4">
        <v>46283</v>
      </c>
      <c r="E2826" s="3" t="s">
        <v>2196</v>
      </c>
      <c r="F2826" s="3" t="s">
        <v>2454</v>
      </c>
    </row>
    <row r="2827" spans="1:6" x14ac:dyDescent="0.3">
      <c r="A2827" s="3" t="s">
        <v>1661</v>
      </c>
      <c r="B2827" s="3" t="s">
        <v>173</v>
      </c>
      <c r="C2827" s="3" t="str">
        <f t="shared" si="44"/>
        <v>4500138507290</v>
      </c>
      <c r="D2827" s="4">
        <v>46283</v>
      </c>
      <c r="E2827" s="3" t="s">
        <v>2196</v>
      </c>
      <c r="F2827" s="3" t="s">
        <v>2454</v>
      </c>
    </row>
    <row r="2828" spans="1:6" x14ac:dyDescent="0.3">
      <c r="A2828" s="3" t="s">
        <v>1661</v>
      </c>
      <c r="B2828" s="3" t="s">
        <v>145</v>
      </c>
      <c r="C2828" s="3" t="str">
        <f t="shared" si="44"/>
        <v>4500138507300</v>
      </c>
      <c r="D2828" s="4">
        <v>46283</v>
      </c>
      <c r="E2828" s="3" t="s">
        <v>2196</v>
      </c>
      <c r="F2828" s="3" t="s">
        <v>2454</v>
      </c>
    </row>
    <row r="2829" spans="1:6" x14ac:dyDescent="0.3">
      <c r="A2829" s="3" t="s">
        <v>1661</v>
      </c>
      <c r="B2829" s="3" t="s">
        <v>147</v>
      </c>
      <c r="C2829" s="3" t="str">
        <f t="shared" si="44"/>
        <v>4500138507310</v>
      </c>
      <c r="D2829" s="4">
        <v>46283</v>
      </c>
      <c r="E2829" s="3" t="s">
        <v>2196</v>
      </c>
      <c r="F2829" s="3" t="s">
        <v>2454</v>
      </c>
    </row>
    <row r="2830" spans="1:6" x14ac:dyDescent="0.3">
      <c r="A2830" s="3" t="s">
        <v>1661</v>
      </c>
      <c r="B2830" s="3" t="s">
        <v>150</v>
      </c>
      <c r="C2830" s="3" t="str">
        <f t="shared" si="44"/>
        <v>4500138507320</v>
      </c>
      <c r="D2830" s="4">
        <v>46283</v>
      </c>
      <c r="E2830" s="3" t="s">
        <v>2196</v>
      </c>
      <c r="F2830" s="3" t="s">
        <v>2454</v>
      </c>
    </row>
    <row r="2831" spans="1:6" x14ac:dyDescent="0.3">
      <c r="A2831" s="3" t="s">
        <v>1661</v>
      </c>
      <c r="B2831" s="3" t="s">
        <v>154</v>
      </c>
      <c r="C2831" s="3" t="str">
        <f t="shared" si="44"/>
        <v>4500138507330</v>
      </c>
      <c r="D2831" s="4">
        <v>46283</v>
      </c>
      <c r="E2831" s="3" t="s">
        <v>2196</v>
      </c>
      <c r="F2831" s="3" t="s">
        <v>2454</v>
      </c>
    </row>
    <row r="2832" spans="1:6" x14ac:dyDescent="0.3">
      <c r="A2832" s="3" t="s">
        <v>1661</v>
      </c>
      <c r="B2832" s="3" t="s">
        <v>135</v>
      </c>
      <c r="C2832" s="3" t="str">
        <f t="shared" si="44"/>
        <v>4500138507340</v>
      </c>
      <c r="D2832" s="4">
        <v>46283</v>
      </c>
      <c r="E2832" s="3" t="s">
        <v>2196</v>
      </c>
      <c r="F2832" s="3" t="s">
        <v>2454</v>
      </c>
    </row>
    <row r="2833" spans="1:6" x14ac:dyDescent="0.3">
      <c r="A2833" s="3" t="s">
        <v>1661</v>
      </c>
      <c r="B2833" s="3" t="s">
        <v>139</v>
      </c>
      <c r="C2833" s="3" t="str">
        <f t="shared" si="44"/>
        <v>4500138507350</v>
      </c>
      <c r="D2833" s="4">
        <v>46283</v>
      </c>
      <c r="E2833" s="3" t="s">
        <v>2196</v>
      </c>
      <c r="F2833" s="3" t="s">
        <v>2454</v>
      </c>
    </row>
    <row r="2834" spans="1:6" x14ac:dyDescent="0.3">
      <c r="A2834" s="3" t="s">
        <v>1661</v>
      </c>
      <c r="B2834" s="3" t="s">
        <v>168</v>
      </c>
      <c r="C2834" s="3" t="str">
        <f t="shared" si="44"/>
        <v>4500138507360</v>
      </c>
      <c r="D2834" s="4">
        <v>46283</v>
      </c>
      <c r="E2834" s="3" t="s">
        <v>2196</v>
      </c>
      <c r="F2834" s="3" t="s">
        <v>2454</v>
      </c>
    </row>
    <row r="2835" spans="1:6" x14ac:dyDescent="0.3">
      <c r="A2835" s="3" t="s">
        <v>1661</v>
      </c>
      <c r="B2835" s="3" t="s">
        <v>162</v>
      </c>
      <c r="C2835" s="3" t="str">
        <f t="shared" si="44"/>
        <v>4500138507370</v>
      </c>
      <c r="D2835" s="4">
        <v>46283</v>
      </c>
      <c r="E2835" s="3" t="s">
        <v>2196</v>
      </c>
      <c r="F2835" s="3" t="s">
        <v>2454</v>
      </c>
    </row>
    <row r="2836" spans="1:6" x14ac:dyDescent="0.3">
      <c r="A2836" s="3" t="s">
        <v>1661</v>
      </c>
      <c r="B2836" s="3" t="s">
        <v>1132</v>
      </c>
      <c r="C2836" s="3" t="str">
        <f t="shared" si="44"/>
        <v>4500138507380</v>
      </c>
      <c r="D2836" s="4">
        <v>46283</v>
      </c>
      <c r="E2836" s="3" t="s">
        <v>2196</v>
      </c>
      <c r="F2836" s="3" t="s">
        <v>2454</v>
      </c>
    </row>
    <row r="2837" spans="1:6" x14ac:dyDescent="0.3">
      <c r="A2837" s="3" t="s">
        <v>1661</v>
      </c>
      <c r="B2837" s="3" t="s">
        <v>158</v>
      </c>
      <c r="C2837" s="3" t="str">
        <f t="shared" si="44"/>
        <v>4500138507390</v>
      </c>
      <c r="D2837" s="4">
        <v>46283</v>
      </c>
      <c r="E2837" s="3" t="s">
        <v>2196</v>
      </c>
      <c r="F2837" s="3" t="s">
        <v>2454</v>
      </c>
    </row>
    <row r="2838" spans="1:6" x14ac:dyDescent="0.3">
      <c r="A2838" s="3" t="s">
        <v>1661</v>
      </c>
      <c r="B2838" s="3" t="s">
        <v>178</v>
      </c>
      <c r="C2838" s="3" t="str">
        <f t="shared" si="44"/>
        <v>4500138507400</v>
      </c>
      <c r="D2838" s="4">
        <v>46283</v>
      </c>
      <c r="E2838" s="3" t="s">
        <v>2196</v>
      </c>
      <c r="F2838" s="3" t="s">
        <v>2454</v>
      </c>
    </row>
    <row r="2839" spans="1:6" x14ac:dyDescent="0.3">
      <c r="A2839" s="3" t="s">
        <v>1661</v>
      </c>
      <c r="B2839" s="3" t="s">
        <v>157</v>
      </c>
      <c r="C2839" s="3" t="str">
        <f t="shared" si="44"/>
        <v>4500138507410</v>
      </c>
      <c r="D2839" s="4">
        <v>46283</v>
      </c>
      <c r="E2839" s="3" t="s">
        <v>2196</v>
      </c>
      <c r="F2839" s="3" t="s">
        <v>2454</v>
      </c>
    </row>
    <row r="2840" spans="1:6" x14ac:dyDescent="0.3">
      <c r="A2840" s="3" t="s">
        <v>1661</v>
      </c>
      <c r="B2840" s="3" t="s">
        <v>155</v>
      </c>
      <c r="C2840" s="3" t="str">
        <f t="shared" si="44"/>
        <v>4500138507420</v>
      </c>
      <c r="D2840" s="4">
        <v>46283</v>
      </c>
      <c r="E2840" s="3" t="s">
        <v>2196</v>
      </c>
      <c r="F2840" s="3" t="s">
        <v>2454</v>
      </c>
    </row>
    <row r="2841" spans="1:6" x14ac:dyDescent="0.3">
      <c r="A2841" s="3" t="s">
        <v>1661</v>
      </c>
      <c r="B2841" s="3" t="s">
        <v>166</v>
      </c>
      <c r="C2841" s="3" t="str">
        <f t="shared" si="44"/>
        <v>4500138507430</v>
      </c>
      <c r="D2841" s="4">
        <v>46283</v>
      </c>
      <c r="E2841" s="3" t="s">
        <v>2196</v>
      </c>
      <c r="F2841" s="3" t="s">
        <v>2454</v>
      </c>
    </row>
    <row r="2842" spans="1:6" x14ac:dyDescent="0.3">
      <c r="A2842" s="3" t="s">
        <v>1661</v>
      </c>
      <c r="B2842" s="3" t="s">
        <v>164</v>
      </c>
      <c r="C2842" s="3" t="str">
        <f t="shared" si="44"/>
        <v>4500138507440</v>
      </c>
      <c r="D2842" s="4">
        <v>46283</v>
      </c>
      <c r="E2842" s="3" t="s">
        <v>2196</v>
      </c>
      <c r="F2842" s="3" t="s">
        <v>2454</v>
      </c>
    </row>
    <row r="2843" spans="1:6" x14ac:dyDescent="0.3">
      <c r="A2843" s="3" t="s">
        <v>1661</v>
      </c>
      <c r="B2843" s="3" t="s">
        <v>169</v>
      </c>
      <c r="C2843" s="3" t="str">
        <f t="shared" si="44"/>
        <v>4500138507450</v>
      </c>
      <c r="D2843" s="4">
        <v>46283</v>
      </c>
      <c r="E2843" s="3" t="s">
        <v>2196</v>
      </c>
      <c r="F2843" s="3" t="s">
        <v>2454</v>
      </c>
    </row>
    <row r="2844" spans="1:6" x14ac:dyDescent="0.3">
      <c r="A2844" s="3" t="s">
        <v>1661</v>
      </c>
      <c r="B2844" s="3" t="s">
        <v>170</v>
      </c>
      <c r="C2844" s="3" t="str">
        <f t="shared" si="44"/>
        <v>4500138507460</v>
      </c>
      <c r="D2844" s="4">
        <v>46283</v>
      </c>
      <c r="E2844" s="3" t="s">
        <v>2196</v>
      </c>
      <c r="F2844" s="3" t="s">
        <v>2454</v>
      </c>
    </row>
    <row r="2845" spans="1:6" x14ac:dyDescent="0.3">
      <c r="A2845" s="3" t="s">
        <v>1661</v>
      </c>
      <c r="B2845" s="3" t="s">
        <v>171</v>
      </c>
      <c r="C2845" s="3" t="str">
        <f t="shared" si="44"/>
        <v>4500138507470</v>
      </c>
      <c r="D2845" s="4">
        <v>46283</v>
      </c>
      <c r="E2845" s="3" t="s">
        <v>2196</v>
      </c>
      <c r="F2845" s="3" t="s">
        <v>2454</v>
      </c>
    </row>
    <row r="2846" spans="1:6" x14ac:dyDescent="0.3">
      <c r="A2846" s="3" t="s">
        <v>1429</v>
      </c>
      <c r="B2846" s="3" t="s">
        <v>30</v>
      </c>
      <c r="C2846" s="3" t="str">
        <f t="shared" si="44"/>
        <v>450013851110</v>
      </c>
      <c r="D2846" s="4">
        <v>46290</v>
      </c>
      <c r="E2846" s="3" t="s">
        <v>2236</v>
      </c>
      <c r="F2846" s="3" t="s">
        <v>2571</v>
      </c>
    </row>
    <row r="2847" spans="1:6" x14ac:dyDescent="0.3">
      <c r="A2847" s="3" t="s">
        <v>1550</v>
      </c>
      <c r="B2847" s="3" t="s">
        <v>22</v>
      </c>
      <c r="C2847" s="3" t="str">
        <f t="shared" si="44"/>
        <v>450013851320</v>
      </c>
      <c r="D2847" s="4">
        <v>46283</v>
      </c>
      <c r="E2847" s="3" t="s">
        <v>2200</v>
      </c>
      <c r="F2847" s="3" t="s">
        <v>2677</v>
      </c>
    </row>
    <row r="2848" spans="1:6" x14ac:dyDescent="0.3">
      <c r="A2848" s="3" t="s">
        <v>1550</v>
      </c>
      <c r="B2848" s="3" t="s">
        <v>35</v>
      </c>
      <c r="C2848" s="3" t="str">
        <f t="shared" si="44"/>
        <v>450013851330</v>
      </c>
      <c r="D2848" s="4">
        <v>46283</v>
      </c>
      <c r="E2848" s="3" t="s">
        <v>2200</v>
      </c>
      <c r="F2848" s="3" t="s">
        <v>2677</v>
      </c>
    </row>
    <row r="2849" spans="1:6" x14ac:dyDescent="0.3">
      <c r="A2849" s="3" t="s">
        <v>1550</v>
      </c>
      <c r="B2849" s="3" t="s">
        <v>141</v>
      </c>
      <c r="C2849" s="3" t="str">
        <f t="shared" si="44"/>
        <v>450013851360</v>
      </c>
      <c r="D2849" s="4">
        <v>46283</v>
      </c>
      <c r="E2849" s="3" t="s">
        <v>2200</v>
      </c>
      <c r="F2849" s="3" t="s">
        <v>2677</v>
      </c>
    </row>
    <row r="2850" spans="1:6" x14ac:dyDescent="0.3">
      <c r="A2850" s="3" t="s">
        <v>1550</v>
      </c>
      <c r="B2850" s="3" t="s">
        <v>134</v>
      </c>
      <c r="C2850" s="3" t="str">
        <f t="shared" si="44"/>
        <v>450013851370</v>
      </c>
      <c r="D2850" s="4">
        <v>46283</v>
      </c>
      <c r="E2850" s="3" t="s">
        <v>2200</v>
      </c>
      <c r="F2850" s="3" t="s">
        <v>2677</v>
      </c>
    </row>
    <row r="2851" spans="1:6" x14ac:dyDescent="0.3">
      <c r="A2851" s="3" t="s">
        <v>1550</v>
      </c>
      <c r="B2851" s="3" t="s">
        <v>52</v>
      </c>
      <c r="C2851" s="3" t="str">
        <f t="shared" si="44"/>
        <v>450013851380</v>
      </c>
      <c r="D2851" s="4">
        <v>46283</v>
      </c>
      <c r="E2851" s="3" t="s">
        <v>2200</v>
      </c>
      <c r="F2851" s="3" t="s">
        <v>2677</v>
      </c>
    </row>
    <row r="2852" spans="1:6" x14ac:dyDescent="0.3">
      <c r="A2852" s="3" t="s">
        <v>1550</v>
      </c>
      <c r="B2852" s="3" t="s">
        <v>138</v>
      </c>
      <c r="C2852" s="3" t="str">
        <f t="shared" si="44"/>
        <v>450013851390</v>
      </c>
      <c r="D2852" s="4">
        <v>46283</v>
      </c>
      <c r="E2852" s="3" t="s">
        <v>2200</v>
      </c>
      <c r="F2852" s="3" t="s">
        <v>2677</v>
      </c>
    </row>
    <row r="2853" spans="1:6" x14ac:dyDescent="0.3">
      <c r="A2853" s="3" t="s">
        <v>1550</v>
      </c>
      <c r="B2853" s="3" t="s">
        <v>45</v>
      </c>
      <c r="C2853" s="3" t="str">
        <f t="shared" si="44"/>
        <v>4500138513100</v>
      </c>
      <c r="D2853" s="4">
        <v>46283</v>
      </c>
      <c r="E2853" s="3" t="s">
        <v>2200</v>
      </c>
      <c r="F2853" s="3" t="s">
        <v>2677</v>
      </c>
    </row>
    <row r="2854" spans="1:6" x14ac:dyDescent="0.3">
      <c r="A2854" s="3" t="s">
        <v>1550</v>
      </c>
      <c r="B2854" s="3" t="s">
        <v>156</v>
      </c>
      <c r="C2854" s="3" t="str">
        <f t="shared" si="44"/>
        <v>4500138513110</v>
      </c>
      <c r="D2854" s="4">
        <v>46283</v>
      </c>
      <c r="E2854" s="3" t="s">
        <v>2200</v>
      </c>
      <c r="F2854" s="3" t="s">
        <v>2677</v>
      </c>
    </row>
    <row r="2855" spans="1:6" x14ac:dyDescent="0.3">
      <c r="A2855" s="3" t="s">
        <v>1550</v>
      </c>
      <c r="B2855" s="3" t="s">
        <v>132</v>
      </c>
      <c r="C2855" s="3" t="str">
        <f t="shared" si="44"/>
        <v>4500138513120</v>
      </c>
      <c r="D2855" s="4">
        <v>46283</v>
      </c>
      <c r="E2855" s="3" t="s">
        <v>2200</v>
      </c>
      <c r="F2855" s="3" t="s">
        <v>2677</v>
      </c>
    </row>
    <row r="2856" spans="1:6" x14ac:dyDescent="0.3">
      <c r="A2856" s="3" t="s">
        <v>1550</v>
      </c>
      <c r="B2856" s="3" t="s">
        <v>142</v>
      </c>
      <c r="C2856" s="3" t="str">
        <f t="shared" si="44"/>
        <v>4500138513130</v>
      </c>
      <c r="D2856" s="4">
        <v>46283</v>
      </c>
      <c r="E2856" s="3" t="s">
        <v>2200</v>
      </c>
      <c r="F2856" s="3" t="s">
        <v>2677</v>
      </c>
    </row>
    <row r="2857" spans="1:6" x14ac:dyDescent="0.3">
      <c r="A2857" s="3" t="s">
        <v>1550</v>
      </c>
      <c r="B2857" s="3" t="s">
        <v>131</v>
      </c>
      <c r="C2857" s="3" t="str">
        <f t="shared" si="44"/>
        <v>4500138513140</v>
      </c>
      <c r="D2857" s="4">
        <v>46283</v>
      </c>
      <c r="E2857" s="3" t="s">
        <v>2200</v>
      </c>
      <c r="F2857" s="3" t="s">
        <v>2677</v>
      </c>
    </row>
    <row r="2858" spans="1:6" x14ac:dyDescent="0.3">
      <c r="A2858" s="3" t="s">
        <v>1550</v>
      </c>
      <c r="B2858" s="3" t="s">
        <v>68</v>
      </c>
      <c r="C2858" s="3" t="str">
        <f t="shared" si="44"/>
        <v>4500138513150</v>
      </c>
      <c r="D2858" s="4">
        <v>46283</v>
      </c>
      <c r="E2858" s="3" t="s">
        <v>2200</v>
      </c>
      <c r="F2858" s="3" t="s">
        <v>2677</v>
      </c>
    </row>
    <row r="2859" spans="1:6" x14ac:dyDescent="0.3">
      <c r="A2859" s="3" t="s">
        <v>1550</v>
      </c>
      <c r="B2859" s="3" t="s">
        <v>129</v>
      </c>
      <c r="C2859" s="3" t="str">
        <f t="shared" si="44"/>
        <v>4500138513160</v>
      </c>
      <c r="D2859" s="4">
        <v>46283</v>
      </c>
      <c r="E2859" s="3" t="s">
        <v>2200</v>
      </c>
      <c r="F2859" s="3" t="s">
        <v>2677</v>
      </c>
    </row>
    <row r="2860" spans="1:6" x14ac:dyDescent="0.3">
      <c r="A2860" s="3" t="s">
        <v>1550</v>
      </c>
      <c r="B2860" s="3" t="s">
        <v>161</v>
      </c>
      <c r="C2860" s="3" t="str">
        <f t="shared" si="44"/>
        <v>4500138513200</v>
      </c>
      <c r="D2860" s="4">
        <v>46283</v>
      </c>
      <c r="E2860" s="3" t="s">
        <v>2200</v>
      </c>
      <c r="F2860" s="3" t="s">
        <v>2677</v>
      </c>
    </row>
    <row r="2861" spans="1:6" x14ac:dyDescent="0.3">
      <c r="A2861" s="3" t="s">
        <v>1550</v>
      </c>
      <c r="B2861" s="3" t="s">
        <v>136</v>
      </c>
      <c r="C2861" s="3" t="str">
        <f t="shared" si="44"/>
        <v>4500138513210</v>
      </c>
      <c r="D2861" s="4">
        <v>46283</v>
      </c>
      <c r="E2861" s="3" t="s">
        <v>2200</v>
      </c>
      <c r="F2861" s="3" t="s">
        <v>2677</v>
      </c>
    </row>
    <row r="2862" spans="1:6" x14ac:dyDescent="0.3">
      <c r="A2862" s="3" t="s">
        <v>1550</v>
      </c>
      <c r="B2862" s="3" t="s">
        <v>126</v>
      </c>
      <c r="C2862" s="3" t="str">
        <f t="shared" si="44"/>
        <v>4500138513260</v>
      </c>
      <c r="D2862" s="4">
        <v>46283</v>
      </c>
      <c r="E2862" s="3" t="s">
        <v>2200</v>
      </c>
      <c r="F2862" s="3" t="s">
        <v>2677</v>
      </c>
    </row>
    <row r="2863" spans="1:6" x14ac:dyDescent="0.3">
      <c r="A2863" s="3" t="s">
        <v>1495</v>
      </c>
      <c r="B2863" s="3" t="s">
        <v>30</v>
      </c>
      <c r="C2863" s="3" t="str">
        <f t="shared" si="44"/>
        <v>450013851510</v>
      </c>
      <c r="D2863" s="4">
        <v>46287</v>
      </c>
      <c r="E2863" s="3" t="s">
        <v>2196</v>
      </c>
      <c r="F2863" s="3" t="s">
        <v>2478</v>
      </c>
    </row>
    <row r="2864" spans="1:6" x14ac:dyDescent="0.3">
      <c r="A2864" s="3" t="s">
        <v>1977</v>
      </c>
      <c r="B2864" s="3" t="s">
        <v>30</v>
      </c>
      <c r="C2864" s="3" t="str">
        <f t="shared" si="44"/>
        <v>450013851810</v>
      </c>
      <c r="D2864" s="4">
        <v>46296</v>
      </c>
      <c r="E2864" s="3" t="s">
        <v>2233</v>
      </c>
      <c r="F2864" s="3" t="s">
        <v>2678</v>
      </c>
    </row>
    <row r="2865" spans="1:6" x14ac:dyDescent="0.3">
      <c r="A2865" s="3" t="s">
        <v>1977</v>
      </c>
      <c r="B2865" s="3" t="s">
        <v>22</v>
      </c>
      <c r="C2865" s="3" t="str">
        <f t="shared" si="44"/>
        <v>450013851820</v>
      </c>
      <c r="D2865" s="4">
        <v>46296</v>
      </c>
      <c r="E2865" s="3" t="s">
        <v>2233</v>
      </c>
      <c r="F2865" s="3" t="s">
        <v>2678</v>
      </c>
    </row>
    <row r="2866" spans="1:6" x14ac:dyDescent="0.3">
      <c r="A2866" s="3" t="s">
        <v>1977</v>
      </c>
      <c r="B2866" s="3" t="s">
        <v>35</v>
      </c>
      <c r="C2866" s="3" t="str">
        <f t="shared" si="44"/>
        <v>450013851830</v>
      </c>
      <c r="D2866" s="4">
        <v>46296</v>
      </c>
      <c r="E2866" s="3" t="s">
        <v>2233</v>
      </c>
      <c r="F2866" s="3" t="s">
        <v>2678</v>
      </c>
    </row>
    <row r="2867" spans="1:6" x14ac:dyDescent="0.3">
      <c r="A2867" s="3" t="s">
        <v>1977</v>
      </c>
      <c r="B2867" s="3" t="s">
        <v>23</v>
      </c>
      <c r="C2867" s="3" t="str">
        <f t="shared" si="44"/>
        <v>450013851840</v>
      </c>
      <c r="D2867" s="4">
        <v>46296</v>
      </c>
      <c r="E2867" s="3" t="s">
        <v>2233</v>
      </c>
      <c r="F2867" s="3" t="s">
        <v>2678</v>
      </c>
    </row>
    <row r="2868" spans="1:6" x14ac:dyDescent="0.3">
      <c r="A2868" s="3" t="s">
        <v>1977</v>
      </c>
      <c r="B2868" s="3" t="s">
        <v>144</v>
      </c>
      <c r="C2868" s="3" t="str">
        <f t="shared" si="44"/>
        <v>450013851850</v>
      </c>
      <c r="D2868" s="4">
        <v>46296</v>
      </c>
      <c r="E2868" s="3" t="s">
        <v>2233</v>
      </c>
      <c r="F2868" s="3" t="s">
        <v>2678</v>
      </c>
    </row>
    <row r="2869" spans="1:6" x14ac:dyDescent="0.3">
      <c r="A2869" s="3" t="s">
        <v>1977</v>
      </c>
      <c r="B2869" s="3" t="s">
        <v>141</v>
      </c>
      <c r="C2869" s="3" t="str">
        <f t="shared" si="44"/>
        <v>450013851860</v>
      </c>
      <c r="D2869" s="4">
        <v>46296</v>
      </c>
      <c r="E2869" s="3" t="s">
        <v>2233</v>
      </c>
      <c r="F2869" s="3" t="s">
        <v>2678</v>
      </c>
    </row>
    <row r="2870" spans="1:6" x14ac:dyDescent="0.3">
      <c r="A2870" s="3" t="s">
        <v>1977</v>
      </c>
      <c r="B2870" s="3" t="s">
        <v>134</v>
      </c>
      <c r="C2870" s="3" t="str">
        <f t="shared" si="44"/>
        <v>450013851870</v>
      </c>
      <c r="D2870" s="4">
        <v>46296</v>
      </c>
      <c r="E2870" s="3" t="s">
        <v>2233</v>
      </c>
      <c r="F2870" s="3" t="s">
        <v>2678</v>
      </c>
    </row>
    <row r="2871" spans="1:6" x14ac:dyDescent="0.3">
      <c r="A2871" s="3" t="s">
        <v>1977</v>
      </c>
      <c r="B2871" s="3" t="s">
        <v>52</v>
      </c>
      <c r="C2871" s="3" t="str">
        <f t="shared" si="44"/>
        <v>450013851880</v>
      </c>
      <c r="D2871" s="4">
        <v>46296</v>
      </c>
      <c r="E2871" s="3" t="s">
        <v>2233</v>
      </c>
      <c r="F2871" s="3" t="s">
        <v>2678</v>
      </c>
    </row>
    <row r="2872" spans="1:6" x14ac:dyDescent="0.3">
      <c r="A2872" s="3" t="s">
        <v>1977</v>
      </c>
      <c r="B2872" s="3" t="s">
        <v>138</v>
      </c>
      <c r="C2872" s="3" t="str">
        <f t="shared" si="44"/>
        <v>450013851890</v>
      </c>
      <c r="D2872" s="4">
        <v>46296</v>
      </c>
      <c r="E2872" s="3" t="s">
        <v>2233</v>
      </c>
      <c r="F2872" s="3" t="s">
        <v>2678</v>
      </c>
    </row>
    <row r="2873" spans="1:6" x14ac:dyDescent="0.3">
      <c r="A2873" s="3" t="s">
        <v>1977</v>
      </c>
      <c r="B2873" s="3" t="s">
        <v>45</v>
      </c>
      <c r="C2873" s="3" t="str">
        <f t="shared" si="44"/>
        <v>4500138518100</v>
      </c>
      <c r="D2873" s="4">
        <v>46296</v>
      </c>
      <c r="E2873" s="3" t="s">
        <v>2233</v>
      </c>
      <c r="F2873" s="3" t="s">
        <v>2678</v>
      </c>
    </row>
    <row r="2874" spans="1:6" x14ac:dyDescent="0.3">
      <c r="A2874" s="3" t="s">
        <v>1977</v>
      </c>
      <c r="B2874" s="3" t="s">
        <v>156</v>
      </c>
      <c r="C2874" s="3" t="str">
        <f t="shared" si="44"/>
        <v>4500138518110</v>
      </c>
      <c r="D2874" s="4">
        <v>46296</v>
      </c>
      <c r="E2874" s="3" t="s">
        <v>2233</v>
      </c>
      <c r="F2874" s="3" t="s">
        <v>2678</v>
      </c>
    </row>
    <row r="2875" spans="1:6" x14ac:dyDescent="0.3">
      <c r="A2875" s="3" t="s">
        <v>1958</v>
      </c>
      <c r="B2875" s="3" t="s">
        <v>30</v>
      </c>
      <c r="C2875" s="3" t="str">
        <f t="shared" si="44"/>
        <v>450013852610</v>
      </c>
      <c r="D2875" s="4">
        <v>46325</v>
      </c>
      <c r="E2875" s="3" t="s">
        <v>2196</v>
      </c>
      <c r="F2875" s="3" t="s">
        <v>2459</v>
      </c>
    </row>
    <row r="2876" spans="1:6" x14ac:dyDescent="0.3">
      <c r="A2876" s="3" t="s">
        <v>1500</v>
      </c>
      <c r="B2876" s="3" t="s">
        <v>30</v>
      </c>
      <c r="C2876" s="3" t="str">
        <f t="shared" si="44"/>
        <v>450013854110</v>
      </c>
      <c r="D2876" s="4">
        <v>46283</v>
      </c>
      <c r="E2876" s="3" t="s">
        <v>2239</v>
      </c>
      <c r="F2876" s="3" t="s">
        <v>2613</v>
      </c>
    </row>
    <row r="2877" spans="1:6" x14ac:dyDescent="0.3">
      <c r="A2877" s="3" t="s">
        <v>1757</v>
      </c>
      <c r="B2877" s="3" t="s">
        <v>30</v>
      </c>
      <c r="C2877" s="3" t="str">
        <f t="shared" si="44"/>
        <v>450013855210</v>
      </c>
      <c r="D2877" s="4">
        <v>46290</v>
      </c>
      <c r="E2877" s="3" t="s">
        <v>2196</v>
      </c>
      <c r="F2877" s="3" t="s">
        <v>2671</v>
      </c>
    </row>
    <row r="2878" spans="1:6" x14ac:dyDescent="0.3">
      <c r="A2878" s="3" t="s">
        <v>1737</v>
      </c>
      <c r="B2878" s="3" t="s">
        <v>30</v>
      </c>
      <c r="C2878" s="3" t="str">
        <f t="shared" si="44"/>
        <v>450013855910</v>
      </c>
      <c r="D2878" s="4">
        <v>46294</v>
      </c>
      <c r="E2878" s="3" t="s">
        <v>2250</v>
      </c>
      <c r="F2878" s="3" t="s">
        <v>2463</v>
      </c>
    </row>
    <row r="2879" spans="1:6" x14ac:dyDescent="0.3">
      <c r="A2879" s="3" t="s">
        <v>1504</v>
      </c>
      <c r="B2879" s="3" t="s">
        <v>30</v>
      </c>
      <c r="C2879" s="3" t="str">
        <f t="shared" si="44"/>
        <v>450013856110</v>
      </c>
      <c r="D2879" s="4">
        <v>46283</v>
      </c>
      <c r="E2879" s="3" t="s">
        <v>2239</v>
      </c>
      <c r="F2879" s="3" t="s">
        <v>2613</v>
      </c>
    </row>
    <row r="2880" spans="1:6" x14ac:dyDescent="0.3">
      <c r="A2880" s="3" t="s">
        <v>1502</v>
      </c>
      <c r="B2880" s="3" t="s">
        <v>30</v>
      </c>
      <c r="C2880" s="3" t="str">
        <f t="shared" si="44"/>
        <v>450013856210</v>
      </c>
      <c r="D2880" s="4">
        <v>46283</v>
      </c>
      <c r="E2880" s="3" t="s">
        <v>2239</v>
      </c>
      <c r="F2880" s="3" t="s">
        <v>2613</v>
      </c>
    </row>
    <row r="2881" spans="1:6" x14ac:dyDescent="0.3">
      <c r="A2881" s="3" t="s">
        <v>1648</v>
      </c>
      <c r="B2881" s="3" t="s">
        <v>23</v>
      </c>
      <c r="C2881" s="3" t="str">
        <f t="shared" si="44"/>
        <v>450013856340</v>
      </c>
      <c r="D2881" s="4">
        <v>46287</v>
      </c>
      <c r="E2881" s="3" t="s">
        <v>2199</v>
      </c>
      <c r="F2881" s="3" t="s">
        <v>2451</v>
      </c>
    </row>
    <row r="2882" spans="1:6" x14ac:dyDescent="0.3">
      <c r="A2882" s="3" t="s">
        <v>1648</v>
      </c>
      <c r="B2882" s="3" t="s">
        <v>144</v>
      </c>
      <c r="C2882" s="3" t="str">
        <f t="shared" si="44"/>
        <v>450013856350</v>
      </c>
      <c r="D2882" s="4">
        <v>46287</v>
      </c>
      <c r="E2882" s="3" t="s">
        <v>2199</v>
      </c>
      <c r="F2882" s="3" t="s">
        <v>2451</v>
      </c>
    </row>
    <row r="2883" spans="1:6" x14ac:dyDescent="0.3">
      <c r="A2883" s="3" t="s">
        <v>1648</v>
      </c>
      <c r="B2883" s="3" t="s">
        <v>141</v>
      </c>
      <c r="C2883" s="3" t="str">
        <f t="shared" ref="C2883:C2946" si="45">_xlfn.CONCAT(A2883:B2883)</f>
        <v>450013856360</v>
      </c>
      <c r="D2883" s="4">
        <v>46287</v>
      </c>
      <c r="E2883" s="3" t="s">
        <v>2199</v>
      </c>
      <c r="F2883" s="3" t="s">
        <v>2451</v>
      </c>
    </row>
    <row r="2884" spans="1:6" x14ac:dyDescent="0.3">
      <c r="A2884" s="3" t="s">
        <v>1648</v>
      </c>
      <c r="B2884" s="3" t="s">
        <v>134</v>
      </c>
      <c r="C2884" s="3" t="str">
        <f t="shared" si="45"/>
        <v>450013856370</v>
      </c>
      <c r="D2884" s="4">
        <v>46287</v>
      </c>
      <c r="E2884" s="3" t="s">
        <v>2199</v>
      </c>
      <c r="F2884" s="3" t="s">
        <v>2451</v>
      </c>
    </row>
    <row r="2885" spans="1:6" x14ac:dyDescent="0.3">
      <c r="A2885" s="3" t="s">
        <v>1764</v>
      </c>
      <c r="B2885" s="3" t="s">
        <v>30</v>
      </c>
      <c r="C2885" s="3" t="str">
        <f t="shared" si="45"/>
        <v>450013857210</v>
      </c>
      <c r="D2885" s="4">
        <v>46295</v>
      </c>
      <c r="E2885" s="3" t="s">
        <v>2196</v>
      </c>
      <c r="F2885" s="3" t="s">
        <v>2439</v>
      </c>
    </row>
    <row r="2886" spans="1:6" x14ac:dyDescent="0.3">
      <c r="A2886" s="3" t="s">
        <v>1764</v>
      </c>
      <c r="B2886" s="3" t="s">
        <v>22</v>
      </c>
      <c r="C2886" s="3" t="str">
        <f t="shared" si="45"/>
        <v>450013857220</v>
      </c>
      <c r="D2886" s="4">
        <v>46295</v>
      </c>
      <c r="E2886" s="3" t="s">
        <v>2196</v>
      </c>
      <c r="F2886" s="3" t="s">
        <v>2439</v>
      </c>
    </row>
    <row r="2887" spans="1:6" x14ac:dyDescent="0.3">
      <c r="A2887" s="3" t="s">
        <v>1764</v>
      </c>
      <c r="B2887" s="3" t="s">
        <v>35</v>
      </c>
      <c r="C2887" s="3" t="str">
        <f t="shared" si="45"/>
        <v>450013857230</v>
      </c>
      <c r="D2887" s="4">
        <v>46295</v>
      </c>
      <c r="E2887" s="3" t="s">
        <v>2196</v>
      </c>
      <c r="F2887" s="3" t="s">
        <v>2439</v>
      </c>
    </row>
    <row r="2888" spans="1:6" x14ac:dyDescent="0.3">
      <c r="A2888" s="3" t="s">
        <v>1764</v>
      </c>
      <c r="B2888" s="3" t="s">
        <v>23</v>
      </c>
      <c r="C2888" s="3" t="str">
        <f t="shared" si="45"/>
        <v>450013857240</v>
      </c>
      <c r="D2888" s="4">
        <v>46295</v>
      </c>
      <c r="E2888" s="3" t="s">
        <v>2196</v>
      </c>
      <c r="F2888" s="3" t="s">
        <v>2439</v>
      </c>
    </row>
    <row r="2889" spans="1:6" x14ac:dyDescent="0.3">
      <c r="A2889" s="3" t="s">
        <v>1764</v>
      </c>
      <c r="B2889" s="3" t="s">
        <v>144</v>
      </c>
      <c r="C2889" s="3" t="str">
        <f t="shared" si="45"/>
        <v>450013857250</v>
      </c>
      <c r="D2889" s="4">
        <v>46295</v>
      </c>
      <c r="E2889" s="3" t="s">
        <v>2196</v>
      </c>
      <c r="F2889" s="3" t="s">
        <v>2439</v>
      </c>
    </row>
    <row r="2890" spans="1:6" x14ac:dyDescent="0.3">
      <c r="A2890" s="3" t="s">
        <v>1764</v>
      </c>
      <c r="B2890" s="3" t="s">
        <v>141</v>
      </c>
      <c r="C2890" s="3" t="str">
        <f t="shared" si="45"/>
        <v>450013857260</v>
      </c>
      <c r="D2890" s="4">
        <v>46295</v>
      </c>
      <c r="E2890" s="3" t="s">
        <v>2196</v>
      </c>
      <c r="F2890" s="3" t="s">
        <v>2439</v>
      </c>
    </row>
    <row r="2891" spans="1:6" x14ac:dyDescent="0.3">
      <c r="A2891" s="3" t="s">
        <v>1764</v>
      </c>
      <c r="B2891" s="3" t="s">
        <v>134</v>
      </c>
      <c r="C2891" s="3" t="str">
        <f t="shared" si="45"/>
        <v>450013857270</v>
      </c>
      <c r="D2891" s="4">
        <v>46295</v>
      </c>
      <c r="E2891" s="3" t="s">
        <v>2196</v>
      </c>
      <c r="F2891" s="3" t="s">
        <v>2439</v>
      </c>
    </row>
    <row r="2892" spans="1:6" x14ac:dyDescent="0.3">
      <c r="A2892" s="3" t="s">
        <v>1764</v>
      </c>
      <c r="B2892" s="3" t="s">
        <v>52</v>
      </c>
      <c r="C2892" s="3" t="str">
        <f t="shared" si="45"/>
        <v>450013857280</v>
      </c>
      <c r="D2892" s="4">
        <v>46295</v>
      </c>
      <c r="E2892" s="3" t="s">
        <v>2196</v>
      </c>
      <c r="F2892" s="3" t="s">
        <v>2439</v>
      </c>
    </row>
    <row r="2893" spans="1:6" x14ac:dyDescent="0.3">
      <c r="A2893" s="3" t="s">
        <v>1764</v>
      </c>
      <c r="B2893" s="3" t="s">
        <v>45</v>
      </c>
      <c r="C2893" s="3" t="str">
        <f t="shared" si="45"/>
        <v>4500138572100</v>
      </c>
      <c r="D2893" s="4">
        <v>46295</v>
      </c>
      <c r="E2893" s="3" t="s">
        <v>2196</v>
      </c>
      <c r="F2893" s="3" t="s">
        <v>2439</v>
      </c>
    </row>
    <row r="2894" spans="1:6" x14ac:dyDescent="0.3">
      <c r="A2894" s="3" t="s">
        <v>1764</v>
      </c>
      <c r="B2894" s="3" t="s">
        <v>156</v>
      </c>
      <c r="C2894" s="3" t="str">
        <f t="shared" si="45"/>
        <v>4500138572110</v>
      </c>
      <c r="D2894" s="4">
        <v>46295</v>
      </c>
      <c r="E2894" s="3" t="s">
        <v>2196</v>
      </c>
      <c r="F2894" s="3" t="s">
        <v>2439</v>
      </c>
    </row>
    <row r="2895" spans="1:6" x14ac:dyDescent="0.3">
      <c r="A2895" s="3" t="s">
        <v>1828</v>
      </c>
      <c r="B2895" s="3" t="s">
        <v>30</v>
      </c>
      <c r="C2895" s="3" t="str">
        <f t="shared" si="45"/>
        <v>450013857710</v>
      </c>
      <c r="D2895" s="4">
        <v>46290</v>
      </c>
      <c r="E2895" s="3" t="s">
        <v>2196</v>
      </c>
      <c r="F2895" s="3" t="s">
        <v>2672</v>
      </c>
    </row>
    <row r="2896" spans="1:6" x14ac:dyDescent="0.3">
      <c r="A2896" s="3" t="s">
        <v>1828</v>
      </c>
      <c r="B2896" s="3" t="s">
        <v>35</v>
      </c>
      <c r="C2896" s="3" t="str">
        <f t="shared" si="45"/>
        <v>450013857730</v>
      </c>
      <c r="D2896" s="4">
        <v>46290</v>
      </c>
      <c r="E2896" s="3" t="s">
        <v>2196</v>
      </c>
      <c r="F2896" s="3" t="s">
        <v>2672</v>
      </c>
    </row>
    <row r="2897" spans="1:6" x14ac:dyDescent="0.3">
      <c r="A2897" s="3" t="s">
        <v>1828</v>
      </c>
      <c r="B2897" s="3" t="s">
        <v>23</v>
      </c>
      <c r="C2897" s="3" t="str">
        <f t="shared" si="45"/>
        <v>450013857740</v>
      </c>
      <c r="D2897" s="4">
        <v>46290</v>
      </c>
      <c r="E2897" s="3" t="s">
        <v>2196</v>
      </c>
      <c r="F2897" s="3" t="s">
        <v>2672</v>
      </c>
    </row>
    <row r="2898" spans="1:6" x14ac:dyDescent="0.3">
      <c r="A2898" s="3" t="s">
        <v>1828</v>
      </c>
      <c r="B2898" s="3" t="s">
        <v>144</v>
      </c>
      <c r="C2898" s="3" t="str">
        <f t="shared" si="45"/>
        <v>450013857750</v>
      </c>
      <c r="D2898" s="4">
        <v>46290</v>
      </c>
      <c r="E2898" s="3" t="s">
        <v>2196</v>
      </c>
      <c r="F2898" s="3" t="s">
        <v>2672</v>
      </c>
    </row>
    <row r="2899" spans="1:6" x14ac:dyDescent="0.3">
      <c r="A2899" s="3" t="s">
        <v>1828</v>
      </c>
      <c r="B2899" s="3" t="s">
        <v>141</v>
      </c>
      <c r="C2899" s="3" t="str">
        <f t="shared" si="45"/>
        <v>450013857760</v>
      </c>
      <c r="D2899" s="4">
        <v>46290</v>
      </c>
      <c r="E2899" s="3" t="s">
        <v>2196</v>
      </c>
      <c r="F2899" s="3" t="s">
        <v>2672</v>
      </c>
    </row>
    <row r="2900" spans="1:6" x14ac:dyDescent="0.3">
      <c r="A2900" s="3" t="s">
        <v>1828</v>
      </c>
      <c r="B2900" s="3" t="s">
        <v>134</v>
      </c>
      <c r="C2900" s="3" t="str">
        <f t="shared" si="45"/>
        <v>450013857770</v>
      </c>
      <c r="D2900" s="4">
        <v>46290</v>
      </c>
      <c r="E2900" s="3" t="s">
        <v>2196</v>
      </c>
      <c r="F2900" s="3" t="s">
        <v>2672</v>
      </c>
    </row>
    <row r="2901" spans="1:6" x14ac:dyDescent="0.3">
      <c r="A2901" s="3" t="s">
        <v>1828</v>
      </c>
      <c r="B2901" s="3" t="s">
        <v>52</v>
      </c>
      <c r="C2901" s="3" t="str">
        <f t="shared" si="45"/>
        <v>450013857780</v>
      </c>
      <c r="D2901" s="4">
        <v>46290</v>
      </c>
      <c r="E2901" s="3" t="s">
        <v>2196</v>
      </c>
      <c r="F2901" s="3" t="s">
        <v>2672</v>
      </c>
    </row>
    <row r="2902" spans="1:6" x14ac:dyDescent="0.3">
      <c r="A2902" s="3" t="s">
        <v>1828</v>
      </c>
      <c r="B2902" s="3" t="s">
        <v>138</v>
      </c>
      <c r="C2902" s="3" t="str">
        <f t="shared" si="45"/>
        <v>450013857790</v>
      </c>
      <c r="D2902" s="4">
        <v>46290</v>
      </c>
      <c r="E2902" s="3" t="s">
        <v>2196</v>
      </c>
      <c r="F2902" s="3" t="s">
        <v>2672</v>
      </c>
    </row>
    <row r="2903" spans="1:6" x14ac:dyDescent="0.3">
      <c r="A2903" s="3" t="s">
        <v>1828</v>
      </c>
      <c r="B2903" s="3" t="s">
        <v>45</v>
      </c>
      <c r="C2903" s="3" t="str">
        <f t="shared" si="45"/>
        <v>4500138577100</v>
      </c>
      <c r="D2903" s="4">
        <v>46290</v>
      </c>
      <c r="E2903" s="3" t="s">
        <v>2196</v>
      </c>
      <c r="F2903" s="3" t="s">
        <v>2672</v>
      </c>
    </row>
    <row r="2904" spans="1:6" x14ac:dyDescent="0.3">
      <c r="A2904" s="3" t="s">
        <v>1506</v>
      </c>
      <c r="B2904" s="3" t="s">
        <v>30</v>
      </c>
      <c r="C2904" s="3" t="str">
        <f t="shared" si="45"/>
        <v>450013858010</v>
      </c>
      <c r="D2904" s="4">
        <v>46283</v>
      </c>
      <c r="E2904" s="3" t="s">
        <v>2239</v>
      </c>
      <c r="F2904" s="3" t="s">
        <v>2613</v>
      </c>
    </row>
    <row r="2905" spans="1:6" x14ac:dyDescent="0.3">
      <c r="A2905" s="3" t="s">
        <v>1667</v>
      </c>
      <c r="B2905" s="3" t="s">
        <v>30</v>
      </c>
      <c r="C2905" s="3" t="str">
        <f t="shared" si="45"/>
        <v>450013858210</v>
      </c>
      <c r="D2905" s="4">
        <v>46290</v>
      </c>
      <c r="E2905" s="3" t="s">
        <v>2238</v>
      </c>
      <c r="F2905" s="3" t="s">
        <v>2471</v>
      </c>
    </row>
    <row r="2906" spans="1:6" x14ac:dyDescent="0.3">
      <c r="A2906" s="3" t="s">
        <v>1806</v>
      </c>
      <c r="B2906" s="3" t="s">
        <v>30</v>
      </c>
      <c r="C2906" s="3" t="str">
        <f t="shared" si="45"/>
        <v>450013858410</v>
      </c>
      <c r="D2906" s="4">
        <v>46290</v>
      </c>
      <c r="E2906" s="3" t="s">
        <v>2239</v>
      </c>
      <c r="F2906" s="3" t="s">
        <v>2491</v>
      </c>
    </row>
    <row r="2907" spans="1:6" x14ac:dyDescent="0.3">
      <c r="A2907" s="3" t="s">
        <v>1524</v>
      </c>
      <c r="B2907" s="3" t="s">
        <v>30</v>
      </c>
      <c r="C2907" s="3" t="str">
        <f t="shared" si="45"/>
        <v>450013859010</v>
      </c>
      <c r="D2907" s="4">
        <v>46289</v>
      </c>
      <c r="E2907" s="3" t="s">
        <v>2239</v>
      </c>
      <c r="F2907" s="3" t="s">
        <v>2495</v>
      </c>
    </row>
    <row r="2908" spans="1:6" x14ac:dyDescent="0.3">
      <c r="A2908" s="3" t="s">
        <v>1524</v>
      </c>
      <c r="B2908" s="3" t="s">
        <v>22</v>
      </c>
      <c r="C2908" s="3" t="str">
        <f t="shared" si="45"/>
        <v>450013859020</v>
      </c>
      <c r="D2908" s="4">
        <v>46289</v>
      </c>
      <c r="E2908" s="3" t="s">
        <v>2239</v>
      </c>
      <c r="F2908" s="3" t="s">
        <v>2495</v>
      </c>
    </row>
    <row r="2909" spans="1:6" x14ac:dyDescent="0.3">
      <c r="A2909" s="3" t="s">
        <v>1524</v>
      </c>
      <c r="B2909" s="3" t="s">
        <v>35</v>
      </c>
      <c r="C2909" s="3" t="str">
        <f t="shared" si="45"/>
        <v>450013859030</v>
      </c>
      <c r="D2909" s="4">
        <v>46289</v>
      </c>
      <c r="E2909" s="3" t="s">
        <v>2239</v>
      </c>
      <c r="F2909" s="3" t="s">
        <v>2495</v>
      </c>
    </row>
    <row r="2910" spans="1:6" x14ac:dyDescent="0.3">
      <c r="A2910" s="3" t="s">
        <v>1478</v>
      </c>
      <c r="B2910" s="3" t="s">
        <v>30</v>
      </c>
      <c r="C2910" s="3" t="str">
        <f t="shared" si="45"/>
        <v>450013859210</v>
      </c>
      <c r="D2910" s="4">
        <v>46295</v>
      </c>
      <c r="E2910" s="3" t="s">
        <v>2199</v>
      </c>
      <c r="F2910" s="3" t="s">
        <v>2676</v>
      </c>
    </row>
    <row r="2911" spans="1:6" x14ac:dyDescent="0.3">
      <c r="A2911" s="3" t="s">
        <v>1542</v>
      </c>
      <c r="B2911" s="3" t="s">
        <v>30</v>
      </c>
      <c r="C2911" s="3" t="str">
        <f t="shared" si="45"/>
        <v>450013861810</v>
      </c>
      <c r="D2911" s="4">
        <v>46297</v>
      </c>
      <c r="E2911" s="3" t="s">
        <v>2204</v>
      </c>
      <c r="F2911" s="3" t="s">
        <v>2490</v>
      </c>
    </row>
    <row r="2912" spans="1:6" x14ac:dyDescent="0.3">
      <c r="A2912" s="3" t="s">
        <v>1542</v>
      </c>
      <c r="B2912" s="3" t="s">
        <v>22</v>
      </c>
      <c r="C2912" s="3" t="str">
        <f t="shared" si="45"/>
        <v>450013861820</v>
      </c>
      <c r="D2912" s="4">
        <v>46297</v>
      </c>
      <c r="E2912" s="3" t="s">
        <v>2204</v>
      </c>
      <c r="F2912" s="3" t="s">
        <v>2490</v>
      </c>
    </row>
    <row r="2913" spans="1:6" x14ac:dyDescent="0.3">
      <c r="A2913" s="3" t="s">
        <v>1624</v>
      </c>
      <c r="B2913" s="3" t="s">
        <v>30</v>
      </c>
      <c r="C2913" s="3" t="str">
        <f t="shared" si="45"/>
        <v>450013862010</v>
      </c>
      <c r="D2913" s="4">
        <v>46290</v>
      </c>
      <c r="E2913" s="3" t="s">
        <v>2242</v>
      </c>
      <c r="F2913" s="3" t="s">
        <v>2467</v>
      </c>
    </row>
    <row r="2914" spans="1:6" x14ac:dyDescent="0.3">
      <c r="A2914" s="3" t="s">
        <v>2126</v>
      </c>
      <c r="B2914" s="3" t="s">
        <v>22</v>
      </c>
      <c r="C2914" s="3" t="str">
        <f t="shared" si="45"/>
        <v>450013862220</v>
      </c>
      <c r="D2914" s="4">
        <v>46294</v>
      </c>
      <c r="E2914" s="3" t="s">
        <v>2242</v>
      </c>
      <c r="F2914" s="3" t="s">
        <v>2467</v>
      </c>
    </row>
    <row r="2915" spans="1:6" x14ac:dyDescent="0.3">
      <c r="A2915" s="3" t="s">
        <v>1565</v>
      </c>
      <c r="B2915" s="3" t="s">
        <v>30</v>
      </c>
      <c r="C2915" s="3" t="str">
        <f t="shared" si="45"/>
        <v>450013862610</v>
      </c>
      <c r="D2915" s="4">
        <v>46290</v>
      </c>
      <c r="E2915" s="3" t="s">
        <v>2196</v>
      </c>
      <c r="F2915" s="3" t="s">
        <v>2457</v>
      </c>
    </row>
    <row r="2916" spans="1:6" x14ac:dyDescent="0.3">
      <c r="A2916" s="3" t="s">
        <v>1565</v>
      </c>
      <c r="B2916" s="3" t="s">
        <v>22</v>
      </c>
      <c r="C2916" s="3" t="str">
        <f t="shared" si="45"/>
        <v>450013862620</v>
      </c>
      <c r="D2916" s="4">
        <v>46290</v>
      </c>
      <c r="E2916" s="3" t="s">
        <v>2196</v>
      </c>
      <c r="F2916" s="3" t="s">
        <v>2457</v>
      </c>
    </row>
    <row r="2917" spans="1:6" x14ac:dyDescent="0.3">
      <c r="A2917" s="3" t="s">
        <v>1905</v>
      </c>
      <c r="B2917" s="3" t="s">
        <v>30</v>
      </c>
      <c r="C2917" s="3" t="str">
        <f t="shared" si="45"/>
        <v>450013863210</v>
      </c>
      <c r="D2917" s="4">
        <v>46289</v>
      </c>
      <c r="E2917" s="3" t="s">
        <v>2238</v>
      </c>
      <c r="F2917" s="3" t="s">
        <v>2679</v>
      </c>
    </row>
    <row r="2918" spans="1:6" x14ac:dyDescent="0.3">
      <c r="A2918" s="3" t="s">
        <v>1905</v>
      </c>
      <c r="B2918" s="3" t="s">
        <v>22</v>
      </c>
      <c r="C2918" s="3" t="str">
        <f t="shared" si="45"/>
        <v>450013863220</v>
      </c>
      <c r="D2918" s="4">
        <v>46289</v>
      </c>
      <c r="E2918" s="3" t="s">
        <v>2238</v>
      </c>
      <c r="F2918" s="3" t="s">
        <v>2679</v>
      </c>
    </row>
    <row r="2919" spans="1:6" x14ac:dyDescent="0.3">
      <c r="A2919" s="3" t="s">
        <v>1905</v>
      </c>
      <c r="B2919" s="3" t="s">
        <v>23</v>
      </c>
      <c r="C2919" s="3" t="str">
        <f t="shared" si="45"/>
        <v>450013863240</v>
      </c>
      <c r="D2919" s="4">
        <v>46290</v>
      </c>
      <c r="E2919" s="3" t="s">
        <v>2238</v>
      </c>
      <c r="F2919" s="3" t="s">
        <v>2679</v>
      </c>
    </row>
    <row r="2920" spans="1:6" x14ac:dyDescent="0.3">
      <c r="A2920" s="3" t="s">
        <v>1905</v>
      </c>
      <c r="B2920" s="3" t="s">
        <v>144</v>
      </c>
      <c r="C2920" s="3" t="str">
        <f t="shared" si="45"/>
        <v>450013863250</v>
      </c>
      <c r="D2920" s="4">
        <v>46289</v>
      </c>
      <c r="E2920" s="3" t="s">
        <v>2238</v>
      </c>
      <c r="F2920" s="3" t="s">
        <v>2679</v>
      </c>
    </row>
    <row r="2921" spans="1:6" x14ac:dyDescent="0.3">
      <c r="A2921" s="3" t="s">
        <v>1671</v>
      </c>
      <c r="B2921" s="3" t="s">
        <v>23</v>
      </c>
      <c r="C2921" s="3" t="str">
        <f t="shared" si="45"/>
        <v>450013863440</v>
      </c>
      <c r="D2921" s="4">
        <v>46283</v>
      </c>
      <c r="E2921" s="3" t="s">
        <v>2199</v>
      </c>
      <c r="F2921" s="3" t="s">
        <v>2648</v>
      </c>
    </row>
    <row r="2922" spans="1:6" x14ac:dyDescent="0.3">
      <c r="A2922" s="3" t="s">
        <v>3062</v>
      </c>
      <c r="B2922" s="3" t="s">
        <v>30</v>
      </c>
      <c r="C2922" s="3" t="str">
        <f t="shared" si="45"/>
        <v>450013863510</v>
      </c>
      <c r="D2922" s="4">
        <v>46286</v>
      </c>
      <c r="E2922" s="3" t="s">
        <v>2199</v>
      </c>
      <c r="F2922" s="3" t="s">
        <v>2648</v>
      </c>
    </row>
    <row r="2923" spans="1:6" x14ac:dyDescent="0.3">
      <c r="A2923" s="3" t="s">
        <v>3062</v>
      </c>
      <c r="B2923" s="3" t="s">
        <v>22</v>
      </c>
      <c r="C2923" s="3" t="str">
        <f t="shared" si="45"/>
        <v>450013863520</v>
      </c>
      <c r="D2923" s="4">
        <v>46286</v>
      </c>
      <c r="E2923" s="3" t="s">
        <v>2199</v>
      </c>
      <c r="F2923" s="3" t="s">
        <v>2648</v>
      </c>
    </row>
    <row r="2924" spans="1:6" x14ac:dyDescent="0.3">
      <c r="A2924" s="3" t="s">
        <v>3062</v>
      </c>
      <c r="B2924" s="3" t="s">
        <v>35</v>
      </c>
      <c r="C2924" s="3" t="str">
        <f t="shared" si="45"/>
        <v>450013863530</v>
      </c>
      <c r="D2924" s="4">
        <v>46286</v>
      </c>
      <c r="E2924" s="3" t="s">
        <v>2199</v>
      </c>
      <c r="F2924" s="3" t="s">
        <v>2648</v>
      </c>
    </row>
    <row r="2925" spans="1:6" x14ac:dyDescent="0.3">
      <c r="A2925" s="3" t="s">
        <v>3062</v>
      </c>
      <c r="B2925" s="3" t="s">
        <v>23</v>
      </c>
      <c r="C2925" s="3" t="str">
        <f t="shared" si="45"/>
        <v>450013863540</v>
      </c>
      <c r="D2925" s="4">
        <v>46286</v>
      </c>
      <c r="E2925" s="3" t="s">
        <v>2199</v>
      </c>
      <c r="F2925" s="3" t="s">
        <v>2648</v>
      </c>
    </row>
    <row r="2926" spans="1:6" x14ac:dyDescent="0.3">
      <c r="A2926" s="3" t="s">
        <v>2041</v>
      </c>
      <c r="B2926" s="3" t="s">
        <v>35</v>
      </c>
      <c r="C2926" s="3" t="str">
        <f t="shared" si="45"/>
        <v>450013863930</v>
      </c>
      <c r="D2926" s="4">
        <v>46290</v>
      </c>
      <c r="E2926" s="3" t="s">
        <v>2200</v>
      </c>
      <c r="F2926" s="3" t="s">
        <v>2456</v>
      </c>
    </row>
    <row r="2927" spans="1:6" x14ac:dyDescent="0.3">
      <c r="A2927" s="3" t="s">
        <v>2041</v>
      </c>
      <c r="B2927" s="3" t="s">
        <v>23</v>
      </c>
      <c r="C2927" s="3" t="str">
        <f t="shared" si="45"/>
        <v>450013863940</v>
      </c>
      <c r="D2927" s="4">
        <v>46290</v>
      </c>
      <c r="E2927" s="3" t="s">
        <v>2200</v>
      </c>
      <c r="F2927" s="3" t="s">
        <v>2456</v>
      </c>
    </row>
    <row r="2928" spans="1:6" x14ac:dyDescent="0.3">
      <c r="A2928" s="3" t="s">
        <v>2041</v>
      </c>
      <c r="B2928" s="3" t="s">
        <v>144</v>
      </c>
      <c r="C2928" s="3" t="str">
        <f t="shared" si="45"/>
        <v>450013863950</v>
      </c>
      <c r="D2928" s="4">
        <v>46290</v>
      </c>
      <c r="E2928" s="3" t="s">
        <v>2200</v>
      </c>
      <c r="F2928" s="3" t="s">
        <v>2456</v>
      </c>
    </row>
    <row r="2929" spans="1:6" x14ac:dyDescent="0.3">
      <c r="A2929" s="3" t="s">
        <v>2041</v>
      </c>
      <c r="B2929" s="3" t="s">
        <v>141</v>
      </c>
      <c r="C2929" s="3" t="str">
        <f t="shared" si="45"/>
        <v>450013863960</v>
      </c>
      <c r="D2929" s="4">
        <v>46290</v>
      </c>
      <c r="E2929" s="3" t="s">
        <v>2200</v>
      </c>
      <c r="F2929" s="3" t="s">
        <v>2456</v>
      </c>
    </row>
    <row r="2930" spans="1:6" x14ac:dyDescent="0.3">
      <c r="A2930" s="3" t="s">
        <v>2041</v>
      </c>
      <c r="B2930" s="3" t="s">
        <v>134</v>
      </c>
      <c r="C2930" s="3" t="str">
        <f t="shared" si="45"/>
        <v>450013863970</v>
      </c>
      <c r="D2930" s="4">
        <v>46290</v>
      </c>
      <c r="E2930" s="3" t="s">
        <v>2200</v>
      </c>
      <c r="F2930" s="3" t="s">
        <v>2456</v>
      </c>
    </row>
    <row r="2931" spans="1:6" x14ac:dyDescent="0.3">
      <c r="A2931" s="3" t="s">
        <v>2041</v>
      </c>
      <c r="B2931" s="3" t="s">
        <v>52</v>
      </c>
      <c r="C2931" s="3" t="str">
        <f t="shared" si="45"/>
        <v>450013863980</v>
      </c>
      <c r="D2931" s="4">
        <v>46290</v>
      </c>
      <c r="E2931" s="3" t="s">
        <v>2200</v>
      </c>
      <c r="F2931" s="3" t="s">
        <v>2456</v>
      </c>
    </row>
    <row r="2932" spans="1:6" x14ac:dyDescent="0.3">
      <c r="A2932" s="3" t="s">
        <v>2041</v>
      </c>
      <c r="B2932" s="3" t="s">
        <v>138</v>
      </c>
      <c r="C2932" s="3" t="str">
        <f t="shared" si="45"/>
        <v>450013863990</v>
      </c>
      <c r="D2932" s="4">
        <v>46290</v>
      </c>
      <c r="E2932" s="3" t="s">
        <v>2200</v>
      </c>
      <c r="F2932" s="3" t="s">
        <v>2456</v>
      </c>
    </row>
    <row r="2933" spans="1:6" x14ac:dyDescent="0.3">
      <c r="A2933" s="3" t="s">
        <v>2041</v>
      </c>
      <c r="B2933" s="3" t="s">
        <v>156</v>
      </c>
      <c r="C2933" s="3" t="str">
        <f t="shared" si="45"/>
        <v>4500138639110</v>
      </c>
      <c r="D2933" s="4">
        <v>46290</v>
      </c>
      <c r="E2933" s="3" t="s">
        <v>2200</v>
      </c>
      <c r="F2933" s="3" t="s">
        <v>2456</v>
      </c>
    </row>
    <row r="2934" spans="1:6" x14ac:dyDescent="0.3">
      <c r="A2934" s="3" t="s">
        <v>2041</v>
      </c>
      <c r="B2934" s="3" t="s">
        <v>132</v>
      </c>
      <c r="C2934" s="3" t="str">
        <f t="shared" si="45"/>
        <v>4500138639120</v>
      </c>
      <c r="D2934" s="4">
        <v>46290</v>
      </c>
      <c r="E2934" s="3" t="s">
        <v>2200</v>
      </c>
      <c r="F2934" s="3" t="s">
        <v>2456</v>
      </c>
    </row>
    <row r="2935" spans="1:6" x14ac:dyDescent="0.3">
      <c r="A2935" s="3" t="s">
        <v>2041</v>
      </c>
      <c r="B2935" s="3" t="s">
        <v>142</v>
      </c>
      <c r="C2935" s="3" t="str">
        <f t="shared" si="45"/>
        <v>4500138639130</v>
      </c>
      <c r="D2935" s="4">
        <v>46290</v>
      </c>
      <c r="E2935" s="3" t="s">
        <v>2200</v>
      </c>
      <c r="F2935" s="3" t="s">
        <v>2456</v>
      </c>
    </row>
    <row r="2936" spans="1:6" x14ac:dyDescent="0.3">
      <c r="A2936" s="3" t="s">
        <v>2041</v>
      </c>
      <c r="B2936" s="3" t="s">
        <v>131</v>
      </c>
      <c r="C2936" s="3" t="str">
        <f t="shared" si="45"/>
        <v>4500138639140</v>
      </c>
      <c r="D2936" s="4">
        <v>46290</v>
      </c>
      <c r="E2936" s="3" t="s">
        <v>2200</v>
      </c>
      <c r="F2936" s="3" t="s">
        <v>2456</v>
      </c>
    </row>
    <row r="2937" spans="1:6" x14ac:dyDescent="0.3">
      <c r="A2937" s="3" t="s">
        <v>2041</v>
      </c>
      <c r="B2937" s="3" t="s">
        <v>53</v>
      </c>
      <c r="C2937" s="3" t="str">
        <f t="shared" si="45"/>
        <v>4500138639170</v>
      </c>
      <c r="D2937" s="4">
        <v>46290</v>
      </c>
      <c r="E2937" s="3" t="s">
        <v>2200</v>
      </c>
      <c r="F2937" s="3" t="s">
        <v>2456</v>
      </c>
    </row>
    <row r="2938" spans="1:6" x14ac:dyDescent="0.3">
      <c r="A2938" s="3" t="s">
        <v>2041</v>
      </c>
      <c r="B2938" s="3" t="s">
        <v>127</v>
      </c>
      <c r="C2938" s="3" t="str">
        <f t="shared" si="45"/>
        <v>4500138639190</v>
      </c>
      <c r="D2938" s="4">
        <v>46290</v>
      </c>
      <c r="E2938" s="3" t="s">
        <v>2200</v>
      </c>
      <c r="F2938" s="3" t="s">
        <v>2456</v>
      </c>
    </row>
    <row r="2939" spans="1:6" x14ac:dyDescent="0.3">
      <c r="A2939" s="3" t="s">
        <v>2041</v>
      </c>
      <c r="B2939" s="3" t="s">
        <v>161</v>
      </c>
      <c r="C2939" s="3" t="str">
        <f t="shared" si="45"/>
        <v>4500138639200</v>
      </c>
      <c r="D2939" s="4">
        <v>46290</v>
      </c>
      <c r="E2939" s="3" t="s">
        <v>2200</v>
      </c>
      <c r="F2939" s="3" t="s">
        <v>2456</v>
      </c>
    </row>
    <row r="2940" spans="1:6" x14ac:dyDescent="0.3">
      <c r="A2940" s="3" t="s">
        <v>2041</v>
      </c>
      <c r="B2940" s="3" t="s">
        <v>136</v>
      </c>
      <c r="C2940" s="3" t="str">
        <f t="shared" si="45"/>
        <v>4500138639210</v>
      </c>
      <c r="D2940" s="4">
        <v>46290</v>
      </c>
      <c r="E2940" s="3" t="s">
        <v>2200</v>
      </c>
      <c r="F2940" s="3" t="s">
        <v>2456</v>
      </c>
    </row>
    <row r="2941" spans="1:6" x14ac:dyDescent="0.3">
      <c r="A2941" s="3" t="s">
        <v>2041</v>
      </c>
      <c r="B2941" s="3" t="s">
        <v>126</v>
      </c>
      <c r="C2941" s="3" t="str">
        <f t="shared" si="45"/>
        <v>4500138639260</v>
      </c>
      <c r="D2941" s="4">
        <v>46290</v>
      </c>
      <c r="E2941" s="3" t="s">
        <v>2200</v>
      </c>
      <c r="F2941" s="3" t="s">
        <v>2456</v>
      </c>
    </row>
    <row r="2942" spans="1:6" x14ac:dyDescent="0.3">
      <c r="A2942" s="3" t="s">
        <v>2041</v>
      </c>
      <c r="B2942" s="3" t="s">
        <v>133</v>
      </c>
      <c r="C2942" s="3" t="str">
        <f t="shared" si="45"/>
        <v>4500138639280</v>
      </c>
      <c r="D2942" s="4">
        <v>46290</v>
      </c>
      <c r="E2942" s="3" t="s">
        <v>2200</v>
      </c>
      <c r="F2942" s="3" t="s">
        <v>2456</v>
      </c>
    </row>
    <row r="2943" spans="1:6" x14ac:dyDescent="0.3">
      <c r="A2943" s="3" t="s">
        <v>2041</v>
      </c>
      <c r="B2943" s="3" t="s">
        <v>173</v>
      </c>
      <c r="C2943" s="3" t="str">
        <f t="shared" si="45"/>
        <v>4500138639290</v>
      </c>
      <c r="D2943" s="4">
        <v>46290</v>
      </c>
      <c r="E2943" s="3" t="s">
        <v>2200</v>
      </c>
      <c r="F2943" s="3" t="s">
        <v>2456</v>
      </c>
    </row>
    <row r="2944" spans="1:6" x14ac:dyDescent="0.3">
      <c r="A2944" s="3" t="s">
        <v>2041</v>
      </c>
      <c r="B2944" s="3" t="s">
        <v>145</v>
      </c>
      <c r="C2944" s="3" t="str">
        <f t="shared" si="45"/>
        <v>4500138639300</v>
      </c>
      <c r="D2944" s="4">
        <v>46290</v>
      </c>
      <c r="E2944" s="3" t="s">
        <v>2200</v>
      </c>
      <c r="F2944" s="3" t="s">
        <v>2456</v>
      </c>
    </row>
    <row r="2945" spans="1:6" x14ac:dyDescent="0.3">
      <c r="A2945" s="3" t="s">
        <v>2041</v>
      </c>
      <c r="B2945" s="3" t="s">
        <v>147</v>
      </c>
      <c r="C2945" s="3" t="str">
        <f t="shared" si="45"/>
        <v>4500138639310</v>
      </c>
      <c r="D2945" s="4">
        <v>46290</v>
      </c>
      <c r="E2945" s="3" t="s">
        <v>2200</v>
      </c>
      <c r="F2945" s="3" t="s">
        <v>2456</v>
      </c>
    </row>
    <row r="2946" spans="1:6" x14ac:dyDescent="0.3">
      <c r="A2946" s="3" t="s">
        <v>2041</v>
      </c>
      <c r="B2946" s="3" t="s">
        <v>154</v>
      </c>
      <c r="C2946" s="3" t="str">
        <f t="shared" si="45"/>
        <v>4500138639330</v>
      </c>
      <c r="D2946" s="4">
        <v>46290</v>
      </c>
      <c r="E2946" s="3" t="s">
        <v>2200</v>
      </c>
      <c r="F2946" s="3" t="s">
        <v>2456</v>
      </c>
    </row>
    <row r="2947" spans="1:6" x14ac:dyDescent="0.3">
      <c r="A2947" s="3" t="s">
        <v>2019</v>
      </c>
      <c r="B2947" s="3" t="s">
        <v>30</v>
      </c>
      <c r="C2947" s="3" t="str">
        <f t="shared" ref="C2947:C3010" si="46">_xlfn.CONCAT(A2947:B2947)</f>
        <v>450013864010</v>
      </c>
      <c r="D2947" s="4">
        <v>46290</v>
      </c>
      <c r="E2947" s="3" t="s">
        <v>2199</v>
      </c>
      <c r="F2947" s="3" t="s">
        <v>2667</v>
      </c>
    </row>
    <row r="2948" spans="1:6" x14ac:dyDescent="0.3">
      <c r="A2948" s="3" t="s">
        <v>1739</v>
      </c>
      <c r="B2948" s="3" t="s">
        <v>30</v>
      </c>
      <c r="C2948" s="3" t="str">
        <f t="shared" si="46"/>
        <v>450013864310</v>
      </c>
      <c r="D2948" s="4">
        <v>46287</v>
      </c>
      <c r="E2948" s="3" t="s">
        <v>2200</v>
      </c>
      <c r="F2948" s="3" t="s">
        <v>2453</v>
      </c>
    </row>
    <row r="2949" spans="1:6" x14ac:dyDescent="0.3">
      <c r="A2949" s="3" t="s">
        <v>1739</v>
      </c>
      <c r="B2949" s="3" t="s">
        <v>22</v>
      </c>
      <c r="C2949" s="3" t="str">
        <f t="shared" si="46"/>
        <v>450013864320</v>
      </c>
      <c r="D2949" s="4">
        <v>46287</v>
      </c>
      <c r="E2949" s="3" t="s">
        <v>2200</v>
      </c>
      <c r="F2949" s="3" t="s">
        <v>2453</v>
      </c>
    </row>
    <row r="2950" spans="1:6" x14ac:dyDescent="0.3">
      <c r="A2950" s="3" t="s">
        <v>1739</v>
      </c>
      <c r="B2950" s="3" t="s">
        <v>35</v>
      </c>
      <c r="C2950" s="3" t="str">
        <f t="shared" si="46"/>
        <v>450013864330</v>
      </c>
      <c r="D2950" s="4">
        <v>46287</v>
      </c>
      <c r="E2950" s="3" t="s">
        <v>2200</v>
      </c>
      <c r="F2950" s="3" t="s">
        <v>2453</v>
      </c>
    </row>
    <row r="2951" spans="1:6" x14ac:dyDescent="0.3">
      <c r="A2951" s="3" t="s">
        <v>1739</v>
      </c>
      <c r="B2951" s="3" t="s">
        <v>23</v>
      </c>
      <c r="C2951" s="3" t="str">
        <f t="shared" si="46"/>
        <v>450013864340</v>
      </c>
      <c r="D2951" s="4">
        <v>46287</v>
      </c>
      <c r="E2951" s="3" t="s">
        <v>2200</v>
      </c>
      <c r="F2951" s="3" t="s">
        <v>2453</v>
      </c>
    </row>
    <row r="2952" spans="1:6" x14ac:dyDescent="0.3">
      <c r="A2952" s="3" t="s">
        <v>1739</v>
      </c>
      <c r="B2952" s="3" t="s">
        <v>144</v>
      </c>
      <c r="C2952" s="3" t="str">
        <f t="shared" si="46"/>
        <v>450013864350</v>
      </c>
      <c r="D2952" s="4">
        <v>46287</v>
      </c>
      <c r="E2952" s="3" t="s">
        <v>2200</v>
      </c>
      <c r="F2952" s="3" t="s">
        <v>2453</v>
      </c>
    </row>
    <row r="2953" spans="1:6" x14ac:dyDescent="0.3">
      <c r="A2953" s="3" t="s">
        <v>1739</v>
      </c>
      <c r="B2953" s="3" t="s">
        <v>141</v>
      </c>
      <c r="C2953" s="3" t="str">
        <f t="shared" si="46"/>
        <v>450013864360</v>
      </c>
      <c r="D2953" s="4">
        <v>46287</v>
      </c>
      <c r="E2953" s="3" t="s">
        <v>2200</v>
      </c>
      <c r="F2953" s="3" t="s">
        <v>2453</v>
      </c>
    </row>
    <row r="2954" spans="1:6" x14ac:dyDescent="0.3">
      <c r="A2954" s="3" t="s">
        <v>1739</v>
      </c>
      <c r="B2954" s="3" t="s">
        <v>134</v>
      </c>
      <c r="C2954" s="3" t="str">
        <f t="shared" si="46"/>
        <v>450013864370</v>
      </c>
      <c r="D2954" s="4">
        <v>46287</v>
      </c>
      <c r="E2954" s="3" t="s">
        <v>2200</v>
      </c>
      <c r="F2954" s="3" t="s">
        <v>2453</v>
      </c>
    </row>
    <row r="2955" spans="1:6" x14ac:dyDescent="0.3">
      <c r="A2955" s="3" t="s">
        <v>1739</v>
      </c>
      <c r="B2955" s="3" t="s">
        <v>52</v>
      </c>
      <c r="C2955" s="3" t="str">
        <f t="shared" si="46"/>
        <v>450013864380</v>
      </c>
      <c r="D2955" s="4">
        <v>46287</v>
      </c>
      <c r="E2955" s="3" t="s">
        <v>2200</v>
      </c>
      <c r="F2955" s="3" t="s">
        <v>2453</v>
      </c>
    </row>
    <row r="2956" spans="1:6" x14ac:dyDescent="0.3">
      <c r="A2956" s="3" t="s">
        <v>1739</v>
      </c>
      <c r="B2956" s="3" t="s">
        <v>138</v>
      </c>
      <c r="C2956" s="3" t="str">
        <f t="shared" si="46"/>
        <v>450013864390</v>
      </c>
      <c r="D2956" s="4">
        <v>46287</v>
      </c>
      <c r="E2956" s="3" t="s">
        <v>2200</v>
      </c>
      <c r="F2956" s="3" t="s">
        <v>2453</v>
      </c>
    </row>
    <row r="2957" spans="1:6" x14ac:dyDescent="0.3">
      <c r="A2957" s="3" t="s">
        <v>1739</v>
      </c>
      <c r="B2957" s="3" t="s">
        <v>45</v>
      </c>
      <c r="C2957" s="3" t="str">
        <f t="shared" si="46"/>
        <v>4500138643100</v>
      </c>
      <c r="D2957" s="4">
        <v>46287</v>
      </c>
      <c r="E2957" s="3" t="s">
        <v>2200</v>
      </c>
      <c r="F2957" s="3" t="s">
        <v>2453</v>
      </c>
    </row>
    <row r="2958" spans="1:6" x14ac:dyDescent="0.3">
      <c r="A2958" s="3" t="s">
        <v>1739</v>
      </c>
      <c r="B2958" s="3" t="s">
        <v>156</v>
      </c>
      <c r="C2958" s="3" t="str">
        <f t="shared" si="46"/>
        <v>4500138643110</v>
      </c>
      <c r="D2958" s="4">
        <v>46287</v>
      </c>
      <c r="E2958" s="3" t="s">
        <v>2200</v>
      </c>
      <c r="F2958" s="3" t="s">
        <v>2453</v>
      </c>
    </row>
    <row r="2959" spans="1:6" x14ac:dyDescent="0.3">
      <c r="A2959" s="3" t="s">
        <v>1739</v>
      </c>
      <c r="B2959" s="3" t="s">
        <v>132</v>
      </c>
      <c r="C2959" s="3" t="str">
        <f t="shared" si="46"/>
        <v>4500138643120</v>
      </c>
      <c r="D2959" s="4">
        <v>46287</v>
      </c>
      <c r="E2959" s="3" t="s">
        <v>2200</v>
      </c>
      <c r="F2959" s="3" t="s">
        <v>2453</v>
      </c>
    </row>
    <row r="2960" spans="1:6" x14ac:dyDescent="0.3">
      <c r="A2960" s="3" t="s">
        <v>1638</v>
      </c>
      <c r="B2960" s="3" t="s">
        <v>22</v>
      </c>
      <c r="C2960" s="3" t="str">
        <f t="shared" si="46"/>
        <v>450013864420</v>
      </c>
      <c r="D2960" s="4">
        <v>46296</v>
      </c>
      <c r="E2960" s="3" t="s">
        <v>2239</v>
      </c>
      <c r="F2960" s="3" t="s">
        <v>2512</v>
      </c>
    </row>
    <row r="2961" spans="1:6" x14ac:dyDescent="0.3">
      <c r="A2961" s="3" t="s">
        <v>1638</v>
      </c>
      <c r="B2961" s="3" t="s">
        <v>35</v>
      </c>
      <c r="C2961" s="3" t="str">
        <f t="shared" si="46"/>
        <v>450013864430</v>
      </c>
      <c r="D2961" s="4">
        <v>46296</v>
      </c>
      <c r="E2961" s="3" t="s">
        <v>2239</v>
      </c>
      <c r="F2961" s="3" t="s">
        <v>2512</v>
      </c>
    </row>
    <row r="2962" spans="1:6" x14ac:dyDescent="0.3">
      <c r="A2962" s="3" t="s">
        <v>2103</v>
      </c>
      <c r="B2962" s="3" t="s">
        <v>30</v>
      </c>
      <c r="C2962" s="3" t="str">
        <f t="shared" si="46"/>
        <v>450013865310</v>
      </c>
      <c r="D2962" s="4">
        <v>46290</v>
      </c>
      <c r="E2962" s="3" t="s">
        <v>2244</v>
      </c>
      <c r="F2962" s="3" t="s">
        <v>2680</v>
      </c>
    </row>
    <row r="2963" spans="1:6" x14ac:dyDescent="0.3">
      <c r="A2963" s="3" t="s">
        <v>3205</v>
      </c>
      <c r="B2963" s="3" t="s">
        <v>30</v>
      </c>
      <c r="C2963" s="3" t="str">
        <f t="shared" si="46"/>
        <v>450013865710</v>
      </c>
      <c r="D2963" s="4">
        <v>46300</v>
      </c>
      <c r="E2963" s="3" t="s">
        <v>2195</v>
      </c>
      <c r="F2963" s="3" t="s">
        <v>3224</v>
      </c>
    </row>
    <row r="2964" spans="1:6" x14ac:dyDescent="0.3">
      <c r="A2964" s="3" t="s">
        <v>3205</v>
      </c>
      <c r="B2964" s="3" t="s">
        <v>22</v>
      </c>
      <c r="C2964" s="3" t="str">
        <f t="shared" si="46"/>
        <v>450013865720</v>
      </c>
      <c r="D2964" s="4">
        <v>46300</v>
      </c>
      <c r="E2964" s="3" t="s">
        <v>2195</v>
      </c>
      <c r="F2964" s="3" t="s">
        <v>3224</v>
      </c>
    </row>
    <row r="2965" spans="1:6" x14ac:dyDescent="0.3">
      <c r="A2965" s="3" t="s">
        <v>1735</v>
      </c>
      <c r="B2965" s="3" t="s">
        <v>22</v>
      </c>
      <c r="C2965" s="3" t="str">
        <f t="shared" si="46"/>
        <v>450013867020</v>
      </c>
      <c r="D2965" s="4">
        <v>46295</v>
      </c>
      <c r="E2965" s="3" t="s">
        <v>2243</v>
      </c>
      <c r="F2965" s="3" t="s">
        <v>2463</v>
      </c>
    </row>
    <row r="2966" spans="1:6" x14ac:dyDescent="0.3">
      <c r="A2966" s="3" t="s">
        <v>1956</v>
      </c>
      <c r="B2966" s="3" t="s">
        <v>30</v>
      </c>
      <c r="C2966" s="3" t="str">
        <f t="shared" si="46"/>
        <v>450013868810</v>
      </c>
      <c r="D2966" s="4">
        <v>46325</v>
      </c>
      <c r="E2966" s="3" t="s">
        <v>2204</v>
      </c>
      <c r="F2966" s="3" t="s">
        <v>2459</v>
      </c>
    </row>
    <row r="2967" spans="1:6" x14ac:dyDescent="0.3">
      <c r="A2967" s="3" t="s">
        <v>2000</v>
      </c>
      <c r="B2967" s="3" t="s">
        <v>30</v>
      </c>
      <c r="C2967" s="3" t="str">
        <f t="shared" si="46"/>
        <v>450013871610</v>
      </c>
      <c r="D2967" s="4">
        <v>46290</v>
      </c>
      <c r="E2967" s="3" t="s">
        <v>2249</v>
      </c>
      <c r="F2967" s="3" t="s">
        <v>2454</v>
      </c>
    </row>
    <row r="2968" spans="1:6" x14ac:dyDescent="0.3">
      <c r="A2968" s="3" t="s">
        <v>2000</v>
      </c>
      <c r="B2968" s="3" t="s">
        <v>22</v>
      </c>
      <c r="C2968" s="3" t="str">
        <f t="shared" si="46"/>
        <v>450013871620</v>
      </c>
      <c r="D2968" s="4">
        <v>46290</v>
      </c>
      <c r="E2968" s="3" t="s">
        <v>2249</v>
      </c>
      <c r="F2968" s="3" t="s">
        <v>2454</v>
      </c>
    </row>
    <row r="2969" spans="1:6" x14ac:dyDescent="0.3">
      <c r="A2969" s="3" t="s">
        <v>2000</v>
      </c>
      <c r="B2969" s="3" t="s">
        <v>35</v>
      </c>
      <c r="C2969" s="3" t="str">
        <f t="shared" si="46"/>
        <v>450013871630</v>
      </c>
      <c r="D2969" s="4">
        <v>46290</v>
      </c>
      <c r="E2969" s="3" t="s">
        <v>2249</v>
      </c>
      <c r="F2969" s="3" t="s">
        <v>2454</v>
      </c>
    </row>
    <row r="2970" spans="1:6" x14ac:dyDescent="0.3">
      <c r="A2970" s="3" t="s">
        <v>2000</v>
      </c>
      <c r="B2970" s="3" t="s">
        <v>23</v>
      </c>
      <c r="C2970" s="3" t="str">
        <f t="shared" si="46"/>
        <v>450013871640</v>
      </c>
      <c r="D2970" s="4">
        <v>46290</v>
      </c>
      <c r="E2970" s="3" t="s">
        <v>2249</v>
      </c>
      <c r="F2970" s="3" t="s">
        <v>2454</v>
      </c>
    </row>
    <row r="2971" spans="1:6" x14ac:dyDescent="0.3">
      <c r="A2971" s="3" t="s">
        <v>2000</v>
      </c>
      <c r="B2971" s="3" t="s">
        <v>144</v>
      </c>
      <c r="C2971" s="3" t="str">
        <f t="shared" si="46"/>
        <v>450013871650</v>
      </c>
      <c r="D2971" s="4">
        <v>46290</v>
      </c>
      <c r="E2971" s="3" t="s">
        <v>2249</v>
      </c>
      <c r="F2971" s="3" t="s">
        <v>2454</v>
      </c>
    </row>
    <row r="2972" spans="1:6" x14ac:dyDescent="0.3">
      <c r="A2972" s="3" t="s">
        <v>2000</v>
      </c>
      <c r="B2972" s="3" t="s">
        <v>141</v>
      </c>
      <c r="C2972" s="3" t="str">
        <f t="shared" si="46"/>
        <v>450013871660</v>
      </c>
      <c r="D2972" s="4">
        <v>46290</v>
      </c>
      <c r="E2972" s="3" t="s">
        <v>2249</v>
      </c>
      <c r="F2972" s="3" t="s">
        <v>2454</v>
      </c>
    </row>
    <row r="2973" spans="1:6" x14ac:dyDescent="0.3">
      <c r="A2973" s="3" t="s">
        <v>2000</v>
      </c>
      <c r="B2973" s="3" t="s">
        <v>134</v>
      </c>
      <c r="C2973" s="3" t="str">
        <f t="shared" si="46"/>
        <v>450013871670</v>
      </c>
      <c r="D2973" s="4">
        <v>46290</v>
      </c>
      <c r="E2973" s="3" t="s">
        <v>2249</v>
      </c>
      <c r="F2973" s="3" t="s">
        <v>2454</v>
      </c>
    </row>
    <row r="2974" spans="1:6" x14ac:dyDescent="0.3">
      <c r="A2974" s="3" t="s">
        <v>2000</v>
      </c>
      <c r="B2974" s="3" t="s">
        <v>52</v>
      </c>
      <c r="C2974" s="3" t="str">
        <f t="shared" si="46"/>
        <v>450013871680</v>
      </c>
      <c r="D2974" s="4">
        <v>46290</v>
      </c>
      <c r="E2974" s="3" t="s">
        <v>2249</v>
      </c>
      <c r="F2974" s="3" t="s">
        <v>2454</v>
      </c>
    </row>
    <row r="2975" spans="1:6" x14ac:dyDescent="0.3">
      <c r="A2975" s="3" t="s">
        <v>2000</v>
      </c>
      <c r="B2975" s="3" t="s">
        <v>138</v>
      </c>
      <c r="C2975" s="3" t="str">
        <f t="shared" si="46"/>
        <v>450013871690</v>
      </c>
      <c r="D2975" s="4">
        <v>46290</v>
      </c>
      <c r="E2975" s="3" t="s">
        <v>2249</v>
      </c>
      <c r="F2975" s="3" t="s">
        <v>2454</v>
      </c>
    </row>
    <row r="2976" spans="1:6" x14ac:dyDescent="0.3">
      <c r="A2976" s="3" t="s">
        <v>2000</v>
      </c>
      <c r="B2976" s="3" t="s">
        <v>45</v>
      </c>
      <c r="C2976" s="3" t="str">
        <f t="shared" si="46"/>
        <v>4500138716100</v>
      </c>
      <c r="D2976" s="4">
        <v>46290</v>
      </c>
      <c r="E2976" s="3" t="s">
        <v>2249</v>
      </c>
      <c r="F2976" s="3" t="s">
        <v>2454</v>
      </c>
    </row>
    <row r="2977" spans="1:6" x14ac:dyDescent="0.3">
      <c r="A2977" s="3" t="s">
        <v>1682</v>
      </c>
      <c r="B2977" s="3" t="s">
        <v>30</v>
      </c>
      <c r="C2977" s="3" t="str">
        <f t="shared" si="46"/>
        <v>450013871810</v>
      </c>
      <c r="D2977" s="4">
        <v>46296</v>
      </c>
      <c r="E2977" s="3" t="s">
        <v>2207</v>
      </c>
      <c r="F2977" s="3" t="s">
        <v>2489</v>
      </c>
    </row>
    <row r="2978" spans="1:6" x14ac:dyDescent="0.3">
      <c r="A2978" s="3" t="s">
        <v>1518</v>
      </c>
      <c r="B2978" s="3" t="s">
        <v>30</v>
      </c>
      <c r="C2978" s="3" t="str">
        <f t="shared" si="46"/>
        <v>450013873410</v>
      </c>
      <c r="D2978" s="4">
        <v>46300</v>
      </c>
      <c r="E2978" s="3" t="s">
        <v>2207</v>
      </c>
      <c r="F2978" s="3" t="s">
        <v>2606</v>
      </c>
    </row>
    <row r="2979" spans="1:6" x14ac:dyDescent="0.3">
      <c r="A2979" s="3" t="s">
        <v>1518</v>
      </c>
      <c r="B2979" s="3" t="s">
        <v>22</v>
      </c>
      <c r="C2979" s="3" t="str">
        <f t="shared" si="46"/>
        <v>450013873420</v>
      </c>
      <c r="D2979" s="4">
        <v>46300</v>
      </c>
      <c r="E2979" s="3" t="s">
        <v>2207</v>
      </c>
      <c r="F2979" s="3" t="s">
        <v>2606</v>
      </c>
    </row>
    <row r="2980" spans="1:6" x14ac:dyDescent="0.3">
      <c r="A2980" s="3" t="s">
        <v>2156</v>
      </c>
      <c r="B2980" s="3" t="s">
        <v>30</v>
      </c>
      <c r="C2980" s="3" t="str">
        <f t="shared" si="46"/>
        <v>450013875710</v>
      </c>
      <c r="D2980" s="4">
        <v>46287</v>
      </c>
      <c r="E2980" s="3" t="s">
        <v>2212</v>
      </c>
      <c r="F2980" s="3" t="s">
        <v>2450</v>
      </c>
    </row>
    <row r="2981" spans="1:6" x14ac:dyDescent="0.3">
      <c r="A2981" s="3" t="s">
        <v>2156</v>
      </c>
      <c r="B2981" s="3" t="s">
        <v>22</v>
      </c>
      <c r="C2981" s="3" t="str">
        <f t="shared" si="46"/>
        <v>450013875720</v>
      </c>
      <c r="D2981" s="4">
        <v>46287</v>
      </c>
      <c r="E2981" s="3" t="s">
        <v>2212</v>
      </c>
      <c r="F2981" s="3" t="s">
        <v>2450</v>
      </c>
    </row>
    <row r="2982" spans="1:6" x14ac:dyDescent="0.3">
      <c r="A2982" s="3" t="s">
        <v>2156</v>
      </c>
      <c r="B2982" s="3" t="s">
        <v>35</v>
      </c>
      <c r="C2982" s="3" t="str">
        <f t="shared" si="46"/>
        <v>450013875730</v>
      </c>
      <c r="D2982" s="4">
        <v>46287</v>
      </c>
      <c r="E2982" s="3" t="s">
        <v>2212</v>
      </c>
      <c r="F2982" s="3" t="s">
        <v>2450</v>
      </c>
    </row>
    <row r="2983" spans="1:6" x14ac:dyDescent="0.3">
      <c r="A2983" s="3" t="s">
        <v>2156</v>
      </c>
      <c r="B2983" s="3" t="s">
        <v>23</v>
      </c>
      <c r="C2983" s="3" t="str">
        <f t="shared" si="46"/>
        <v>450013875740</v>
      </c>
      <c r="D2983" s="4">
        <v>46287</v>
      </c>
      <c r="E2983" s="3" t="s">
        <v>2212</v>
      </c>
      <c r="F2983" s="3" t="s">
        <v>2450</v>
      </c>
    </row>
    <row r="2984" spans="1:6" x14ac:dyDescent="0.3">
      <c r="A2984" s="3" t="s">
        <v>2156</v>
      </c>
      <c r="B2984" s="3" t="s">
        <v>144</v>
      </c>
      <c r="C2984" s="3" t="str">
        <f t="shared" si="46"/>
        <v>450013875750</v>
      </c>
      <c r="D2984" s="4">
        <v>46287</v>
      </c>
      <c r="E2984" s="3" t="s">
        <v>2212</v>
      </c>
      <c r="F2984" s="3" t="s">
        <v>2450</v>
      </c>
    </row>
    <row r="2985" spans="1:6" x14ac:dyDescent="0.3">
      <c r="A2985" s="3" t="s">
        <v>2156</v>
      </c>
      <c r="B2985" s="3" t="s">
        <v>141</v>
      </c>
      <c r="C2985" s="3" t="str">
        <f t="shared" si="46"/>
        <v>450013875760</v>
      </c>
      <c r="D2985" s="4">
        <v>46287</v>
      </c>
      <c r="E2985" s="3" t="s">
        <v>2212</v>
      </c>
      <c r="F2985" s="3" t="s">
        <v>2450</v>
      </c>
    </row>
    <row r="2986" spans="1:6" x14ac:dyDescent="0.3">
      <c r="A2986" s="3" t="s">
        <v>2156</v>
      </c>
      <c r="B2986" s="3" t="s">
        <v>52</v>
      </c>
      <c r="C2986" s="3" t="str">
        <f t="shared" si="46"/>
        <v>450013875780</v>
      </c>
      <c r="D2986" s="4">
        <v>46287</v>
      </c>
      <c r="E2986" s="3" t="s">
        <v>2212</v>
      </c>
      <c r="F2986" s="3" t="s">
        <v>2450</v>
      </c>
    </row>
    <row r="2987" spans="1:6" x14ac:dyDescent="0.3">
      <c r="A2987" s="3" t="s">
        <v>2156</v>
      </c>
      <c r="B2987" s="3" t="s">
        <v>138</v>
      </c>
      <c r="C2987" s="3" t="str">
        <f t="shared" si="46"/>
        <v>450013875790</v>
      </c>
      <c r="D2987" s="4">
        <v>46287</v>
      </c>
      <c r="E2987" s="3" t="s">
        <v>2212</v>
      </c>
      <c r="F2987" s="3" t="s">
        <v>2450</v>
      </c>
    </row>
    <row r="2988" spans="1:6" x14ac:dyDescent="0.3">
      <c r="A2988" s="3" t="s">
        <v>2055</v>
      </c>
      <c r="B2988" s="3" t="s">
        <v>30</v>
      </c>
      <c r="C2988" s="3" t="str">
        <f t="shared" si="46"/>
        <v>450013876510</v>
      </c>
      <c r="D2988" s="4">
        <v>46297</v>
      </c>
      <c r="E2988" s="3" t="s">
        <v>2236</v>
      </c>
      <c r="F2988" s="3" t="s">
        <v>2681</v>
      </c>
    </row>
    <row r="2989" spans="1:6" x14ac:dyDescent="0.3">
      <c r="A2989" s="3" t="s">
        <v>2055</v>
      </c>
      <c r="B2989" s="3" t="s">
        <v>22</v>
      </c>
      <c r="C2989" s="3" t="str">
        <f t="shared" si="46"/>
        <v>450013876520</v>
      </c>
      <c r="D2989" s="4">
        <v>46297</v>
      </c>
      <c r="E2989" s="3" t="s">
        <v>2236</v>
      </c>
      <c r="F2989" s="3" t="s">
        <v>2681</v>
      </c>
    </row>
    <row r="2990" spans="1:6" x14ac:dyDescent="0.3">
      <c r="A2990" s="3" t="s">
        <v>2055</v>
      </c>
      <c r="B2990" s="3" t="s">
        <v>35</v>
      </c>
      <c r="C2990" s="3" t="str">
        <f t="shared" si="46"/>
        <v>450013876530</v>
      </c>
      <c r="D2990" s="4">
        <v>46297</v>
      </c>
      <c r="E2990" s="3" t="s">
        <v>2236</v>
      </c>
      <c r="F2990" s="3" t="s">
        <v>2681</v>
      </c>
    </row>
    <row r="2991" spans="1:6" x14ac:dyDescent="0.3">
      <c r="A2991" s="3" t="s">
        <v>1965</v>
      </c>
      <c r="B2991" s="3" t="s">
        <v>30</v>
      </c>
      <c r="C2991" s="3" t="str">
        <f t="shared" si="46"/>
        <v>450013878210</v>
      </c>
      <c r="D2991" s="4">
        <v>46295</v>
      </c>
      <c r="E2991" s="3" t="s">
        <v>2196</v>
      </c>
      <c r="F2991" s="3" t="s">
        <v>2491</v>
      </c>
    </row>
    <row r="2992" spans="1:6" x14ac:dyDescent="0.3">
      <c r="A2992" s="3" t="s">
        <v>1965</v>
      </c>
      <c r="B2992" s="3" t="s">
        <v>22</v>
      </c>
      <c r="C2992" s="3" t="str">
        <f t="shared" si="46"/>
        <v>450013878220</v>
      </c>
      <c r="D2992" s="4">
        <v>46295</v>
      </c>
      <c r="E2992" s="3" t="s">
        <v>2196</v>
      </c>
      <c r="F2992" s="3" t="s">
        <v>2491</v>
      </c>
    </row>
    <row r="2993" spans="1:6" x14ac:dyDescent="0.3">
      <c r="A2993" s="3" t="s">
        <v>1965</v>
      </c>
      <c r="B2993" s="3" t="s">
        <v>35</v>
      </c>
      <c r="C2993" s="3" t="str">
        <f t="shared" si="46"/>
        <v>450013878230</v>
      </c>
      <c r="D2993" s="4">
        <v>46311</v>
      </c>
      <c r="E2993" s="3" t="s">
        <v>2196</v>
      </c>
      <c r="F2993" s="3" t="s">
        <v>2491</v>
      </c>
    </row>
    <row r="2994" spans="1:6" x14ac:dyDescent="0.3">
      <c r="A2994" s="3" t="s">
        <v>1965</v>
      </c>
      <c r="B2994" s="3" t="s">
        <v>23</v>
      </c>
      <c r="C2994" s="3" t="str">
        <f t="shared" si="46"/>
        <v>450013878240</v>
      </c>
      <c r="D2994" s="4">
        <v>46295</v>
      </c>
      <c r="E2994" s="3" t="s">
        <v>2196</v>
      </c>
      <c r="F2994" s="3" t="s">
        <v>2491</v>
      </c>
    </row>
    <row r="2995" spans="1:6" x14ac:dyDescent="0.3">
      <c r="A2995" s="3" t="s">
        <v>1876</v>
      </c>
      <c r="B2995" s="3" t="s">
        <v>30</v>
      </c>
      <c r="C2995" s="3" t="str">
        <f t="shared" si="46"/>
        <v>450013881510</v>
      </c>
      <c r="D2995" s="4">
        <v>46290</v>
      </c>
      <c r="E2995" s="3" t="s">
        <v>2196</v>
      </c>
      <c r="F2995" s="3" t="s">
        <v>2423</v>
      </c>
    </row>
    <row r="2996" spans="1:6" x14ac:dyDescent="0.3">
      <c r="A2996" s="3" t="s">
        <v>1876</v>
      </c>
      <c r="B2996" s="3" t="s">
        <v>22</v>
      </c>
      <c r="C2996" s="3" t="str">
        <f t="shared" si="46"/>
        <v>450013881520</v>
      </c>
      <c r="D2996" s="4">
        <v>46290</v>
      </c>
      <c r="E2996" s="3" t="s">
        <v>2196</v>
      </c>
      <c r="F2996" s="3" t="s">
        <v>2423</v>
      </c>
    </row>
    <row r="2997" spans="1:6" x14ac:dyDescent="0.3">
      <c r="A2997" s="3" t="s">
        <v>1876</v>
      </c>
      <c r="B2997" s="3" t="s">
        <v>35</v>
      </c>
      <c r="C2997" s="3" t="str">
        <f t="shared" si="46"/>
        <v>450013881530</v>
      </c>
      <c r="D2997" s="4">
        <v>46290</v>
      </c>
      <c r="E2997" s="3" t="s">
        <v>2196</v>
      </c>
      <c r="F2997" s="3" t="s">
        <v>2423</v>
      </c>
    </row>
    <row r="2998" spans="1:6" x14ac:dyDescent="0.3">
      <c r="A2998" s="3" t="s">
        <v>1876</v>
      </c>
      <c r="B2998" s="3" t="s">
        <v>23</v>
      </c>
      <c r="C2998" s="3" t="str">
        <f t="shared" si="46"/>
        <v>450013881540</v>
      </c>
      <c r="D2998" s="4">
        <v>46290</v>
      </c>
      <c r="E2998" s="3" t="s">
        <v>2196</v>
      </c>
      <c r="F2998" s="3" t="s">
        <v>2423</v>
      </c>
    </row>
    <row r="2999" spans="1:6" x14ac:dyDescent="0.3">
      <c r="A2999" s="3" t="s">
        <v>1876</v>
      </c>
      <c r="B2999" s="3" t="s">
        <v>144</v>
      </c>
      <c r="C2999" s="3" t="str">
        <f t="shared" si="46"/>
        <v>450013881550</v>
      </c>
      <c r="D2999" s="4">
        <v>46290</v>
      </c>
      <c r="E2999" s="3" t="s">
        <v>2196</v>
      </c>
      <c r="F2999" s="3" t="s">
        <v>2423</v>
      </c>
    </row>
    <row r="3000" spans="1:6" x14ac:dyDescent="0.3">
      <c r="A3000" s="3" t="s">
        <v>1876</v>
      </c>
      <c r="B3000" s="3" t="s">
        <v>141</v>
      </c>
      <c r="C3000" s="3" t="str">
        <f t="shared" si="46"/>
        <v>450013881560</v>
      </c>
      <c r="D3000" s="4">
        <v>46290</v>
      </c>
      <c r="E3000" s="3" t="s">
        <v>2196</v>
      </c>
      <c r="F3000" s="3" t="s">
        <v>2423</v>
      </c>
    </row>
    <row r="3001" spans="1:6" x14ac:dyDescent="0.3">
      <c r="A3001" s="3" t="s">
        <v>1876</v>
      </c>
      <c r="B3001" s="3" t="s">
        <v>134</v>
      </c>
      <c r="C3001" s="3" t="str">
        <f t="shared" si="46"/>
        <v>450013881570</v>
      </c>
      <c r="D3001" s="4">
        <v>46290</v>
      </c>
      <c r="E3001" s="3" t="s">
        <v>2196</v>
      </c>
      <c r="F3001" s="3" t="s">
        <v>2423</v>
      </c>
    </row>
    <row r="3002" spans="1:6" x14ac:dyDescent="0.3">
      <c r="A3002" s="3" t="s">
        <v>1876</v>
      </c>
      <c r="B3002" s="3" t="s">
        <v>45</v>
      </c>
      <c r="C3002" s="3" t="str">
        <f t="shared" si="46"/>
        <v>4500138815100</v>
      </c>
      <c r="D3002" s="4">
        <v>46290</v>
      </c>
      <c r="E3002" s="3" t="s">
        <v>2196</v>
      </c>
      <c r="F3002" s="3" t="s">
        <v>2423</v>
      </c>
    </row>
    <row r="3003" spans="1:6" x14ac:dyDescent="0.3">
      <c r="A3003" s="3" t="s">
        <v>1876</v>
      </c>
      <c r="B3003" s="3" t="s">
        <v>156</v>
      </c>
      <c r="C3003" s="3" t="str">
        <f t="shared" si="46"/>
        <v>4500138815110</v>
      </c>
      <c r="D3003" s="4">
        <v>46290</v>
      </c>
      <c r="E3003" s="3" t="s">
        <v>2196</v>
      </c>
      <c r="F3003" s="3" t="s">
        <v>2423</v>
      </c>
    </row>
    <row r="3004" spans="1:6" x14ac:dyDescent="0.3">
      <c r="A3004" s="3" t="s">
        <v>1876</v>
      </c>
      <c r="B3004" s="3" t="s">
        <v>132</v>
      </c>
      <c r="C3004" s="3" t="str">
        <f t="shared" si="46"/>
        <v>4500138815120</v>
      </c>
      <c r="D3004" s="4">
        <v>46290</v>
      </c>
      <c r="E3004" s="3" t="s">
        <v>2196</v>
      </c>
      <c r="F3004" s="3" t="s">
        <v>2423</v>
      </c>
    </row>
    <row r="3005" spans="1:6" x14ac:dyDescent="0.3">
      <c r="A3005" s="3" t="s">
        <v>1876</v>
      </c>
      <c r="B3005" s="3" t="s">
        <v>131</v>
      </c>
      <c r="C3005" s="3" t="str">
        <f t="shared" si="46"/>
        <v>4500138815140</v>
      </c>
      <c r="D3005" s="4">
        <v>46290</v>
      </c>
      <c r="E3005" s="3" t="s">
        <v>2196</v>
      </c>
      <c r="F3005" s="3" t="s">
        <v>2423</v>
      </c>
    </row>
    <row r="3006" spans="1:6" x14ac:dyDescent="0.3">
      <c r="A3006" s="3" t="s">
        <v>1876</v>
      </c>
      <c r="B3006" s="3" t="s">
        <v>68</v>
      </c>
      <c r="C3006" s="3" t="str">
        <f t="shared" si="46"/>
        <v>4500138815150</v>
      </c>
      <c r="D3006" s="4">
        <v>46290</v>
      </c>
      <c r="E3006" s="3" t="s">
        <v>2196</v>
      </c>
      <c r="F3006" s="3" t="s">
        <v>2423</v>
      </c>
    </row>
    <row r="3007" spans="1:6" x14ac:dyDescent="0.3">
      <c r="A3007" s="3" t="s">
        <v>1876</v>
      </c>
      <c r="B3007" s="3" t="s">
        <v>129</v>
      </c>
      <c r="C3007" s="3" t="str">
        <f t="shared" si="46"/>
        <v>4500138815160</v>
      </c>
      <c r="D3007" s="4">
        <v>46290</v>
      </c>
      <c r="E3007" s="3" t="s">
        <v>2196</v>
      </c>
      <c r="F3007" s="3" t="s">
        <v>2423</v>
      </c>
    </row>
    <row r="3008" spans="1:6" x14ac:dyDescent="0.3">
      <c r="A3008" s="3" t="s">
        <v>1876</v>
      </c>
      <c r="B3008" s="3" t="s">
        <v>53</v>
      </c>
      <c r="C3008" s="3" t="str">
        <f t="shared" si="46"/>
        <v>4500138815170</v>
      </c>
      <c r="D3008" s="4">
        <v>46308</v>
      </c>
      <c r="E3008" s="3" t="s">
        <v>2196</v>
      </c>
      <c r="F3008" s="3" t="s">
        <v>2423</v>
      </c>
    </row>
    <row r="3009" spans="1:6" x14ac:dyDescent="0.3">
      <c r="A3009" s="3" t="s">
        <v>1876</v>
      </c>
      <c r="B3009" s="3" t="s">
        <v>136</v>
      </c>
      <c r="C3009" s="3" t="str">
        <f t="shared" si="46"/>
        <v>4500138815210</v>
      </c>
      <c r="D3009" s="4">
        <v>46290</v>
      </c>
      <c r="E3009" s="3" t="s">
        <v>2196</v>
      </c>
      <c r="F3009" s="3" t="s">
        <v>2423</v>
      </c>
    </row>
    <row r="3010" spans="1:6" x14ac:dyDescent="0.3">
      <c r="A3010" s="3" t="s">
        <v>1876</v>
      </c>
      <c r="B3010" s="3" t="s">
        <v>140</v>
      </c>
      <c r="C3010" s="3" t="str">
        <f t="shared" si="46"/>
        <v>4500138815220</v>
      </c>
      <c r="D3010" s="4">
        <v>46290</v>
      </c>
      <c r="E3010" s="3" t="s">
        <v>2196</v>
      </c>
      <c r="F3010" s="3" t="s">
        <v>2423</v>
      </c>
    </row>
    <row r="3011" spans="1:6" x14ac:dyDescent="0.3">
      <c r="A3011" s="3" t="s">
        <v>1768</v>
      </c>
      <c r="B3011" s="3" t="s">
        <v>30</v>
      </c>
      <c r="C3011" s="3" t="str">
        <f t="shared" ref="C3011:C3074" si="47">_xlfn.CONCAT(A3011:B3011)</f>
        <v>450013881810</v>
      </c>
      <c r="D3011" s="4">
        <v>46290</v>
      </c>
      <c r="E3011" s="3" t="s">
        <v>2196</v>
      </c>
      <c r="F3011" s="3" t="s">
        <v>2439</v>
      </c>
    </row>
    <row r="3012" spans="1:6" x14ac:dyDescent="0.3">
      <c r="A3012" s="3" t="s">
        <v>1768</v>
      </c>
      <c r="B3012" s="3" t="s">
        <v>22</v>
      </c>
      <c r="C3012" s="3" t="str">
        <f t="shared" si="47"/>
        <v>450013881820</v>
      </c>
      <c r="D3012" s="4">
        <v>46290</v>
      </c>
      <c r="E3012" s="3" t="s">
        <v>2196</v>
      </c>
      <c r="F3012" s="3" t="s">
        <v>2439</v>
      </c>
    </row>
    <row r="3013" spans="1:6" x14ac:dyDescent="0.3">
      <c r="A3013" s="3" t="s">
        <v>1768</v>
      </c>
      <c r="B3013" s="3" t="s">
        <v>23</v>
      </c>
      <c r="C3013" s="3" t="str">
        <f t="shared" si="47"/>
        <v>450013881840</v>
      </c>
      <c r="D3013" s="4">
        <v>46290</v>
      </c>
      <c r="E3013" s="3" t="s">
        <v>2196</v>
      </c>
      <c r="F3013" s="3" t="s">
        <v>2439</v>
      </c>
    </row>
    <row r="3014" spans="1:6" x14ac:dyDescent="0.3">
      <c r="A3014" s="3" t="s">
        <v>1768</v>
      </c>
      <c r="B3014" s="3" t="s">
        <v>144</v>
      </c>
      <c r="C3014" s="3" t="str">
        <f t="shared" si="47"/>
        <v>450013881850</v>
      </c>
      <c r="D3014" s="4">
        <v>46290</v>
      </c>
      <c r="E3014" s="3" t="s">
        <v>2196</v>
      </c>
      <c r="F3014" s="3" t="s">
        <v>2439</v>
      </c>
    </row>
    <row r="3015" spans="1:6" x14ac:dyDescent="0.3">
      <c r="A3015" s="3" t="s">
        <v>1749</v>
      </c>
      <c r="B3015" s="3" t="s">
        <v>30</v>
      </c>
      <c r="C3015" s="3" t="str">
        <f t="shared" si="47"/>
        <v>450013882410</v>
      </c>
      <c r="D3015" s="4">
        <v>46294</v>
      </c>
      <c r="E3015" s="3" t="s">
        <v>2196</v>
      </c>
      <c r="F3015" s="3" t="s">
        <v>2681</v>
      </c>
    </row>
    <row r="3016" spans="1:6" x14ac:dyDescent="0.3">
      <c r="A3016" s="3" t="s">
        <v>1892</v>
      </c>
      <c r="B3016" s="3" t="s">
        <v>30</v>
      </c>
      <c r="C3016" s="3" t="str">
        <f t="shared" si="47"/>
        <v>450013883110</v>
      </c>
      <c r="D3016" s="4">
        <v>46295</v>
      </c>
      <c r="E3016" s="3" t="s">
        <v>2196</v>
      </c>
      <c r="F3016" s="3" t="s">
        <v>2515</v>
      </c>
    </row>
    <row r="3017" spans="1:6" x14ac:dyDescent="0.3">
      <c r="A3017" s="3" t="s">
        <v>1892</v>
      </c>
      <c r="B3017" s="3" t="s">
        <v>22</v>
      </c>
      <c r="C3017" s="3" t="str">
        <f t="shared" si="47"/>
        <v>450013883120</v>
      </c>
      <c r="D3017" s="4">
        <v>46295</v>
      </c>
      <c r="E3017" s="3" t="s">
        <v>2196</v>
      </c>
      <c r="F3017" s="3" t="s">
        <v>2515</v>
      </c>
    </row>
    <row r="3018" spans="1:6" x14ac:dyDescent="0.3">
      <c r="A3018" s="3" t="s">
        <v>1892</v>
      </c>
      <c r="B3018" s="3" t="s">
        <v>35</v>
      </c>
      <c r="C3018" s="3" t="str">
        <f t="shared" si="47"/>
        <v>450013883130</v>
      </c>
      <c r="D3018" s="4">
        <v>46295</v>
      </c>
      <c r="E3018" s="3" t="s">
        <v>2196</v>
      </c>
      <c r="F3018" s="3" t="s">
        <v>2515</v>
      </c>
    </row>
    <row r="3019" spans="1:6" x14ac:dyDescent="0.3">
      <c r="A3019" s="3" t="s">
        <v>1892</v>
      </c>
      <c r="B3019" s="3" t="s">
        <v>23</v>
      </c>
      <c r="C3019" s="3" t="str">
        <f t="shared" si="47"/>
        <v>450013883140</v>
      </c>
      <c r="D3019" s="4">
        <v>46295</v>
      </c>
      <c r="E3019" s="3" t="s">
        <v>2196</v>
      </c>
      <c r="F3019" s="3" t="s">
        <v>2515</v>
      </c>
    </row>
    <row r="3020" spans="1:6" x14ac:dyDescent="0.3">
      <c r="A3020" s="3" t="s">
        <v>1892</v>
      </c>
      <c r="B3020" s="3" t="s">
        <v>144</v>
      </c>
      <c r="C3020" s="3" t="str">
        <f t="shared" si="47"/>
        <v>450013883150</v>
      </c>
      <c r="D3020" s="4">
        <v>46295</v>
      </c>
      <c r="E3020" s="3" t="s">
        <v>2196</v>
      </c>
      <c r="F3020" s="3" t="s">
        <v>2515</v>
      </c>
    </row>
    <row r="3021" spans="1:6" x14ac:dyDescent="0.3">
      <c r="A3021" s="3" t="s">
        <v>1892</v>
      </c>
      <c r="B3021" s="3" t="s">
        <v>141</v>
      </c>
      <c r="C3021" s="3" t="str">
        <f t="shared" si="47"/>
        <v>450013883160</v>
      </c>
      <c r="D3021" s="4">
        <v>46295</v>
      </c>
      <c r="E3021" s="3" t="s">
        <v>2196</v>
      </c>
      <c r="F3021" s="3" t="s">
        <v>2515</v>
      </c>
    </row>
    <row r="3022" spans="1:6" x14ac:dyDescent="0.3">
      <c r="A3022" s="3" t="s">
        <v>1892</v>
      </c>
      <c r="B3022" s="3" t="s">
        <v>134</v>
      </c>
      <c r="C3022" s="3" t="str">
        <f t="shared" si="47"/>
        <v>450013883170</v>
      </c>
      <c r="D3022" s="4">
        <v>46295</v>
      </c>
      <c r="E3022" s="3" t="s">
        <v>2196</v>
      </c>
      <c r="F3022" s="3" t="s">
        <v>2515</v>
      </c>
    </row>
    <row r="3023" spans="1:6" x14ac:dyDescent="0.3">
      <c r="A3023" s="3" t="s">
        <v>1892</v>
      </c>
      <c r="B3023" s="3" t="s">
        <v>52</v>
      </c>
      <c r="C3023" s="3" t="str">
        <f t="shared" si="47"/>
        <v>450013883180</v>
      </c>
      <c r="D3023" s="4">
        <v>46295</v>
      </c>
      <c r="E3023" s="3" t="s">
        <v>2196</v>
      </c>
      <c r="F3023" s="3" t="s">
        <v>2515</v>
      </c>
    </row>
    <row r="3024" spans="1:6" x14ac:dyDescent="0.3">
      <c r="A3024" s="3" t="s">
        <v>1892</v>
      </c>
      <c r="B3024" s="3" t="s">
        <v>138</v>
      </c>
      <c r="C3024" s="3" t="str">
        <f t="shared" si="47"/>
        <v>450013883190</v>
      </c>
      <c r="D3024" s="4">
        <v>46295</v>
      </c>
      <c r="E3024" s="3" t="s">
        <v>2196</v>
      </c>
      <c r="F3024" s="3" t="s">
        <v>2515</v>
      </c>
    </row>
    <row r="3025" spans="1:6" x14ac:dyDescent="0.3">
      <c r="A3025" s="3" t="s">
        <v>1892</v>
      </c>
      <c r="B3025" s="3" t="s">
        <v>45</v>
      </c>
      <c r="C3025" s="3" t="str">
        <f t="shared" si="47"/>
        <v>4500138831100</v>
      </c>
      <c r="D3025" s="4">
        <v>46295</v>
      </c>
      <c r="E3025" s="3" t="s">
        <v>2196</v>
      </c>
      <c r="F3025" s="3" t="s">
        <v>2515</v>
      </c>
    </row>
    <row r="3026" spans="1:6" x14ac:dyDescent="0.3">
      <c r="A3026" s="3" t="s">
        <v>1892</v>
      </c>
      <c r="B3026" s="3" t="s">
        <v>156</v>
      </c>
      <c r="C3026" s="3" t="str">
        <f t="shared" si="47"/>
        <v>4500138831110</v>
      </c>
      <c r="D3026" s="4">
        <v>46295</v>
      </c>
      <c r="E3026" s="3" t="s">
        <v>2196</v>
      </c>
      <c r="F3026" s="3" t="s">
        <v>2515</v>
      </c>
    </row>
    <row r="3027" spans="1:6" x14ac:dyDescent="0.3">
      <c r="A3027" s="3" t="s">
        <v>1892</v>
      </c>
      <c r="B3027" s="3" t="s">
        <v>132</v>
      </c>
      <c r="C3027" s="3" t="str">
        <f t="shared" si="47"/>
        <v>4500138831120</v>
      </c>
      <c r="D3027" s="4">
        <v>46295</v>
      </c>
      <c r="E3027" s="3" t="s">
        <v>2196</v>
      </c>
      <c r="F3027" s="3" t="s">
        <v>2515</v>
      </c>
    </row>
    <row r="3028" spans="1:6" x14ac:dyDescent="0.3">
      <c r="A3028" s="3" t="s">
        <v>1892</v>
      </c>
      <c r="B3028" s="3" t="s">
        <v>142</v>
      </c>
      <c r="C3028" s="3" t="str">
        <f t="shared" si="47"/>
        <v>4500138831130</v>
      </c>
      <c r="D3028" s="4">
        <v>46295</v>
      </c>
      <c r="E3028" s="3" t="s">
        <v>2196</v>
      </c>
      <c r="F3028" s="3" t="s">
        <v>2515</v>
      </c>
    </row>
    <row r="3029" spans="1:6" x14ac:dyDescent="0.3">
      <c r="A3029" s="3" t="s">
        <v>1892</v>
      </c>
      <c r="B3029" s="3" t="s">
        <v>131</v>
      </c>
      <c r="C3029" s="3" t="str">
        <f t="shared" si="47"/>
        <v>4500138831140</v>
      </c>
      <c r="D3029" s="4">
        <v>46295</v>
      </c>
      <c r="E3029" s="3" t="s">
        <v>2196</v>
      </c>
      <c r="F3029" s="3" t="s">
        <v>2515</v>
      </c>
    </row>
    <row r="3030" spans="1:6" x14ac:dyDescent="0.3">
      <c r="A3030" s="3" t="s">
        <v>1892</v>
      </c>
      <c r="B3030" s="3" t="s">
        <v>129</v>
      </c>
      <c r="C3030" s="3" t="str">
        <f t="shared" si="47"/>
        <v>4500138831160</v>
      </c>
      <c r="D3030" s="4">
        <v>46295</v>
      </c>
      <c r="E3030" s="3" t="s">
        <v>2196</v>
      </c>
      <c r="F3030" s="3" t="s">
        <v>2515</v>
      </c>
    </row>
    <row r="3031" spans="1:6" x14ac:dyDescent="0.3">
      <c r="A3031" s="3" t="s">
        <v>1892</v>
      </c>
      <c r="B3031" s="3" t="s">
        <v>53</v>
      </c>
      <c r="C3031" s="3" t="str">
        <f t="shared" si="47"/>
        <v>4500138831170</v>
      </c>
      <c r="D3031" s="4">
        <v>46295</v>
      </c>
      <c r="E3031" s="3" t="s">
        <v>2196</v>
      </c>
      <c r="F3031" s="3" t="s">
        <v>2515</v>
      </c>
    </row>
    <row r="3032" spans="1:6" x14ac:dyDescent="0.3">
      <c r="A3032" s="3" t="s">
        <v>1892</v>
      </c>
      <c r="B3032" s="3" t="s">
        <v>130</v>
      </c>
      <c r="C3032" s="3" t="str">
        <f t="shared" si="47"/>
        <v>4500138831180</v>
      </c>
      <c r="D3032" s="4">
        <v>46295</v>
      </c>
      <c r="E3032" s="3" t="s">
        <v>2196</v>
      </c>
      <c r="F3032" s="3" t="s">
        <v>2515</v>
      </c>
    </row>
    <row r="3033" spans="1:6" x14ac:dyDescent="0.3">
      <c r="A3033" s="3" t="s">
        <v>1892</v>
      </c>
      <c r="B3033" s="3" t="s">
        <v>127</v>
      </c>
      <c r="C3033" s="3" t="str">
        <f t="shared" si="47"/>
        <v>4500138831190</v>
      </c>
      <c r="D3033" s="4">
        <v>46295</v>
      </c>
      <c r="E3033" s="3" t="s">
        <v>2196</v>
      </c>
      <c r="F3033" s="3" t="s">
        <v>2515</v>
      </c>
    </row>
    <row r="3034" spans="1:6" x14ac:dyDescent="0.3">
      <c r="A3034" s="3" t="s">
        <v>1892</v>
      </c>
      <c r="B3034" s="3" t="s">
        <v>161</v>
      </c>
      <c r="C3034" s="3" t="str">
        <f t="shared" si="47"/>
        <v>4500138831200</v>
      </c>
      <c r="D3034" s="4">
        <v>46295</v>
      </c>
      <c r="E3034" s="3" t="s">
        <v>2196</v>
      </c>
      <c r="F3034" s="3" t="s">
        <v>2515</v>
      </c>
    </row>
    <row r="3035" spans="1:6" x14ac:dyDescent="0.3">
      <c r="A3035" s="3" t="s">
        <v>1892</v>
      </c>
      <c r="B3035" s="3" t="s">
        <v>136</v>
      </c>
      <c r="C3035" s="3" t="str">
        <f t="shared" si="47"/>
        <v>4500138831210</v>
      </c>
      <c r="D3035" s="4">
        <v>46295</v>
      </c>
      <c r="E3035" s="3" t="s">
        <v>2196</v>
      </c>
      <c r="F3035" s="3" t="s">
        <v>2515</v>
      </c>
    </row>
    <row r="3036" spans="1:6" x14ac:dyDescent="0.3">
      <c r="A3036" s="3" t="s">
        <v>1544</v>
      </c>
      <c r="B3036" s="3" t="s">
        <v>30</v>
      </c>
      <c r="C3036" s="3" t="str">
        <f t="shared" si="47"/>
        <v>450013883510</v>
      </c>
      <c r="D3036" s="4">
        <v>46289</v>
      </c>
      <c r="E3036" s="3" t="s">
        <v>2239</v>
      </c>
      <c r="F3036" s="3" t="s">
        <v>2661</v>
      </c>
    </row>
    <row r="3037" spans="1:6" x14ac:dyDescent="0.3">
      <c r="A3037" s="3" t="s">
        <v>1544</v>
      </c>
      <c r="B3037" s="3" t="s">
        <v>22</v>
      </c>
      <c r="C3037" s="3" t="str">
        <f t="shared" si="47"/>
        <v>450013883520</v>
      </c>
      <c r="D3037" s="4">
        <v>46289</v>
      </c>
      <c r="E3037" s="3" t="s">
        <v>2239</v>
      </c>
      <c r="F3037" s="3" t="s">
        <v>2661</v>
      </c>
    </row>
    <row r="3038" spans="1:6" x14ac:dyDescent="0.3">
      <c r="A3038" s="3" t="s">
        <v>1544</v>
      </c>
      <c r="B3038" s="3" t="s">
        <v>35</v>
      </c>
      <c r="C3038" s="3" t="str">
        <f t="shared" si="47"/>
        <v>450013883530</v>
      </c>
      <c r="D3038" s="4">
        <v>46289</v>
      </c>
      <c r="E3038" s="3" t="s">
        <v>2239</v>
      </c>
      <c r="F3038" s="3" t="s">
        <v>2661</v>
      </c>
    </row>
    <row r="3039" spans="1:6" x14ac:dyDescent="0.3">
      <c r="A3039" s="3" t="s">
        <v>2960</v>
      </c>
      <c r="B3039" s="3" t="s">
        <v>30</v>
      </c>
      <c r="C3039" s="3" t="str">
        <f t="shared" si="47"/>
        <v>450013884110</v>
      </c>
      <c r="D3039" s="4">
        <v>46298</v>
      </c>
      <c r="E3039" s="3" t="s">
        <v>2239</v>
      </c>
      <c r="F3039" s="3" t="s">
        <v>2495</v>
      </c>
    </row>
    <row r="3040" spans="1:6" x14ac:dyDescent="0.3">
      <c r="A3040" s="3" t="s">
        <v>2965</v>
      </c>
      <c r="B3040" s="3" t="s">
        <v>30</v>
      </c>
      <c r="C3040" s="3" t="str">
        <f t="shared" si="47"/>
        <v>450013884210</v>
      </c>
      <c r="D3040" s="4">
        <v>46290</v>
      </c>
      <c r="E3040" s="3" t="s">
        <v>2239</v>
      </c>
      <c r="F3040" s="3" t="s">
        <v>3248</v>
      </c>
    </row>
    <row r="3041" spans="1:6" x14ac:dyDescent="0.3">
      <c r="A3041" s="3" t="s">
        <v>1771</v>
      </c>
      <c r="B3041" s="3" t="s">
        <v>30</v>
      </c>
      <c r="C3041" s="3" t="str">
        <f t="shared" si="47"/>
        <v>450013884510</v>
      </c>
      <c r="D3041" s="4">
        <v>46290</v>
      </c>
      <c r="E3041" s="3" t="s">
        <v>2200</v>
      </c>
      <c r="F3041" s="3" t="s">
        <v>2682</v>
      </c>
    </row>
    <row r="3042" spans="1:6" x14ac:dyDescent="0.3">
      <c r="A3042" s="3" t="s">
        <v>1934</v>
      </c>
      <c r="B3042" s="3" t="s">
        <v>30</v>
      </c>
      <c r="C3042" s="3" t="str">
        <f t="shared" si="47"/>
        <v>450013885010</v>
      </c>
      <c r="D3042" s="4">
        <v>46288</v>
      </c>
      <c r="E3042" s="3" t="s">
        <v>2196</v>
      </c>
      <c r="F3042" s="3" t="s">
        <v>2454</v>
      </c>
    </row>
    <row r="3043" spans="1:6" x14ac:dyDescent="0.3">
      <c r="A3043" s="3" t="s">
        <v>1934</v>
      </c>
      <c r="B3043" s="3" t="s">
        <v>22</v>
      </c>
      <c r="C3043" s="3" t="str">
        <f t="shared" si="47"/>
        <v>450013885020</v>
      </c>
      <c r="D3043" s="4">
        <v>46288</v>
      </c>
      <c r="E3043" s="3" t="s">
        <v>2196</v>
      </c>
      <c r="F3043" s="3" t="s">
        <v>2454</v>
      </c>
    </row>
    <row r="3044" spans="1:6" x14ac:dyDescent="0.3">
      <c r="A3044" s="3" t="s">
        <v>1814</v>
      </c>
      <c r="B3044" s="3" t="s">
        <v>30</v>
      </c>
      <c r="C3044" s="3" t="str">
        <f t="shared" si="47"/>
        <v>450013885110</v>
      </c>
      <c r="D3044" s="4">
        <v>46295</v>
      </c>
      <c r="E3044" s="3" t="s">
        <v>2239</v>
      </c>
      <c r="F3044" s="3" t="s">
        <v>2683</v>
      </c>
    </row>
    <row r="3045" spans="1:6" x14ac:dyDescent="0.3">
      <c r="A3045" s="3" t="s">
        <v>1580</v>
      </c>
      <c r="B3045" s="3" t="s">
        <v>30</v>
      </c>
      <c r="C3045" s="3" t="str">
        <f t="shared" si="47"/>
        <v>450013885210</v>
      </c>
      <c r="D3045" s="4">
        <v>46283</v>
      </c>
      <c r="E3045" s="3" t="s">
        <v>2238</v>
      </c>
      <c r="F3045" s="3" t="s">
        <v>2597</v>
      </c>
    </row>
    <row r="3046" spans="1:6" x14ac:dyDescent="0.3">
      <c r="A3046" s="3" t="s">
        <v>1680</v>
      </c>
      <c r="B3046" s="3" t="s">
        <v>30</v>
      </c>
      <c r="C3046" s="3" t="str">
        <f t="shared" si="47"/>
        <v>450013885510</v>
      </c>
      <c r="D3046" s="4">
        <v>46290</v>
      </c>
      <c r="E3046" s="3" t="s">
        <v>2239</v>
      </c>
      <c r="F3046" s="3" t="s">
        <v>2684</v>
      </c>
    </row>
    <row r="3047" spans="1:6" x14ac:dyDescent="0.3">
      <c r="A3047" s="3" t="s">
        <v>1680</v>
      </c>
      <c r="B3047" s="3" t="s">
        <v>22</v>
      </c>
      <c r="C3047" s="3" t="str">
        <f t="shared" si="47"/>
        <v>450013885520</v>
      </c>
      <c r="D3047" s="4">
        <v>46290</v>
      </c>
      <c r="E3047" s="3" t="s">
        <v>2239</v>
      </c>
      <c r="F3047" s="3" t="s">
        <v>2684</v>
      </c>
    </row>
    <row r="3048" spans="1:6" x14ac:dyDescent="0.3">
      <c r="A3048" s="3" t="s">
        <v>1680</v>
      </c>
      <c r="B3048" s="3" t="s">
        <v>35</v>
      </c>
      <c r="C3048" s="3" t="str">
        <f t="shared" si="47"/>
        <v>450013885530</v>
      </c>
      <c r="D3048" s="4">
        <v>46290</v>
      </c>
      <c r="E3048" s="3" t="s">
        <v>2239</v>
      </c>
      <c r="F3048" s="3" t="s">
        <v>2684</v>
      </c>
    </row>
    <row r="3049" spans="1:6" x14ac:dyDescent="0.3">
      <c r="A3049" s="3" t="s">
        <v>1816</v>
      </c>
      <c r="B3049" s="3" t="s">
        <v>30</v>
      </c>
      <c r="C3049" s="3" t="str">
        <f t="shared" si="47"/>
        <v>450013885610</v>
      </c>
      <c r="D3049" s="4">
        <v>46290</v>
      </c>
      <c r="E3049" s="3" t="s">
        <v>2239</v>
      </c>
      <c r="F3049" s="3" t="s">
        <v>2683</v>
      </c>
    </row>
    <row r="3050" spans="1:6" x14ac:dyDescent="0.3">
      <c r="A3050" s="3" t="s">
        <v>1664</v>
      </c>
      <c r="B3050" s="3" t="s">
        <v>30</v>
      </c>
      <c r="C3050" s="3" t="str">
        <f t="shared" si="47"/>
        <v>450013885710</v>
      </c>
      <c r="D3050" s="4">
        <v>46295</v>
      </c>
      <c r="E3050" s="3" t="s">
        <v>2196</v>
      </c>
      <c r="F3050" s="3" t="s">
        <v>2685</v>
      </c>
    </row>
    <row r="3051" spans="1:6" x14ac:dyDescent="0.3">
      <c r="A3051" s="3" t="s">
        <v>1664</v>
      </c>
      <c r="B3051" s="3" t="s">
        <v>22</v>
      </c>
      <c r="C3051" s="3" t="str">
        <f t="shared" si="47"/>
        <v>450013885720</v>
      </c>
      <c r="D3051" s="4">
        <v>46295</v>
      </c>
      <c r="E3051" s="3" t="s">
        <v>2196</v>
      </c>
      <c r="F3051" s="3" t="s">
        <v>2685</v>
      </c>
    </row>
    <row r="3052" spans="1:6" x14ac:dyDescent="0.3">
      <c r="A3052" s="3" t="s">
        <v>1793</v>
      </c>
      <c r="B3052" s="3" t="s">
        <v>30</v>
      </c>
      <c r="C3052" s="3" t="str">
        <f t="shared" si="47"/>
        <v>450013885910</v>
      </c>
      <c r="D3052" s="4">
        <v>46285</v>
      </c>
      <c r="E3052" s="3" t="s">
        <v>2200</v>
      </c>
      <c r="F3052" s="3" t="s">
        <v>2548</v>
      </c>
    </row>
    <row r="3053" spans="1:6" x14ac:dyDescent="0.3">
      <c r="A3053" s="3" t="s">
        <v>1862</v>
      </c>
      <c r="B3053" s="3" t="s">
        <v>30</v>
      </c>
      <c r="C3053" s="3" t="str">
        <f t="shared" si="47"/>
        <v>450013886410</v>
      </c>
      <c r="D3053" s="4">
        <v>46290</v>
      </c>
      <c r="E3053" s="3" t="s">
        <v>2233</v>
      </c>
      <c r="F3053" s="3" t="s">
        <v>2458</v>
      </c>
    </row>
    <row r="3054" spans="1:6" x14ac:dyDescent="0.3">
      <c r="A3054" s="3" t="s">
        <v>1862</v>
      </c>
      <c r="B3054" s="3" t="s">
        <v>22</v>
      </c>
      <c r="C3054" s="3" t="str">
        <f t="shared" si="47"/>
        <v>450013886420</v>
      </c>
      <c r="D3054" s="4">
        <v>46290</v>
      </c>
      <c r="E3054" s="3" t="s">
        <v>2233</v>
      </c>
      <c r="F3054" s="3" t="s">
        <v>2458</v>
      </c>
    </row>
    <row r="3055" spans="1:6" x14ac:dyDescent="0.3">
      <c r="A3055" s="3" t="s">
        <v>1862</v>
      </c>
      <c r="B3055" s="3" t="s">
        <v>141</v>
      </c>
      <c r="C3055" s="3" t="str">
        <f t="shared" si="47"/>
        <v>450013886460</v>
      </c>
      <c r="D3055" s="4">
        <v>46290</v>
      </c>
      <c r="E3055" s="3" t="s">
        <v>2233</v>
      </c>
      <c r="F3055" s="3" t="s">
        <v>2458</v>
      </c>
    </row>
    <row r="3056" spans="1:6" x14ac:dyDescent="0.3">
      <c r="A3056" s="3" t="s">
        <v>2390</v>
      </c>
      <c r="B3056" s="3" t="s">
        <v>30</v>
      </c>
      <c r="C3056" s="3" t="str">
        <f t="shared" si="47"/>
        <v>450013888110</v>
      </c>
      <c r="D3056" s="4">
        <v>46290</v>
      </c>
      <c r="E3056" s="3" t="s">
        <v>2239</v>
      </c>
      <c r="F3056" s="3" t="s">
        <v>2680</v>
      </c>
    </row>
    <row r="3057" spans="1:6" x14ac:dyDescent="0.3">
      <c r="A3057" s="3" t="s">
        <v>1777</v>
      </c>
      <c r="B3057" s="3" t="s">
        <v>30</v>
      </c>
      <c r="C3057" s="3" t="str">
        <f t="shared" si="47"/>
        <v>450013888310</v>
      </c>
      <c r="D3057" s="4">
        <v>46287</v>
      </c>
      <c r="E3057" s="3" t="s">
        <v>2200</v>
      </c>
      <c r="F3057" s="3" t="s">
        <v>2686</v>
      </c>
    </row>
    <row r="3058" spans="1:6" x14ac:dyDescent="0.3">
      <c r="A3058" s="3" t="s">
        <v>1777</v>
      </c>
      <c r="B3058" s="3" t="s">
        <v>22</v>
      </c>
      <c r="C3058" s="3" t="str">
        <f t="shared" si="47"/>
        <v>450013888320</v>
      </c>
      <c r="D3058" s="4">
        <v>46287</v>
      </c>
      <c r="E3058" s="3" t="s">
        <v>2200</v>
      </c>
      <c r="F3058" s="3" t="s">
        <v>2686</v>
      </c>
    </row>
    <row r="3059" spans="1:6" x14ac:dyDescent="0.3">
      <c r="A3059" s="3" t="s">
        <v>1574</v>
      </c>
      <c r="B3059" s="3" t="s">
        <v>30</v>
      </c>
      <c r="C3059" s="3" t="str">
        <f t="shared" si="47"/>
        <v>450013888710</v>
      </c>
      <c r="D3059" s="4">
        <v>46286</v>
      </c>
      <c r="E3059" s="3" t="s">
        <v>2239</v>
      </c>
      <c r="F3059" s="3" t="s">
        <v>2687</v>
      </c>
    </row>
    <row r="3060" spans="1:6" x14ac:dyDescent="0.3">
      <c r="A3060" s="3" t="s">
        <v>1574</v>
      </c>
      <c r="B3060" s="3" t="s">
        <v>22</v>
      </c>
      <c r="C3060" s="3" t="str">
        <f t="shared" si="47"/>
        <v>450013888720</v>
      </c>
      <c r="D3060" s="4">
        <v>46286</v>
      </c>
      <c r="E3060" s="3" t="s">
        <v>2239</v>
      </c>
      <c r="F3060" s="3" t="s">
        <v>2687</v>
      </c>
    </row>
    <row r="3061" spans="1:6" x14ac:dyDescent="0.3">
      <c r="A3061" s="3" t="s">
        <v>1909</v>
      </c>
      <c r="B3061" s="3" t="s">
        <v>22</v>
      </c>
      <c r="C3061" s="3" t="str">
        <f t="shared" si="47"/>
        <v>450013890520</v>
      </c>
      <c r="D3061" s="4">
        <v>46297</v>
      </c>
      <c r="E3061" s="3" t="s">
        <v>2254</v>
      </c>
      <c r="F3061" s="3" t="s">
        <v>2423</v>
      </c>
    </row>
    <row r="3062" spans="1:6" x14ac:dyDescent="0.3">
      <c r="A3062" s="3" t="s">
        <v>1909</v>
      </c>
      <c r="B3062" s="3" t="s">
        <v>35</v>
      </c>
      <c r="C3062" s="3" t="str">
        <f t="shared" si="47"/>
        <v>450013890530</v>
      </c>
      <c r="D3062" s="4">
        <v>46297</v>
      </c>
      <c r="E3062" s="3" t="s">
        <v>2254</v>
      </c>
      <c r="F3062" s="3" t="s">
        <v>2423</v>
      </c>
    </row>
    <row r="3063" spans="1:6" x14ac:dyDescent="0.3">
      <c r="A3063" s="3" t="s">
        <v>1619</v>
      </c>
      <c r="B3063" s="3" t="s">
        <v>30</v>
      </c>
      <c r="C3063" s="3" t="str">
        <f t="shared" si="47"/>
        <v>450013890810</v>
      </c>
      <c r="D3063" s="4">
        <v>46295</v>
      </c>
      <c r="E3063" s="3" t="s">
        <v>2196</v>
      </c>
      <c r="F3063" s="3" t="s">
        <v>2440</v>
      </c>
    </row>
    <row r="3064" spans="1:6" x14ac:dyDescent="0.3">
      <c r="A3064" s="3" t="s">
        <v>2107</v>
      </c>
      <c r="B3064" s="3" t="s">
        <v>30</v>
      </c>
      <c r="C3064" s="3" t="str">
        <f t="shared" si="47"/>
        <v>450013891010</v>
      </c>
      <c r="D3064" s="4">
        <v>46301</v>
      </c>
      <c r="E3064" s="3" t="s">
        <v>2239</v>
      </c>
      <c r="F3064" s="3" t="s">
        <v>2688</v>
      </c>
    </row>
    <row r="3065" spans="1:6" x14ac:dyDescent="0.3">
      <c r="A3065" s="3" t="s">
        <v>2107</v>
      </c>
      <c r="B3065" s="3" t="s">
        <v>22</v>
      </c>
      <c r="C3065" s="3" t="str">
        <f t="shared" si="47"/>
        <v>450013891020</v>
      </c>
      <c r="D3065" s="4">
        <v>46301</v>
      </c>
      <c r="E3065" s="3" t="s">
        <v>2239</v>
      </c>
      <c r="F3065" s="3" t="s">
        <v>2688</v>
      </c>
    </row>
    <row r="3066" spans="1:6" x14ac:dyDescent="0.3">
      <c r="A3066" s="3" t="s">
        <v>2107</v>
      </c>
      <c r="B3066" s="3" t="s">
        <v>35</v>
      </c>
      <c r="C3066" s="3" t="str">
        <f t="shared" si="47"/>
        <v>450013891030</v>
      </c>
      <c r="D3066" s="4">
        <v>46301</v>
      </c>
      <c r="E3066" s="3" t="s">
        <v>2239</v>
      </c>
      <c r="F3066" s="3" t="s">
        <v>2688</v>
      </c>
    </row>
    <row r="3067" spans="1:6" x14ac:dyDescent="0.3">
      <c r="A3067" s="3" t="s">
        <v>2107</v>
      </c>
      <c r="B3067" s="3" t="s">
        <v>23</v>
      </c>
      <c r="C3067" s="3" t="str">
        <f t="shared" si="47"/>
        <v>450013891040</v>
      </c>
      <c r="D3067" s="4">
        <v>46301</v>
      </c>
      <c r="E3067" s="3" t="s">
        <v>2239</v>
      </c>
      <c r="F3067" s="3" t="s">
        <v>2688</v>
      </c>
    </row>
    <row r="3068" spans="1:6" x14ac:dyDescent="0.3">
      <c r="A3068" s="3" t="s">
        <v>2107</v>
      </c>
      <c r="B3068" s="3" t="s">
        <v>144</v>
      </c>
      <c r="C3068" s="3" t="str">
        <f t="shared" si="47"/>
        <v>450013891050</v>
      </c>
      <c r="D3068" s="4">
        <v>46301</v>
      </c>
      <c r="E3068" s="3" t="s">
        <v>2239</v>
      </c>
      <c r="F3068" s="3" t="s">
        <v>2688</v>
      </c>
    </row>
    <row r="3069" spans="1:6" x14ac:dyDescent="0.3">
      <c r="A3069" s="3" t="s">
        <v>2107</v>
      </c>
      <c r="B3069" s="3" t="s">
        <v>141</v>
      </c>
      <c r="C3069" s="3" t="str">
        <f t="shared" si="47"/>
        <v>450013891060</v>
      </c>
      <c r="D3069" s="4">
        <v>46301</v>
      </c>
      <c r="E3069" s="3" t="s">
        <v>2239</v>
      </c>
      <c r="F3069" s="3" t="s">
        <v>2688</v>
      </c>
    </row>
    <row r="3070" spans="1:6" x14ac:dyDescent="0.3">
      <c r="A3070" s="3" t="s">
        <v>413</v>
      </c>
      <c r="B3070" s="3" t="s">
        <v>35</v>
      </c>
      <c r="C3070" s="3" t="str">
        <f t="shared" si="47"/>
        <v>450013891230</v>
      </c>
      <c r="D3070" s="4">
        <v>46290</v>
      </c>
      <c r="E3070" s="3" t="s">
        <v>2212</v>
      </c>
      <c r="F3070" s="3" t="s">
        <v>2450</v>
      </c>
    </row>
    <row r="3071" spans="1:6" x14ac:dyDescent="0.3">
      <c r="A3071" s="3" t="s">
        <v>413</v>
      </c>
      <c r="B3071" s="3" t="s">
        <v>52</v>
      </c>
      <c r="C3071" s="3" t="str">
        <f t="shared" si="47"/>
        <v>450013891280</v>
      </c>
      <c r="D3071" s="4">
        <v>46290</v>
      </c>
      <c r="E3071" s="3" t="s">
        <v>2212</v>
      </c>
      <c r="F3071" s="3" t="s">
        <v>2450</v>
      </c>
    </row>
    <row r="3072" spans="1:6" x14ac:dyDescent="0.3">
      <c r="A3072" s="3" t="s">
        <v>413</v>
      </c>
      <c r="B3072" s="3" t="s">
        <v>138</v>
      </c>
      <c r="C3072" s="3" t="str">
        <f t="shared" si="47"/>
        <v>450013891290</v>
      </c>
      <c r="D3072" s="4">
        <v>46290</v>
      </c>
      <c r="E3072" s="3" t="s">
        <v>2212</v>
      </c>
      <c r="F3072" s="3" t="s">
        <v>2450</v>
      </c>
    </row>
    <row r="3073" spans="1:6" x14ac:dyDescent="0.3">
      <c r="A3073" s="3" t="s">
        <v>413</v>
      </c>
      <c r="B3073" s="3" t="s">
        <v>156</v>
      </c>
      <c r="C3073" s="3" t="str">
        <f t="shared" si="47"/>
        <v>4500138912110</v>
      </c>
      <c r="D3073" s="4">
        <v>46290</v>
      </c>
      <c r="E3073" s="3" t="s">
        <v>2212</v>
      </c>
      <c r="F3073" s="3" t="s">
        <v>2450</v>
      </c>
    </row>
    <row r="3074" spans="1:6" x14ac:dyDescent="0.3">
      <c r="A3074" s="3" t="s">
        <v>413</v>
      </c>
      <c r="B3074" s="3" t="s">
        <v>132</v>
      </c>
      <c r="C3074" s="3" t="str">
        <f t="shared" si="47"/>
        <v>4500138912120</v>
      </c>
      <c r="D3074" s="4">
        <v>46290</v>
      </c>
      <c r="E3074" s="3" t="s">
        <v>2212</v>
      </c>
      <c r="F3074" s="3" t="s">
        <v>2450</v>
      </c>
    </row>
    <row r="3075" spans="1:6" x14ac:dyDescent="0.3">
      <c r="A3075" s="3" t="s">
        <v>413</v>
      </c>
      <c r="B3075" s="3" t="s">
        <v>142</v>
      </c>
      <c r="C3075" s="3" t="str">
        <f t="shared" ref="C3075:C3138" si="48">_xlfn.CONCAT(A3075:B3075)</f>
        <v>4500138912130</v>
      </c>
      <c r="D3075" s="4">
        <v>46290</v>
      </c>
      <c r="E3075" s="3" t="s">
        <v>2212</v>
      </c>
      <c r="F3075" s="3" t="s">
        <v>2450</v>
      </c>
    </row>
    <row r="3076" spans="1:6" x14ac:dyDescent="0.3">
      <c r="A3076" s="3" t="s">
        <v>413</v>
      </c>
      <c r="B3076" s="3" t="s">
        <v>131</v>
      </c>
      <c r="C3076" s="3" t="str">
        <f t="shared" si="48"/>
        <v>4500138912140</v>
      </c>
      <c r="D3076" s="4">
        <v>46290</v>
      </c>
      <c r="E3076" s="3" t="s">
        <v>2212</v>
      </c>
      <c r="F3076" s="3" t="s">
        <v>2450</v>
      </c>
    </row>
    <row r="3077" spans="1:6" x14ac:dyDescent="0.3">
      <c r="A3077" s="3" t="s">
        <v>413</v>
      </c>
      <c r="B3077" s="3" t="s">
        <v>68</v>
      </c>
      <c r="C3077" s="3" t="str">
        <f t="shared" si="48"/>
        <v>4500138912150</v>
      </c>
      <c r="D3077" s="4">
        <v>46290</v>
      </c>
      <c r="E3077" s="3" t="s">
        <v>2212</v>
      </c>
      <c r="F3077" s="3" t="s">
        <v>2450</v>
      </c>
    </row>
    <row r="3078" spans="1:6" x14ac:dyDescent="0.3">
      <c r="A3078" s="3" t="s">
        <v>413</v>
      </c>
      <c r="B3078" s="3" t="s">
        <v>129</v>
      </c>
      <c r="C3078" s="3" t="str">
        <f t="shared" si="48"/>
        <v>4500138912160</v>
      </c>
      <c r="D3078" s="4">
        <v>46290</v>
      </c>
      <c r="E3078" s="3" t="s">
        <v>2212</v>
      </c>
      <c r="F3078" s="3" t="s">
        <v>2450</v>
      </c>
    </row>
    <row r="3079" spans="1:6" x14ac:dyDescent="0.3">
      <c r="A3079" s="3" t="s">
        <v>413</v>
      </c>
      <c r="B3079" s="3" t="s">
        <v>53</v>
      </c>
      <c r="C3079" s="3" t="str">
        <f t="shared" si="48"/>
        <v>4500138912170</v>
      </c>
      <c r="D3079" s="4">
        <v>46290</v>
      </c>
      <c r="E3079" s="3" t="s">
        <v>2212</v>
      </c>
      <c r="F3079" s="3" t="s">
        <v>2450</v>
      </c>
    </row>
    <row r="3080" spans="1:6" x14ac:dyDescent="0.3">
      <c r="A3080" s="3" t="s">
        <v>413</v>
      </c>
      <c r="B3080" s="3" t="s">
        <v>130</v>
      </c>
      <c r="C3080" s="3" t="str">
        <f t="shared" si="48"/>
        <v>4500138912180</v>
      </c>
      <c r="D3080" s="4">
        <v>46290</v>
      </c>
      <c r="E3080" s="3" t="s">
        <v>2212</v>
      </c>
      <c r="F3080" s="3" t="s">
        <v>2450</v>
      </c>
    </row>
    <row r="3081" spans="1:6" x14ac:dyDescent="0.3">
      <c r="A3081" s="3" t="s">
        <v>2095</v>
      </c>
      <c r="B3081" s="3" t="s">
        <v>30</v>
      </c>
      <c r="C3081" s="3" t="str">
        <f t="shared" si="48"/>
        <v>450013891810</v>
      </c>
      <c r="D3081" s="4">
        <v>46290</v>
      </c>
      <c r="E3081" s="3" t="s">
        <v>2212</v>
      </c>
      <c r="F3081" s="3" t="s">
        <v>2627</v>
      </c>
    </row>
    <row r="3082" spans="1:6" x14ac:dyDescent="0.3">
      <c r="A3082" s="3" t="s">
        <v>2095</v>
      </c>
      <c r="B3082" s="3" t="s">
        <v>22</v>
      </c>
      <c r="C3082" s="3" t="str">
        <f t="shared" si="48"/>
        <v>450013891820</v>
      </c>
      <c r="D3082" s="4">
        <v>46290</v>
      </c>
      <c r="E3082" s="3" t="s">
        <v>2212</v>
      </c>
      <c r="F3082" s="3" t="s">
        <v>2627</v>
      </c>
    </row>
    <row r="3083" spans="1:6" x14ac:dyDescent="0.3">
      <c r="A3083" s="3" t="s">
        <v>2095</v>
      </c>
      <c r="B3083" s="3" t="s">
        <v>35</v>
      </c>
      <c r="C3083" s="3" t="str">
        <f t="shared" si="48"/>
        <v>450013891830</v>
      </c>
      <c r="D3083" s="4">
        <v>46290</v>
      </c>
      <c r="E3083" s="3" t="s">
        <v>2212</v>
      </c>
      <c r="F3083" s="3" t="s">
        <v>2627</v>
      </c>
    </row>
    <row r="3084" spans="1:6" x14ac:dyDescent="0.3">
      <c r="A3084" s="3" t="s">
        <v>2095</v>
      </c>
      <c r="B3084" s="3" t="s">
        <v>23</v>
      </c>
      <c r="C3084" s="3" t="str">
        <f t="shared" si="48"/>
        <v>450013891840</v>
      </c>
      <c r="D3084" s="4">
        <v>46290</v>
      </c>
      <c r="E3084" s="3" t="s">
        <v>2212</v>
      </c>
      <c r="F3084" s="3" t="s">
        <v>2627</v>
      </c>
    </row>
    <row r="3085" spans="1:6" x14ac:dyDescent="0.3">
      <c r="A3085" s="3" t="s">
        <v>2095</v>
      </c>
      <c r="B3085" s="3" t="s">
        <v>144</v>
      </c>
      <c r="C3085" s="3" t="str">
        <f t="shared" si="48"/>
        <v>450013891850</v>
      </c>
      <c r="D3085" s="4">
        <v>46290</v>
      </c>
      <c r="E3085" s="3" t="s">
        <v>2212</v>
      </c>
      <c r="F3085" s="3" t="s">
        <v>2627</v>
      </c>
    </row>
    <row r="3086" spans="1:6" x14ac:dyDescent="0.3">
      <c r="A3086" s="3" t="s">
        <v>2095</v>
      </c>
      <c r="B3086" s="3" t="s">
        <v>141</v>
      </c>
      <c r="C3086" s="3" t="str">
        <f t="shared" si="48"/>
        <v>450013891860</v>
      </c>
      <c r="D3086" s="4">
        <v>46290</v>
      </c>
      <c r="E3086" s="3" t="s">
        <v>2212</v>
      </c>
      <c r="F3086" s="3" t="s">
        <v>2627</v>
      </c>
    </row>
    <row r="3087" spans="1:6" x14ac:dyDescent="0.3">
      <c r="A3087" s="3" t="s">
        <v>2095</v>
      </c>
      <c r="B3087" s="3" t="s">
        <v>134</v>
      </c>
      <c r="C3087" s="3" t="str">
        <f t="shared" si="48"/>
        <v>450013891870</v>
      </c>
      <c r="D3087" s="4">
        <v>46290</v>
      </c>
      <c r="E3087" s="3" t="s">
        <v>2212</v>
      </c>
      <c r="F3087" s="3" t="s">
        <v>2627</v>
      </c>
    </row>
    <row r="3088" spans="1:6" x14ac:dyDescent="0.3">
      <c r="A3088" s="3" t="s">
        <v>1982</v>
      </c>
      <c r="B3088" s="3" t="s">
        <v>22</v>
      </c>
      <c r="C3088" s="3" t="str">
        <f t="shared" si="48"/>
        <v>450013892120</v>
      </c>
      <c r="D3088" s="4">
        <v>46325</v>
      </c>
      <c r="E3088" s="3" t="s">
        <v>2196</v>
      </c>
      <c r="F3088" s="3" t="s">
        <v>2454</v>
      </c>
    </row>
    <row r="3089" spans="1:6" x14ac:dyDescent="0.3">
      <c r="A3089" s="3" t="s">
        <v>1982</v>
      </c>
      <c r="B3089" s="3" t="s">
        <v>23</v>
      </c>
      <c r="C3089" s="3" t="str">
        <f t="shared" si="48"/>
        <v>450013892140</v>
      </c>
      <c r="D3089" s="4">
        <v>46315</v>
      </c>
      <c r="E3089" s="3" t="s">
        <v>2196</v>
      </c>
      <c r="F3089" s="3" t="s">
        <v>2454</v>
      </c>
    </row>
    <row r="3090" spans="1:6" x14ac:dyDescent="0.3">
      <c r="A3090" s="3" t="s">
        <v>1878</v>
      </c>
      <c r="B3090" s="3" t="s">
        <v>30</v>
      </c>
      <c r="C3090" s="3" t="str">
        <f t="shared" si="48"/>
        <v>450013894610</v>
      </c>
      <c r="D3090" s="4">
        <v>46301</v>
      </c>
      <c r="E3090" s="3" t="s">
        <v>2207</v>
      </c>
      <c r="F3090" s="3" t="s">
        <v>2606</v>
      </c>
    </row>
    <row r="3091" spans="1:6" x14ac:dyDescent="0.3">
      <c r="A3091" s="3" t="s">
        <v>1878</v>
      </c>
      <c r="B3091" s="3" t="s">
        <v>22</v>
      </c>
      <c r="C3091" s="3" t="str">
        <f t="shared" si="48"/>
        <v>450013894620</v>
      </c>
      <c r="D3091" s="4">
        <v>46301</v>
      </c>
      <c r="E3091" s="3" t="s">
        <v>2207</v>
      </c>
      <c r="F3091" s="3" t="s">
        <v>2606</v>
      </c>
    </row>
    <row r="3092" spans="1:6" x14ac:dyDescent="0.3">
      <c r="A3092" s="3" t="s">
        <v>1653</v>
      </c>
      <c r="B3092" s="3" t="s">
        <v>30</v>
      </c>
      <c r="C3092" s="3" t="str">
        <f t="shared" si="48"/>
        <v>450013894910</v>
      </c>
      <c r="D3092" s="4">
        <v>46295</v>
      </c>
      <c r="E3092" s="3" t="s">
        <v>2196</v>
      </c>
      <c r="F3092" s="3" t="s">
        <v>2515</v>
      </c>
    </row>
    <row r="3093" spans="1:6" x14ac:dyDescent="0.3">
      <c r="A3093" s="3" t="s">
        <v>1653</v>
      </c>
      <c r="B3093" s="3" t="s">
        <v>35</v>
      </c>
      <c r="C3093" s="3" t="str">
        <f t="shared" si="48"/>
        <v>450013894930</v>
      </c>
      <c r="D3093" s="4">
        <v>46295</v>
      </c>
      <c r="E3093" s="3" t="s">
        <v>2196</v>
      </c>
      <c r="F3093" s="3" t="s">
        <v>2515</v>
      </c>
    </row>
    <row r="3094" spans="1:6" x14ac:dyDescent="0.3">
      <c r="A3094" s="3" t="s">
        <v>1653</v>
      </c>
      <c r="B3094" s="3" t="s">
        <v>23</v>
      </c>
      <c r="C3094" s="3" t="str">
        <f t="shared" si="48"/>
        <v>450013894940</v>
      </c>
      <c r="D3094" s="4">
        <v>46295</v>
      </c>
      <c r="E3094" s="3" t="s">
        <v>2196</v>
      </c>
      <c r="F3094" s="3" t="s">
        <v>2515</v>
      </c>
    </row>
    <row r="3095" spans="1:6" x14ac:dyDescent="0.3">
      <c r="A3095" s="3" t="s">
        <v>1686</v>
      </c>
      <c r="B3095" s="3" t="s">
        <v>22</v>
      </c>
      <c r="C3095" s="3" t="str">
        <f t="shared" si="48"/>
        <v>450013895820</v>
      </c>
      <c r="D3095" s="4">
        <v>46293</v>
      </c>
      <c r="E3095" s="3" t="s">
        <v>2233</v>
      </c>
      <c r="F3095" s="3" t="s">
        <v>2456</v>
      </c>
    </row>
    <row r="3096" spans="1:6" x14ac:dyDescent="0.3">
      <c r="A3096" s="3" t="s">
        <v>1686</v>
      </c>
      <c r="B3096" s="3" t="s">
        <v>35</v>
      </c>
      <c r="C3096" s="3" t="str">
        <f t="shared" si="48"/>
        <v>450013895830</v>
      </c>
      <c r="D3096" s="4">
        <v>46293</v>
      </c>
      <c r="E3096" s="3" t="s">
        <v>2233</v>
      </c>
      <c r="F3096" s="3" t="s">
        <v>2456</v>
      </c>
    </row>
    <row r="3097" spans="1:6" x14ac:dyDescent="0.3">
      <c r="A3097" s="3" t="s">
        <v>1686</v>
      </c>
      <c r="B3097" s="3" t="s">
        <v>23</v>
      </c>
      <c r="C3097" s="3" t="str">
        <f t="shared" si="48"/>
        <v>450013895840</v>
      </c>
      <c r="D3097" s="4">
        <v>46293</v>
      </c>
      <c r="E3097" s="3" t="s">
        <v>2233</v>
      </c>
      <c r="F3097" s="3" t="s">
        <v>2456</v>
      </c>
    </row>
    <row r="3098" spans="1:6" x14ac:dyDescent="0.3">
      <c r="A3098" s="3" t="s">
        <v>1686</v>
      </c>
      <c r="B3098" s="3" t="s">
        <v>144</v>
      </c>
      <c r="C3098" s="3" t="str">
        <f t="shared" si="48"/>
        <v>450013895850</v>
      </c>
      <c r="D3098" s="4">
        <v>46293</v>
      </c>
      <c r="E3098" s="3" t="s">
        <v>2233</v>
      </c>
      <c r="F3098" s="3" t="s">
        <v>2456</v>
      </c>
    </row>
    <row r="3099" spans="1:6" x14ac:dyDescent="0.3">
      <c r="A3099" s="3" t="s">
        <v>1686</v>
      </c>
      <c r="B3099" s="3" t="s">
        <v>141</v>
      </c>
      <c r="C3099" s="3" t="str">
        <f t="shared" si="48"/>
        <v>450013895860</v>
      </c>
      <c r="D3099" s="4">
        <v>46293</v>
      </c>
      <c r="E3099" s="3" t="s">
        <v>2233</v>
      </c>
      <c r="F3099" s="3" t="s">
        <v>2456</v>
      </c>
    </row>
    <row r="3100" spans="1:6" x14ac:dyDescent="0.3">
      <c r="A3100" s="3" t="s">
        <v>1686</v>
      </c>
      <c r="B3100" s="3" t="s">
        <v>134</v>
      </c>
      <c r="C3100" s="3" t="str">
        <f t="shared" si="48"/>
        <v>450013895870</v>
      </c>
      <c r="D3100" s="4">
        <v>46293</v>
      </c>
      <c r="E3100" s="3" t="s">
        <v>2233</v>
      </c>
      <c r="F3100" s="3" t="s">
        <v>2456</v>
      </c>
    </row>
    <row r="3101" spans="1:6" x14ac:dyDescent="0.3">
      <c r="A3101" s="3" t="s">
        <v>1686</v>
      </c>
      <c r="B3101" s="3" t="s">
        <v>52</v>
      </c>
      <c r="C3101" s="3" t="str">
        <f t="shared" si="48"/>
        <v>450013895880</v>
      </c>
      <c r="D3101" s="4">
        <v>46293</v>
      </c>
      <c r="E3101" s="3" t="s">
        <v>2233</v>
      </c>
      <c r="F3101" s="3" t="s">
        <v>2456</v>
      </c>
    </row>
    <row r="3102" spans="1:6" x14ac:dyDescent="0.3">
      <c r="A3102" s="3" t="s">
        <v>1686</v>
      </c>
      <c r="B3102" s="3" t="s">
        <v>138</v>
      </c>
      <c r="C3102" s="3" t="str">
        <f t="shared" si="48"/>
        <v>450013895890</v>
      </c>
      <c r="D3102" s="4">
        <v>46293</v>
      </c>
      <c r="E3102" s="3" t="s">
        <v>2233</v>
      </c>
      <c r="F3102" s="3" t="s">
        <v>2456</v>
      </c>
    </row>
    <row r="3103" spans="1:6" x14ac:dyDescent="0.3">
      <c r="A3103" s="3" t="s">
        <v>1686</v>
      </c>
      <c r="B3103" s="3" t="s">
        <v>45</v>
      </c>
      <c r="C3103" s="3" t="str">
        <f t="shared" si="48"/>
        <v>4500138958100</v>
      </c>
      <c r="D3103" s="4">
        <v>46293</v>
      </c>
      <c r="E3103" s="3" t="s">
        <v>2233</v>
      </c>
      <c r="F3103" s="3" t="s">
        <v>2456</v>
      </c>
    </row>
    <row r="3104" spans="1:6" x14ac:dyDescent="0.3">
      <c r="A3104" s="3" t="s">
        <v>1746</v>
      </c>
      <c r="B3104" s="3" t="s">
        <v>30</v>
      </c>
      <c r="C3104" s="3" t="str">
        <f t="shared" si="48"/>
        <v>450013896210</v>
      </c>
      <c r="D3104" s="4">
        <v>46294</v>
      </c>
      <c r="E3104" s="3" t="s">
        <v>2233</v>
      </c>
      <c r="F3104" s="3" t="s">
        <v>2669</v>
      </c>
    </row>
    <row r="3105" spans="1:6" x14ac:dyDescent="0.3">
      <c r="A3105" s="3" t="s">
        <v>1746</v>
      </c>
      <c r="B3105" s="3" t="s">
        <v>22</v>
      </c>
      <c r="C3105" s="3" t="str">
        <f t="shared" si="48"/>
        <v>450013896220</v>
      </c>
      <c r="D3105" s="4">
        <v>46294</v>
      </c>
      <c r="E3105" s="3" t="s">
        <v>2233</v>
      </c>
      <c r="F3105" s="3" t="s">
        <v>2669</v>
      </c>
    </row>
    <row r="3106" spans="1:6" x14ac:dyDescent="0.3">
      <c r="A3106" s="3" t="s">
        <v>1980</v>
      </c>
      <c r="B3106" s="3" t="s">
        <v>30</v>
      </c>
      <c r="C3106" s="3" t="str">
        <f t="shared" si="48"/>
        <v>450013897010</v>
      </c>
      <c r="D3106" s="4">
        <v>46292</v>
      </c>
      <c r="E3106" s="3" t="s">
        <v>2196</v>
      </c>
      <c r="F3106" s="3" t="s">
        <v>2454</v>
      </c>
    </row>
    <row r="3107" spans="1:6" x14ac:dyDescent="0.3">
      <c r="A3107" s="3" t="s">
        <v>1980</v>
      </c>
      <c r="B3107" s="3" t="s">
        <v>22</v>
      </c>
      <c r="C3107" s="3" t="str">
        <f t="shared" si="48"/>
        <v>450013897020</v>
      </c>
      <c r="D3107" s="4">
        <v>46292</v>
      </c>
      <c r="E3107" s="3" t="s">
        <v>2196</v>
      </c>
      <c r="F3107" s="3" t="s">
        <v>2454</v>
      </c>
    </row>
    <row r="3108" spans="1:6" x14ac:dyDescent="0.3">
      <c r="A3108" s="3" t="s">
        <v>2192</v>
      </c>
      <c r="B3108" s="3" t="s">
        <v>30</v>
      </c>
      <c r="C3108" s="3" t="str">
        <f t="shared" si="48"/>
        <v>450013897210</v>
      </c>
      <c r="D3108" s="4">
        <v>46289</v>
      </c>
      <c r="E3108" s="3" t="s">
        <v>2204</v>
      </c>
      <c r="F3108" s="3" t="s">
        <v>2454</v>
      </c>
    </row>
    <row r="3109" spans="1:6" x14ac:dyDescent="0.3">
      <c r="A3109" s="3" t="s">
        <v>2192</v>
      </c>
      <c r="B3109" s="3" t="s">
        <v>22</v>
      </c>
      <c r="C3109" s="3" t="str">
        <f t="shared" si="48"/>
        <v>450013897220</v>
      </c>
      <c r="D3109" s="4">
        <v>46301</v>
      </c>
      <c r="E3109" s="3" t="s">
        <v>2204</v>
      </c>
      <c r="F3109" s="3" t="s">
        <v>2454</v>
      </c>
    </row>
    <row r="3110" spans="1:6" x14ac:dyDescent="0.3">
      <c r="A3110" s="3" t="s">
        <v>2192</v>
      </c>
      <c r="B3110" s="3" t="s">
        <v>35</v>
      </c>
      <c r="C3110" s="3" t="str">
        <f t="shared" si="48"/>
        <v>450013897230</v>
      </c>
      <c r="D3110" s="4">
        <v>46289</v>
      </c>
      <c r="E3110" s="3" t="s">
        <v>2204</v>
      </c>
      <c r="F3110" s="3" t="s">
        <v>2454</v>
      </c>
    </row>
    <row r="3111" spans="1:6" x14ac:dyDescent="0.3">
      <c r="A3111" s="3" t="s">
        <v>1835</v>
      </c>
      <c r="B3111" s="3" t="s">
        <v>30</v>
      </c>
      <c r="C3111" s="3" t="str">
        <f t="shared" si="48"/>
        <v>450013898410</v>
      </c>
      <c r="D3111" s="4">
        <v>46287</v>
      </c>
      <c r="E3111" s="3" t="s">
        <v>2196</v>
      </c>
      <c r="F3111" s="3" t="s">
        <v>2507</v>
      </c>
    </row>
    <row r="3112" spans="1:6" x14ac:dyDescent="0.3">
      <c r="A3112" s="3" t="s">
        <v>1614</v>
      </c>
      <c r="B3112" s="3" t="s">
        <v>30</v>
      </c>
      <c r="C3112" s="3" t="str">
        <f t="shared" si="48"/>
        <v>450013899310</v>
      </c>
      <c r="D3112" s="4">
        <v>46289</v>
      </c>
      <c r="E3112" s="3" t="s">
        <v>2196</v>
      </c>
      <c r="F3112" s="3" t="s">
        <v>2507</v>
      </c>
    </row>
    <row r="3113" spans="1:6" x14ac:dyDescent="0.3">
      <c r="A3113" s="3" t="s">
        <v>1617</v>
      </c>
      <c r="B3113" s="3" t="s">
        <v>30</v>
      </c>
      <c r="C3113" s="3" t="str">
        <f t="shared" si="48"/>
        <v>450013899510</v>
      </c>
      <c r="D3113" s="4">
        <v>46286</v>
      </c>
      <c r="E3113" s="3" t="s">
        <v>2196</v>
      </c>
      <c r="F3113" s="3" t="s">
        <v>2689</v>
      </c>
    </row>
    <row r="3114" spans="1:6" x14ac:dyDescent="0.3">
      <c r="A3114" s="3" t="s">
        <v>1640</v>
      </c>
      <c r="B3114" s="3" t="s">
        <v>23</v>
      </c>
      <c r="C3114" s="3" t="str">
        <f t="shared" si="48"/>
        <v>450013901040</v>
      </c>
      <c r="D3114" s="4">
        <v>46287</v>
      </c>
      <c r="E3114" s="3" t="s">
        <v>2238</v>
      </c>
      <c r="F3114" s="3" t="s">
        <v>2611</v>
      </c>
    </row>
    <row r="3115" spans="1:6" x14ac:dyDescent="0.3">
      <c r="A3115" s="3" t="s">
        <v>1651</v>
      </c>
      <c r="B3115" s="3" t="s">
        <v>30</v>
      </c>
      <c r="C3115" s="3" t="str">
        <f t="shared" si="48"/>
        <v>450013901210</v>
      </c>
      <c r="D3115" s="4">
        <v>46288</v>
      </c>
      <c r="E3115" s="3" t="s">
        <v>2234</v>
      </c>
      <c r="F3115" s="3" t="s">
        <v>2690</v>
      </c>
    </row>
    <row r="3116" spans="1:6" x14ac:dyDescent="0.3">
      <c r="A3116" s="3" t="s">
        <v>1847</v>
      </c>
      <c r="B3116" s="3" t="s">
        <v>30</v>
      </c>
      <c r="C3116" s="3" t="str">
        <f t="shared" si="48"/>
        <v>450013901410</v>
      </c>
      <c r="D3116" s="4">
        <v>46295</v>
      </c>
      <c r="E3116" s="3" t="s">
        <v>2196</v>
      </c>
      <c r="F3116" s="3" t="s">
        <v>2461</v>
      </c>
    </row>
    <row r="3117" spans="1:6" x14ac:dyDescent="0.3">
      <c r="A3117" s="3" t="s">
        <v>1728</v>
      </c>
      <c r="B3117" s="3" t="s">
        <v>22</v>
      </c>
      <c r="C3117" s="3" t="str">
        <f t="shared" si="48"/>
        <v>450013902020</v>
      </c>
      <c r="D3117" s="4">
        <v>46302</v>
      </c>
      <c r="E3117" s="3" t="s">
        <v>2196</v>
      </c>
      <c r="F3117" s="3" t="s">
        <v>2516</v>
      </c>
    </row>
    <row r="3118" spans="1:6" x14ac:dyDescent="0.3">
      <c r="A3118" s="3" t="s">
        <v>1728</v>
      </c>
      <c r="B3118" s="3" t="s">
        <v>35</v>
      </c>
      <c r="C3118" s="3" t="str">
        <f t="shared" si="48"/>
        <v>450013902030</v>
      </c>
      <c r="D3118" s="4">
        <v>46290</v>
      </c>
      <c r="E3118" s="3" t="s">
        <v>2196</v>
      </c>
      <c r="F3118" s="3" t="s">
        <v>2516</v>
      </c>
    </row>
    <row r="3119" spans="1:6" x14ac:dyDescent="0.3">
      <c r="A3119" s="3" t="s">
        <v>1728</v>
      </c>
      <c r="B3119" s="3" t="s">
        <v>23</v>
      </c>
      <c r="C3119" s="3" t="str">
        <f t="shared" si="48"/>
        <v>450013902040</v>
      </c>
      <c r="D3119" s="4">
        <v>46290</v>
      </c>
      <c r="E3119" s="3" t="s">
        <v>2196</v>
      </c>
      <c r="F3119" s="3" t="s">
        <v>2516</v>
      </c>
    </row>
    <row r="3120" spans="1:6" x14ac:dyDescent="0.3">
      <c r="A3120" s="3" t="s">
        <v>1728</v>
      </c>
      <c r="B3120" s="3" t="s">
        <v>144</v>
      </c>
      <c r="C3120" s="3" t="str">
        <f t="shared" si="48"/>
        <v>450013902050</v>
      </c>
      <c r="D3120" s="4">
        <v>46290</v>
      </c>
      <c r="E3120" s="3" t="s">
        <v>2196</v>
      </c>
      <c r="F3120" s="3" t="s">
        <v>2516</v>
      </c>
    </row>
    <row r="3121" spans="1:6" x14ac:dyDescent="0.3">
      <c r="A3121" s="3" t="s">
        <v>1728</v>
      </c>
      <c r="B3121" s="3" t="s">
        <v>141</v>
      </c>
      <c r="C3121" s="3" t="str">
        <f t="shared" si="48"/>
        <v>450013902060</v>
      </c>
      <c r="D3121" s="4">
        <v>46290</v>
      </c>
      <c r="E3121" s="3" t="s">
        <v>2196</v>
      </c>
      <c r="F3121" s="3" t="s">
        <v>2516</v>
      </c>
    </row>
    <row r="3122" spans="1:6" x14ac:dyDescent="0.3">
      <c r="A3122" s="3" t="s">
        <v>2172</v>
      </c>
      <c r="B3122" s="3" t="s">
        <v>23</v>
      </c>
      <c r="C3122" s="3" t="str">
        <f t="shared" si="48"/>
        <v>450013904140</v>
      </c>
      <c r="D3122" s="4">
        <v>46290</v>
      </c>
      <c r="E3122" s="3" t="s">
        <v>2200</v>
      </c>
      <c r="F3122" s="3" t="s">
        <v>2432</v>
      </c>
    </row>
    <row r="3123" spans="1:6" x14ac:dyDescent="0.3">
      <c r="A3123" s="3" t="s">
        <v>1885</v>
      </c>
      <c r="B3123" s="3" t="s">
        <v>30</v>
      </c>
      <c r="C3123" s="3" t="str">
        <f t="shared" si="48"/>
        <v>450013904310</v>
      </c>
      <c r="D3123" s="4">
        <v>46303</v>
      </c>
      <c r="E3123" s="3" t="s">
        <v>2207</v>
      </c>
      <c r="F3123" s="3" t="s">
        <v>2606</v>
      </c>
    </row>
    <row r="3124" spans="1:6" x14ac:dyDescent="0.3">
      <c r="A3124" s="3" t="s">
        <v>1885</v>
      </c>
      <c r="B3124" s="3" t="s">
        <v>22</v>
      </c>
      <c r="C3124" s="3" t="str">
        <f t="shared" si="48"/>
        <v>450013904320</v>
      </c>
      <c r="D3124" s="4">
        <v>46303</v>
      </c>
      <c r="E3124" s="3" t="s">
        <v>2207</v>
      </c>
      <c r="F3124" s="3" t="s">
        <v>2606</v>
      </c>
    </row>
    <row r="3125" spans="1:6" x14ac:dyDescent="0.3">
      <c r="A3125" s="3" t="s">
        <v>1712</v>
      </c>
      <c r="B3125" s="3" t="s">
        <v>30</v>
      </c>
      <c r="C3125" s="3" t="str">
        <f t="shared" si="48"/>
        <v>450013904510</v>
      </c>
      <c r="D3125" s="4">
        <v>46290</v>
      </c>
      <c r="E3125" s="3" t="s">
        <v>2241</v>
      </c>
      <c r="F3125" s="3" t="s">
        <v>2656</v>
      </c>
    </row>
    <row r="3126" spans="1:6" x14ac:dyDescent="0.3">
      <c r="A3126" s="3" t="s">
        <v>1779</v>
      </c>
      <c r="B3126" s="3" t="s">
        <v>30</v>
      </c>
      <c r="C3126" s="3" t="str">
        <f t="shared" si="48"/>
        <v>450013905510</v>
      </c>
      <c r="D3126" s="4">
        <v>46294</v>
      </c>
      <c r="E3126" s="3" t="s">
        <v>2255</v>
      </c>
      <c r="F3126" s="3" t="s">
        <v>2439</v>
      </c>
    </row>
    <row r="3127" spans="1:6" x14ac:dyDescent="0.3">
      <c r="A3127" s="3" t="s">
        <v>1779</v>
      </c>
      <c r="B3127" s="3" t="s">
        <v>22</v>
      </c>
      <c r="C3127" s="3" t="str">
        <f t="shared" si="48"/>
        <v>450013905520</v>
      </c>
      <c r="D3127" s="4">
        <v>46294</v>
      </c>
      <c r="E3127" s="3" t="s">
        <v>2255</v>
      </c>
      <c r="F3127" s="3" t="s">
        <v>2439</v>
      </c>
    </row>
    <row r="3128" spans="1:6" x14ac:dyDescent="0.3">
      <c r="A3128" s="3" t="s">
        <v>1930</v>
      </c>
      <c r="B3128" s="3" t="s">
        <v>30</v>
      </c>
      <c r="C3128" s="3" t="str">
        <f t="shared" si="48"/>
        <v>450013906110</v>
      </c>
      <c r="D3128" s="4">
        <v>46289</v>
      </c>
      <c r="E3128" s="3" t="s">
        <v>2196</v>
      </c>
      <c r="F3128" s="3" t="s">
        <v>2454</v>
      </c>
    </row>
    <row r="3129" spans="1:6" x14ac:dyDescent="0.3">
      <c r="A3129" s="3" t="s">
        <v>1840</v>
      </c>
      <c r="B3129" s="3" t="s">
        <v>30</v>
      </c>
      <c r="C3129" s="3" t="str">
        <f t="shared" si="48"/>
        <v>450013906510</v>
      </c>
      <c r="D3129" s="4">
        <v>46297</v>
      </c>
      <c r="E3129" s="3" t="s">
        <v>2256</v>
      </c>
      <c r="F3129" s="3" t="s">
        <v>2478</v>
      </c>
    </row>
    <row r="3130" spans="1:6" x14ac:dyDescent="0.3">
      <c r="A3130" s="3" t="s">
        <v>1840</v>
      </c>
      <c r="B3130" s="3" t="s">
        <v>22</v>
      </c>
      <c r="C3130" s="3" t="str">
        <f t="shared" si="48"/>
        <v>450013906520</v>
      </c>
      <c r="D3130" s="4">
        <v>46297</v>
      </c>
      <c r="E3130" s="3" t="s">
        <v>2256</v>
      </c>
      <c r="F3130" s="3" t="s">
        <v>2478</v>
      </c>
    </row>
    <row r="3131" spans="1:6" x14ac:dyDescent="0.3">
      <c r="A3131" s="3" t="s">
        <v>1967</v>
      </c>
      <c r="B3131" s="3" t="s">
        <v>30</v>
      </c>
      <c r="C3131" s="3" t="str">
        <f t="shared" si="48"/>
        <v>450013908010</v>
      </c>
      <c r="D3131" s="4">
        <v>46297</v>
      </c>
      <c r="E3131" s="3" t="s">
        <v>2208</v>
      </c>
      <c r="F3131" s="3" t="s">
        <v>2679</v>
      </c>
    </row>
    <row r="3132" spans="1:6" x14ac:dyDescent="0.3">
      <c r="A3132" s="3" t="s">
        <v>1967</v>
      </c>
      <c r="B3132" s="3" t="s">
        <v>22</v>
      </c>
      <c r="C3132" s="3" t="str">
        <f t="shared" si="48"/>
        <v>450013908020</v>
      </c>
      <c r="D3132" s="4">
        <v>46297</v>
      </c>
      <c r="E3132" s="3" t="s">
        <v>2208</v>
      </c>
      <c r="F3132" s="3" t="s">
        <v>2679</v>
      </c>
    </row>
    <row r="3133" spans="1:6" x14ac:dyDescent="0.3">
      <c r="A3133" s="3" t="s">
        <v>1967</v>
      </c>
      <c r="B3133" s="3" t="s">
        <v>35</v>
      </c>
      <c r="C3133" s="3" t="str">
        <f t="shared" si="48"/>
        <v>450013908030</v>
      </c>
      <c r="D3133" s="4">
        <v>46297</v>
      </c>
      <c r="E3133" s="3" t="s">
        <v>2208</v>
      </c>
      <c r="F3133" s="3" t="s">
        <v>2679</v>
      </c>
    </row>
    <row r="3134" spans="1:6" x14ac:dyDescent="0.3">
      <c r="A3134" s="3" t="s">
        <v>2290</v>
      </c>
      <c r="B3134" s="3" t="s">
        <v>30</v>
      </c>
      <c r="C3134" s="3" t="str">
        <f t="shared" si="48"/>
        <v>450013908110</v>
      </c>
      <c r="D3134" s="4">
        <v>46290</v>
      </c>
      <c r="E3134" s="3" t="s">
        <v>2245</v>
      </c>
      <c r="F3134" s="3" t="s">
        <v>2691</v>
      </c>
    </row>
    <row r="3135" spans="1:6" x14ac:dyDescent="0.3">
      <c r="A3135" s="3" t="s">
        <v>2290</v>
      </c>
      <c r="B3135" s="3" t="s">
        <v>22</v>
      </c>
      <c r="C3135" s="3" t="str">
        <f t="shared" si="48"/>
        <v>450013908120</v>
      </c>
      <c r="D3135" s="4">
        <v>46290</v>
      </c>
      <c r="E3135" s="3" t="s">
        <v>2245</v>
      </c>
      <c r="F3135" s="3" t="s">
        <v>2691</v>
      </c>
    </row>
    <row r="3136" spans="1:6" x14ac:dyDescent="0.3">
      <c r="A3136" s="3" t="s">
        <v>2945</v>
      </c>
      <c r="B3136" s="3" t="s">
        <v>30</v>
      </c>
      <c r="C3136" s="3" t="str">
        <f t="shared" si="48"/>
        <v>450013909010</v>
      </c>
      <c r="D3136" s="4">
        <v>46311</v>
      </c>
      <c r="E3136" s="3" t="s">
        <v>2196</v>
      </c>
      <c r="F3136" s="3" t="s">
        <v>3249</v>
      </c>
    </row>
    <row r="3137" spans="1:6" x14ac:dyDescent="0.3">
      <c r="A3137" s="3" t="s">
        <v>2945</v>
      </c>
      <c r="B3137" s="3" t="s">
        <v>22</v>
      </c>
      <c r="C3137" s="3" t="str">
        <f t="shared" si="48"/>
        <v>450013909020</v>
      </c>
      <c r="D3137" s="4">
        <v>46311</v>
      </c>
      <c r="E3137" s="3" t="s">
        <v>2196</v>
      </c>
      <c r="F3137" s="3" t="s">
        <v>3249</v>
      </c>
    </row>
    <row r="3138" spans="1:6" x14ac:dyDescent="0.3">
      <c r="A3138" s="3" t="s">
        <v>1721</v>
      </c>
      <c r="B3138" s="3" t="s">
        <v>22</v>
      </c>
      <c r="C3138" s="3" t="str">
        <f t="shared" si="48"/>
        <v>450013909220</v>
      </c>
      <c r="D3138" s="4">
        <v>46293</v>
      </c>
      <c r="E3138" s="3" t="s">
        <v>2251</v>
      </c>
      <c r="F3138" s="3" t="s">
        <v>2478</v>
      </c>
    </row>
    <row r="3139" spans="1:6" x14ac:dyDescent="0.3">
      <c r="A3139" s="3" t="s">
        <v>1721</v>
      </c>
      <c r="B3139" s="3" t="s">
        <v>35</v>
      </c>
      <c r="C3139" s="3" t="str">
        <f t="shared" ref="C3139:C3202" si="49">_xlfn.CONCAT(A3139:B3139)</f>
        <v>450013909230</v>
      </c>
      <c r="D3139" s="4">
        <v>46293</v>
      </c>
      <c r="E3139" s="3" t="s">
        <v>2251</v>
      </c>
      <c r="F3139" s="3" t="s">
        <v>2478</v>
      </c>
    </row>
    <row r="3140" spans="1:6" x14ac:dyDescent="0.3">
      <c r="A3140" s="3" t="s">
        <v>2032</v>
      </c>
      <c r="B3140" s="3" t="s">
        <v>30</v>
      </c>
      <c r="C3140" s="3" t="str">
        <f t="shared" si="49"/>
        <v>450013909710</v>
      </c>
      <c r="D3140" s="4">
        <v>46305</v>
      </c>
      <c r="E3140" s="3" t="s">
        <v>2213</v>
      </c>
      <c r="F3140" s="3" t="s">
        <v>2692</v>
      </c>
    </row>
    <row r="3141" spans="1:6" x14ac:dyDescent="0.3">
      <c r="A3141" s="3" t="s">
        <v>1691</v>
      </c>
      <c r="B3141" s="3" t="s">
        <v>30</v>
      </c>
      <c r="C3141" s="3" t="str">
        <f t="shared" si="49"/>
        <v>450013910810</v>
      </c>
      <c r="D3141" s="4">
        <v>46295</v>
      </c>
      <c r="E3141" s="3" t="s">
        <v>2210</v>
      </c>
      <c r="F3141" s="3" t="s">
        <v>2693</v>
      </c>
    </row>
    <row r="3142" spans="1:6" x14ac:dyDescent="0.3">
      <c r="A3142" s="3" t="s">
        <v>2174</v>
      </c>
      <c r="B3142" s="3" t="s">
        <v>30</v>
      </c>
      <c r="C3142" s="3" t="str">
        <f t="shared" si="49"/>
        <v>450013912310</v>
      </c>
      <c r="D3142" s="4">
        <v>46300</v>
      </c>
      <c r="E3142" s="3" t="s">
        <v>2196</v>
      </c>
      <c r="F3142" s="3" t="s">
        <v>2490</v>
      </c>
    </row>
    <row r="3143" spans="1:6" x14ac:dyDescent="0.3">
      <c r="A3143" s="3" t="s">
        <v>2174</v>
      </c>
      <c r="B3143" s="3" t="s">
        <v>22</v>
      </c>
      <c r="C3143" s="3" t="str">
        <f t="shared" si="49"/>
        <v>450013912320</v>
      </c>
      <c r="D3143" s="4">
        <v>46300</v>
      </c>
      <c r="E3143" s="3" t="s">
        <v>2196</v>
      </c>
      <c r="F3143" s="3" t="s">
        <v>2490</v>
      </c>
    </row>
    <row r="3144" spans="1:6" x14ac:dyDescent="0.3">
      <c r="A3144" s="3" t="s">
        <v>2174</v>
      </c>
      <c r="B3144" s="3" t="s">
        <v>35</v>
      </c>
      <c r="C3144" s="3" t="str">
        <f t="shared" si="49"/>
        <v>450013912330</v>
      </c>
      <c r="D3144" s="4">
        <v>46300</v>
      </c>
      <c r="E3144" s="3" t="s">
        <v>2196</v>
      </c>
      <c r="F3144" s="3" t="s">
        <v>2490</v>
      </c>
    </row>
    <row r="3145" spans="1:6" x14ac:dyDescent="0.3">
      <c r="A3145" s="3" t="s">
        <v>2174</v>
      </c>
      <c r="B3145" s="3" t="s">
        <v>23</v>
      </c>
      <c r="C3145" s="3" t="str">
        <f t="shared" si="49"/>
        <v>450013912340</v>
      </c>
      <c r="D3145" s="4">
        <v>46300</v>
      </c>
      <c r="E3145" s="3" t="s">
        <v>2196</v>
      </c>
      <c r="F3145" s="3" t="s">
        <v>2490</v>
      </c>
    </row>
    <row r="3146" spans="1:6" x14ac:dyDescent="0.3">
      <c r="A3146" s="3" t="s">
        <v>2174</v>
      </c>
      <c r="B3146" s="3" t="s">
        <v>144</v>
      </c>
      <c r="C3146" s="3" t="str">
        <f t="shared" si="49"/>
        <v>450013912350</v>
      </c>
      <c r="D3146" s="4">
        <v>46300</v>
      </c>
      <c r="E3146" s="3" t="s">
        <v>2196</v>
      </c>
      <c r="F3146" s="3" t="s">
        <v>2490</v>
      </c>
    </row>
    <row r="3147" spans="1:6" x14ac:dyDescent="0.3">
      <c r="A3147" s="3" t="s">
        <v>2174</v>
      </c>
      <c r="B3147" s="3" t="s">
        <v>141</v>
      </c>
      <c r="C3147" s="3" t="str">
        <f t="shared" si="49"/>
        <v>450013912360</v>
      </c>
      <c r="D3147" s="4">
        <v>46300</v>
      </c>
      <c r="E3147" s="3" t="s">
        <v>2196</v>
      </c>
      <c r="F3147" s="3" t="s">
        <v>2490</v>
      </c>
    </row>
    <row r="3148" spans="1:6" x14ac:dyDescent="0.3">
      <c r="A3148" s="3" t="s">
        <v>2174</v>
      </c>
      <c r="B3148" s="3" t="s">
        <v>134</v>
      </c>
      <c r="C3148" s="3" t="str">
        <f t="shared" si="49"/>
        <v>450013912370</v>
      </c>
      <c r="D3148" s="4">
        <v>46300</v>
      </c>
      <c r="E3148" s="3" t="s">
        <v>2196</v>
      </c>
      <c r="F3148" s="3" t="s">
        <v>2490</v>
      </c>
    </row>
    <row r="3149" spans="1:6" x14ac:dyDescent="0.3">
      <c r="A3149" s="3" t="s">
        <v>2174</v>
      </c>
      <c r="B3149" s="3" t="s">
        <v>52</v>
      </c>
      <c r="C3149" s="3" t="str">
        <f t="shared" si="49"/>
        <v>450013912380</v>
      </c>
      <c r="D3149" s="4">
        <v>46300</v>
      </c>
      <c r="E3149" s="3" t="s">
        <v>2196</v>
      </c>
      <c r="F3149" s="3" t="s">
        <v>2490</v>
      </c>
    </row>
    <row r="3150" spans="1:6" x14ac:dyDescent="0.3">
      <c r="A3150" s="3" t="s">
        <v>2174</v>
      </c>
      <c r="B3150" s="3" t="s">
        <v>138</v>
      </c>
      <c r="C3150" s="3" t="str">
        <f t="shared" si="49"/>
        <v>450013912390</v>
      </c>
      <c r="D3150" s="4">
        <v>46300</v>
      </c>
      <c r="E3150" s="3" t="s">
        <v>2196</v>
      </c>
      <c r="F3150" s="3" t="s">
        <v>2490</v>
      </c>
    </row>
    <row r="3151" spans="1:6" x14ac:dyDescent="0.3">
      <c r="A3151" s="3" t="s">
        <v>2174</v>
      </c>
      <c r="B3151" s="3" t="s">
        <v>45</v>
      </c>
      <c r="C3151" s="3" t="str">
        <f t="shared" si="49"/>
        <v>4500139123100</v>
      </c>
      <c r="D3151" s="4">
        <v>46300</v>
      </c>
      <c r="E3151" s="3" t="s">
        <v>2196</v>
      </c>
      <c r="F3151" s="3" t="s">
        <v>2490</v>
      </c>
    </row>
    <row r="3152" spans="1:6" x14ac:dyDescent="0.3">
      <c r="A3152" s="3" t="s">
        <v>2174</v>
      </c>
      <c r="B3152" s="3" t="s">
        <v>156</v>
      </c>
      <c r="C3152" s="3" t="str">
        <f t="shared" si="49"/>
        <v>4500139123110</v>
      </c>
      <c r="D3152" s="4">
        <v>46300</v>
      </c>
      <c r="E3152" s="3" t="s">
        <v>2196</v>
      </c>
      <c r="F3152" s="3" t="s">
        <v>2490</v>
      </c>
    </row>
    <row r="3153" spans="1:6" x14ac:dyDescent="0.3">
      <c r="A3153" s="3" t="s">
        <v>2174</v>
      </c>
      <c r="B3153" s="3" t="s">
        <v>132</v>
      </c>
      <c r="C3153" s="3" t="str">
        <f t="shared" si="49"/>
        <v>4500139123120</v>
      </c>
      <c r="D3153" s="4">
        <v>46300</v>
      </c>
      <c r="E3153" s="3" t="s">
        <v>2196</v>
      </c>
      <c r="F3153" s="3" t="s">
        <v>2490</v>
      </c>
    </row>
    <row r="3154" spans="1:6" x14ac:dyDescent="0.3">
      <c r="A3154" s="3" t="s">
        <v>2174</v>
      </c>
      <c r="B3154" s="3" t="s">
        <v>142</v>
      </c>
      <c r="C3154" s="3" t="str">
        <f t="shared" si="49"/>
        <v>4500139123130</v>
      </c>
      <c r="D3154" s="4">
        <v>46300</v>
      </c>
      <c r="E3154" s="3" t="s">
        <v>2196</v>
      </c>
      <c r="F3154" s="3" t="s">
        <v>2490</v>
      </c>
    </row>
    <row r="3155" spans="1:6" x14ac:dyDescent="0.3">
      <c r="A3155" s="3" t="s">
        <v>2174</v>
      </c>
      <c r="B3155" s="3" t="s">
        <v>131</v>
      </c>
      <c r="C3155" s="3" t="str">
        <f t="shared" si="49"/>
        <v>4500139123140</v>
      </c>
      <c r="D3155" s="4">
        <v>46300</v>
      </c>
      <c r="E3155" s="3" t="s">
        <v>2196</v>
      </c>
      <c r="F3155" s="3" t="s">
        <v>2490</v>
      </c>
    </row>
    <row r="3156" spans="1:6" x14ac:dyDescent="0.3">
      <c r="A3156" s="3" t="s">
        <v>2174</v>
      </c>
      <c r="B3156" s="3" t="s">
        <v>136</v>
      </c>
      <c r="C3156" s="3" t="str">
        <f t="shared" si="49"/>
        <v>4500139123210</v>
      </c>
      <c r="D3156" s="4">
        <v>46300</v>
      </c>
      <c r="E3156" s="3" t="s">
        <v>2196</v>
      </c>
      <c r="F3156" s="3" t="s">
        <v>2490</v>
      </c>
    </row>
    <row r="3157" spans="1:6" x14ac:dyDescent="0.3">
      <c r="A3157" s="3" t="s">
        <v>2174</v>
      </c>
      <c r="B3157" s="3" t="s">
        <v>140</v>
      </c>
      <c r="C3157" s="3" t="str">
        <f t="shared" si="49"/>
        <v>4500139123220</v>
      </c>
      <c r="D3157" s="4">
        <v>46300</v>
      </c>
      <c r="E3157" s="3" t="s">
        <v>2196</v>
      </c>
      <c r="F3157" s="3" t="s">
        <v>2490</v>
      </c>
    </row>
    <row r="3158" spans="1:6" x14ac:dyDescent="0.3">
      <c r="A3158" s="3" t="s">
        <v>2174</v>
      </c>
      <c r="B3158" s="3" t="s">
        <v>143</v>
      </c>
      <c r="C3158" s="3" t="str">
        <f t="shared" si="49"/>
        <v>4500139123240</v>
      </c>
      <c r="D3158" s="4">
        <v>46300</v>
      </c>
      <c r="E3158" s="3" t="s">
        <v>2196</v>
      </c>
      <c r="F3158" s="3" t="s">
        <v>2490</v>
      </c>
    </row>
    <row r="3159" spans="1:6" x14ac:dyDescent="0.3">
      <c r="A3159" s="3" t="s">
        <v>2174</v>
      </c>
      <c r="B3159" s="3" t="s">
        <v>128</v>
      </c>
      <c r="C3159" s="3" t="str">
        <f t="shared" si="49"/>
        <v>4500139123250</v>
      </c>
      <c r="D3159" s="4">
        <v>46300</v>
      </c>
      <c r="E3159" s="3" t="s">
        <v>2196</v>
      </c>
      <c r="F3159" s="3" t="s">
        <v>2490</v>
      </c>
    </row>
    <row r="3160" spans="1:6" x14ac:dyDescent="0.3">
      <c r="A3160" s="3" t="s">
        <v>2174</v>
      </c>
      <c r="B3160" s="3" t="s">
        <v>126</v>
      </c>
      <c r="C3160" s="3" t="str">
        <f t="shared" si="49"/>
        <v>4500139123260</v>
      </c>
      <c r="D3160" s="4">
        <v>46300</v>
      </c>
      <c r="E3160" s="3" t="s">
        <v>2196</v>
      </c>
      <c r="F3160" s="3" t="s">
        <v>2490</v>
      </c>
    </row>
    <row r="3161" spans="1:6" x14ac:dyDescent="0.3">
      <c r="A3161" s="3" t="s">
        <v>2174</v>
      </c>
      <c r="B3161" s="3" t="s">
        <v>146</v>
      </c>
      <c r="C3161" s="3" t="str">
        <f t="shared" si="49"/>
        <v>4500139123270</v>
      </c>
      <c r="D3161" s="4">
        <v>46300</v>
      </c>
      <c r="E3161" s="3" t="s">
        <v>2196</v>
      </c>
      <c r="F3161" s="3" t="s">
        <v>2490</v>
      </c>
    </row>
    <row r="3162" spans="1:6" x14ac:dyDescent="0.3">
      <c r="A3162" s="3" t="s">
        <v>2174</v>
      </c>
      <c r="B3162" s="3" t="s">
        <v>133</v>
      </c>
      <c r="C3162" s="3" t="str">
        <f t="shared" si="49"/>
        <v>4500139123280</v>
      </c>
      <c r="D3162" s="4">
        <v>46300</v>
      </c>
      <c r="E3162" s="3" t="s">
        <v>2196</v>
      </c>
      <c r="F3162" s="3" t="s">
        <v>2490</v>
      </c>
    </row>
    <row r="3163" spans="1:6" x14ac:dyDescent="0.3">
      <c r="A3163" s="3" t="s">
        <v>2174</v>
      </c>
      <c r="B3163" s="3" t="s">
        <v>173</v>
      </c>
      <c r="C3163" s="3" t="str">
        <f t="shared" si="49"/>
        <v>4500139123290</v>
      </c>
      <c r="D3163" s="4">
        <v>46300</v>
      </c>
      <c r="E3163" s="3" t="s">
        <v>2196</v>
      </c>
      <c r="F3163" s="3" t="s">
        <v>2490</v>
      </c>
    </row>
    <row r="3164" spans="1:6" x14ac:dyDescent="0.3">
      <c r="A3164" s="3" t="s">
        <v>2174</v>
      </c>
      <c r="B3164" s="3" t="s">
        <v>145</v>
      </c>
      <c r="C3164" s="3" t="str">
        <f t="shared" si="49"/>
        <v>4500139123300</v>
      </c>
      <c r="D3164" s="4">
        <v>46300</v>
      </c>
      <c r="E3164" s="3" t="s">
        <v>2196</v>
      </c>
      <c r="F3164" s="3" t="s">
        <v>2490</v>
      </c>
    </row>
    <row r="3165" spans="1:6" x14ac:dyDescent="0.3">
      <c r="A3165" s="3" t="s">
        <v>2174</v>
      </c>
      <c r="B3165" s="3" t="s">
        <v>147</v>
      </c>
      <c r="C3165" s="3" t="str">
        <f t="shared" si="49"/>
        <v>4500139123310</v>
      </c>
      <c r="D3165" s="4">
        <v>46300</v>
      </c>
      <c r="E3165" s="3" t="s">
        <v>2196</v>
      </c>
      <c r="F3165" s="3" t="s">
        <v>2490</v>
      </c>
    </row>
    <row r="3166" spans="1:6" x14ac:dyDescent="0.3">
      <c r="A3166" s="3" t="s">
        <v>2174</v>
      </c>
      <c r="B3166" s="3" t="s">
        <v>150</v>
      </c>
      <c r="C3166" s="3" t="str">
        <f t="shared" si="49"/>
        <v>4500139123320</v>
      </c>
      <c r="D3166" s="4">
        <v>46300</v>
      </c>
      <c r="E3166" s="3" t="s">
        <v>2196</v>
      </c>
      <c r="F3166" s="3" t="s">
        <v>2490</v>
      </c>
    </row>
    <row r="3167" spans="1:6" x14ac:dyDescent="0.3">
      <c r="A3167" s="3" t="s">
        <v>2174</v>
      </c>
      <c r="B3167" s="3" t="s">
        <v>154</v>
      </c>
      <c r="C3167" s="3" t="str">
        <f t="shared" si="49"/>
        <v>4500139123330</v>
      </c>
      <c r="D3167" s="4">
        <v>46300</v>
      </c>
      <c r="E3167" s="3" t="s">
        <v>2196</v>
      </c>
      <c r="F3167" s="3" t="s">
        <v>2490</v>
      </c>
    </row>
    <row r="3168" spans="1:6" x14ac:dyDescent="0.3">
      <c r="A3168" s="3" t="s">
        <v>2934</v>
      </c>
      <c r="B3168" s="3" t="s">
        <v>30</v>
      </c>
      <c r="C3168" s="3" t="str">
        <f t="shared" si="49"/>
        <v>450013913110</v>
      </c>
      <c r="D3168" s="4">
        <v>46297</v>
      </c>
      <c r="E3168" s="3" t="s">
        <v>2249</v>
      </c>
      <c r="F3168" s="3" t="s">
        <v>2461</v>
      </c>
    </row>
    <row r="3169" spans="1:6" x14ac:dyDescent="0.3">
      <c r="A3169" s="3" t="s">
        <v>2934</v>
      </c>
      <c r="B3169" s="3" t="s">
        <v>22</v>
      </c>
      <c r="C3169" s="3" t="str">
        <f t="shared" si="49"/>
        <v>450013913120</v>
      </c>
      <c r="D3169" s="4">
        <v>46297</v>
      </c>
      <c r="E3169" s="3" t="s">
        <v>2249</v>
      </c>
      <c r="F3169" s="3" t="s">
        <v>2461</v>
      </c>
    </row>
    <row r="3170" spans="1:6" x14ac:dyDescent="0.3">
      <c r="A3170" s="3" t="s">
        <v>2934</v>
      </c>
      <c r="B3170" s="3" t="s">
        <v>35</v>
      </c>
      <c r="C3170" s="3" t="str">
        <f t="shared" si="49"/>
        <v>450013913130</v>
      </c>
      <c r="D3170" s="4">
        <v>46297</v>
      </c>
      <c r="E3170" s="3" t="s">
        <v>2249</v>
      </c>
      <c r="F3170" s="3" t="s">
        <v>2461</v>
      </c>
    </row>
    <row r="3171" spans="1:6" x14ac:dyDescent="0.3">
      <c r="A3171" s="3" t="s">
        <v>2934</v>
      </c>
      <c r="B3171" s="3" t="s">
        <v>23</v>
      </c>
      <c r="C3171" s="3" t="str">
        <f t="shared" si="49"/>
        <v>450013913140</v>
      </c>
      <c r="D3171" s="4">
        <v>46297</v>
      </c>
      <c r="E3171" s="3" t="s">
        <v>2249</v>
      </c>
      <c r="F3171" s="3" t="s">
        <v>2461</v>
      </c>
    </row>
    <row r="3172" spans="1:6" x14ac:dyDescent="0.3">
      <c r="A3172" s="3" t="s">
        <v>2015</v>
      </c>
      <c r="B3172" s="3" t="s">
        <v>30</v>
      </c>
      <c r="C3172" s="3" t="str">
        <f t="shared" si="49"/>
        <v>450013913210</v>
      </c>
      <c r="D3172" s="4">
        <v>46295</v>
      </c>
      <c r="E3172" s="3" t="s">
        <v>2252</v>
      </c>
      <c r="F3172" s="3" t="s">
        <v>2647</v>
      </c>
    </row>
    <row r="3173" spans="1:6" x14ac:dyDescent="0.3">
      <c r="A3173" s="3" t="s">
        <v>2950</v>
      </c>
      <c r="B3173" s="3" t="s">
        <v>30</v>
      </c>
      <c r="C3173" s="3" t="str">
        <f t="shared" si="49"/>
        <v>450013913310</v>
      </c>
      <c r="D3173" s="4">
        <v>46295</v>
      </c>
      <c r="E3173" s="3" t="s">
        <v>2196</v>
      </c>
      <c r="F3173" s="3" t="s">
        <v>2452</v>
      </c>
    </row>
    <row r="3174" spans="1:6" x14ac:dyDescent="0.3">
      <c r="A3174" s="3" t="s">
        <v>1932</v>
      </c>
      <c r="B3174" s="3" t="s">
        <v>30</v>
      </c>
      <c r="C3174" s="3" t="str">
        <f t="shared" si="49"/>
        <v>450013915210</v>
      </c>
      <c r="D3174" s="4">
        <v>46310</v>
      </c>
      <c r="E3174" s="3" t="s">
        <v>2204</v>
      </c>
      <c r="F3174" s="3" t="s">
        <v>2478</v>
      </c>
    </row>
    <row r="3175" spans="1:6" x14ac:dyDescent="0.3">
      <c r="A3175" s="3" t="s">
        <v>2104</v>
      </c>
      <c r="B3175" s="3" t="s">
        <v>30</v>
      </c>
      <c r="C3175" s="3" t="str">
        <f t="shared" si="49"/>
        <v>450013917210</v>
      </c>
      <c r="D3175" s="4">
        <v>46295</v>
      </c>
      <c r="E3175" s="3" t="s">
        <v>2244</v>
      </c>
      <c r="F3175" s="3" t="s">
        <v>2680</v>
      </c>
    </row>
    <row r="3176" spans="1:6" x14ac:dyDescent="0.3">
      <c r="A3176" s="3" t="s">
        <v>1659</v>
      </c>
      <c r="B3176" s="3" t="s">
        <v>30</v>
      </c>
      <c r="C3176" s="3" t="str">
        <f t="shared" si="49"/>
        <v>450013918710</v>
      </c>
      <c r="D3176" s="4">
        <v>46295</v>
      </c>
      <c r="E3176" s="3" t="s">
        <v>2236</v>
      </c>
      <c r="F3176" s="3" t="s">
        <v>2694</v>
      </c>
    </row>
    <row r="3177" spans="1:6" x14ac:dyDescent="0.3">
      <c r="A3177" s="3" t="s">
        <v>2011</v>
      </c>
      <c r="B3177" s="3" t="s">
        <v>30</v>
      </c>
      <c r="C3177" s="3" t="str">
        <f t="shared" si="49"/>
        <v>450013919010</v>
      </c>
      <c r="D3177" s="4">
        <v>46300</v>
      </c>
      <c r="E3177" s="3" t="s">
        <v>2251</v>
      </c>
      <c r="F3177" s="3" t="s">
        <v>2423</v>
      </c>
    </row>
    <row r="3178" spans="1:6" x14ac:dyDescent="0.3">
      <c r="A3178" s="3" t="s">
        <v>2011</v>
      </c>
      <c r="B3178" s="3" t="s">
        <v>22</v>
      </c>
      <c r="C3178" s="3" t="str">
        <f t="shared" si="49"/>
        <v>450013919020</v>
      </c>
      <c r="D3178" s="4">
        <v>46300</v>
      </c>
      <c r="E3178" s="3" t="s">
        <v>2251</v>
      </c>
      <c r="F3178" s="3" t="s">
        <v>2423</v>
      </c>
    </row>
    <row r="3179" spans="1:6" x14ac:dyDescent="0.3">
      <c r="A3179" s="3" t="s">
        <v>2011</v>
      </c>
      <c r="B3179" s="3" t="s">
        <v>35</v>
      </c>
      <c r="C3179" s="3" t="str">
        <f t="shared" si="49"/>
        <v>450013919030</v>
      </c>
      <c r="D3179" s="4">
        <v>46300</v>
      </c>
      <c r="E3179" s="3" t="s">
        <v>2251</v>
      </c>
      <c r="F3179" s="3" t="s">
        <v>2423</v>
      </c>
    </row>
    <row r="3180" spans="1:6" x14ac:dyDescent="0.3">
      <c r="A3180" s="3" t="s">
        <v>1731</v>
      </c>
      <c r="B3180" s="3" t="s">
        <v>30</v>
      </c>
      <c r="C3180" s="3" t="str">
        <f t="shared" si="49"/>
        <v>450013919110</v>
      </c>
      <c r="D3180" s="4">
        <v>46291</v>
      </c>
      <c r="E3180" s="3" t="s">
        <v>2234</v>
      </c>
      <c r="F3180" s="3" t="s">
        <v>2642</v>
      </c>
    </row>
    <row r="3181" spans="1:6" x14ac:dyDescent="0.3">
      <c r="A3181" s="3" t="s">
        <v>2128</v>
      </c>
      <c r="B3181" s="3" t="s">
        <v>22</v>
      </c>
      <c r="C3181" s="3" t="str">
        <f t="shared" si="49"/>
        <v>450013919620</v>
      </c>
      <c r="D3181" s="4">
        <v>46295</v>
      </c>
      <c r="E3181" s="3" t="s">
        <v>2196</v>
      </c>
      <c r="F3181" s="3" t="s">
        <v>2491</v>
      </c>
    </row>
    <row r="3182" spans="1:6" x14ac:dyDescent="0.3">
      <c r="A3182" s="3" t="s">
        <v>2128</v>
      </c>
      <c r="B3182" s="3" t="s">
        <v>35</v>
      </c>
      <c r="C3182" s="3" t="str">
        <f t="shared" si="49"/>
        <v>450013919630</v>
      </c>
      <c r="D3182" s="4">
        <v>46295</v>
      </c>
      <c r="E3182" s="3" t="s">
        <v>2196</v>
      </c>
      <c r="F3182" s="3" t="s">
        <v>2491</v>
      </c>
    </row>
    <row r="3183" spans="1:6" x14ac:dyDescent="0.3">
      <c r="A3183" s="3" t="s">
        <v>2128</v>
      </c>
      <c r="B3183" s="3" t="s">
        <v>23</v>
      </c>
      <c r="C3183" s="3" t="str">
        <f t="shared" si="49"/>
        <v>450013919640</v>
      </c>
      <c r="D3183" s="4">
        <v>46297</v>
      </c>
      <c r="E3183" s="3" t="s">
        <v>2196</v>
      </c>
      <c r="F3183" s="3" t="s">
        <v>2491</v>
      </c>
    </row>
    <row r="3184" spans="1:6" x14ac:dyDescent="0.3">
      <c r="A3184" s="3" t="s">
        <v>2128</v>
      </c>
      <c r="B3184" s="3" t="s">
        <v>141</v>
      </c>
      <c r="C3184" s="3" t="str">
        <f t="shared" si="49"/>
        <v>450013919660</v>
      </c>
      <c r="D3184" s="4">
        <v>46297</v>
      </c>
      <c r="E3184" s="3" t="s">
        <v>2196</v>
      </c>
      <c r="F3184" s="3" t="s">
        <v>2491</v>
      </c>
    </row>
    <row r="3185" spans="1:6" x14ac:dyDescent="0.3">
      <c r="A3185" s="3" t="s">
        <v>2128</v>
      </c>
      <c r="B3185" s="3" t="s">
        <v>134</v>
      </c>
      <c r="C3185" s="3" t="str">
        <f t="shared" si="49"/>
        <v>450013919670</v>
      </c>
      <c r="D3185" s="4">
        <v>46297</v>
      </c>
      <c r="E3185" s="3" t="s">
        <v>2196</v>
      </c>
      <c r="F3185" s="3" t="s">
        <v>2491</v>
      </c>
    </row>
    <row r="3186" spans="1:6" x14ac:dyDescent="0.3">
      <c r="A3186" s="3" t="s">
        <v>2128</v>
      </c>
      <c r="B3186" s="3" t="s">
        <v>52</v>
      </c>
      <c r="C3186" s="3" t="str">
        <f t="shared" si="49"/>
        <v>450013919680</v>
      </c>
      <c r="D3186" s="4">
        <v>46297</v>
      </c>
      <c r="E3186" s="3" t="s">
        <v>2196</v>
      </c>
      <c r="F3186" s="3" t="s">
        <v>2491</v>
      </c>
    </row>
    <row r="3187" spans="1:6" x14ac:dyDescent="0.3">
      <c r="A3187" s="3" t="s">
        <v>2128</v>
      </c>
      <c r="B3187" s="3" t="s">
        <v>138</v>
      </c>
      <c r="C3187" s="3" t="str">
        <f t="shared" si="49"/>
        <v>450013919690</v>
      </c>
      <c r="D3187" s="4">
        <v>46297</v>
      </c>
      <c r="E3187" s="3" t="s">
        <v>2196</v>
      </c>
      <c r="F3187" s="3" t="s">
        <v>2491</v>
      </c>
    </row>
    <row r="3188" spans="1:6" x14ac:dyDescent="0.3">
      <c r="A3188" s="3" t="s">
        <v>2128</v>
      </c>
      <c r="B3188" s="3" t="s">
        <v>45</v>
      </c>
      <c r="C3188" s="3" t="str">
        <f t="shared" si="49"/>
        <v>4500139196100</v>
      </c>
      <c r="D3188" s="4">
        <v>46297</v>
      </c>
      <c r="E3188" s="3" t="s">
        <v>2196</v>
      </c>
      <c r="F3188" s="3" t="s">
        <v>2491</v>
      </c>
    </row>
    <row r="3189" spans="1:6" x14ac:dyDescent="0.3">
      <c r="A3189" s="3" t="s">
        <v>2128</v>
      </c>
      <c r="B3189" s="3" t="s">
        <v>156</v>
      </c>
      <c r="C3189" s="3" t="str">
        <f t="shared" si="49"/>
        <v>4500139196110</v>
      </c>
      <c r="D3189" s="4">
        <v>46297</v>
      </c>
      <c r="E3189" s="3" t="s">
        <v>2196</v>
      </c>
      <c r="F3189" s="3" t="s">
        <v>2491</v>
      </c>
    </row>
    <row r="3190" spans="1:6" x14ac:dyDescent="0.3">
      <c r="A3190" s="3" t="s">
        <v>2128</v>
      </c>
      <c r="B3190" s="3" t="s">
        <v>132</v>
      </c>
      <c r="C3190" s="3" t="str">
        <f t="shared" si="49"/>
        <v>4500139196120</v>
      </c>
      <c r="D3190" s="4">
        <v>46297</v>
      </c>
      <c r="E3190" s="3" t="s">
        <v>2196</v>
      </c>
      <c r="F3190" s="3" t="s">
        <v>2491</v>
      </c>
    </row>
    <row r="3191" spans="1:6" x14ac:dyDescent="0.3">
      <c r="A3191" s="3" t="s">
        <v>2128</v>
      </c>
      <c r="B3191" s="3" t="s">
        <v>142</v>
      </c>
      <c r="C3191" s="3" t="str">
        <f t="shared" si="49"/>
        <v>4500139196130</v>
      </c>
      <c r="D3191" s="4">
        <v>46297</v>
      </c>
      <c r="E3191" s="3" t="s">
        <v>2196</v>
      </c>
      <c r="F3191" s="3" t="s">
        <v>2491</v>
      </c>
    </row>
    <row r="3192" spans="1:6" x14ac:dyDescent="0.3">
      <c r="A3192" s="3" t="s">
        <v>2128</v>
      </c>
      <c r="B3192" s="3" t="s">
        <v>131</v>
      </c>
      <c r="C3192" s="3" t="str">
        <f t="shared" si="49"/>
        <v>4500139196140</v>
      </c>
      <c r="D3192" s="4">
        <v>46297</v>
      </c>
      <c r="E3192" s="3" t="s">
        <v>2196</v>
      </c>
      <c r="F3192" s="3" t="s">
        <v>2491</v>
      </c>
    </row>
    <row r="3193" spans="1:6" x14ac:dyDescent="0.3">
      <c r="A3193" s="3" t="s">
        <v>2128</v>
      </c>
      <c r="B3193" s="3" t="s">
        <v>68</v>
      </c>
      <c r="C3193" s="3" t="str">
        <f t="shared" si="49"/>
        <v>4500139196150</v>
      </c>
      <c r="D3193" s="4">
        <v>46297</v>
      </c>
      <c r="E3193" s="3" t="s">
        <v>2196</v>
      </c>
      <c r="F3193" s="3" t="s">
        <v>2491</v>
      </c>
    </row>
    <row r="3194" spans="1:6" x14ac:dyDescent="0.3">
      <c r="A3194" s="3" t="s">
        <v>3126</v>
      </c>
      <c r="B3194" s="3" t="s">
        <v>30</v>
      </c>
      <c r="C3194" s="3" t="str">
        <f t="shared" si="49"/>
        <v>450013920510</v>
      </c>
      <c r="D3194" s="4">
        <v>46308</v>
      </c>
      <c r="E3194" s="3" t="s">
        <v>2206</v>
      </c>
      <c r="F3194" s="3" t="s">
        <v>2459</v>
      </c>
    </row>
    <row r="3195" spans="1:6" x14ac:dyDescent="0.3">
      <c r="A3195" s="3" t="s">
        <v>3126</v>
      </c>
      <c r="B3195" s="3" t="s">
        <v>22</v>
      </c>
      <c r="C3195" s="3" t="str">
        <f t="shared" si="49"/>
        <v>450013920520</v>
      </c>
      <c r="D3195" s="4">
        <v>46308</v>
      </c>
      <c r="E3195" s="3" t="s">
        <v>2206</v>
      </c>
      <c r="F3195" s="3" t="s">
        <v>2459</v>
      </c>
    </row>
    <row r="3196" spans="1:6" x14ac:dyDescent="0.3">
      <c r="A3196" s="3" t="s">
        <v>3126</v>
      </c>
      <c r="B3196" s="3" t="s">
        <v>35</v>
      </c>
      <c r="C3196" s="3" t="str">
        <f t="shared" si="49"/>
        <v>450013920530</v>
      </c>
      <c r="D3196" s="4">
        <v>46308</v>
      </c>
      <c r="E3196" s="3" t="s">
        <v>2206</v>
      </c>
      <c r="F3196" s="3" t="s">
        <v>2459</v>
      </c>
    </row>
    <row r="3197" spans="1:6" x14ac:dyDescent="0.3">
      <c r="A3197" s="3" t="s">
        <v>3126</v>
      </c>
      <c r="B3197" s="3" t="s">
        <v>23</v>
      </c>
      <c r="C3197" s="3" t="str">
        <f t="shared" si="49"/>
        <v>450013920540</v>
      </c>
      <c r="D3197" s="4">
        <v>46308</v>
      </c>
      <c r="E3197" s="3" t="s">
        <v>2206</v>
      </c>
      <c r="F3197" s="3" t="s">
        <v>2459</v>
      </c>
    </row>
    <row r="3198" spans="1:6" x14ac:dyDescent="0.3">
      <c r="A3198" s="3" t="s">
        <v>3126</v>
      </c>
      <c r="B3198" s="3" t="s">
        <v>144</v>
      </c>
      <c r="C3198" s="3" t="str">
        <f t="shared" si="49"/>
        <v>450013920550</v>
      </c>
      <c r="D3198" s="4">
        <v>46308</v>
      </c>
      <c r="E3198" s="3" t="s">
        <v>2206</v>
      </c>
      <c r="F3198" s="3" t="s">
        <v>2459</v>
      </c>
    </row>
    <row r="3199" spans="1:6" x14ac:dyDescent="0.3">
      <c r="A3199" s="3" t="s">
        <v>3126</v>
      </c>
      <c r="B3199" s="3" t="s">
        <v>141</v>
      </c>
      <c r="C3199" s="3" t="str">
        <f t="shared" si="49"/>
        <v>450013920560</v>
      </c>
      <c r="D3199" s="4">
        <v>46308</v>
      </c>
      <c r="E3199" s="3" t="s">
        <v>2206</v>
      </c>
      <c r="F3199" s="3" t="s">
        <v>2459</v>
      </c>
    </row>
    <row r="3200" spans="1:6" x14ac:dyDescent="0.3">
      <c r="A3200" s="3" t="s">
        <v>3126</v>
      </c>
      <c r="B3200" s="3" t="s">
        <v>134</v>
      </c>
      <c r="C3200" s="3" t="str">
        <f t="shared" si="49"/>
        <v>450013920570</v>
      </c>
      <c r="D3200" s="4">
        <v>46308</v>
      </c>
      <c r="E3200" s="3" t="s">
        <v>2206</v>
      </c>
      <c r="F3200" s="3" t="s">
        <v>2459</v>
      </c>
    </row>
    <row r="3201" spans="1:6" x14ac:dyDescent="0.3">
      <c r="A3201" s="3" t="s">
        <v>3126</v>
      </c>
      <c r="B3201" s="3" t="s">
        <v>52</v>
      </c>
      <c r="C3201" s="3" t="str">
        <f t="shared" si="49"/>
        <v>450013920580</v>
      </c>
      <c r="D3201" s="4">
        <v>46308</v>
      </c>
      <c r="E3201" s="3" t="s">
        <v>2206</v>
      </c>
      <c r="F3201" s="3" t="s">
        <v>2459</v>
      </c>
    </row>
    <row r="3202" spans="1:6" x14ac:dyDescent="0.3">
      <c r="A3202" s="3" t="s">
        <v>3126</v>
      </c>
      <c r="B3202" s="3" t="s">
        <v>138</v>
      </c>
      <c r="C3202" s="3" t="str">
        <f t="shared" si="49"/>
        <v>450013920590</v>
      </c>
      <c r="D3202" s="4">
        <v>46308</v>
      </c>
      <c r="E3202" s="3" t="s">
        <v>2206</v>
      </c>
      <c r="F3202" s="3" t="s">
        <v>2459</v>
      </c>
    </row>
    <row r="3203" spans="1:6" x14ac:dyDescent="0.3">
      <c r="A3203" s="3" t="s">
        <v>3126</v>
      </c>
      <c r="B3203" s="3" t="s">
        <v>45</v>
      </c>
      <c r="C3203" s="3" t="str">
        <f t="shared" ref="C3203:C3266" si="50">_xlfn.CONCAT(A3203:B3203)</f>
        <v>4500139205100</v>
      </c>
      <c r="D3203" s="4">
        <v>46308</v>
      </c>
      <c r="E3203" s="3" t="s">
        <v>2206</v>
      </c>
      <c r="F3203" s="3" t="s">
        <v>2459</v>
      </c>
    </row>
    <row r="3204" spans="1:6" x14ac:dyDescent="0.3">
      <c r="A3204" s="3" t="s">
        <v>3126</v>
      </c>
      <c r="B3204" s="3" t="s">
        <v>156</v>
      </c>
      <c r="C3204" s="3" t="str">
        <f t="shared" si="50"/>
        <v>4500139205110</v>
      </c>
      <c r="D3204" s="4">
        <v>46308</v>
      </c>
      <c r="E3204" s="3" t="s">
        <v>2206</v>
      </c>
      <c r="F3204" s="3" t="s">
        <v>2459</v>
      </c>
    </row>
    <row r="3205" spans="1:6" x14ac:dyDescent="0.3">
      <c r="A3205" s="3" t="s">
        <v>3126</v>
      </c>
      <c r="B3205" s="3" t="s">
        <v>132</v>
      </c>
      <c r="C3205" s="3" t="str">
        <f t="shared" si="50"/>
        <v>4500139205120</v>
      </c>
      <c r="D3205" s="4">
        <v>46308</v>
      </c>
      <c r="E3205" s="3" t="s">
        <v>2206</v>
      </c>
      <c r="F3205" s="3" t="s">
        <v>2459</v>
      </c>
    </row>
    <row r="3206" spans="1:6" x14ac:dyDescent="0.3">
      <c r="A3206" s="3" t="s">
        <v>3126</v>
      </c>
      <c r="B3206" s="3" t="s">
        <v>142</v>
      </c>
      <c r="C3206" s="3" t="str">
        <f t="shared" si="50"/>
        <v>4500139205130</v>
      </c>
      <c r="D3206" s="4">
        <v>46308</v>
      </c>
      <c r="E3206" s="3" t="s">
        <v>2206</v>
      </c>
      <c r="F3206" s="3" t="s">
        <v>2459</v>
      </c>
    </row>
    <row r="3207" spans="1:6" x14ac:dyDescent="0.3">
      <c r="A3207" s="3" t="s">
        <v>1715</v>
      </c>
      <c r="B3207" s="3" t="s">
        <v>30</v>
      </c>
      <c r="C3207" s="3" t="str">
        <f t="shared" si="50"/>
        <v>450013921710</v>
      </c>
      <c r="D3207" s="4">
        <v>46288</v>
      </c>
      <c r="E3207" s="3" t="s">
        <v>2238</v>
      </c>
      <c r="F3207" s="3" t="s">
        <v>2695</v>
      </c>
    </row>
    <row r="3208" spans="1:6" x14ac:dyDescent="0.3">
      <c r="A3208" s="3" t="s">
        <v>1715</v>
      </c>
      <c r="B3208" s="3" t="s">
        <v>22</v>
      </c>
      <c r="C3208" s="3" t="str">
        <f t="shared" si="50"/>
        <v>450013921720</v>
      </c>
      <c r="D3208" s="4">
        <v>46288</v>
      </c>
      <c r="E3208" s="3" t="s">
        <v>2238</v>
      </c>
      <c r="F3208" s="3" t="s">
        <v>2695</v>
      </c>
    </row>
    <row r="3209" spans="1:6" x14ac:dyDescent="0.3">
      <c r="A3209" s="3" t="s">
        <v>1715</v>
      </c>
      <c r="B3209" s="3" t="s">
        <v>35</v>
      </c>
      <c r="C3209" s="3" t="str">
        <f t="shared" si="50"/>
        <v>450013921730</v>
      </c>
      <c r="D3209" s="4">
        <v>46288</v>
      </c>
      <c r="E3209" s="3" t="s">
        <v>2238</v>
      </c>
      <c r="F3209" s="3" t="s">
        <v>2695</v>
      </c>
    </row>
    <row r="3210" spans="1:6" x14ac:dyDescent="0.3">
      <c r="A3210" s="3" t="s">
        <v>1715</v>
      </c>
      <c r="B3210" s="3" t="s">
        <v>23</v>
      </c>
      <c r="C3210" s="3" t="str">
        <f t="shared" si="50"/>
        <v>450013921740</v>
      </c>
      <c r="D3210" s="4">
        <v>46288</v>
      </c>
      <c r="E3210" s="3" t="s">
        <v>2238</v>
      </c>
      <c r="F3210" s="3" t="s">
        <v>2695</v>
      </c>
    </row>
    <row r="3211" spans="1:6" x14ac:dyDescent="0.3">
      <c r="A3211" s="3" t="s">
        <v>1715</v>
      </c>
      <c r="B3211" s="3" t="s">
        <v>144</v>
      </c>
      <c r="C3211" s="3" t="str">
        <f t="shared" si="50"/>
        <v>450013921750</v>
      </c>
      <c r="D3211" s="4">
        <v>46288</v>
      </c>
      <c r="E3211" s="3" t="s">
        <v>2238</v>
      </c>
      <c r="F3211" s="3" t="s">
        <v>2695</v>
      </c>
    </row>
    <row r="3212" spans="1:6" x14ac:dyDescent="0.3">
      <c r="A3212" s="3" t="s">
        <v>2759</v>
      </c>
      <c r="B3212" s="3" t="s">
        <v>30</v>
      </c>
      <c r="C3212" s="3" t="str">
        <f t="shared" si="50"/>
        <v>450013922810</v>
      </c>
      <c r="D3212" s="4">
        <v>46295</v>
      </c>
      <c r="E3212" s="3" t="s">
        <v>2239</v>
      </c>
      <c r="F3212" s="3" t="s">
        <v>2683</v>
      </c>
    </row>
    <row r="3213" spans="1:6" x14ac:dyDescent="0.3">
      <c r="A3213" s="3" t="s">
        <v>3086</v>
      </c>
      <c r="B3213" s="3" t="s">
        <v>30</v>
      </c>
      <c r="C3213" s="3" t="str">
        <f t="shared" si="50"/>
        <v>450013924110</v>
      </c>
      <c r="D3213" s="4">
        <v>46289</v>
      </c>
      <c r="E3213" s="3" t="s">
        <v>2212</v>
      </c>
      <c r="F3213" s="3" t="s">
        <v>2447</v>
      </c>
    </row>
    <row r="3214" spans="1:6" x14ac:dyDescent="0.3">
      <c r="A3214" s="3" t="s">
        <v>2124</v>
      </c>
      <c r="B3214" s="3" t="s">
        <v>30</v>
      </c>
      <c r="C3214" s="3" t="str">
        <f t="shared" si="50"/>
        <v>450013924710</v>
      </c>
      <c r="D3214" s="4">
        <v>46294</v>
      </c>
      <c r="E3214" s="3" t="s">
        <v>2199</v>
      </c>
      <c r="F3214" s="3" t="s">
        <v>2696</v>
      </c>
    </row>
    <row r="3215" spans="1:6" x14ac:dyDescent="0.3">
      <c r="A3215" s="3" t="s">
        <v>1675</v>
      </c>
      <c r="B3215" s="3" t="s">
        <v>30</v>
      </c>
      <c r="C3215" s="3" t="str">
        <f t="shared" si="50"/>
        <v>450013924810</v>
      </c>
      <c r="D3215" s="4">
        <v>46295</v>
      </c>
      <c r="E3215" s="3" t="s">
        <v>2236</v>
      </c>
      <c r="F3215" s="3" t="s">
        <v>2549</v>
      </c>
    </row>
    <row r="3216" spans="1:6" x14ac:dyDescent="0.3">
      <c r="A3216" s="3" t="s">
        <v>1741</v>
      </c>
      <c r="B3216" s="3" t="s">
        <v>30</v>
      </c>
      <c r="C3216" s="3" t="str">
        <f t="shared" si="50"/>
        <v>450013925310</v>
      </c>
      <c r="D3216" s="4">
        <v>46289</v>
      </c>
      <c r="E3216" s="3" t="s">
        <v>2241</v>
      </c>
      <c r="F3216" s="3" t="s">
        <v>2577</v>
      </c>
    </row>
    <row r="3217" spans="1:6" x14ac:dyDescent="0.3">
      <c r="A3217" s="3" t="s">
        <v>3145</v>
      </c>
      <c r="B3217" s="3" t="s">
        <v>30</v>
      </c>
      <c r="C3217" s="3" t="str">
        <f t="shared" si="50"/>
        <v>450013925610</v>
      </c>
      <c r="D3217" s="4">
        <v>46289</v>
      </c>
      <c r="E3217" s="3" t="s">
        <v>2239</v>
      </c>
      <c r="F3217" s="3" t="s">
        <v>2578</v>
      </c>
    </row>
    <row r="3218" spans="1:6" x14ac:dyDescent="0.3">
      <c r="A3218" s="3" t="s">
        <v>2376</v>
      </c>
      <c r="B3218" s="3" t="s">
        <v>30</v>
      </c>
      <c r="C3218" s="3" t="str">
        <f t="shared" si="50"/>
        <v>450013925710</v>
      </c>
      <c r="D3218" s="4">
        <v>46295</v>
      </c>
      <c r="E3218" s="3" t="s">
        <v>2212</v>
      </c>
      <c r="F3218" s="3" t="s">
        <v>2450</v>
      </c>
    </row>
    <row r="3219" spans="1:6" x14ac:dyDescent="0.3">
      <c r="A3219" s="3" t="s">
        <v>2376</v>
      </c>
      <c r="B3219" s="3" t="s">
        <v>22</v>
      </c>
      <c r="C3219" s="3" t="str">
        <f t="shared" si="50"/>
        <v>450013925720</v>
      </c>
      <c r="D3219" s="4">
        <v>46295</v>
      </c>
      <c r="E3219" s="3" t="s">
        <v>2212</v>
      </c>
      <c r="F3219" s="3" t="s">
        <v>2450</v>
      </c>
    </row>
    <row r="3220" spans="1:6" x14ac:dyDescent="0.3">
      <c r="A3220" s="3" t="s">
        <v>1830</v>
      </c>
      <c r="B3220" s="3" t="s">
        <v>30</v>
      </c>
      <c r="C3220" s="3" t="str">
        <f t="shared" si="50"/>
        <v>450013925910</v>
      </c>
      <c r="D3220" s="4">
        <v>46289</v>
      </c>
      <c r="E3220" s="3" t="s">
        <v>2212</v>
      </c>
      <c r="F3220" s="3" t="s">
        <v>2447</v>
      </c>
    </row>
    <row r="3221" spans="1:6" x14ac:dyDescent="0.3">
      <c r="A3221" s="3" t="s">
        <v>1830</v>
      </c>
      <c r="B3221" s="3" t="s">
        <v>22</v>
      </c>
      <c r="C3221" s="3" t="str">
        <f t="shared" si="50"/>
        <v>450013925920</v>
      </c>
      <c r="D3221" s="4">
        <v>46289</v>
      </c>
      <c r="E3221" s="3" t="s">
        <v>2212</v>
      </c>
      <c r="F3221" s="3" t="s">
        <v>2447</v>
      </c>
    </row>
    <row r="3222" spans="1:6" x14ac:dyDescent="0.3">
      <c r="A3222" s="3" t="s">
        <v>1830</v>
      </c>
      <c r="B3222" s="3" t="s">
        <v>35</v>
      </c>
      <c r="C3222" s="3" t="str">
        <f t="shared" si="50"/>
        <v>450013925930</v>
      </c>
      <c r="D3222" s="4">
        <v>46289</v>
      </c>
      <c r="E3222" s="3" t="s">
        <v>2212</v>
      </c>
      <c r="F3222" s="3" t="s">
        <v>2447</v>
      </c>
    </row>
    <row r="3223" spans="1:6" x14ac:dyDescent="0.3">
      <c r="A3223" s="3" t="s">
        <v>3143</v>
      </c>
      <c r="B3223" s="3" t="s">
        <v>30</v>
      </c>
      <c r="C3223" s="3" t="str">
        <f t="shared" si="50"/>
        <v>450013926310</v>
      </c>
      <c r="D3223" s="4">
        <v>46295</v>
      </c>
      <c r="E3223" s="3" t="s">
        <v>2239</v>
      </c>
      <c r="F3223" s="3" t="s">
        <v>2578</v>
      </c>
    </row>
    <row r="3224" spans="1:6" x14ac:dyDescent="0.3">
      <c r="A3224" s="3" t="s">
        <v>2357</v>
      </c>
      <c r="B3224" s="3" t="s">
        <v>22</v>
      </c>
      <c r="C3224" s="3" t="str">
        <f t="shared" si="50"/>
        <v>450013927120</v>
      </c>
      <c r="D3224" s="4">
        <v>46295</v>
      </c>
      <c r="E3224" s="3" t="s">
        <v>2212</v>
      </c>
      <c r="F3224" s="3" t="s">
        <v>2450</v>
      </c>
    </row>
    <row r="3225" spans="1:6" x14ac:dyDescent="0.3">
      <c r="A3225" s="3" t="s">
        <v>3214</v>
      </c>
      <c r="B3225" s="3" t="s">
        <v>30</v>
      </c>
      <c r="C3225" s="3" t="str">
        <f t="shared" si="50"/>
        <v>450013928710</v>
      </c>
      <c r="D3225" s="4">
        <v>46297</v>
      </c>
      <c r="E3225" s="3" t="s">
        <v>2233</v>
      </c>
      <c r="F3225" s="3" t="s">
        <v>3244</v>
      </c>
    </row>
    <row r="3226" spans="1:6" x14ac:dyDescent="0.3">
      <c r="A3226" s="3" t="s">
        <v>1928</v>
      </c>
      <c r="B3226" s="3" t="s">
        <v>30</v>
      </c>
      <c r="C3226" s="3" t="str">
        <f t="shared" si="50"/>
        <v>450013928810</v>
      </c>
      <c r="D3226" s="4">
        <v>46295</v>
      </c>
      <c r="E3226" s="3" t="s">
        <v>2196</v>
      </c>
      <c r="F3226" s="3" t="s">
        <v>2439</v>
      </c>
    </row>
    <row r="3227" spans="1:6" x14ac:dyDescent="0.3">
      <c r="A3227" s="3" t="s">
        <v>1928</v>
      </c>
      <c r="B3227" s="3" t="s">
        <v>22</v>
      </c>
      <c r="C3227" s="3" t="str">
        <f t="shared" si="50"/>
        <v>450013928820</v>
      </c>
      <c r="D3227" s="4">
        <v>46295</v>
      </c>
      <c r="E3227" s="3" t="s">
        <v>2196</v>
      </c>
      <c r="F3227" s="3" t="s">
        <v>2439</v>
      </c>
    </row>
    <row r="3228" spans="1:6" x14ac:dyDescent="0.3">
      <c r="A3228" s="3" t="s">
        <v>3209</v>
      </c>
      <c r="B3228" s="3" t="s">
        <v>30</v>
      </c>
      <c r="C3228" s="3" t="str">
        <f t="shared" si="50"/>
        <v>450013928910</v>
      </c>
      <c r="D3228" s="4">
        <v>46304</v>
      </c>
      <c r="E3228" s="3" t="s">
        <v>2233</v>
      </c>
      <c r="F3228" s="3" t="s">
        <v>3244</v>
      </c>
    </row>
    <row r="3229" spans="1:6" x14ac:dyDescent="0.3">
      <c r="A3229" s="3" t="s">
        <v>1859</v>
      </c>
      <c r="B3229" s="3" t="s">
        <v>30</v>
      </c>
      <c r="C3229" s="3" t="str">
        <f t="shared" si="50"/>
        <v>450013931910</v>
      </c>
      <c r="D3229" s="4">
        <v>46295</v>
      </c>
      <c r="E3229" s="3" t="s">
        <v>2194</v>
      </c>
      <c r="F3229" s="3" t="s">
        <v>2641</v>
      </c>
    </row>
    <row r="3230" spans="1:6" x14ac:dyDescent="0.3">
      <c r="A3230" s="3" t="s">
        <v>1859</v>
      </c>
      <c r="B3230" s="3" t="s">
        <v>22</v>
      </c>
      <c r="C3230" s="3" t="str">
        <f t="shared" si="50"/>
        <v>450013931920</v>
      </c>
      <c r="D3230" s="4">
        <v>46295</v>
      </c>
      <c r="E3230" s="3" t="s">
        <v>2194</v>
      </c>
      <c r="F3230" s="3" t="s">
        <v>2641</v>
      </c>
    </row>
    <row r="3231" spans="1:6" x14ac:dyDescent="0.3">
      <c r="A3231" s="3" t="s">
        <v>1859</v>
      </c>
      <c r="B3231" s="3" t="s">
        <v>35</v>
      </c>
      <c r="C3231" s="3" t="str">
        <f t="shared" si="50"/>
        <v>450013931930</v>
      </c>
      <c r="D3231" s="4">
        <v>46295</v>
      </c>
      <c r="E3231" s="3" t="s">
        <v>2194</v>
      </c>
      <c r="F3231" s="3" t="s">
        <v>2641</v>
      </c>
    </row>
    <row r="3232" spans="1:6" x14ac:dyDescent="0.3">
      <c r="A3232" s="3" t="s">
        <v>2051</v>
      </c>
      <c r="B3232" s="3" t="s">
        <v>30</v>
      </c>
      <c r="C3232" s="3" t="str">
        <f t="shared" si="50"/>
        <v>450013932710</v>
      </c>
      <c r="D3232" s="4">
        <v>46295</v>
      </c>
      <c r="E3232" s="3" t="s">
        <v>2196</v>
      </c>
      <c r="F3232" s="3" t="s">
        <v>2491</v>
      </c>
    </row>
    <row r="3233" spans="1:6" x14ac:dyDescent="0.3">
      <c r="A3233" s="3" t="s">
        <v>2051</v>
      </c>
      <c r="B3233" s="3" t="s">
        <v>22</v>
      </c>
      <c r="C3233" s="3" t="str">
        <f t="shared" si="50"/>
        <v>450013932720</v>
      </c>
      <c r="D3233" s="4">
        <v>46295</v>
      </c>
      <c r="E3233" s="3" t="s">
        <v>2196</v>
      </c>
      <c r="F3233" s="3" t="s">
        <v>2491</v>
      </c>
    </row>
    <row r="3234" spans="1:6" x14ac:dyDescent="0.3">
      <c r="A3234" s="3" t="s">
        <v>2051</v>
      </c>
      <c r="B3234" s="3" t="s">
        <v>35</v>
      </c>
      <c r="C3234" s="3" t="str">
        <f t="shared" si="50"/>
        <v>450013932730</v>
      </c>
      <c r="D3234" s="4">
        <v>46302</v>
      </c>
      <c r="E3234" s="3" t="s">
        <v>2196</v>
      </c>
      <c r="F3234" s="3" t="s">
        <v>2491</v>
      </c>
    </row>
    <row r="3235" spans="1:6" x14ac:dyDescent="0.3">
      <c r="A3235" s="3" t="s">
        <v>1786</v>
      </c>
      <c r="B3235" s="3" t="s">
        <v>30</v>
      </c>
      <c r="C3235" s="3" t="str">
        <f t="shared" si="50"/>
        <v>450013934410</v>
      </c>
      <c r="D3235" s="4">
        <v>46301</v>
      </c>
      <c r="E3235" s="3" t="s">
        <v>2239</v>
      </c>
      <c r="F3235" s="3" t="s">
        <v>2495</v>
      </c>
    </row>
    <row r="3236" spans="1:6" x14ac:dyDescent="0.3">
      <c r="A3236" s="3" t="s">
        <v>1786</v>
      </c>
      <c r="B3236" s="3" t="s">
        <v>22</v>
      </c>
      <c r="C3236" s="3" t="str">
        <f t="shared" si="50"/>
        <v>450013934420</v>
      </c>
      <c r="D3236" s="4">
        <v>46301</v>
      </c>
      <c r="E3236" s="3" t="s">
        <v>2239</v>
      </c>
      <c r="F3236" s="3" t="s">
        <v>2495</v>
      </c>
    </row>
    <row r="3237" spans="1:6" x14ac:dyDescent="0.3">
      <c r="A3237" s="3" t="s">
        <v>1782</v>
      </c>
      <c r="B3237" s="3" t="s">
        <v>30</v>
      </c>
      <c r="C3237" s="3" t="str">
        <f t="shared" si="50"/>
        <v>450013936810</v>
      </c>
      <c r="D3237" s="4">
        <v>46300</v>
      </c>
      <c r="E3237" s="3" t="s">
        <v>2236</v>
      </c>
      <c r="F3237" s="3" t="s">
        <v>2457</v>
      </c>
    </row>
    <row r="3238" spans="1:6" x14ac:dyDescent="0.3">
      <c r="A3238" s="3" t="s">
        <v>1993</v>
      </c>
      <c r="B3238" s="3" t="s">
        <v>30</v>
      </c>
      <c r="C3238" s="3" t="str">
        <f t="shared" si="50"/>
        <v>450013937010</v>
      </c>
      <c r="D3238" s="4">
        <v>46309</v>
      </c>
      <c r="E3238" s="3" t="s">
        <v>2196</v>
      </c>
      <c r="F3238" s="3" t="s">
        <v>2454</v>
      </c>
    </row>
    <row r="3239" spans="1:6" x14ac:dyDescent="0.3">
      <c r="A3239" s="3" t="s">
        <v>1993</v>
      </c>
      <c r="B3239" s="3" t="s">
        <v>22</v>
      </c>
      <c r="C3239" s="3" t="str">
        <f t="shared" si="50"/>
        <v>450013937020</v>
      </c>
      <c r="D3239" s="4">
        <v>46309</v>
      </c>
      <c r="E3239" s="3" t="s">
        <v>2196</v>
      </c>
      <c r="F3239" s="3" t="s">
        <v>2454</v>
      </c>
    </row>
    <row r="3240" spans="1:6" x14ac:dyDescent="0.3">
      <c r="A3240" s="3" t="s">
        <v>1993</v>
      </c>
      <c r="B3240" s="3" t="s">
        <v>35</v>
      </c>
      <c r="C3240" s="3" t="str">
        <f t="shared" si="50"/>
        <v>450013937030</v>
      </c>
      <c r="D3240" s="4">
        <v>46309</v>
      </c>
      <c r="E3240" s="3" t="s">
        <v>2196</v>
      </c>
      <c r="F3240" s="3" t="s">
        <v>2454</v>
      </c>
    </row>
    <row r="3241" spans="1:6" x14ac:dyDescent="0.3">
      <c r="A3241" s="3" t="s">
        <v>1899</v>
      </c>
      <c r="B3241" s="3" t="s">
        <v>30</v>
      </c>
      <c r="C3241" s="3" t="str">
        <f t="shared" si="50"/>
        <v>450013938110</v>
      </c>
      <c r="D3241" s="4">
        <v>46303</v>
      </c>
      <c r="E3241" s="3" t="s">
        <v>2204</v>
      </c>
      <c r="F3241" s="3" t="s">
        <v>2672</v>
      </c>
    </row>
    <row r="3242" spans="1:6" x14ac:dyDescent="0.3">
      <c r="A3242" s="3" t="s">
        <v>2185</v>
      </c>
      <c r="B3242" s="3" t="s">
        <v>30</v>
      </c>
      <c r="C3242" s="3" t="str">
        <f t="shared" si="50"/>
        <v>450013938810</v>
      </c>
      <c r="D3242" s="4">
        <v>46297</v>
      </c>
      <c r="E3242" s="3" t="s">
        <v>2196</v>
      </c>
      <c r="F3242" s="3" t="s">
        <v>2457</v>
      </c>
    </row>
    <row r="3243" spans="1:6" x14ac:dyDescent="0.3">
      <c r="A3243" s="3" t="s">
        <v>2185</v>
      </c>
      <c r="B3243" s="3" t="s">
        <v>22</v>
      </c>
      <c r="C3243" s="3" t="str">
        <f t="shared" si="50"/>
        <v>450013938820</v>
      </c>
      <c r="D3243" s="4">
        <v>46297</v>
      </c>
      <c r="E3243" s="3" t="s">
        <v>2196</v>
      </c>
      <c r="F3243" s="3" t="s">
        <v>2457</v>
      </c>
    </row>
    <row r="3244" spans="1:6" x14ac:dyDescent="0.3">
      <c r="A3244" s="3" t="s">
        <v>1962</v>
      </c>
      <c r="B3244" s="3" t="s">
        <v>30</v>
      </c>
      <c r="C3244" s="3" t="str">
        <f t="shared" si="50"/>
        <v>450013939010</v>
      </c>
      <c r="D3244" s="4">
        <v>46293</v>
      </c>
      <c r="E3244" s="3" t="s">
        <v>2211</v>
      </c>
      <c r="F3244" s="3" t="s">
        <v>2547</v>
      </c>
    </row>
    <row r="3245" spans="1:6" x14ac:dyDescent="0.3">
      <c r="A3245" s="3" t="s">
        <v>1962</v>
      </c>
      <c r="B3245" s="3" t="s">
        <v>22</v>
      </c>
      <c r="C3245" s="3" t="str">
        <f t="shared" si="50"/>
        <v>450013939020</v>
      </c>
      <c r="D3245" s="4">
        <v>46293</v>
      </c>
      <c r="E3245" s="3" t="s">
        <v>2211</v>
      </c>
      <c r="F3245" s="3" t="s">
        <v>2547</v>
      </c>
    </row>
    <row r="3246" spans="1:6" x14ac:dyDescent="0.3">
      <c r="A3246" s="3" t="s">
        <v>1962</v>
      </c>
      <c r="B3246" s="3" t="s">
        <v>35</v>
      </c>
      <c r="C3246" s="3" t="str">
        <f t="shared" si="50"/>
        <v>450013939030</v>
      </c>
      <c r="D3246" s="4">
        <v>46293</v>
      </c>
      <c r="E3246" s="3" t="s">
        <v>2211</v>
      </c>
      <c r="F3246" s="3" t="s">
        <v>2547</v>
      </c>
    </row>
    <row r="3247" spans="1:6" x14ac:dyDescent="0.3">
      <c r="A3247" s="3" t="s">
        <v>1962</v>
      </c>
      <c r="B3247" s="3" t="s">
        <v>23</v>
      </c>
      <c r="C3247" s="3" t="str">
        <f t="shared" si="50"/>
        <v>450013939040</v>
      </c>
      <c r="D3247" s="4">
        <v>46293</v>
      </c>
      <c r="E3247" s="3" t="s">
        <v>2211</v>
      </c>
      <c r="F3247" s="3" t="s">
        <v>2547</v>
      </c>
    </row>
    <row r="3248" spans="1:6" x14ac:dyDescent="0.3">
      <c r="A3248" s="3" t="s">
        <v>2861</v>
      </c>
      <c r="B3248" s="3" t="s">
        <v>30</v>
      </c>
      <c r="C3248" s="3" t="str">
        <f t="shared" si="50"/>
        <v>450013939510</v>
      </c>
      <c r="D3248" s="4">
        <v>46302</v>
      </c>
      <c r="E3248" s="3" t="s">
        <v>2233</v>
      </c>
      <c r="F3248" s="3" t="s">
        <v>2544</v>
      </c>
    </row>
    <row r="3249" spans="1:6" x14ac:dyDescent="0.3">
      <c r="A3249" s="3" t="s">
        <v>2861</v>
      </c>
      <c r="B3249" s="3" t="s">
        <v>35</v>
      </c>
      <c r="C3249" s="3" t="str">
        <f t="shared" si="50"/>
        <v>450013939530</v>
      </c>
      <c r="D3249" s="4">
        <v>46302</v>
      </c>
      <c r="E3249" s="3" t="s">
        <v>2233</v>
      </c>
      <c r="F3249" s="3" t="s">
        <v>2544</v>
      </c>
    </row>
    <row r="3250" spans="1:6" x14ac:dyDescent="0.3">
      <c r="A3250" s="3" t="s">
        <v>3010</v>
      </c>
      <c r="B3250" s="3" t="s">
        <v>30</v>
      </c>
      <c r="C3250" s="3" t="str">
        <f t="shared" si="50"/>
        <v>450013941410</v>
      </c>
      <c r="D3250" s="4">
        <v>46301</v>
      </c>
      <c r="E3250" s="3" t="s">
        <v>2239</v>
      </c>
      <c r="F3250" s="3" t="s">
        <v>2602</v>
      </c>
    </row>
    <row r="3251" spans="1:6" x14ac:dyDescent="0.3">
      <c r="A3251" s="3" t="s">
        <v>2190</v>
      </c>
      <c r="B3251" s="3" t="s">
        <v>22</v>
      </c>
      <c r="C3251" s="3" t="str">
        <f t="shared" si="50"/>
        <v>450013941920</v>
      </c>
      <c r="D3251" s="4">
        <v>46301</v>
      </c>
      <c r="E3251" s="3" t="s">
        <v>2240</v>
      </c>
      <c r="F3251" s="3" t="s">
        <v>2470</v>
      </c>
    </row>
    <row r="3252" spans="1:6" x14ac:dyDescent="0.3">
      <c r="A3252" s="3" t="s">
        <v>2772</v>
      </c>
      <c r="B3252" s="3" t="s">
        <v>30</v>
      </c>
      <c r="C3252" s="3" t="str">
        <f t="shared" si="50"/>
        <v>450013942210</v>
      </c>
      <c r="D3252" s="4">
        <v>46325</v>
      </c>
      <c r="E3252" s="3" t="s">
        <v>2210</v>
      </c>
      <c r="F3252" s="3" t="s">
        <v>2789</v>
      </c>
    </row>
    <row r="3253" spans="1:6" x14ac:dyDescent="0.3">
      <c r="A3253" s="3" t="s">
        <v>2772</v>
      </c>
      <c r="B3253" s="3" t="s">
        <v>22</v>
      </c>
      <c r="C3253" s="3" t="str">
        <f t="shared" si="50"/>
        <v>450013942220</v>
      </c>
      <c r="D3253" s="4">
        <v>46326</v>
      </c>
      <c r="E3253" s="3" t="s">
        <v>2210</v>
      </c>
      <c r="F3253" s="3" t="s">
        <v>2789</v>
      </c>
    </row>
    <row r="3254" spans="1:6" x14ac:dyDescent="0.3">
      <c r="A3254" s="3" t="s">
        <v>2772</v>
      </c>
      <c r="B3254" s="3" t="s">
        <v>35</v>
      </c>
      <c r="C3254" s="3" t="str">
        <f t="shared" si="50"/>
        <v>450013942230</v>
      </c>
      <c r="D3254" s="4">
        <v>46326</v>
      </c>
      <c r="E3254" s="3" t="s">
        <v>2210</v>
      </c>
      <c r="F3254" s="3" t="s">
        <v>2789</v>
      </c>
    </row>
    <row r="3255" spans="1:6" x14ac:dyDescent="0.3">
      <c r="A3255" s="3" t="s">
        <v>1849</v>
      </c>
      <c r="B3255" s="3" t="s">
        <v>30</v>
      </c>
      <c r="C3255" s="3" t="str">
        <f t="shared" si="50"/>
        <v>450013943110</v>
      </c>
      <c r="D3255" s="4">
        <v>46301</v>
      </c>
      <c r="E3255" s="3" t="s">
        <v>2240</v>
      </c>
      <c r="F3255" s="3" t="s">
        <v>2538</v>
      </c>
    </row>
    <row r="3256" spans="1:6" x14ac:dyDescent="0.3">
      <c r="A3256" s="3" t="s">
        <v>1889</v>
      </c>
      <c r="B3256" s="3" t="s">
        <v>30</v>
      </c>
      <c r="C3256" s="3" t="str">
        <f t="shared" si="50"/>
        <v>450013943210</v>
      </c>
      <c r="D3256" s="4">
        <v>46301</v>
      </c>
      <c r="E3256" s="3" t="s">
        <v>2240</v>
      </c>
      <c r="F3256" s="3" t="s">
        <v>2538</v>
      </c>
    </row>
    <row r="3257" spans="1:6" x14ac:dyDescent="0.3">
      <c r="A3257" s="3" t="s">
        <v>2043</v>
      </c>
      <c r="B3257" s="3" t="s">
        <v>30</v>
      </c>
      <c r="C3257" s="3" t="str">
        <f t="shared" si="50"/>
        <v>450013943310</v>
      </c>
      <c r="D3257" s="4">
        <v>46296</v>
      </c>
      <c r="E3257" s="3" t="s">
        <v>2196</v>
      </c>
      <c r="F3257" s="3" t="s">
        <v>2423</v>
      </c>
    </row>
    <row r="3258" spans="1:6" x14ac:dyDescent="0.3">
      <c r="A3258" s="3" t="s">
        <v>2146</v>
      </c>
      <c r="B3258" s="3" t="s">
        <v>30</v>
      </c>
      <c r="C3258" s="3" t="str">
        <f t="shared" si="50"/>
        <v>450013943910</v>
      </c>
      <c r="D3258" s="4">
        <v>46301</v>
      </c>
      <c r="E3258" s="3" t="s">
        <v>2241</v>
      </c>
      <c r="F3258" s="3" t="s">
        <v>2451</v>
      </c>
    </row>
    <row r="3259" spans="1:6" x14ac:dyDescent="0.3">
      <c r="A3259" s="3" t="s">
        <v>2146</v>
      </c>
      <c r="B3259" s="3" t="s">
        <v>22</v>
      </c>
      <c r="C3259" s="3" t="str">
        <f t="shared" si="50"/>
        <v>450013943920</v>
      </c>
      <c r="D3259" s="4">
        <v>46301</v>
      </c>
      <c r="E3259" s="3" t="s">
        <v>2241</v>
      </c>
      <c r="F3259" s="3" t="s">
        <v>2451</v>
      </c>
    </row>
    <row r="3260" spans="1:6" x14ac:dyDescent="0.3">
      <c r="A3260" s="3" t="s">
        <v>1819</v>
      </c>
      <c r="B3260" s="3" t="s">
        <v>30</v>
      </c>
      <c r="C3260" s="3" t="str">
        <f t="shared" si="50"/>
        <v>450013944210</v>
      </c>
      <c r="D3260" s="4">
        <v>46289</v>
      </c>
      <c r="E3260" s="3" t="s">
        <v>2238</v>
      </c>
      <c r="F3260" s="3" t="s">
        <v>2697</v>
      </c>
    </row>
    <row r="3261" spans="1:6" x14ac:dyDescent="0.3">
      <c r="A3261" s="3" t="s">
        <v>1819</v>
      </c>
      <c r="B3261" s="3" t="s">
        <v>22</v>
      </c>
      <c r="C3261" s="3" t="str">
        <f t="shared" si="50"/>
        <v>450013944220</v>
      </c>
      <c r="D3261" s="4">
        <v>46289</v>
      </c>
      <c r="E3261" s="3" t="s">
        <v>2238</v>
      </c>
      <c r="F3261" s="3" t="s">
        <v>2697</v>
      </c>
    </row>
    <row r="3262" spans="1:6" x14ac:dyDescent="0.3">
      <c r="A3262" s="3" t="s">
        <v>1819</v>
      </c>
      <c r="B3262" s="3" t="s">
        <v>35</v>
      </c>
      <c r="C3262" s="3" t="str">
        <f t="shared" si="50"/>
        <v>450013944230</v>
      </c>
      <c r="D3262" s="4">
        <v>46289</v>
      </c>
      <c r="E3262" s="3" t="s">
        <v>2238</v>
      </c>
      <c r="F3262" s="3" t="s">
        <v>2697</v>
      </c>
    </row>
    <row r="3263" spans="1:6" x14ac:dyDescent="0.3">
      <c r="A3263" s="3" t="s">
        <v>1819</v>
      </c>
      <c r="B3263" s="3" t="s">
        <v>144</v>
      </c>
      <c r="C3263" s="3" t="str">
        <f t="shared" si="50"/>
        <v>450013944250</v>
      </c>
      <c r="D3263" s="4">
        <v>46289</v>
      </c>
      <c r="E3263" s="3" t="s">
        <v>2238</v>
      </c>
      <c r="F3263" s="3" t="s">
        <v>2697</v>
      </c>
    </row>
    <row r="3264" spans="1:6" x14ac:dyDescent="0.3">
      <c r="A3264" s="3" t="s">
        <v>1819</v>
      </c>
      <c r="B3264" s="3" t="s">
        <v>134</v>
      </c>
      <c r="C3264" s="3" t="str">
        <f t="shared" si="50"/>
        <v>450013944270</v>
      </c>
      <c r="D3264" s="4">
        <v>46289</v>
      </c>
      <c r="E3264" s="3" t="s">
        <v>2238</v>
      </c>
      <c r="F3264" s="3" t="s">
        <v>2697</v>
      </c>
    </row>
    <row r="3265" spans="1:6" x14ac:dyDescent="0.3">
      <c r="A3265" s="3" t="s">
        <v>1819</v>
      </c>
      <c r="B3265" s="3" t="s">
        <v>52</v>
      </c>
      <c r="C3265" s="3" t="str">
        <f t="shared" si="50"/>
        <v>450013944280</v>
      </c>
      <c r="D3265" s="4">
        <v>46289</v>
      </c>
      <c r="E3265" s="3" t="s">
        <v>2238</v>
      </c>
      <c r="F3265" s="3" t="s">
        <v>2697</v>
      </c>
    </row>
    <row r="3266" spans="1:6" x14ac:dyDescent="0.3">
      <c r="A3266" s="3" t="s">
        <v>1819</v>
      </c>
      <c r="B3266" s="3" t="s">
        <v>138</v>
      </c>
      <c r="C3266" s="3" t="str">
        <f t="shared" si="50"/>
        <v>450013944290</v>
      </c>
      <c r="D3266" s="4">
        <v>46290</v>
      </c>
      <c r="E3266" s="3" t="s">
        <v>2238</v>
      </c>
      <c r="F3266" s="3" t="s">
        <v>2697</v>
      </c>
    </row>
    <row r="3267" spans="1:6" x14ac:dyDescent="0.3">
      <c r="A3267" s="3" t="s">
        <v>1784</v>
      </c>
      <c r="B3267" s="3" t="s">
        <v>30</v>
      </c>
      <c r="C3267" s="3" t="str">
        <f t="shared" ref="C3267:C3330" si="51">_xlfn.CONCAT(A3267:B3267)</f>
        <v>450013944610</v>
      </c>
      <c r="D3267" s="4">
        <v>46300</v>
      </c>
      <c r="E3267" s="3" t="s">
        <v>2236</v>
      </c>
      <c r="F3267" s="3" t="s">
        <v>2548</v>
      </c>
    </row>
    <row r="3268" spans="1:6" x14ac:dyDescent="0.3">
      <c r="A3268" s="3" t="s">
        <v>1801</v>
      </c>
      <c r="B3268" s="3" t="s">
        <v>30</v>
      </c>
      <c r="C3268" s="3" t="str">
        <f t="shared" si="51"/>
        <v>450013944910</v>
      </c>
      <c r="D3268" s="4">
        <v>46309</v>
      </c>
      <c r="E3268" s="3" t="s">
        <v>2210</v>
      </c>
      <c r="F3268" s="3" t="s">
        <v>2698</v>
      </c>
    </row>
    <row r="3269" spans="1:6" x14ac:dyDescent="0.3">
      <c r="A3269" s="3" t="s">
        <v>1801</v>
      </c>
      <c r="B3269" s="3" t="s">
        <v>22</v>
      </c>
      <c r="C3269" s="3" t="str">
        <f t="shared" si="51"/>
        <v>450013944920</v>
      </c>
      <c r="D3269" s="4">
        <v>46309</v>
      </c>
      <c r="E3269" s="3" t="s">
        <v>2210</v>
      </c>
      <c r="F3269" s="3" t="s">
        <v>2698</v>
      </c>
    </row>
    <row r="3270" spans="1:6" x14ac:dyDescent="0.3">
      <c r="A3270" s="3" t="s">
        <v>2339</v>
      </c>
      <c r="B3270" s="3" t="s">
        <v>30</v>
      </c>
      <c r="C3270" s="3" t="str">
        <f t="shared" si="51"/>
        <v>450013945210</v>
      </c>
      <c r="D3270" s="4">
        <v>46294</v>
      </c>
      <c r="E3270" s="3" t="s">
        <v>2200</v>
      </c>
      <c r="F3270" s="3" t="s">
        <v>2430</v>
      </c>
    </row>
    <row r="3271" spans="1:6" x14ac:dyDescent="0.3">
      <c r="A3271" s="3" t="s">
        <v>2339</v>
      </c>
      <c r="B3271" s="3" t="s">
        <v>35</v>
      </c>
      <c r="C3271" s="3" t="str">
        <f t="shared" si="51"/>
        <v>450013945230</v>
      </c>
      <c r="D3271" s="4">
        <v>46294</v>
      </c>
      <c r="E3271" s="3" t="s">
        <v>2200</v>
      </c>
      <c r="F3271" s="3" t="s">
        <v>2430</v>
      </c>
    </row>
    <row r="3272" spans="1:6" x14ac:dyDescent="0.3">
      <c r="A3272" s="3" t="s">
        <v>2339</v>
      </c>
      <c r="B3272" s="3" t="s">
        <v>23</v>
      </c>
      <c r="C3272" s="3" t="str">
        <f t="shared" si="51"/>
        <v>450013945240</v>
      </c>
      <c r="D3272" s="4">
        <v>46294</v>
      </c>
      <c r="E3272" s="3" t="s">
        <v>2200</v>
      </c>
      <c r="F3272" s="3" t="s">
        <v>2430</v>
      </c>
    </row>
    <row r="3273" spans="1:6" x14ac:dyDescent="0.3">
      <c r="A3273" s="3" t="s">
        <v>2339</v>
      </c>
      <c r="B3273" s="3" t="s">
        <v>144</v>
      </c>
      <c r="C3273" s="3" t="str">
        <f t="shared" si="51"/>
        <v>450013945250</v>
      </c>
      <c r="D3273" s="4">
        <v>46294</v>
      </c>
      <c r="E3273" s="3" t="s">
        <v>2200</v>
      </c>
      <c r="F3273" s="3" t="s">
        <v>2430</v>
      </c>
    </row>
    <row r="3274" spans="1:6" x14ac:dyDescent="0.3">
      <c r="A3274" s="3" t="s">
        <v>3149</v>
      </c>
      <c r="B3274" s="3" t="s">
        <v>30</v>
      </c>
      <c r="C3274" s="3" t="str">
        <f t="shared" si="51"/>
        <v>450013945810</v>
      </c>
      <c r="D3274" s="4">
        <v>46289</v>
      </c>
      <c r="E3274" s="3" t="s">
        <v>2239</v>
      </c>
      <c r="F3274" s="3" t="s">
        <v>2578</v>
      </c>
    </row>
    <row r="3275" spans="1:6" x14ac:dyDescent="0.3">
      <c r="A3275" s="3" t="s">
        <v>2167</v>
      </c>
      <c r="B3275" s="3" t="s">
        <v>30</v>
      </c>
      <c r="C3275" s="3" t="str">
        <f t="shared" si="51"/>
        <v>450013946310</v>
      </c>
      <c r="D3275" s="4">
        <v>46294</v>
      </c>
      <c r="E3275" s="3" t="s">
        <v>2212</v>
      </c>
      <c r="F3275" s="3" t="s">
        <v>2627</v>
      </c>
    </row>
    <row r="3276" spans="1:6" x14ac:dyDescent="0.3">
      <c r="A3276" s="3" t="s">
        <v>1947</v>
      </c>
      <c r="B3276" s="3" t="s">
        <v>30</v>
      </c>
      <c r="C3276" s="3" t="str">
        <f t="shared" si="51"/>
        <v>450013946410</v>
      </c>
      <c r="D3276" s="4">
        <v>46302</v>
      </c>
      <c r="E3276" s="3" t="s">
        <v>2204</v>
      </c>
      <c r="F3276" s="3" t="s">
        <v>2461</v>
      </c>
    </row>
    <row r="3277" spans="1:6" x14ac:dyDescent="0.3">
      <c r="A3277" s="3" t="s">
        <v>1821</v>
      </c>
      <c r="B3277" s="3" t="s">
        <v>30</v>
      </c>
      <c r="C3277" s="3" t="str">
        <f t="shared" si="51"/>
        <v>450013947710</v>
      </c>
      <c r="D3277" s="4">
        <v>46290</v>
      </c>
      <c r="E3277" s="3" t="s">
        <v>2238</v>
      </c>
      <c r="F3277" s="3" t="s">
        <v>2471</v>
      </c>
    </row>
    <row r="3278" spans="1:6" x14ac:dyDescent="0.3">
      <c r="A3278" s="3" t="s">
        <v>1821</v>
      </c>
      <c r="B3278" s="3" t="s">
        <v>22</v>
      </c>
      <c r="C3278" s="3" t="str">
        <f t="shared" si="51"/>
        <v>450013947720</v>
      </c>
      <c r="D3278" s="4">
        <v>46290</v>
      </c>
      <c r="E3278" s="3" t="s">
        <v>2238</v>
      </c>
      <c r="F3278" s="3" t="s">
        <v>2471</v>
      </c>
    </row>
    <row r="3279" spans="1:6" x14ac:dyDescent="0.3">
      <c r="A3279" s="3" t="s">
        <v>2738</v>
      </c>
      <c r="B3279" s="3" t="s">
        <v>30</v>
      </c>
      <c r="C3279" s="3" t="str">
        <f t="shared" si="51"/>
        <v>450013947810</v>
      </c>
      <c r="D3279" s="4">
        <v>46295</v>
      </c>
      <c r="E3279" s="3" t="s">
        <v>2239</v>
      </c>
      <c r="F3279" s="3" t="s">
        <v>2628</v>
      </c>
    </row>
    <row r="3280" spans="1:6" x14ac:dyDescent="0.3">
      <c r="A3280" s="3" t="s">
        <v>1870</v>
      </c>
      <c r="B3280" s="3" t="s">
        <v>30</v>
      </c>
      <c r="C3280" s="3" t="str">
        <f t="shared" si="51"/>
        <v>450013948010</v>
      </c>
      <c r="D3280" s="4">
        <v>46303</v>
      </c>
      <c r="E3280" s="3" t="s">
        <v>2205</v>
      </c>
      <c r="F3280" s="3" t="s">
        <v>2432</v>
      </c>
    </row>
    <row r="3281" spans="1:6" x14ac:dyDescent="0.3">
      <c r="A3281" s="3" t="s">
        <v>1842</v>
      </c>
      <c r="B3281" s="3" t="s">
        <v>30</v>
      </c>
      <c r="C3281" s="3" t="str">
        <f t="shared" si="51"/>
        <v>450013948310</v>
      </c>
      <c r="D3281" s="4">
        <v>46295</v>
      </c>
      <c r="E3281" s="3" t="s">
        <v>2236</v>
      </c>
      <c r="F3281" s="3" t="s">
        <v>2694</v>
      </c>
    </row>
    <row r="3282" spans="1:6" x14ac:dyDescent="0.3">
      <c r="A3282" s="3" t="s">
        <v>1845</v>
      </c>
      <c r="B3282" s="3" t="s">
        <v>30</v>
      </c>
      <c r="C3282" s="3" t="str">
        <f t="shared" si="51"/>
        <v>450013948510</v>
      </c>
      <c r="D3282" s="4">
        <v>46295</v>
      </c>
      <c r="E3282" s="3" t="s">
        <v>2207</v>
      </c>
      <c r="F3282" s="3" t="s">
        <v>2571</v>
      </c>
    </row>
    <row r="3283" spans="1:6" x14ac:dyDescent="0.3">
      <c r="A3283" s="3" t="s">
        <v>2328</v>
      </c>
      <c r="B3283" s="3" t="s">
        <v>30</v>
      </c>
      <c r="C3283" s="3" t="str">
        <f t="shared" si="51"/>
        <v>450013949210</v>
      </c>
      <c r="D3283" s="4">
        <v>46308</v>
      </c>
      <c r="E3283" s="3" t="s">
        <v>2244</v>
      </c>
      <c r="F3283" s="3" t="s">
        <v>2423</v>
      </c>
    </row>
    <row r="3284" spans="1:6" x14ac:dyDescent="0.3">
      <c r="A3284" s="3" t="s">
        <v>2328</v>
      </c>
      <c r="B3284" s="3" t="s">
        <v>22</v>
      </c>
      <c r="C3284" s="3" t="str">
        <f t="shared" si="51"/>
        <v>450013949220</v>
      </c>
      <c r="D3284" s="4">
        <v>46308</v>
      </c>
      <c r="E3284" s="3" t="s">
        <v>2244</v>
      </c>
      <c r="F3284" s="3" t="s">
        <v>2423</v>
      </c>
    </row>
    <row r="3285" spans="1:6" x14ac:dyDescent="0.3">
      <c r="A3285" s="3" t="s">
        <v>2755</v>
      </c>
      <c r="B3285" s="3" t="s">
        <v>23</v>
      </c>
      <c r="C3285" s="3" t="str">
        <f t="shared" si="51"/>
        <v>450013949340</v>
      </c>
      <c r="D3285" s="4">
        <v>46314</v>
      </c>
      <c r="E3285" s="3" t="s">
        <v>2251</v>
      </c>
      <c r="F3285" s="3" t="s">
        <v>2454</v>
      </c>
    </row>
    <row r="3286" spans="1:6" x14ac:dyDescent="0.3">
      <c r="A3286" s="3" t="s">
        <v>2755</v>
      </c>
      <c r="B3286" s="3" t="s">
        <v>144</v>
      </c>
      <c r="C3286" s="3" t="str">
        <f t="shared" si="51"/>
        <v>450013949350</v>
      </c>
      <c r="D3286" s="4">
        <v>46314</v>
      </c>
      <c r="E3286" s="3" t="s">
        <v>2251</v>
      </c>
      <c r="F3286" s="3" t="s">
        <v>2454</v>
      </c>
    </row>
    <row r="3287" spans="1:6" x14ac:dyDescent="0.3">
      <c r="A3287" s="3" t="s">
        <v>2755</v>
      </c>
      <c r="B3287" s="3" t="s">
        <v>141</v>
      </c>
      <c r="C3287" s="3" t="str">
        <f t="shared" si="51"/>
        <v>450013949360</v>
      </c>
      <c r="D3287" s="4">
        <v>46314</v>
      </c>
      <c r="E3287" s="3" t="s">
        <v>2251</v>
      </c>
      <c r="F3287" s="3" t="s">
        <v>2454</v>
      </c>
    </row>
    <row r="3288" spans="1:6" x14ac:dyDescent="0.3">
      <c r="A3288" s="3" t="s">
        <v>2755</v>
      </c>
      <c r="B3288" s="3" t="s">
        <v>134</v>
      </c>
      <c r="C3288" s="3" t="str">
        <f t="shared" si="51"/>
        <v>450013949370</v>
      </c>
      <c r="D3288" s="4">
        <v>46314</v>
      </c>
      <c r="E3288" s="3" t="s">
        <v>2251</v>
      </c>
      <c r="F3288" s="3" t="s">
        <v>2454</v>
      </c>
    </row>
    <row r="3289" spans="1:6" x14ac:dyDescent="0.3">
      <c r="A3289" s="3" t="s">
        <v>2755</v>
      </c>
      <c r="B3289" s="3" t="s">
        <v>52</v>
      </c>
      <c r="C3289" s="3" t="str">
        <f t="shared" si="51"/>
        <v>450013949380</v>
      </c>
      <c r="D3289" s="4">
        <v>46314</v>
      </c>
      <c r="E3289" s="3" t="s">
        <v>2251</v>
      </c>
      <c r="F3289" s="3" t="s">
        <v>2454</v>
      </c>
    </row>
    <row r="3290" spans="1:6" x14ac:dyDescent="0.3">
      <c r="A3290" s="3" t="s">
        <v>1972</v>
      </c>
      <c r="B3290" s="3" t="s">
        <v>30</v>
      </c>
      <c r="C3290" s="3" t="str">
        <f t="shared" si="51"/>
        <v>450013949710</v>
      </c>
      <c r="D3290" s="4">
        <v>46297</v>
      </c>
      <c r="E3290" s="3" t="s">
        <v>2239</v>
      </c>
      <c r="F3290" s="3" t="s">
        <v>2619</v>
      </c>
    </row>
    <row r="3291" spans="1:6" x14ac:dyDescent="0.3">
      <c r="A3291" s="3" t="s">
        <v>1972</v>
      </c>
      <c r="B3291" s="3" t="s">
        <v>22</v>
      </c>
      <c r="C3291" s="3" t="str">
        <f t="shared" si="51"/>
        <v>450013949720</v>
      </c>
      <c r="D3291" s="4">
        <v>46297</v>
      </c>
      <c r="E3291" s="3" t="s">
        <v>2239</v>
      </c>
      <c r="F3291" s="3" t="s">
        <v>2619</v>
      </c>
    </row>
    <row r="3292" spans="1:6" x14ac:dyDescent="0.3">
      <c r="A3292" s="3" t="s">
        <v>1811</v>
      </c>
      <c r="B3292" s="3" t="s">
        <v>30</v>
      </c>
      <c r="C3292" s="3" t="str">
        <f t="shared" si="51"/>
        <v>450013950810</v>
      </c>
      <c r="D3292" s="4">
        <v>46303</v>
      </c>
      <c r="E3292" s="3" t="s">
        <v>2196</v>
      </c>
      <c r="F3292" s="3" t="s">
        <v>2550</v>
      </c>
    </row>
    <row r="3293" spans="1:6" x14ac:dyDescent="0.3">
      <c r="A3293" s="3" t="s">
        <v>1811</v>
      </c>
      <c r="B3293" s="3" t="s">
        <v>22</v>
      </c>
      <c r="C3293" s="3" t="str">
        <f t="shared" si="51"/>
        <v>450013950820</v>
      </c>
      <c r="D3293" s="4">
        <v>46303</v>
      </c>
      <c r="E3293" s="3" t="s">
        <v>2196</v>
      </c>
      <c r="F3293" s="3" t="s">
        <v>2550</v>
      </c>
    </row>
    <row r="3294" spans="1:6" x14ac:dyDescent="0.3">
      <c r="A3294" s="3" t="s">
        <v>1811</v>
      </c>
      <c r="B3294" s="3" t="s">
        <v>35</v>
      </c>
      <c r="C3294" s="3" t="str">
        <f t="shared" si="51"/>
        <v>450013950830</v>
      </c>
      <c r="D3294" s="4">
        <v>46303</v>
      </c>
      <c r="E3294" s="3" t="s">
        <v>2196</v>
      </c>
      <c r="F3294" s="3" t="s">
        <v>2550</v>
      </c>
    </row>
    <row r="3295" spans="1:6" x14ac:dyDescent="0.3">
      <c r="A3295" s="3" t="s">
        <v>1811</v>
      </c>
      <c r="B3295" s="3" t="s">
        <v>23</v>
      </c>
      <c r="C3295" s="3" t="str">
        <f t="shared" si="51"/>
        <v>450013950840</v>
      </c>
      <c r="D3295" s="4">
        <v>46303</v>
      </c>
      <c r="E3295" s="3" t="s">
        <v>2196</v>
      </c>
      <c r="F3295" s="3" t="s">
        <v>2550</v>
      </c>
    </row>
    <row r="3296" spans="1:6" x14ac:dyDescent="0.3">
      <c r="A3296" s="3" t="s">
        <v>1811</v>
      </c>
      <c r="B3296" s="3" t="s">
        <v>144</v>
      </c>
      <c r="C3296" s="3" t="str">
        <f t="shared" si="51"/>
        <v>450013950850</v>
      </c>
      <c r="D3296" s="4">
        <v>46303</v>
      </c>
      <c r="E3296" s="3" t="s">
        <v>2196</v>
      </c>
      <c r="F3296" s="3" t="s">
        <v>2550</v>
      </c>
    </row>
    <row r="3297" spans="1:6" x14ac:dyDescent="0.3">
      <c r="A3297" s="3" t="s">
        <v>1811</v>
      </c>
      <c r="B3297" s="3" t="s">
        <v>141</v>
      </c>
      <c r="C3297" s="3" t="str">
        <f t="shared" si="51"/>
        <v>450013950860</v>
      </c>
      <c r="D3297" s="4">
        <v>46303</v>
      </c>
      <c r="E3297" s="3" t="s">
        <v>2196</v>
      </c>
      <c r="F3297" s="3" t="s">
        <v>2550</v>
      </c>
    </row>
    <row r="3298" spans="1:6" x14ac:dyDescent="0.3">
      <c r="A3298" s="3" t="s">
        <v>1811</v>
      </c>
      <c r="B3298" s="3" t="s">
        <v>134</v>
      </c>
      <c r="C3298" s="3" t="str">
        <f t="shared" si="51"/>
        <v>450013950870</v>
      </c>
      <c r="D3298" s="4">
        <v>46303</v>
      </c>
      <c r="E3298" s="3" t="s">
        <v>2196</v>
      </c>
      <c r="F3298" s="3" t="s">
        <v>2550</v>
      </c>
    </row>
    <row r="3299" spans="1:6" x14ac:dyDescent="0.3">
      <c r="A3299" s="3" t="s">
        <v>1811</v>
      </c>
      <c r="B3299" s="3" t="s">
        <v>52</v>
      </c>
      <c r="C3299" s="3" t="str">
        <f t="shared" si="51"/>
        <v>450013950880</v>
      </c>
      <c r="D3299" s="4">
        <v>46303</v>
      </c>
      <c r="E3299" s="3" t="s">
        <v>2196</v>
      </c>
      <c r="F3299" s="3" t="s">
        <v>2550</v>
      </c>
    </row>
    <row r="3300" spans="1:6" x14ac:dyDescent="0.3">
      <c r="A3300" s="3" t="s">
        <v>1811</v>
      </c>
      <c r="B3300" s="3" t="s">
        <v>138</v>
      </c>
      <c r="C3300" s="3" t="str">
        <f t="shared" si="51"/>
        <v>450013950890</v>
      </c>
      <c r="D3300" s="4">
        <v>46303</v>
      </c>
      <c r="E3300" s="3" t="s">
        <v>2196</v>
      </c>
      <c r="F3300" s="3" t="s">
        <v>2550</v>
      </c>
    </row>
    <row r="3301" spans="1:6" x14ac:dyDescent="0.3">
      <c r="A3301" s="3" t="s">
        <v>2958</v>
      </c>
      <c r="B3301" s="3" t="s">
        <v>30</v>
      </c>
      <c r="C3301" s="3" t="str">
        <f t="shared" si="51"/>
        <v>450013951610</v>
      </c>
      <c r="D3301" s="4">
        <v>46301</v>
      </c>
      <c r="E3301" s="3" t="s">
        <v>2239</v>
      </c>
      <c r="F3301" s="3" t="s">
        <v>2495</v>
      </c>
    </row>
    <row r="3302" spans="1:6" x14ac:dyDescent="0.3">
      <c r="A3302" s="3" t="s">
        <v>1865</v>
      </c>
      <c r="B3302" s="3" t="s">
        <v>30</v>
      </c>
      <c r="C3302" s="3" t="str">
        <f t="shared" si="51"/>
        <v>450013952310</v>
      </c>
      <c r="D3302" s="4">
        <v>46302</v>
      </c>
      <c r="E3302" s="3" t="s">
        <v>2239</v>
      </c>
      <c r="F3302" s="3" t="s">
        <v>2574</v>
      </c>
    </row>
    <row r="3303" spans="1:6" x14ac:dyDescent="0.3">
      <c r="A3303" s="3" t="s">
        <v>1896</v>
      </c>
      <c r="B3303" s="3" t="s">
        <v>30</v>
      </c>
      <c r="C3303" s="3" t="str">
        <f t="shared" si="51"/>
        <v>450013952910</v>
      </c>
      <c r="D3303" s="4">
        <v>46295</v>
      </c>
      <c r="E3303" s="3" t="s">
        <v>2207</v>
      </c>
      <c r="F3303" s="3" t="s">
        <v>2429</v>
      </c>
    </row>
    <row r="3304" spans="1:6" x14ac:dyDescent="0.3">
      <c r="A3304" s="3" t="s">
        <v>2084</v>
      </c>
      <c r="B3304" s="3" t="s">
        <v>30</v>
      </c>
      <c r="C3304" s="3" t="str">
        <f t="shared" si="51"/>
        <v>450013953210</v>
      </c>
      <c r="D3304" s="4">
        <v>46303</v>
      </c>
      <c r="E3304" s="3" t="s">
        <v>2250</v>
      </c>
      <c r="F3304" s="3" t="s">
        <v>2699</v>
      </c>
    </row>
    <row r="3305" spans="1:6" x14ac:dyDescent="0.3">
      <c r="A3305" s="3" t="s">
        <v>1894</v>
      </c>
      <c r="B3305" s="3" t="s">
        <v>30</v>
      </c>
      <c r="C3305" s="3" t="str">
        <f t="shared" si="51"/>
        <v>450013953510</v>
      </c>
      <c r="D3305" s="4">
        <v>46295</v>
      </c>
      <c r="E3305" s="3" t="s">
        <v>2207</v>
      </c>
      <c r="F3305" s="3" t="s">
        <v>2429</v>
      </c>
    </row>
    <row r="3306" spans="1:6" x14ac:dyDescent="0.3">
      <c r="A3306" s="3" t="s">
        <v>2858</v>
      </c>
      <c r="B3306" s="3" t="s">
        <v>30</v>
      </c>
      <c r="C3306" s="3" t="str">
        <f t="shared" si="51"/>
        <v>450013953710</v>
      </c>
      <c r="D3306" s="4">
        <v>46295</v>
      </c>
      <c r="E3306" s="3" t="s">
        <v>2200</v>
      </c>
      <c r="F3306" s="3" t="s">
        <v>2544</v>
      </c>
    </row>
    <row r="3307" spans="1:6" x14ac:dyDescent="0.3">
      <c r="A3307" s="3" t="s">
        <v>2922</v>
      </c>
      <c r="B3307" s="3" t="s">
        <v>30</v>
      </c>
      <c r="C3307" s="3" t="str">
        <f t="shared" si="51"/>
        <v>450013954310</v>
      </c>
      <c r="D3307" s="4">
        <v>46297</v>
      </c>
      <c r="E3307" s="3" t="s">
        <v>2204</v>
      </c>
      <c r="F3307" s="3" t="s">
        <v>2454</v>
      </c>
    </row>
    <row r="3308" spans="1:6" x14ac:dyDescent="0.3">
      <c r="A3308" s="3" t="s">
        <v>2922</v>
      </c>
      <c r="B3308" s="3" t="s">
        <v>22</v>
      </c>
      <c r="C3308" s="3" t="str">
        <f t="shared" si="51"/>
        <v>450013954320</v>
      </c>
      <c r="D3308" s="4">
        <v>46297</v>
      </c>
      <c r="E3308" s="3" t="s">
        <v>2204</v>
      </c>
      <c r="F3308" s="3" t="s">
        <v>2454</v>
      </c>
    </row>
    <row r="3309" spans="1:6" x14ac:dyDescent="0.3">
      <c r="A3309" s="3" t="s">
        <v>1791</v>
      </c>
      <c r="B3309" s="3" t="s">
        <v>30</v>
      </c>
      <c r="C3309" s="3" t="str">
        <f t="shared" si="51"/>
        <v>450013954410</v>
      </c>
      <c r="D3309" s="4">
        <v>46310</v>
      </c>
      <c r="E3309" s="3" t="s">
        <v>2207</v>
      </c>
      <c r="F3309" s="3" t="s">
        <v>2580</v>
      </c>
    </row>
    <row r="3310" spans="1:6" x14ac:dyDescent="0.3">
      <c r="A3310" s="3" t="s">
        <v>1791</v>
      </c>
      <c r="B3310" s="3" t="s">
        <v>22</v>
      </c>
      <c r="C3310" s="3" t="str">
        <f t="shared" si="51"/>
        <v>450013954420</v>
      </c>
      <c r="D3310" s="4">
        <v>46310</v>
      </c>
      <c r="E3310" s="3" t="s">
        <v>2207</v>
      </c>
      <c r="F3310" s="3" t="s">
        <v>2580</v>
      </c>
    </row>
    <row r="3311" spans="1:6" x14ac:dyDescent="0.3">
      <c r="A3311" s="3" t="s">
        <v>1791</v>
      </c>
      <c r="B3311" s="3" t="s">
        <v>35</v>
      </c>
      <c r="C3311" s="3" t="str">
        <f t="shared" si="51"/>
        <v>450013954430</v>
      </c>
      <c r="D3311" s="4">
        <v>46310</v>
      </c>
      <c r="E3311" s="3" t="s">
        <v>2207</v>
      </c>
      <c r="F3311" s="3" t="s">
        <v>2580</v>
      </c>
    </row>
    <row r="3312" spans="1:6" x14ac:dyDescent="0.3">
      <c r="A3312" s="3" t="s">
        <v>1791</v>
      </c>
      <c r="B3312" s="3" t="s">
        <v>23</v>
      </c>
      <c r="C3312" s="3" t="str">
        <f t="shared" si="51"/>
        <v>450013954440</v>
      </c>
      <c r="D3312" s="4">
        <v>46310</v>
      </c>
      <c r="E3312" s="3" t="s">
        <v>2207</v>
      </c>
      <c r="F3312" s="3" t="s">
        <v>2580</v>
      </c>
    </row>
    <row r="3313" spans="1:6" x14ac:dyDescent="0.3">
      <c r="A3313" s="3" t="s">
        <v>1791</v>
      </c>
      <c r="B3313" s="3" t="s">
        <v>144</v>
      </c>
      <c r="C3313" s="3" t="str">
        <f t="shared" si="51"/>
        <v>450013954450</v>
      </c>
      <c r="D3313" s="4">
        <v>46310</v>
      </c>
      <c r="E3313" s="3" t="s">
        <v>2207</v>
      </c>
      <c r="F3313" s="3" t="s">
        <v>2580</v>
      </c>
    </row>
    <row r="3314" spans="1:6" x14ac:dyDescent="0.3">
      <c r="A3314" s="3" t="s">
        <v>1791</v>
      </c>
      <c r="B3314" s="3" t="s">
        <v>141</v>
      </c>
      <c r="C3314" s="3" t="str">
        <f t="shared" si="51"/>
        <v>450013954460</v>
      </c>
      <c r="D3314" s="4">
        <v>46310</v>
      </c>
      <c r="E3314" s="3" t="s">
        <v>2207</v>
      </c>
      <c r="F3314" s="3" t="s">
        <v>2580</v>
      </c>
    </row>
    <row r="3315" spans="1:6" x14ac:dyDescent="0.3">
      <c r="A3315" s="3" t="s">
        <v>1791</v>
      </c>
      <c r="B3315" s="3" t="s">
        <v>134</v>
      </c>
      <c r="C3315" s="3" t="str">
        <f t="shared" si="51"/>
        <v>450013954470</v>
      </c>
      <c r="D3315" s="4">
        <v>46310</v>
      </c>
      <c r="E3315" s="3" t="s">
        <v>2207</v>
      </c>
      <c r="F3315" s="3" t="s">
        <v>2580</v>
      </c>
    </row>
    <row r="3316" spans="1:6" x14ac:dyDescent="0.3">
      <c r="A3316" s="3" t="s">
        <v>1791</v>
      </c>
      <c r="B3316" s="3" t="s">
        <v>52</v>
      </c>
      <c r="C3316" s="3" t="str">
        <f t="shared" si="51"/>
        <v>450013954480</v>
      </c>
      <c r="D3316" s="4">
        <v>46310</v>
      </c>
      <c r="E3316" s="3" t="s">
        <v>2207</v>
      </c>
      <c r="F3316" s="3" t="s">
        <v>2580</v>
      </c>
    </row>
    <row r="3317" spans="1:6" x14ac:dyDescent="0.3">
      <c r="A3317" s="3" t="s">
        <v>1791</v>
      </c>
      <c r="B3317" s="3" t="s">
        <v>138</v>
      </c>
      <c r="C3317" s="3" t="str">
        <f t="shared" si="51"/>
        <v>450013954490</v>
      </c>
      <c r="D3317" s="4">
        <v>46310</v>
      </c>
      <c r="E3317" s="3" t="s">
        <v>2207</v>
      </c>
      <c r="F3317" s="3" t="s">
        <v>2580</v>
      </c>
    </row>
    <row r="3318" spans="1:6" x14ac:dyDescent="0.3">
      <c r="A3318" s="3" t="s">
        <v>1791</v>
      </c>
      <c r="B3318" s="3" t="s">
        <v>45</v>
      </c>
      <c r="C3318" s="3" t="str">
        <f t="shared" si="51"/>
        <v>4500139544100</v>
      </c>
      <c r="D3318" s="4">
        <v>46310</v>
      </c>
      <c r="E3318" s="3" t="s">
        <v>2207</v>
      </c>
      <c r="F3318" s="3" t="s">
        <v>2580</v>
      </c>
    </row>
    <row r="3319" spans="1:6" x14ac:dyDescent="0.3">
      <c r="A3319" s="3" t="s">
        <v>1791</v>
      </c>
      <c r="B3319" s="3" t="s">
        <v>156</v>
      </c>
      <c r="C3319" s="3" t="str">
        <f t="shared" si="51"/>
        <v>4500139544110</v>
      </c>
      <c r="D3319" s="4">
        <v>46310</v>
      </c>
      <c r="E3319" s="3" t="s">
        <v>2207</v>
      </c>
      <c r="F3319" s="3" t="s">
        <v>2580</v>
      </c>
    </row>
    <row r="3320" spans="1:6" x14ac:dyDescent="0.3">
      <c r="A3320" s="3" t="s">
        <v>1791</v>
      </c>
      <c r="B3320" s="3" t="s">
        <v>132</v>
      </c>
      <c r="C3320" s="3" t="str">
        <f t="shared" si="51"/>
        <v>4500139544120</v>
      </c>
      <c r="D3320" s="4">
        <v>46310</v>
      </c>
      <c r="E3320" s="3" t="s">
        <v>2207</v>
      </c>
      <c r="F3320" s="3" t="s">
        <v>2580</v>
      </c>
    </row>
    <row r="3321" spans="1:6" x14ac:dyDescent="0.3">
      <c r="A3321" s="3" t="s">
        <v>1791</v>
      </c>
      <c r="B3321" s="3" t="s">
        <v>142</v>
      </c>
      <c r="C3321" s="3" t="str">
        <f t="shared" si="51"/>
        <v>4500139544130</v>
      </c>
      <c r="D3321" s="4">
        <v>46310</v>
      </c>
      <c r="E3321" s="3" t="s">
        <v>2207</v>
      </c>
      <c r="F3321" s="3" t="s">
        <v>2580</v>
      </c>
    </row>
    <row r="3322" spans="1:6" x14ac:dyDescent="0.3">
      <c r="A3322" s="3" t="s">
        <v>1854</v>
      </c>
      <c r="B3322" s="3" t="s">
        <v>30</v>
      </c>
      <c r="C3322" s="3" t="str">
        <f t="shared" si="51"/>
        <v>450013955110</v>
      </c>
      <c r="D3322" s="4">
        <v>46294</v>
      </c>
      <c r="E3322" s="3" t="s">
        <v>2196</v>
      </c>
      <c r="F3322" s="3" t="s">
        <v>2700</v>
      </c>
    </row>
    <row r="3323" spans="1:6" x14ac:dyDescent="0.3">
      <c r="A3323" s="3" t="s">
        <v>2913</v>
      </c>
      <c r="B3323" s="3" t="s">
        <v>30</v>
      </c>
      <c r="C3323" s="3" t="str">
        <f t="shared" si="51"/>
        <v>450013955510</v>
      </c>
      <c r="D3323" s="4">
        <v>46303</v>
      </c>
      <c r="E3323" s="3" t="s">
        <v>2205</v>
      </c>
      <c r="F3323" s="3" t="s">
        <v>3250</v>
      </c>
    </row>
    <row r="3324" spans="1:6" x14ac:dyDescent="0.3">
      <c r="A3324" s="3" t="s">
        <v>2913</v>
      </c>
      <c r="B3324" s="3" t="s">
        <v>22</v>
      </c>
      <c r="C3324" s="3" t="str">
        <f t="shared" si="51"/>
        <v>450013955520</v>
      </c>
      <c r="D3324" s="4">
        <v>46303</v>
      </c>
      <c r="E3324" s="3" t="s">
        <v>2205</v>
      </c>
      <c r="F3324" s="3" t="s">
        <v>3250</v>
      </c>
    </row>
    <row r="3325" spans="1:6" x14ac:dyDescent="0.3">
      <c r="A3325" s="3" t="s">
        <v>2913</v>
      </c>
      <c r="B3325" s="3" t="s">
        <v>35</v>
      </c>
      <c r="C3325" s="3" t="str">
        <f t="shared" si="51"/>
        <v>450013955530</v>
      </c>
      <c r="D3325" s="4">
        <v>46303</v>
      </c>
      <c r="E3325" s="3" t="s">
        <v>2205</v>
      </c>
      <c r="F3325" s="3" t="s">
        <v>3250</v>
      </c>
    </row>
    <row r="3326" spans="1:6" x14ac:dyDescent="0.3">
      <c r="A3326" s="3" t="s">
        <v>2039</v>
      </c>
      <c r="B3326" s="3" t="s">
        <v>30</v>
      </c>
      <c r="C3326" s="3" t="str">
        <f t="shared" si="51"/>
        <v>450013956110</v>
      </c>
      <c r="D3326" s="4">
        <v>46301</v>
      </c>
      <c r="E3326" s="3" t="s">
        <v>2241</v>
      </c>
      <c r="F3326" s="3" t="s">
        <v>2456</v>
      </c>
    </row>
    <row r="3327" spans="1:6" x14ac:dyDescent="0.3">
      <c r="A3327" s="3" t="s">
        <v>1833</v>
      </c>
      <c r="B3327" s="3" t="s">
        <v>30</v>
      </c>
      <c r="C3327" s="3" t="str">
        <f t="shared" si="51"/>
        <v>450013956410</v>
      </c>
      <c r="D3327" s="4">
        <v>46291</v>
      </c>
      <c r="E3327" s="3" t="s">
        <v>2238</v>
      </c>
      <c r="F3327" s="3" t="s">
        <v>2701</v>
      </c>
    </row>
    <row r="3328" spans="1:6" x14ac:dyDescent="0.3">
      <c r="A3328" s="3" t="s">
        <v>1833</v>
      </c>
      <c r="B3328" s="3" t="s">
        <v>22</v>
      </c>
      <c r="C3328" s="3" t="str">
        <f t="shared" si="51"/>
        <v>450013956420</v>
      </c>
      <c r="D3328" s="4">
        <v>46291</v>
      </c>
      <c r="E3328" s="3" t="s">
        <v>2238</v>
      </c>
      <c r="F3328" s="3" t="s">
        <v>2701</v>
      </c>
    </row>
    <row r="3329" spans="1:6" x14ac:dyDescent="0.3">
      <c r="A3329" s="3" t="s">
        <v>1833</v>
      </c>
      <c r="B3329" s="3" t="s">
        <v>35</v>
      </c>
      <c r="C3329" s="3" t="str">
        <f t="shared" si="51"/>
        <v>450013956430</v>
      </c>
      <c r="D3329" s="4">
        <v>46291</v>
      </c>
      <c r="E3329" s="3" t="s">
        <v>2238</v>
      </c>
      <c r="F3329" s="3" t="s">
        <v>2701</v>
      </c>
    </row>
    <row r="3330" spans="1:6" x14ac:dyDescent="0.3">
      <c r="A3330" s="3" t="s">
        <v>1833</v>
      </c>
      <c r="B3330" s="3" t="s">
        <v>23</v>
      </c>
      <c r="C3330" s="3" t="str">
        <f t="shared" si="51"/>
        <v>450013956440</v>
      </c>
      <c r="D3330" s="4">
        <v>46291</v>
      </c>
      <c r="E3330" s="3" t="s">
        <v>2238</v>
      </c>
      <c r="F3330" s="3" t="s">
        <v>2701</v>
      </c>
    </row>
    <row r="3331" spans="1:6" x14ac:dyDescent="0.3">
      <c r="A3331" s="3" t="s">
        <v>1833</v>
      </c>
      <c r="B3331" s="3" t="s">
        <v>144</v>
      </c>
      <c r="C3331" s="3" t="str">
        <f t="shared" ref="C3331:C3394" si="52">_xlfn.CONCAT(A3331:B3331)</f>
        <v>450013956450</v>
      </c>
      <c r="D3331" s="4">
        <v>46291</v>
      </c>
      <c r="E3331" s="3" t="s">
        <v>2238</v>
      </c>
      <c r="F3331" s="3" t="s">
        <v>2701</v>
      </c>
    </row>
    <row r="3332" spans="1:6" x14ac:dyDescent="0.3">
      <c r="A3332" s="3" t="s">
        <v>1826</v>
      </c>
      <c r="B3332" s="3" t="s">
        <v>30</v>
      </c>
      <c r="C3332" s="3" t="str">
        <f t="shared" si="52"/>
        <v>450013956510</v>
      </c>
      <c r="D3332" s="4">
        <v>46295</v>
      </c>
      <c r="E3332" s="3" t="s">
        <v>2241</v>
      </c>
      <c r="F3332" s="3" t="s">
        <v>2577</v>
      </c>
    </row>
    <row r="3333" spans="1:6" x14ac:dyDescent="0.3">
      <c r="A3333" s="3" t="s">
        <v>1826</v>
      </c>
      <c r="B3333" s="3" t="s">
        <v>22</v>
      </c>
      <c r="C3333" s="3" t="str">
        <f t="shared" si="52"/>
        <v>450013956520</v>
      </c>
      <c r="D3333" s="4">
        <v>46295</v>
      </c>
      <c r="E3333" s="3" t="s">
        <v>2241</v>
      </c>
      <c r="F3333" s="3" t="s">
        <v>2577</v>
      </c>
    </row>
    <row r="3334" spans="1:6" x14ac:dyDescent="0.3">
      <c r="A3334" s="3" t="s">
        <v>1826</v>
      </c>
      <c r="B3334" s="3" t="s">
        <v>35</v>
      </c>
      <c r="C3334" s="3" t="str">
        <f t="shared" si="52"/>
        <v>450013956530</v>
      </c>
      <c r="D3334" s="4">
        <v>46295</v>
      </c>
      <c r="E3334" s="3" t="s">
        <v>2241</v>
      </c>
      <c r="F3334" s="3" t="s">
        <v>2577</v>
      </c>
    </row>
    <row r="3335" spans="1:6" x14ac:dyDescent="0.3">
      <c r="A3335" s="3" t="s">
        <v>1826</v>
      </c>
      <c r="B3335" s="3" t="s">
        <v>23</v>
      </c>
      <c r="C3335" s="3" t="str">
        <f t="shared" si="52"/>
        <v>450013956540</v>
      </c>
      <c r="D3335" s="4">
        <v>46295</v>
      </c>
      <c r="E3335" s="3" t="s">
        <v>2241</v>
      </c>
      <c r="F3335" s="3" t="s">
        <v>2577</v>
      </c>
    </row>
    <row r="3336" spans="1:6" x14ac:dyDescent="0.3">
      <c r="A3336" s="3" t="s">
        <v>1826</v>
      </c>
      <c r="B3336" s="3" t="s">
        <v>144</v>
      </c>
      <c r="C3336" s="3" t="str">
        <f t="shared" si="52"/>
        <v>450013956550</v>
      </c>
      <c r="D3336" s="4">
        <v>46295</v>
      </c>
      <c r="E3336" s="3" t="s">
        <v>2241</v>
      </c>
      <c r="F3336" s="3" t="s">
        <v>2577</v>
      </c>
    </row>
    <row r="3337" spans="1:6" x14ac:dyDescent="0.3">
      <c r="A3337" s="3" t="s">
        <v>1826</v>
      </c>
      <c r="B3337" s="3" t="s">
        <v>141</v>
      </c>
      <c r="C3337" s="3" t="str">
        <f t="shared" si="52"/>
        <v>450013956560</v>
      </c>
      <c r="D3337" s="4">
        <v>46295</v>
      </c>
      <c r="E3337" s="3" t="s">
        <v>2241</v>
      </c>
      <c r="F3337" s="3" t="s">
        <v>2577</v>
      </c>
    </row>
    <row r="3338" spans="1:6" x14ac:dyDescent="0.3">
      <c r="A3338" s="3" t="s">
        <v>1826</v>
      </c>
      <c r="B3338" s="3" t="s">
        <v>134</v>
      </c>
      <c r="C3338" s="3" t="str">
        <f t="shared" si="52"/>
        <v>450013956570</v>
      </c>
      <c r="D3338" s="4">
        <v>46295</v>
      </c>
      <c r="E3338" s="3" t="s">
        <v>2241</v>
      </c>
      <c r="F3338" s="3" t="s">
        <v>2577</v>
      </c>
    </row>
    <row r="3339" spans="1:6" x14ac:dyDescent="0.3">
      <c r="A3339" s="3" t="s">
        <v>1826</v>
      </c>
      <c r="B3339" s="3" t="s">
        <v>52</v>
      </c>
      <c r="C3339" s="3" t="str">
        <f t="shared" si="52"/>
        <v>450013956580</v>
      </c>
      <c r="D3339" s="4">
        <v>46295</v>
      </c>
      <c r="E3339" s="3" t="s">
        <v>2241</v>
      </c>
      <c r="F3339" s="3" t="s">
        <v>2577</v>
      </c>
    </row>
    <row r="3340" spans="1:6" x14ac:dyDescent="0.3">
      <c r="A3340" s="3" t="s">
        <v>1826</v>
      </c>
      <c r="B3340" s="3" t="s">
        <v>138</v>
      </c>
      <c r="C3340" s="3" t="str">
        <f t="shared" si="52"/>
        <v>450013956590</v>
      </c>
      <c r="D3340" s="4">
        <v>46295</v>
      </c>
      <c r="E3340" s="3" t="s">
        <v>2241</v>
      </c>
      <c r="F3340" s="3" t="s">
        <v>2577</v>
      </c>
    </row>
    <row r="3341" spans="1:6" x14ac:dyDescent="0.3">
      <c r="A3341" s="3" t="s">
        <v>1826</v>
      </c>
      <c r="B3341" s="3" t="s">
        <v>45</v>
      </c>
      <c r="C3341" s="3" t="str">
        <f t="shared" si="52"/>
        <v>4500139565100</v>
      </c>
      <c r="D3341" s="4">
        <v>46295</v>
      </c>
      <c r="E3341" s="3" t="s">
        <v>2241</v>
      </c>
      <c r="F3341" s="3" t="s">
        <v>2577</v>
      </c>
    </row>
    <row r="3342" spans="1:6" x14ac:dyDescent="0.3">
      <c r="A3342" s="3" t="s">
        <v>1826</v>
      </c>
      <c r="B3342" s="3" t="s">
        <v>156</v>
      </c>
      <c r="C3342" s="3" t="str">
        <f t="shared" si="52"/>
        <v>4500139565110</v>
      </c>
      <c r="D3342" s="4">
        <v>46295</v>
      </c>
      <c r="E3342" s="3" t="s">
        <v>2241</v>
      </c>
      <c r="F3342" s="3" t="s">
        <v>2577</v>
      </c>
    </row>
    <row r="3343" spans="1:6" x14ac:dyDescent="0.3">
      <c r="A3343" s="3" t="s">
        <v>1826</v>
      </c>
      <c r="B3343" s="3" t="s">
        <v>132</v>
      </c>
      <c r="C3343" s="3" t="str">
        <f t="shared" si="52"/>
        <v>4500139565120</v>
      </c>
      <c r="D3343" s="4">
        <v>46295</v>
      </c>
      <c r="E3343" s="3" t="s">
        <v>2241</v>
      </c>
      <c r="F3343" s="3" t="s">
        <v>2577</v>
      </c>
    </row>
    <row r="3344" spans="1:6" x14ac:dyDescent="0.3">
      <c r="A3344" s="3" t="s">
        <v>1826</v>
      </c>
      <c r="B3344" s="3" t="s">
        <v>142</v>
      </c>
      <c r="C3344" s="3" t="str">
        <f t="shared" si="52"/>
        <v>4500139565130</v>
      </c>
      <c r="D3344" s="4">
        <v>46295</v>
      </c>
      <c r="E3344" s="3" t="s">
        <v>2241</v>
      </c>
      <c r="F3344" s="3" t="s">
        <v>2577</v>
      </c>
    </row>
    <row r="3345" spans="1:6" x14ac:dyDescent="0.3">
      <c r="A3345" s="3" t="s">
        <v>1826</v>
      </c>
      <c r="B3345" s="3" t="s">
        <v>131</v>
      </c>
      <c r="C3345" s="3" t="str">
        <f t="shared" si="52"/>
        <v>4500139565140</v>
      </c>
      <c r="D3345" s="4">
        <v>46295</v>
      </c>
      <c r="E3345" s="3" t="s">
        <v>2241</v>
      </c>
      <c r="F3345" s="3" t="s">
        <v>2577</v>
      </c>
    </row>
    <row r="3346" spans="1:6" x14ac:dyDescent="0.3">
      <c r="A3346" s="3" t="s">
        <v>1826</v>
      </c>
      <c r="B3346" s="3" t="s">
        <v>68</v>
      </c>
      <c r="C3346" s="3" t="str">
        <f t="shared" si="52"/>
        <v>4500139565150</v>
      </c>
      <c r="D3346" s="4">
        <v>46295</v>
      </c>
      <c r="E3346" s="3" t="s">
        <v>2241</v>
      </c>
      <c r="F3346" s="3" t="s">
        <v>2577</v>
      </c>
    </row>
    <row r="3347" spans="1:6" x14ac:dyDescent="0.3">
      <c r="A3347" s="3" t="s">
        <v>1826</v>
      </c>
      <c r="B3347" s="3" t="s">
        <v>129</v>
      </c>
      <c r="C3347" s="3" t="str">
        <f t="shared" si="52"/>
        <v>4500139565160</v>
      </c>
      <c r="D3347" s="4">
        <v>46295</v>
      </c>
      <c r="E3347" s="3" t="s">
        <v>2241</v>
      </c>
      <c r="F3347" s="3" t="s">
        <v>2577</v>
      </c>
    </row>
    <row r="3348" spans="1:6" x14ac:dyDescent="0.3">
      <c r="A3348" s="3" t="s">
        <v>2136</v>
      </c>
      <c r="B3348" s="3" t="s">
        <v>30</v>
      </c>
      <c r="C3348" s="3" t="str">
        <f t="shared" si="52"/>
        <v>450013958010</v>
      </c>
      <c r="D3348" s="4">
        <v>46301</v>
      </c>
      <c r="E3348" s="3" t="s">
        <v>2200</v>
      </c>
      <c r="F3348" s="3" t="s">
        <v>2470</v>
      </c>
    </row>
    <row r="3349" spans="1:6" x14ac:dyDescent="0.3">
      <c r="A3349" s="3" t="s">
        <v>2136</v>
      </c>
      <c r="B3349" s="3" t="s">
        <v>22</v>
      </c>
      <c r="C3349" s="3" t="str">
        <f t="shared" si="52"/>
        <v>450013958020</v>
      </c>
      <c r="D3349" s="4">
        <v>46301</v>
      </c>
      <c r="E3349" s="3" t="s">
        <v>2200</v>
      </c>
      <c r="F3349" s="3" t="s">
        <v>2470</v>
      </c>
    </row>
    <row r="3350" spans="1:6" x14ac:dyDescent="0.3">
      <c r="A3350" s="3" t="s">
        <v>2136</v>
      </c>
      <c r="B3350" s="3" t="s">
        <v>35</v>
      </c>
      <c r="C3350" s="3" t="str">
        <f t="shared" si="52"/>
        <v>450013958030</v>
      </c>
      <c r="D3350" s="4">
        <v>46301</v>
      </c>
      <c r="E3350" s="3" t="s">
        <v>2200</v>
      </c>
      <c r="F3350" s="3" t="s">
        <v>2470</v>
      </c>
    </row>
    <row r="3351" spans="1:6" x14ac:dyDescent="0.3">
      <c r="A3351" s="3" t="s">
        <v>2162</v>
      </c>
      <c r="B3351" s="3" t="s">
        <v>30</v>
      </c>
      <c r="C3351" s="3" t="str">
        <f t="shared" si="52"/>
        <v>450013959110</v>
      </c>
      <c r="D3351" s="4">
        <v>46301</v>
      </c>
      <c r="E3351" s="3" t="s">
        <v>2241</v>
      </c>
      <c r="F3351" s="3" t="s">
        <v>2702</v>
      </c>
    </row>
    <row r="3352" spans="1:6" x14ac:dyDescent="0.3">
      <c r="A3352" s="3" t="s">
        <v>2336</v>
      </c>
      <c r="B3352" s="3" t="s">
        <v>30</v>
      </c>
      <c r="C3352" s="3" t="str">
        <f t="shared" si="52"/>
        <v>450013959310</v>
      </c>
      <c r="D3352" s="4">
        <v>46295</v>
      </c>
      <c r="E3352" s="3" t="s">
        <v>2246</v>
      </c>
      <c r="F3352" s="3" t="s">
        <v>2703</v>
      </c>
    </row>
    <row r="3353" spans="1:6" x14ac:dyDescent="0.3">
      <c r="A3353" s="3" t="s">
        <v>2336</v>
      </c>
      <c r="B3353" s="3" t="s">
        <v>22</v>
      </c>
      <c r="C3353" s="3" t="str">
        <f t="shared" si="52"/>
        <v>450013959320</v>
      </c>
      <c r="D3353" s="4">
        <v>46295</v>
      </c>
      <c r="E3353" s="3" t="s">
        <v>2246</v>
      </c>
      <c r="F3353" s="3" t="s">
        <v>2703</v>
      </c>
    </row>
    <row r="3354" spans="1:6" x14ac:dyDescent="0.3">
      <c r="A3354" s="3" t="s">
        <v>2885</v>
      </c>
      <c r="B3354" s="3" t="s">
        <v>30</v>
      </c>
      <c r="C3354" s="3" t="str">
        <f t="shared" si="52"/>
        <v>450013959410</v>
      </c>
      <c r="D3354" s="4">
        <v>46303</v>
      </c>
      <c r="E3354" s="3" t="s">
        <v>2241</v>
      </c>
      <c r="F3354" s="3" t="s">
        <v>2670</v>
      </c>
    </row>
    <row r="3355" spans="1:6" x14ac:dyDescent="0.3">
      <c r="A3355" s="3" t="s">
        <v>2885</v>
      </c>
      <c r="B3355" s="3" t="s">
        <v>22</v>
      </c>
      <c r="C3355" s="3" t="str">
        <f t="shared" si="52"/>
        <v>450013959420</v>
      </c>
      <c r="D3355" s="4">
        <v>46303</v>
      </c>
      <c r="E3355" s="3" t="s">
        <v>2241</v>
      </c>
      <c r="F3355" s="3" t="s">
        <v>2670</v>
      </c>
    </row>
    <row r="3356" spans="1:6" x14ac:dyDescent="0.3">
      <c r="A3356" s="3" t="s">
        <v>2885</v>
      </c>
      <c r="B3356" s="3" t="s">
        <v>35</v>
      </c>
      <c r="C3356" s="3" t="str">
        <f t="shared" si="52"/>
        <v>450013959430</v>
      </c>
      <c r="D3356" s="4">
        <v>46303</v>
      </c>
      <c r="E3356" s="3" t="s">
        <v>2241</v>
      </c>
      <c r="F3356" s="3" t="s">
        <v>2670</v>
      </c>
    </row>
    <row r="3357" spans="1:6" x14ac:dyDescent="0.3">
      <c r="A3357" s="3" t="s">
        <v>1851</v>
      </c>
      <c r="B3357" s="3" t="s">
        <v>30</v>
      </c>
      <c r="C3357" s="3" t="str">
        <f t="shared" si="52"/>
        <v>450013959510</v>
      </c>
      <c r="D3357" s="4">
        <v>46296</v>
      </c>
      <c r="E3357" s="3" t="s">
        <v>2241</v>
      </c>
      <c r="F3357" s="3" t="s">
        <v>2676</v>
      </c>
    </row>
    <row r="3358" spans="1:6" x14ac:dyDescent="0.3">
      <c r="A3358" s="3" t="s">
        <v>1851</v>
      </c>
      <c r="B3358" s="3" t="s">
        <v>22</v>
      </c>
      <c r="C3358" s="3" t="str">
        <f t="shared" si="52"/>
        <v>450013959520</v>
      </c>
      <c r="D3358" s="4">
        <v>46296</v>
      </c>
      <c r="E3358" s="3" t="s">
        <v>2241</v>
      </c>
      <c r="F3358" s="3" t="s">
        <v>2676</v>
      </c>
    </row>
    <row r="3359" spans="1:6" x14ac:dyDescent="0.3">
      <c r="A3359" s="3" t="s">
        <v>2741</v>
      </c>
      <c r="B3359" s="3" t="s">
        <v>35</v>
      </c>
      <c r="C3359" s="3" t="str">
        <f t="shared" si="52"/>
        <v>450013960430</v>
      </c>
      <c r="D3359" s="4">
        <v>46299</v>
      </c>
      <c r="E3359" s="3" t="s">
        <v>2238</v>
      </c>
      <c r="F3359" s="3" t="s">
        <v>2790</v>
      </c>
    </row>
    <row r="3360" spans="1:6" x14ac:dyDescent="0.3">
      <c r="A3360" s="3" t="s">
        <v>2741</v>
      </c>
      <c r="B3360" s="3" t="s">
        <v>23</v>
      </c>
      <c r="C3360" s="3" t="str">
        <f t="shared" si="52"/>
        <v>450013960440</v>
      </c>
      <c r="D3360" s="4">
        <v>46299</v>
      </c>
      <c r="E3360" s="3" t="s">
        <v>2238</v>
      </c>
      <c r="F3360" s="3" t="s">
        <v>2790</v>
      </c>
    </row>
    <row r="3361" spans="1:6" x14ac:dyDescent="0.3">
      <c r="A3361" s="3" t="s">
        <v>2741</v>
      </c>
      <c r="B3361" s="3" t="s">
        <v>134</v>
      </c>
      <c r="C3361" s="3" t="str">
        <f t="shared" si="52"/>
        <v>450013960470</v>
      </c>
      <c r="D3361" s="4">
        <v>46299</v>
      </c>
      <c r="E3361" s="3" t="s">
        <v>2238</v>
      </c>
      <c r="F3361" s="3" t="s">
        <v>2790</v>
      </c>
    </row>
    <row r="3362" spans="1:6" x14ac:dyDescent="0.3">
      <c r="A3362" s="3" t="s">
        <v>2741</v>
      </c>
      <c r="B3362" s="3" t="s">
        <v>52</v>
      </c>
      <c r="C3362" s="3" t="str">
        <f t="shared" si="52"/>
        <v>450013960480</v>
      </c>
      <c r="D3362" s="4">
        <v>46299</v>
      </c>
      <c r="E3362" s="3" t="s">
        <v>2238</v>
      </c>
      <c r="F3362" s="3" t="s">
        <v>2790</v>
      </c>
    </row>
    <row r="3363" spans="1:6" x14ac:dyDescent="0.3">
      <c r="A3363" s="3" t="s">
        <v>2080</v>
      </c>
      <c r="B3363" s="3" t="s">
        <v>30</v>
      </c>
      <c r="C3363" s="3" t="str">
        <f t="shared" si="52"/>
        <v>450013960910</v>
      </c>
      <c r="D3363" s="4">
        <v>46299</v>
      </c>
      <c r="E3363" s="3" t="s">
        <v>2238</v>
      </c>
      <c r="F3363" s="3" t="s">
        <v>2704</v>
      </c>
    </row>
    <row r="3364" spans="1:6" x14ac:dyDescent="0.3">
      <c r="A3364" s="3" t="s">
        <v>1991</v>
      </c>
      <c r="B3364" s="3" t="s">
        <v>30</v>
      </c>
      <c r="C3364" s="3" t="str">
        <f t="shared" si="52"/>
        <v>450013961210</v>
      </c>
      <c r="D3364" s="4">
        <v>46325</v>
      </c>
      <c r="E3364" s="3" t="s">
        <v>2238</v>
      </c>
      <c r="F3364" s="3" t="s">
        <v>2705</v>
      </c>
    </row>
    <row r="3365" spans="1:6" x14ac:dyDescent="0.3">
      <c r="A3365" s="3" t="s">
        <v>2342</v>
      </c>
      <c r="B3365" s="3" t="s">
        <v>30</v>
      </c>
      <c r="C3365" s="3" t="str">
        <f t="shared" si="52"/>
        <v>450013961310</v>
      </c>
      <c r="D3365" s="4">
        <v>46296</v>
      </c>
      <c r="E3365" s="3" t="s">
        <v>2211</v>
      </c>
      <c r="F3365" s="3" t="s">
        <v>2706</v>
      </c>
    </row>
    <row r="3366" spans="1:6" x14ac:dyDescent="0.3">
      <c r="A3366" s="3" t="s">
        <v>2342</v>
      </c>
      <c r="B3366" s="3" t="s">
        <v>22</v>
      </c>
      <c r="C3366" s="3" t="str">
        <f t="shared" si="52"/>
        <v>450013961320</v>
      </c>
      <c r="D3366" s="4">
        <v>46296</v>
      </c>
      <c r="E3366" s="3" t="s">
        <v>2211</v>
      </c>
      <c r="F3366" s="3" t="s">
        <v>2706</v>
      </c>
    </row>
    <row r="3367" spans="1:6" x14ac:dyDescent="0.3">
      <c r="A3367" s="3" t="s">
        <v>2333</v>
      </c>
      <c r="B3367" s="3" t="s">
        <v>30</v>
      </c>
      <c r="C3367" s="3" t="str">
        <f t="shared" si="52"/>
        <v>450013961610</v>
      </c>
      <c r="D3367" s="4">
        <v>46296</v>
      </c>
      <c r="E3367" s="3" t="s">
        <v>2211</v>
      </c>
      <c r="F3367" s="3" t="s">
        <v>2462</v>
      </c>
    </row>
    <row r="3368" spans="1:6" x14ac:dyDescent="0.3">
      <c r="A3368" s="3" t="s">
        <v>2333</v>
      </c>
      <c r="B3368" s="3" t="s">
        <v>22</v>
      </c>
      <c r="C3368" s="3" t="str">
        <f t="shared" si="52"/>
        <v>450013961620</v>
      </c>
      <c r="D3368" s="4">
        <v>46296</v>
      </c>
      <c r="E3368" s="3" t="s">
        <v>2211</v>
      </c>
      <c r="F3368" s="3" t="s">
        <v>2462</v>
      </c>
    </row>
    <row r="3369" spans="1:6" x14ac:dyDescent="0.3">
      <c r="A3369" s="3" t="s">
        <v>2333</v>
      </c>
      <c r="B3369" s="3" t="s">
        <v>35</v>
      </c>
      <c r="C3369" s="3" t="str">
        <f t="shared" si="52"/>
        <v>450013961630</v>
      </c>
      <c r="D3369" s="4">
        <v>46296</v>
      </c>
      <c r="E3369" s="3" t="s">
        <v>2211</v>
      </c>
      <c r="F3369" s="3" t="s">
        <v>2462</v>
      </c>
    </row>
    <row r="3370" spans="1:6" x14ac:dyDescent="0.3">
      <c r="A3370" s="3" t="s">
        <v>2333</v>
      </c>
      <c r="B3370" s="3" t="s">
        <v>23</v>
      </c>
      <c r="C3370" s="3" t="str">
        <f t="shared" si="52"/>
        <v>450013961640</v>
      </c>
      <c r="D3370" s="4">
        <v>46296</v>
      </c>
      <c r="E3370" s="3" t="s">
        <v>2211</v>
      </c>
      <c r="F3370" s="3" t="s">
        <v>2462</v>
      </c>
    </row>
    <row r="3371" spans="1:6" x14ac:dyDescent="0.3">
      <c r="A3371" s="3" t="s">
        <v>2070</v>
      </c>
      <c r="B3371" s="3" t="s">
        <v>30</v>
      </c>
      <c r="C3371" s="3" t="str">
        <f t="shared" si="52"/>
        <v>450013961710</v>
      </c>
      <c r="D3371" s="4">
        <v>46297</v>
      </c>
      <c r="E3371" s="3" t="s">
        <v>2196</v>
      </c>
      <c r="F3371" s="3" t="s">
        <v>2439</v>
      </c>
    </row>
    <row r="3372" spans="1:6" x14ac:dyDescent="0.3">
      <c r="A3372" s="3" t="s">
        <v>1998</v>
      </c>
      <c r="B3372" s="3" t="s">
        <v>30</v>
      </c>
      <c r="C3372" s="3" t="str">
        <f t="shared" si="52"/>
        <v>450013963110</v>
      </c>
      <c r="D3372" s="4">
        <v>46296</v>
      </c>
      <c r="E3372" s="3" t="s">
        <v>2196</v>
      </c>
      <c r="F3372" s="3" t="s">
        <v>2454</v>
      </c>
    </row>
    <row r="3373" spans="1:6" x14ac:dyDescent="0.3">
      <c r="A3373" s="3" t="s">
        <v>2378</v>
      </c>
      <c r="B3373" s="3" t="s">
        <v>22</v>
      </c>
      <c r="C3373" s="3" t="str">
        <f t="shared" si="52"/>
        <v>450013963620</v>
      </c>
      <c r="D3373" s="4">
        <v>46297</v>
      </c>
      <c r="E3373" s="3" t="s">
        <v>2196</v>
      </c>
      <c r="F3373" s="3" t="s">
        <v>2423</v>
      </c>
    </row>
    <row r="3374" spans="1:6" x14ac:dyDescent="0.3">
      <c r="A3374" s="3" t="s">
        <v>2331</v>
      </c>
      <c r="B3374" s="3" t="s">
        <v>30</v>
      </c>
      <c r="C3374" s="3" t="str">
        <f t="shared" si="52"/>
        <v>450013965210</v>
      </c>
      <c r="D3374" s="4">
        <v>46310</v>
      </c>
      <c r="E3374" s="3" t="s">
        <v>2197</v>
      </c>
      <c r="F3374" s="3" t="s">
        <v>2707</v>
      </c>
    </row>
    <row r="3375" spans="1:6" x14ac:dyDescent="0.3">
      <c r="A3375" s="3" t="s">
        <v>2962</v>
      </c>
      <c r="B3375" s="3" t="s">
        <v>30</v>
      </c>
      <c r="C3375" s="3" t="str">
        <f t="shared" si="52"/>
        <v>450013965610</v>
      </c>
      <c r="D3375" s="4">
        <v>46304</v>
      </c>
      <c r="E3375" s="3" t="s">
        <v>2196</v>
      </c>
      <c r="F3375" s="3" t="s">
        <v>2491</v>
      </c>
    </row>
    <row r="3376" spans="1:6" x14ac:dyDescent="0.3">
      <c r="A3376" s="3" t="s">
        <v>2962</v>
      </c>
      <c r="B3376" s="3" t="s">
        <v>22</v>
      </c>
      <c r="C3376" s="3" t="str">
        <f t="shared" si="52"/>
        <v>450013965620</v>
      </c>
      <c r="D3376" s="4">
        <v>46304</v>
      </c>
      <c r="E3376" s="3" t="s">
        <v>2196</v>
      </c>
      <c r="F3376" s="3" t="s">
        <v>2491</v>
      </c>
    </row>
    <row r="3377" spans="1:6" x14ac:dyDescent="0.3">
      <c r="A3377" s="3" t="s">
        <v>2962</v>
      </c>
      <c r="B3377" s="3" t="s">
        <v>35</v>
      </c>
      <c r="C3377" s="3" t="str">
        <f t="shared" si="52"/>
        <v>450013965630</v>
      </c>
      <c r="D3377" s="4">
        <v>46304</v>
      </c>
      <c r="E3377" s="3" t="s">
        <v>2196</v>
      </c>
      <c r="F3377" s="3" t="s">
        <v>2491</v>
      </c>
    </row>
    <row r="3378" spans="1:6" x14ac:dyDescent="0.3">
      <c r="A3378" s="3" t="s">
        <v>2962</v>
      </c>
      <c r="B3378" s="3" t="s">
        <v>23</v>
      </c>
      <c r="C3378" s="3" t="str">
        <f t="shared" si="52"/>
        <v>450013965640</v>
      </c>
      <c r="D3378" s="4">
        <v>46304</v>
      </c>
      <c r="E3378" s="3" t="s">
        <v>2196</v>
      </c>
      <c r="F3378" s="3" t="s">
        <v>2491</v>
      </c>
    </row>
    <row r="3379" spans="1:6" x14ac:dyDescent="0.3">
      <c r="A3379" s="3" t="s">
        <v>2962</v>
      </c>
      <c r="B3379" s="3" t="s">
        <v>144</v>
      </c>
      <c r="C3379" s="3" t="str">
        <f t="shared" si="52"/>
        <v>450013965650</v>
      </c>
      <c r="D3379" s="4">
        <v>46304</v>
      </c>
      <c r="E3379" s="3" t="s">
        <v>2196</v>
      </c>
      <c r="F3379" s="3" t="s">
        <v>2491</v>
      </c>
    </row>
    <row r="3380" spans="1:6" x14ac:dyDescent="0.3">
      <c r="A3380" s="3" t="s">
        <v>2962</v>
      </c>
      <c r="B3380" s="3" t="s">
        <v>141</v>
      </c>
      <c r="C3380" s="3" t="str">
        <f t="shared" si="52"/>
        <v>450013965660</v>
      </c>
      <c r="D3380" s="4">
        <v>46304</v>
      </c>
      <c r="E3380" s="3" t="s">
        <v>2196</v>
      </c>
      <c r="F3380" s="3" t="s">
        <v>2491</v>
      </c>
    </row>
    <row r="3381" spans="1:6" x14ac:dyDescent="0.3">
      <c r="A3381" s="3" t="s">
        <v>2962</v>
      </c>
      <c r="B3381" s="3" t="s">
        <v>134</v>
      </c>
      <c r="C3381" s="3" t="str">
        <f t="shared" si="52"/>
        <v>450013965670</v>
      </c>
      <c r="D3381" s="4">
        <v>46304</v>
      </c>
      <c r="E3381" s="3" t="s">
        <v>2196</v>
      </c>
      <c r="F3381" s="3" t="s">
        <v>2491</v>
      </c>
    </row>
    <row r="3382" spans="1:6" x14ac:dyDescent="0.3">
      <c r="A3382" s="3" t="s">
        <v>2962</v>
      </c>
      <c r="B3382" s="3" t="s">
        <v>52</v>
      </c>
      <c r="C3382" s="3" t="str">
        <f t="shared" si="52"/>
        <v>450013965680</v>
      </c>
      <c r="D3382" s="4">
        <v>46304</v>
      </c>
      <c r="E3382" s="3" t="s">
        <v>2196</v>
      </c>
      <c r="F3382" s="3" t="s">
        <v>2491</v>
      </c>
    </row>
    <row r="3383" spans="1:6" x14ac:dyDescent="0.3">
      <c r="A3383" s="3" t="s">
        <v>3034</v>
      </c>
      <c r="B3383" s="3" t="s">
        <v>30</v>
      </c>
      <c r="C3383" s="3" t="str">
        <f t="shared" si="52"/>
        <v>450013965710</v>
      </c>
      <c r="D3383" s="4">
        <v>46311</v>
      </c>
      <c r="E3383" s="3" t="s">
        <v>2204</v>
      </c>
      <c r="F3383" s="3" t="s">
        <v>2491</v>
      </c>
    </row>
    <row r="3384" spans="1:6" x14ac:dyDescent="0.3">
      <c r="A3384" s="3" t="s">
        <v>3034</v>
      </c>
      <c r="B3384" s="3" t="s">
        <v>22</v>
      </c>
      <c r="C3384" s="3" t="str">
        <f t="shared" si="52"/>
        <v>450013965720</v>
      </c>
      <c r="D3384" s="4">
        <v>46311</v>
      </c>
      <c r="E3384" s="3" t="s">
        <v>2204</v>
      </c>
      <c r="F3384" s="3" t="s">
        <v>2491</v>
      </c>
    </row>
    <row r="3385" spans="1:6" x14ac:dyDescent="0.3">
      <c r="A3385" s="3" t="s">
        <v>3034</v>
      </c>
      <c r="B3385" s="3" t="s">
        <v>35</v>
      </c>
      <c r="C3385" s="3" t="str">
        <f t="shared" si="52"/>
        <v>450013965730</v>
      </c>
      <c r="D3385" s="4">
        <v>46311</v>
      </c>
      <c r="E3385" s="3" t="s">
        <v>2204</v>
      </c>
      <c r="F3385" s="3" t="s">
        <v>2491</v>
      </c>
    </row>
    <row r="3386" spans="1:6" x14ac:dyDescent="0.3">
      <c r="A3386" s="3" t="s">
        <v>2953</v>
      </c>
      <c r="B3386" s="3" t="s">
        <v>30</v>
      </c>
      <c r="C3386" s="3" t="str">
        <f t="shared" si="52"/>
        <v>450013966210</v>
      </c>
      <c r="D3386" s="4">
        <v>46297</v>
      </c>
      <c r="E3386" s="3" t="s">
        <v>2196</v>
      </c>
      <c r="F3386" s="3" t="s">
        <v>3249</v>
      </c>
    </row>
    <row r="3387" spans="1:6" x14ac:dyDescent="0.3">
      <c r="A3387" s="3" t="s">
        <v>2953</v>
      </c>
      <c r="B3387" s="3" t="s">
        <v>22</v>
      </c>
      <c r="C3387" s="3" t="str">
        <f t="shared" si="52"/>
        <v>450013966220</v>
      </c>
      <c r="D3387" s="4">
        <v>46297</v>
      </c>
      <c r="E3387" s="3" t="s">
        <v>2196</v>
      </c>
      <c r="F3387" s="3" t="s">
        <v>3249</v>
      </c>
    </row>
    <row r="3388" spans="1:6" x14ac:dyDescent="0.3">
      <c r="A3388" s="3" t="s">
        <v>2953</v>
      </c>
      <c r="B3388" s="3" t="s">
        <v>35</v>
      </c>
      <c r="C3388" s="3" t="str">
        <f t="shared" si="52"/>
        <v>450013966230</v>
      </c>
      <c r="D3388" s="4">
        <v>46297</v>
      </c>
      <c r="E3388" s="3" t="s">
        <v>2196</v>
      </c>
      <c r="F3388" s="3" t="s">
        <v>3249</v>
      </c>
    </row>
    <row r="3389" spans="1:6" x14ac:dyDescent="0.3">
      <c r="A3389" s="3" t="s">
        <v>2953</v>
      </c>
      <c r="B3389" s="3" t="s">
        <v>23</v>
      </c>
      <c r="C3389" s="3" t="str">
        <f t="shared" si="52"/>
        <v>450013966240</v>
      </c>
      <c r="D3389" s="4">
        <v>46297</v>
      </c>
      <c r="E3389" s="3" t="s">
        <v>2196</v>
      </c>
      <c r="F3389" s="3" t="s">
        <v>3249</v>
      </c>
    </row>
    <row r="3390" spans="1:6" x14ac:dyDescent="0.3">
      <c r="A3390" s="3" t="s">
        <v>2980</v>
      </c>
      <c r="B3390" s="3" t="s">
        <v>30</v>
      </c>
      <c r="C3390" s="3" t="str">
        <f t="shared" si="52"/>
        <v>450013966310</v>
      </c>
      <c r="D3390" s="4">
        <v>46297</v>
      </c>
      <c r="E3390" s="3" t="s">
        <v>2197</v>
      </c>
      <c r="F3390" s="3" t="s">
        <v>3251</v>
      </c>
    </row>
    <row r="3391" spans="1:6" x14ac:dyDescent="0.3">
      <c r="A3391" s="3" t="s">
        <v>2983</v>
      </c>
      <c r="B3391" s="3" t="s">
        <v>30</v>
      </c>
      <c r="C3391" s="3" t="str">
        <f t="shared" si="52"/>
        <v>450013966510</v>
      </c>
      <c r="D3391" s="4">
        <v>46297</v>
      </c>
      <c r="E3391" s="3" t="s">
        <v>2197</v>
      </c>
      <c r="F3391" s="3" t="s">
        <v>3252</v>
      </c>
    </row>
    <row r="3392" spans="1:6" x14ac:dyDescent="0.3">
      <c r="A3392" s="3" t="s">
        <v>2977</v>
      </c>
      <c r="B3392" s="3" t="s">
        <v>30</v>
      </c>
      <c r="C3392" s="3" t="str">
        <f t="shared" si="52"/>
        <v>450013966810</v>
      </c>
      <c r="D3392" s="4">
        <v>46297</v>
      </c>
      <c r="E3392" s="3" t="s">
        <v>2197</v>
      </c>
      <c r="F3392" s="3" t="s">
        <v>3253</v>
      </c>
    </row>
    <row r="3393" spans="1:6" x14ac:dyDescent="0.3">
      <c r="A3393" s="3" t="s">
        <v>2977</v>
      </c>
      <c r="B3393" s="3" t="s">
        <v>22</v>
      </c>
      <c r="C3393" s="3" t="str">
        <f t="shared" si="52"/>
        <v>450013966820</v>
      </c>
      <c r="D3393" s="4">
        <v>46297</v>
      </c>
      <c r="E3393" s="3" t="s">
        <v>2197</v>
      </c>
      <c r="F3393" s="3" t="s">
        <v>3253</v>
      </c>
    </row>
    <row r="3394" spans="1:6" x14ac:dyDescent="0.3">
      <c r="A3394" s="3" t="s">
        <v>2977</v>
      </c>
      <c r="B3394" s="3" t="s">
        <v>35</v>
      </c>
      <c r="C3394" s="3" t="str">
        <f t="shared" si="52"/>
        <v>450013966830</v>
      </c>
      <c r="D3394" s="4">
        <v>46297</v>
      </c>
      <c r="E3394" s="3" t="s">
        <v>2197</v>
      </c>
      <c r="F3394" s="3" t="s">
        <v>3253</v>
      </c>
    </row>
    <row r="3395" spans="1:6" x14ac:dyDescent="0.3">
      <c r="A3395" s="3" t="s">
        <v>2117</v>
      </c>
      <c r="B3395" s="3" t="s">
        <v>30</v>
      </c>
      <c r="C3395" s="3" t="str">
        <f t="shared" ref="C3395:C3458" si="53">_xlfn.CONCAT(A3395:B3395)</f>
        <v>450013966910</v>
      </c>
      <c r="D3395" s="4">
        <v>46301</v>
      </c>
      <c r="E3395" s="3" t="s">
        <v>2241</v>
      </c>
      <c r="F3395" s="3" t="s">
        <v>2606</v>
      </c>
    </row>
    <row r="3396" spans="1:6" x14ac:dyDescent="0.3">
      <c r="A3396" s="3" t="s">
        <v>2117</v>
      </c>
      <c r="B3396" s="3" t="s">
        <v>22</v>
      </c>
      <c r="C3396" s="3" t="str">
        <f t="shared" si="53"/>
        <v>450013966920</v>
      </c>
      <c r="D3396" s="4">
        <v>46301</v>
      </c>
      <c r="E3396" s="3" t="s">
        <v>2241</v>
      </c>
      <c r="F3396" s="3" t="s">
        <v>2606</v>
      </c>
    </row>
    <row r="3397" spans="1:6" x14ac:dyDescent="0.3">
      <c r="A3397" s="3" t="s">
        <v>2117</v>
      </c>
      <c r="B3397" s="3" t="s">
        <v>35</v>
      </c>
      <c r="C3397" s="3" t="str">
        <f t="shared" si="53"/>
        <v>450013966930</v>
      </c>
      <c r="D3397" s="4">
        <v>46301</v>
      </c>
      <c r="E3397" s="3" t="s">
        <v>2241</v>
      </c>
      <c r="F3397" s="3" t="s">
        <v>2606</v>
      </c>
    </row>
    <row r="3398" spans="1:6" x14ac:dyDescent="0.3">
      <c r="A3398" s="3" t="s">
        <v>2117</v>
      </c>
      <c r="B3398" s="3" t="s">
        <v>23</v>
      </c>
      <c r="C3398" s="3" t="str">
        <f t="shared" si="53"/>
        <v>450013966940</v>
      </c>
      <c r="D3398" s="4">
        <v>46301</v>
      </c>
      <c r="E3398" s="3" t="s">
        <v>2241</v>
      </c>
      <c r="F3398" s="3" t="s">
        <v>2606</v>
      </c>
    </row>
    <row r="3399" spans="1:6" x14ac:dyDescent="0.3">
      <c r="A3399" s="3" t="s">
        <v>2117</v>
      </c>
      <c r="B3399" s="3" t="s">
        <v>144</v>
      </c>
      <c r="C3399" s="3" t="str">
        <f t="shared" si="53"/>
        <v>450013966950</v>
      </c>
      <c r="D3399" s="4">
        <v>46301</v>
      </c>
      <c r="E3399" s="3" t="s">
        <v>2241</v>
      </c>
      <c r="F3399" s="3" t="s">
        <v>2606</v>
      </c>
    </row>
    <row r="3400" spans="1:6" x14ac:dyDescent="0.3">
      <c r="A3400" s="3" t="s">
        <v>3091</v>
      </c>
      <c r="B3400" s="3" t="s">
        <v>30</v>
      </c>
      <c r="C3400" s="3" t="str">
        <f t="shared" si="53"/>
        <v>450013968510</v>
      </c>
      <c r="D3400" s="4">
        <v>46304</v>
      </c>
      <c r="E3400" s="3" t="s">
        <v>2239</v>
      </c>
      <c r="F3400" s="3" t="s">
        <v>3254</v>
      </c>
    </row>
    <row r="3401" spans="1:6" x14ac:dyDescent="0.3">
      <c r="A3401" s="3" t="s">
        <v>1918</v>
      </c>
      <c r="B3401" s="3" t="s">
        <v>30</v>
      </c>
      <c r="C3401" s="3" t="str">
        <f t="shared" si="53"/>
        <v>450013968710</v>
      </c>
      <c r="D3401" s="4">
        <v>46297</v>
      </c>
      <c r="E3401" s="3" t="s">
        <v>2241</v>
      </c>
      <c r="F3401" s="3" t="s">
        <v>2708</v>
      </c>
    </row>
    <row r="3402" spans="1:6" x14ac:dyDescent="0.3">
      <c r="A3402" s="3" t="s">
        <v>1918</v>
      </c>
      <c r="B3402" s="3" t="s">
        <v>22</v>
      </c>
      <c r="C3402" s="3" t="str">
        <f t="shared" si="53"/>
        <v>450013968720</v>
      </c>
      <c r="D3402" s="4">
        <v>46297</v>
      </c>
      <c r="E3402" s="3" t="s">
        <v>2241</v>
      </c>
      <c r="F3402" s="3" t="s">
        <v>2708</v>
      </c>
    </row>
    <row r="3403" spans="1:6" x14ac:dyDescent="0.3">
      <c r="A3403" s="3" t="s">
        <v>2003</v>
      </c>
      <c r="B3403" s="3" t="s">
        <v>30</v>
      </c>
      <c r="C3403" s="3" t="str">
        <f t="shared" si="53"/>
        <v>450013969010</v>
      </c>
      <c r="D3403" s="4">
        <v>46301</v>
      </c>
      <c r="E3403" s="3" t="s">
        <v>2238</v>
      </c>
      <c r="F3403" s="3" t="s">
        <v>2421</v>
      </c>
    </row>
    <row r="3404" spans="1:6" x14ac:dyDescent="0.3">
      <c r="A3404" s="3" t="s">
        <v>2743</v>
      </c>
      <c r="B3404" s="3" t="s">
        <v>30</v>
      </c>
      <c r="C3404" s="3" t="str">
        <f t="shared" si="53"/>
        <v>450013969110</v>
      </c>
      <c r="D3404" s="4">
        <v>46296</v>
      </c>
      <c r="E3404" s="3" t="s">
        <v>2238</v>
      </c>
      <c r="F3404" s="3" t="s">
        <v>2790</v>
      </c>
    </row>
    <row r="3405" spans="1:6" x14ac:dyDescent="0.3">
      <c r="A3405" s="3" t="s">
        <v>2743</v>
      </c>
      <c r="B3405" s="3" t="s">
        <v>22</v>
      </c>
      <c r="C3405" s="3" t="str">
        <f t="shared" si="53"/>
        <v>450013969120</v>
      </c>
      <c r="D3405" s="4">
        <v>46296</v>
      </c>
      <c r="E3405" s="3" t="s">
        <v>2238</v>
      </c>
      <c r="F3405" s="3" t="s">
        <v>2790</v>
      </c>
    </row>
    <row r="3406" spans="1:6" x14ac:dyDescent="0.3">
      <c r="A3406" s="3" t="s">
        <v>2068</v>
      </c>
      <c r="B3406" s="3" t="s">
        <v>30</v>
      </c>
      <c r="C3406" s="3" t="str">
        <f t="shared" si="53"/>
        <v>450013969910</v>
      </c>
      <c r="D3406" s="4">
        <v>46298</v>
      </c>
      <c r="E3406" s="3" t="s">
        <v>2241</v>
      </c>
      <c r="F3406" s="3" t="s">
        <v>2709</v>
      </c>
    </row>
    <row r="3407" spans="1:6" x14ac:dyDescent="0.3">
      <c r="A3407" s="3" t="s">
        <v>2017</v>
      </c>
      <c r="B3407" s="3" t="s">
        <v>30</v>
      </c>
      <c r="C3407" s="3" t="str">
        <f t="shared" si="53"/>
        <v>450013970410</v>
      </c>
      <c r="D3407" s="4">
        <v>46308</v>
      </c>
      <c r="E3407" s="3" t="s">
        <v>2204</v>
      </c>
      <c r="F3407" s="3" t="s">
        <v>2439</v>
      </c>
    </row>
    <row r="3408" spans="1:6" x14ac:dyDescent="0.3">
      <c r="A3408" s="3" t="s">
        <v>2017</v>
      </c>
      <c r="B3408" s="3" t="s">
        <v>22</v>
      </c>
      <c r="C3408" s="3" t="str">
        <f t="shared" si="53"/>
        <v>450013970420</v>
      </c>
      <c r="D3408" s="4">
        <v>46301</v>
      </c>
      <c r="E3408" s="3" t="s">
        <v>2204</v>
      </c>
      <c r="F3408" s="3" t="s">
        <v>2439</v>
      </c>
    </row>
    <row r="3409" spans="1:6" x14ac:dyDescent="0.3">
      <c r="A3409" s="3" t="s">
        <v>2017</v>
      </c>
      <c r="B3409" s="3" t="s">
        <v>35</v>
      </c>
      <c r="C3409" s="3" t="str">
        <f t="shared" si="53"/>
        <v>450013970430</v>
      </c>
      <c r="D3409" s="4">
        <v>46301</v>
      </c>
      <c r="E3409" s="3" t="s">
        <v>2204</v>
      </c>
      <c r="F3409" s="3" t="s">
        <v>2439</v>
      </c>
    </row>
    <row r="3410" spans="1:6" x14ac:dyDescent="0.3">
      <c r="A3410" s="3" t="s">
        <v>2017</v>
      </c>
      <c r="B3410" s="3" t="s">
        <v>23</v>
      </c>
      <c r="C3410" s="3" t="str">
        <f t="shared" si="53"/>
        <v>450013970440</v>
      </c>
      <c r="D3410" s="4">
        <v>46308</v>
      </c>
      <c r="E3410" s="3" t="s">
        <v>2204</v>
      </c>
      <c r="F3410" s="3" t="s">
        <v>2439</v>
      </c>
    </row>
    <row r="3411" spans="1:6" x14ac:dyDescent="0.3">
      <c r="A3411" s="3" t="s">
        <v>2017</v>
      </c>
      <c r="B3411" s="3" t="s">
        <v>144</v>
      </c>
      <c r="C3411" s="3" t="str">
        <f t="shared" si="53"/>
        <v>450013970450</v>
      </c>
      <c r="D3411" s="4">
        <v>46308</v>
      </c>
      <c r="E3411" s="3" t="s">
        <v>2204</v>
      </c>
      <c r="F3411" s="3" t="s">
        <v>2439</v>
      </c>
    </row>
    <row r="3412" spans="1:6" x14ac:dyDescent="0.3">
      <c r="A3412" s="3" t="s">
        <v>2017</v>
      </c>
      <c r="B3412" s="3" t="s">
        <v>141</v>
      </c>
      <c r="C3412" s="3" t="str">
        <f t="shared" si="53"/>
        <v>450013970460</v>
      </c>
      <c r="D3412" s="4">
        <v>46320</v>
      </c>
      <c r="E3412" s="3" t="s">
        <v>2204</v>
      </c>
      <c r="F3412" s="3" t="s">
        <v>2439</v>
      </c>
    </row>
    <row r="3413" spans="1:6" x14ac:dyDescent="0.3">
      <c r="A3413" s="3" t="s">
        <v>1984</v>
      </c>
      <c r="B3413" s="3" t="s">
        <v>30</v>
      </c>
      <c r="C3413" s="3" t="str">
        <f t="shared" si="53"/>
        <v>450013970510</v>
      </c>
      <c r="D3413" s="4">
        <v>46296</v>
      </c>
      <c r="E3413" s="3" t="s">
        <v>2205</v>
      </c>
      <c r="F3413" s="3" t="s">
        <v>2444</v>
      </c>
    </row>
    <row r="3414" spans="1:6" x14ac:dyDescent="0.3">
      <c r="A3414" s="3" t="s">
        <v>1984</v>
      </c>
      <c r="B3414" s="3" t="s">
        <v>22</v>
      </c>
      <c r="C3414" s="3" t="str">
        <f t="shared" si="53"/>
        <v>450013970520</v>
      </c>
      <c r="D3414" s="4">
        <v>46296</v>
      </c>
      <c r="E3414" s="3" t="s">
        <v>2205</v>
      </c>
      <c r="F3414" s="3" t="s">
        <v>2444</v>
      </c>
    </row>
    <row r="3415" spans="1:6" x14ac:dyDescent="0.3">
      <c r="A3415" s="3" t="s">
        <v>2870</v>
      </c>
      <c r="B3415" s="3" t="s">
        <v>30</v>
      </c>
      <c r="C3415" s="3" t="str">
        <f t="shared" si="53"/>
        <v>450013970610</v>
      </c>
      <c r="D3415" s="4">
        <v>46303</v>
      </c>
      <c r="E3415" s="3" t="s">
        <v>2241</v>
      </c>
      <c r="F3415" s="3" t="s">
        <v>2709</v>
      </c>
    </row>
    <row r="3416" spans="1:6" x14ac:dyDescent="0.3">
      <c r="A3416" s="3" t="s">
        <v>2870</v>
      </c>
      <c r="B3416" s="3" t="s">
        <v>22</v>
      </c>
      <c r="C3416" s="3" t="str">
        <f t="shared" si="53"/>
        <v>450013970620</v>
      </c>
      <c r="D3416" s="4">
        <v>46303</v>
      </c>
      <c r="E3416" s="3" t="s">
        <v>2241</v>
      </c>
      <c r="F3416" s="3" t="s">
        <v>2709</v>
      </c>
    </row>
    <row r="3417" spans="1:6" x14ac:dyDescent="0.3">
      <c r="A3417" s="3" t="s">
        <v>2870</v>
      </c>
      <c r="B3417" s="3" t="s">
        <v>35</v>
      </c>
      <c r="C3417" s="3" t="str">
        <f t="shared" si="53"/>
        <v>450013970630</v>
      </c>
      <c r="D3417" s="4">
        <v>46303</v>
      </c>
      <c r="E3417" s="3" t="s">
        <v>2241</v>
      </c>
      <c r="F3417" s="3" t="s">
        <v>2709</v>
      </c>
    </row>
    <row r="3418" spans="1:6" x14ac:dyDescent="0.3">
      <c r="A3418" s="3" t="s">
        <v>3045</v>
      </c>
      <c r="B3418" s="3" t="s">
        <v>30</v>
      </c>
      <c r="C3418" s="3" t="str">
        <f t="shared" si="53"/>
        <v>450013970710</v>
      </c>
      <c r="D3418" s="4">
        <v>46307</v>
      </c>
      <c r="E3418" s="3" t="s">
        <v>2200</v>
      </c>
      <c r="F3418" s="3" t="s">
        <v>2456</v>
      </c>
    </row>
    <row r="3419" spans="1:6" x14ac:dyDescent="0.3">
      <c r="A3419" s="3" t="s">
        <v>3045</v>
      </c>
      <c r="B3419" s="3" t="s">
        <v>22</v>
      </c>
      <c r="C3419" s="3" t="str">
        <f t="shared" si="53"/>
        <v>450013970720</v>
      </c>
      <c r="D3419" s="4">
        <v>46307</v>
      </c>
      <c r="E3419" s="3" t="s">
        <v>2200</v>
      </c>
      <c r="F3419" s="3" t="s">
        <v>2456</v>
      </c>
    </row>
    <row r="3420" spans="1:6" x14ac:dyDescent="0.3">
      <c r="A3420" s="3" t="s">
        <v>3045</v>
      </c>
      <c r="B3420" s="3" t="s">
        <v>35</v>
      </c>
      <c r="C3420" s="3" t="str">
        <f t="shared" si="53"/>
        <v>450013970730</v>
      </c>
      <c r="D3420" s="4">
        <v>46307</v>
      </c>
      <c r="E3420" s="3" t="s">
        <v>2200</v>
      </c>
      <c r="F3420" s="3" t="s">
        <v>2456</v>
      </c>
    </row>
    <row r="3421" spans="1:6" x14ac:dyDescent="0.3">
      <c r="A3421" s="3" t="s">
        <v>3045</v>
      </c>
      <c r="B3421" s="3" t="s">
        <v>23</v>
      </c>
      <c r="C3421" s="3" t="str">
        <f t="shared" si="53"/>
        <v>450013970740</v>
      </c>
      <c r="D3421" s="4">
        <v>46307</v>
      </c>
      <c r="E3421" s="3" t="s">
        <v>2200</v>
      </c>
      <c r="F3421" s="3" t="s">
        <v>2456</v>
      </c>
    </row>
    <row r="3422" spans="1:6" x14ac:dyDescent="0.3">
      <c r="A3422" s="3" t="s">
        <v>2109</v>
      </c>
      <c r="B3422" s="3" t="s">
        <v>30</v>
      </c>
      <c r="C3422" s="3" t="str">
        <f t="shared" si="53"/>
        <v>450013971510</v>
      </c>
      <c r="D3422" s="4">
        <v>46303</v>
      </c>
      <c r="E3422" s="3" t="s">
        <v>2196</v>
      </c>
      <c r="F3422" s="3" t="s">
        <v>2467</v>
      </c>
    </row>
    <row r="3423" spans="1:6" x14ac:dyDescent="0.3">
      <c r="A3423" s="3" t="s">
        <v>428</v>
      </c>
      <c r="B3423" s="3" t="s">
        <v>30</v>
      </c>
      <c r="C3423" s="3" t="str">
        <f t="shared" si="53"/>
        <v>450013971610</v>
      </c>
      <c r="D3423" s="4">
        <v>46300</v>
      </c>
      <c r="E3423" s="3" t="s">
        <v>2238</v>
      </c>
      <c r="F3423" s="3" t="s">
        <v>2420</v>
      </c>
    </row>
    <row r="3424" spans="1:6" x14ac:dyDescent="0.3">
      <c r="A3424" s="3" t="s">
        <v>428</v>
      </c>
      <c r="B3424" s="3" t="s">
        <v>22</v>
      </c>
      <c r="C3424" s="3" t="str">
        <f t="shared" si="53"/>
        <v>450013971620</v>
      </c>
      <c r="D3424" s="4">
        <v>46300</v>
      </c>
      <c r="E3424" s="3" t="s">
        <v>2238</v>
      </c>
      <c r="F3424" s="3" t="s">
        <v>2420</v>
      </c>
    </row>
    <row r="3425" spans="1:6" x14ac:dyDescent="0.3">
      <c r="A3425" s="3" t="s">
        <v>428</v>
      </c>
      <c r="B3425" s="3" t="s">
        <v>35</v>
      </c>
      <c r="C3425" s="3" t="str">
        <f t="shared" si="53"/>
        <v>450013971630</v>
      </c>
      <c r="D3425" s="4">
        <v>46300</v>
      </c>
      <c r="E3425" s="3" t="s">
        <v>2238</v>
      </c>
      <c r="F3425" s="3" t="s">
        <v>2420</v>
      </c>
    </row>
    <row r="3426" spans="1:6" x14ac:dyDescent="0.3">
      <c r="A3426" s="3" t="s">
        <v>428</v>
      </c>
      <c r="B3426" s="3" t="s">
        <v>23</v>
      </c>
      <c r="C3426" s="3" t="str">
        <f t="shared" si="53"/>
        <v>450013971640</v>
      </c>
      <c r="D3426" s="4">
        <v>46300</v>
      </c>
      <c r="E3426" s="3" t="s">
        <v>2238</v>
      </c>
      <c r="F3426" s="3" t="s">
        <v>2420</v>
      </c>
    </row>
    <row r="3427" spans="1:6" x14ac:dyDescent="0.3">
      <c r="A3427" s="3" t="s">
        <v>428</v>
      </c>
      <c r="B3427" s="3" t="s">
        <v>144</v>
      </c>
      <c r="C3427" s="3" t="str">
        <f t="shared" si="53"/>
        <v>450013971650</v>
      </c>
      <c r="D3427" s="4">
        <v>46300</v>
      </c>
      <c r="E3427" s="3" t="s">
        <v>2238</v>
      </c>
      <c r="F3427" s="3" t="s">
        <v>2420</v>
      </c>
    </row>
    <row r="3428" spans="1:6" x14ac:dyDescent="0.3">
      <c r="A3428" s="3" t="s">
        <v>428</v>
      </c>
      <c r="B3428" s="3" t="s">
        <v>141</v>
      </c>
      <c r="C3428" s="3" t="str">
        <f t="shared" si="53"/>
        <v>450013971660</v>
      </c>
      <c r="D3428" s="4">
        <v>46300</v>
      </c>
      <c r="E3428" s="3" t="s">
        <v>2238</v>
      </c>
      <c r="F3428" s="3" t="s">
        <v>2420</v>
      </c>
    </row>
    <row r="3429" spans="1:6" x14ac:dyDescent="0.3">
      <c r="A3429" s="3" t="s">
        <v>428</v>
      </c>
      <c r="B3429" s="3" t="s">
        <v>134</v>
      </c>
      <c r="C3429" s="3" t="str">
        <f t="shared" si="53"/>
        <v>450013971670</v>
      </c>
      <c r="D3429" s="4">
        <v>46300</v>
      </c>
      <c r="E3429" s="3" t="s">
        <v>2238</v>
      </c>
      <c r="F3429" s="3" t="s">
        <v>2420</v>
      </c>
    </row>
    <row r="3430" spans="1:6" x14ac:dyDescent="0.3">
      <c r="A3430" s="3" t="s">
        <v>428</v>
      </c>
      <c r="B3430" s="3" t="s">
        <v>52</v>
      </c>
      <c r="C3430" s="3" t="str">
        <f t="shared" si="53"/>
        <v>450013971680</v>
      </c>
      <c r="D3430" s="4">
        <v>46300</v>
      </c>
      <c r="E3430" s="3" t="s">
        <v>2238</v>
      </c>
      <c r="F3430" s="3" t="s">
        <v>2420</v>
      </c>
    </row>
    <row r="3431" spans="1:6" x14ac:dyDescent="0.3">
      <c r="A3431" s="3" t="s">
        <v>428</v>
      </c>
      <c r="B3431" s="3" t="s">
        <v>138</v>
      </c>
      <c r="C3431" s="3" t="str">
        <f t="shared" si="53"/>
        <v>450013971690</v>
      </c>
      <c r="D3431" s="4">
        <v>46300</v>
      </c>
      <c r="E3431" s="3" t="s">
        <v>2238</v>
      </c>
      <c r="F3431" s="3" t="s">
        <v>2420</v>
      </c>
    </row>
    <row r="3432" spans="1:6" x14ac:dyDescent="0.3">
      <c r="A3432" s="3" t="s">
        <v>428</v>
      </c>
      <c r="B3432" s="3" t="s">
        <v>142</v>
      </c>
      <c r="C3432" s="3" t="str">
        <f t="shared" si="53"/>
        <v>4500139716130</v>
      </c>
      <c r="D3432" s="4">
        <v>46300</v>
      </c>
      <c r="E3432" s="3" t="s">
        <v>2238</v>
      </c>
      <c r="F3432" s="3" t="s">
        <v>2420</v>
      </c>
    </row>
    <row r="3433" spans="1:6" x14ac:dyDescent="0.3">
      <c r="A3433" s="3" t="s">
        <v>428</v>
      </c>
      <c r="B3433" s="3" t="s">
        <v>131</v>
      </c>
      <c r="C3433" s="3" t="str">
        <f t="shared" si="53"/>
        <v>4500139716140</v>
      </c>
      <c r="D3433" s="4">
        <v>46300</v>
      </c>
      <c r="E3433" s="3" t="s">
        <v>2238</v>
      </c>
      <c r="F3433" s="3" t="s">
        <v>2420</v>
      </c>
    </row>
    <row r="3434" spans="1:6" x14ac:dyDescent="0.3">
      <c r="A3434" s="3" t="s">
        <v>2112</v>
      </c>
      <c r="B3434" s="3" t="s">
        <v>30</v>
      </c>
      <c r="C3434" s="3" t="str">
        <f t="shared" si="53"/>
        <v>450013971710</v>
      </c>
      <c r="D3434" s="4">
        <v>46303</v>
      </c>
      <c r="E3434" s="3" t="s">
        <v>2196</v>
      </c>
      <c r="F3434" s="3" t="s">
        <v>2461</v>
      </c>
    </row>
    <row r="3435" spans="1:6" x14ac:dyDescent="0.3">
      <c r="A3435" s="3" t="s">
        <v>2008</v>
      </c>
      <c r="B3435" s="3" t="s">
        <v>30</v>
      </c>
      <c r="C3435" s="3" t="str">
        <f t="shared" si="53"/>
        <v>450013972110</v>
      </c>
      <c r="D3435" s="4">
        <v>46301</v>
      </c>
      <c r="E3435" s="3" t="s">
        <v>2241</v>
      </c>
      <c r="F3435" s="3" t="s">
        <v>2710</v>
      </c>
    </row>
    <row r="3436" spans="1:6" x14ac:dyDescent="0.3">
      <c r="A3436" s="3" t="s">
        <v>2072</v>
      </c>
      <c r="B3436" s="3" t="s">
        <v>30</v>
      </c>
      <c r="C3436" s="3" t="str">
        <f t="shared" si="53"/>
        <v>450013972510</v>
      </c>
      <c r="D3436" s="4">
        <v>46300</v>
      </c>
      <c r="E3436" s="3" t="s">
        <v>2254</v>
      </c>
      <c r="F3436" s="3" t="s">
        <v>2550</v>
      </c>
    </row>
    <row r="3437" spans="1:6" x14ac:dyDescent="0.3">
      <c r="A3437" s="3" t="s">
        <v>2387</v>
      </c>
      <c r="B3437" s="3" t="s">
        <v>30</v>
      </c>
      <c r="C3437" s="3" t="str">
        <f t="shared" si="53"/>
        <v>450013972710</v>
      </c>
      <c r="D3437" s="4">
        <v>46295</v>
      </c>
      <c r="E3437" s="3" t="s">
        <v>2246</v>
      </c>
      <c r="F3437" s="3" t="s">
        <v>2711</v>
      </c>
    </row>
    <row r="3438" spans="1:6" x14ac:dyDescent="0.3">
      <c r="A3438" s="3" t="s">
        <v>2387</v>
      </c>
      <c r="B3438" s="3" t="s">
        <v>22</v>
      </c>
      <c r="C3438" s="3" t="str">
        <f t="shared" si="53"/>
        <v>450013972720</v>
      </c>
      <c r="D3438" s="4">
        <v>46295</v>
      </c>
      <c r="E3438" s="3" t="s">
        <v>2246</v>
      </c>
      <c r="F3438" s="3" t="s">
        <v>2711</v>
      </c>
    </row>
    <row r="3439" spans="1:6" x14ac:dyDescent="0.3">
      <c r="A3439" s="3" t="s">
        <v>2387</v>
      </c>
      <c r="B3439" s="3" t="s">
        <v>35</v>
      </c>
      <c r="C3439" s="3" t="str">
        <f t="shared" si="53"/>
        <v>450013972730</v>
      </c>
      <c r="D3439" s="4">
        <v>46295</v>
      </c>
      <c r="E3439" s="3" t="s">
        <v>2246</v>
      </c>
      <c r="F3439" s="3" t="s">
        <v>2711</v>
      </c>
    </row>
    <row r="3440" spans="1:6" x14ac:dyDescent="0.3">
      <c r="A3440" s="3" t="s">
        <v>2387</v>
      </c>
      <c r="B3440" s="3" t="s">
        <v>23</v>
      </c>
      <c r="C3440" s="3" t="str">
        <f t="shared" si="53"/>
        <v>450013972740</v>
      </c>
      <c r="D3440" s="4">
        <v>46295</v>
      </c>
      <c r="E3440" s="3" t="s">
        <v>2246</v>
      </c>
      <c r="F3440" s="3" t="s">
        <v>2711</v>
      </c>
    </row>
    <row r="3441" spans="1:6" x14ac:dyDescent="0.3">
      <c r="A3441" s="3" t="s">
        <v>2149</v>
      </c>
      <c r="B3441" s="3" t="s">
        <v>30</v>
      </c>
      <c r="C3441" s="3" t="str">
        <f t="shared" si="53"/>
        <v>450013973910</v>
      </c>
      <c r="D3441" s="4">
        <v>46314</v>
      </c>
      <c r="E3441" s="3" t="s">
        <v>2204</v>
      </c>
      <c r="F3441" s="3" t="s">
        <v>2490</v>
      </c>
    </row>
    <row r="3442" spans="1:6" x14ac:dyDescent="0.3">
      <c r="A3442" s="3" t="s">
        <v>2149</v>
      </c>
      <c r="B3442" s="3" t="s">
        <v>22</v>
      </c>
      <c r="C3442" s="3" t="str">
        <f t="shared" si="53"/>
        <v>450013973920</v>
      </c>
      <c r="D3442" s="4">
        <v>46297</v>
      </c>
      <c r="E3442" s="3" t="s">
        <v>2204</v>
      </c>
      <c r="F3442" s="3" t="s">
        <v>2490</v>
      </c>
    </row>
    <row r="3443" spans="1:6" x14ac:dyDescent="0.3">
      <c r="A3443" s="3" t="s">
        <v>2149</v>
      </c>
      <c r="B3443" s="3" t="s">
        <v>35</v>
      </c>
      <c r="C3443" s="3" t="str">
        <f t="shared" si="53"/>
        <v>450013973930</v>
      </c>
      <c r="D3443" s="4">
        <v>46297</v>
      </c>
      <c r="E3443" s="3" t="s">
        <v>2204</v>
      </c>
      <c r="F3443" s="3" t="s">
        <v>2490</v>
      </c>
    </row>
    <row r="3444" spans="1:6" x14ac:dyDescent="0.3">
      <c r="A3444" s="3" t="s">
        <v>2149</v>
      </c>
      <c r="B3444" s="3" t="s">
        <v>23</v>
      </c>
      <c r="C3444" s="3" t="str">
        <f t="shared" si="53"/>
        <v>450013973940</v>
      </c>
      <c r="D3444" s="4">
        <v>46297</v>
      </c>
      <c r="E3444" s="3" t="s">
        <v>2204</v>
      </c>
      <c r="F3444" s="3" t="s">
        <v>2490</v>
      </c>
    </row>
    <row r="3445" spans="1:6" x14ac:dyDescent="0.3">
      <c r="A3445" s="3" t="s">
        <v>2149</v>
      </c>
      <c r="B3445" s="3" t="s">
        <v>144</v>
      </c>
      <c r="C3445" s="3" t="str">
        <f t="shared" si="53"/>
        <v>450013973950</v>
      </c>
      <c r="D3445" s="4">
        <v>46297</v>
      </c>
      <c r="E3445" s="3" t="s">
        <v>2204</v>
      </c>
      <c r="F3445" s="3" t="s">
        <v>2490</v>
      </c>
    </row>
    <row r="3446" spans="1:6" x14ac:dyDescent="0.3">
      <c r="A3446" s="3" t="s">
        <v>2149</v>
      </c>
      <c r="B3446" s="3" t="s">
        <v>134</v>
      </c>
      <c r="C3446" s="3" t="str">
        <f t="shared" si="53"/>
        <v>450013973970</v>
      </c>
      <c r="D3446" s="4">
        <v>46297</v>
      </c>
      <c r="E3446" s="3" t="s">
        <v>2204</v>
      </c>
      <c r="F3446" s="3" t="s">
        <v>2490</v>
      </c>
    </row>
    <row r="3447" spans="1:6" x14ac:dyDescent="0.3">
      <c r="A3447" s="3" t="s">
        <v>2149</v>
      </c>
      <c r="B3447" s="3" t="s">
        <v>52</v>
      </c>
      <c r="C3447" s="3" t="str">
        <f t="shared" si="53"/>
        <v>450013973980</v>
      </c>
      <c r="D3447" s="4">
        <v>46297</v>
      </c>
      <c r="E3447" s="3" t="s">
        <v>2204</v>
      </c>
      <c r="F3447" s="3" t="s">
        <v>2490</v>
      </c>
    </row>
    <row r="3448" spans="1:6" x14ac:dyDescent="0.3">
      <c r="A3448" s="3" t="s">
        <v>1945</v>
      </c>
      <c r="B3448" s="3" t="s">
        <v>30</v>
      </c>
      <c r="C3448" s="3" t="str">
        <f t="shared" si="53"/>
        <v>450013974010</v>
      </c>
      <c r="D3448" s="4">
        <v>46297</v>
      </c>
      <c r="E3448" s="3" t="s">
        <v>2241</v>
      </c>
      <c r="F3448" s="3" t="s">
        <v>2442</v>
      </c>
    </row>
    <row r="3449" spans="1:6" x14ac:dyDescent="0.3">
      <c r="A3449" s="3" t="s">
        <v>1945</v>
      </c>
      <c r="B3449" s="3" t="s">
        <v>22</v>
      </c>
      <c r="C3449" s="3" t="str">
        <f t="shared" si="53"/>
        <v>450013974020</v>
      </c>
      <c r="D3449" s="4">
        <v>46297</v>
      </c>
      <c r="E3449" s="3" t="s">
        <v>2241</v>
      </c>
      <c r="F3449" s="3" t="s">
        <v>2442</v>
      </c>
    </row>
    <row r="3450" spans="1:6" x14ac:dyDescent="0.3">
      <c r="A3450" s="3" t="s">
        <v>1945</v>
      </c>
      <c r="B3450" s="3" t="s">
        <v>35</v>
      </c>
      <c r="C3450" s="3" t="str">
        <f t="shared" si="53"/>
        <v>450013974030</v>
      </c>
      <c r="D3450" s="4">
        <v>46297</v>
      </c>
      <c r="E3450" s="3" t="s">
        <v>2241</v>
      </c>
      <c r="F3450" s="3" t="s">
        <v>2442</v>
      </c>
    </row>
    <row r="3451" spans="1:6" x14ac:dyDescent="0.3">
      <c r="A3451" s="3" t="s">
        <v>1945</v>
      </c>
      <c r="B3451" s="3" t="s">
        <v>23</v>
      </c>
      <c r="C3451" s="3" t="str">
        <f t="shared" si="53"/>
        <v>450013974040</v>
      </c>
      <c r="D3451" s="4">
        <v>46297</v>
      </c>
      <c r="E3451" s="3" t="s">
        <v>2241</v>
      </c>
      <c r="F3451" s="3" t="s">
        <v>2442</v>
      </c>
    </row>
    <row r="3452" spans="1:6" x14ac:dyDescent="0.3">
      <c r="A3452" s="3" t="s">
        <v>1945</v>
      </c>
      <c r="B3452" s="3" t="s">
        <v>144</v>
      </c>
      <c r="C3452" s="3" t="str">
        <f t="shared" si="53"/>
        <v>450013974050</v>
      </c>
      <c r="D3452" s="4">
        <v>46297</v>
      </c>
      <c r="E3452" s="3" t="s">
        <v>2241</v>
      </c>
      <c r="F3452" s="3" t="s">
        <v>2442</v>
      </c>
    </row>
    <row r="3453" spans="1:6" x14ac:dyDescent="0.3">
      <c r="A3453" s="3" t="s">
        <v>1945</v>
      </c>
      <c r="B3453" s="3" t="s">
        <v>141</v>
      </c>
      <c r="C3453" s="3" t="str">
        <f t="shared" si="53"/>
        <v>450013974060</v>
      </c>
      <c r="D3453" s="4">
        <v>46303</v>
      </c>
      <c r="E3453" s="3" t="s">
        <v>2241</v>
      </c>
      <c r="F3453" s="3" t="s">
        <v>2442</v>
      </c>
    </row>
    <row r="3454" spans="1:6" x14ac:dyDescent="0.3">
      <c r="A3454" s="3" t="s">
        <v>2093</v>
      </c>
      <c r="B3454" s="3" t="s">
        <v>30</v>
      </c>
      <c r="C3454" s="3" t="str">
        <f t="shared" si="53"/>
        <v>450013974110</v>
      </c>
      <c r="D3454" s="4">
        <v>46302</v>
      </c>
      <c r="E3454" s="3" t="s">
        <v>2199</v>
      </c>
      <c r="F3454" s="3" t="s">
        <v>2712</v>
      </c>
    </row>
    <row r="3455" spans="1:6" x14ac:dyDescent="0.3">
      <c r="A3455" s="3" t="s">
        <v>1937</v>
      </c>
      <c r="B3455" s="3" t="s">
        <v>30</v>
      </c>
      <c r="C3455" s="3" t="str">
        <f t="shared" si="53"/>
        <v>450013974410</v>
      </c>
      <c r="D3455" s="4">
        <v>46296</v>
      </c>
      <c r="E3455" s="3" t="s">
        <v>2207</v>
      </c>
      <c r="F3455" s="3" t="s">
        <v>2489</v>
      </c>
    </row>
    <row r="3456" spans="1:6" x14ac:dyDescent="0.3">
      <c r="A3456" s="3" t="s">
        <v>2401</v>
      </c>
      <c r="B3456" s="3" t="s">
        <v>30</v>
      </c>
      <c r="C3456" s="3" t="str">
        <f t="shared" si="53"/>
        <v>450013974910</v>
      </c>
      <c r="D3456" s="4">
        <v>46304</v>
      </c>
      <c r="E3456" s="3" t="s">
        <v>2233</v>
      </c>
      <c r="F3456" s="3" t="s">
        <v>2713</v>
      </c>
    </row>
    <row r="3457" spans="1:6" x14ac:dyDescent="0.3">
      <c r="A3457" s="3" t="s">
        <v>2401</v>
      </c>
      <c r="B3457" s="3" t="s">
        <v>22</v>
      </c>
      <c r="C3457" s="3" t="str">
        <f t="shared" si="53"/>
        <v>450013974920</v>
      </c>
      <c r="D3457" s="4">
        <v>46304</v>
      </c>
      <c r="E3457" s="3" t="s">
        <v>2233</v>
      </c>
      <c r="F3457" s="3" t="s">
        <v>2713</v>
      </c>
    </row>
    <row r="3458" spans="1:6" x14ac:dyDescent="0.3">
      <c r="A3458" s="3" t="s">
        <v>2401</v>
      </c>
      <c r="B3458" s="3" t="s">
        <v>35</v>
      </c>
      <c r="C3458" s="3" t="str">
        <f t="shared" si="53"/>
        <v>450013974930</v>
      </c>
      <c r="D3458" s="4">
        <v>46304</v>
      </c>
      <c r="E3458" s="3" t="s">
        <v>2233</v>
      </c>
      <c r="F3458" s="3" t="s">
        <v>2713</v>
      </c>
    </row>
    <row r="3459" spans="1:6" x14ac:dyDescent="0.3">
      <c r="A3459" s="3" t="s">
        <v>2401</v>
      </c>
      <c r="B3459" s="3" t="s">
        <v>23</v>
      </c>
      <c r="C3459" s="3" t="str">
        <f t="shared" ref="C3459:C3522" si="54">_xlfn.CONCAT(A3459:B3459)</f>
        <v>450013974940</v>
      </c>
      <c r="D3459" s="4">
        <v>46304</v>
      </c>
      <c r="E3459" s="3" t="s">
        <v>2233</v>
      </c>
      <c r="F3459" s="3" t="s">
        <v>2713</v>
      </c>
    </row>
    <row r="3460" spans="1:6" x14ac:dyDescent="0.3">
      <c r="A3460" s="3" t="s">
        <v>2401</v>
      </c>
      <c r="B3460" s="3" t="s">
        <v>144</v>
      </c>
      <c r="C3460" s="3" t="str">
        <f t="shared" si="54"/>
        <v>450013974950</v>
      </c>
      <c r="D3460" s="4">
        <v>46304</v>
      </c>
      <c r="E3460" s="3" t="s">
        <v>2233</v>
      </c>
      <c r="F3460" s="3" t="s">
        <v>2713</v>
      </c>
    </row>
    <row r="3461" spans="1:6" x14ac:dyDescent="0.3">
      <c r="A3461" s="3" t="s">
        <v>2401</v>
      </c>
      <c r="B3461" s="3" t="s">
        <v>141</v>
      </c>
      <c r="C3461" s="3" t="str">
        <f t="shared" si="54"/>
        <v>450013974960</v>
      </c>
      <c r="D3461" s="4">
        <v>46304</v>
      </c>
      <c r="E3461" s="3" t="s">
        <v>2233</v>
      </c>
      <c r="F3461" s="3" t="s">
        <v>2713</v>
      </c>
    </row>
    <row r="3462" spans="1:6" x14ac:dyDescent="0.3">
      <c r="A3462" s="3" t="s">
        <v>2401</v>
      </c>
      <c r="B3462" s="3" t="s">
        <v>134</v>
      </c>
      <c r="C3462" s="3" t="str">
        <f t="shared" si="54"/>
        <v>450013974970</v>
      </c>
      <c r="D3462" s="4">
        <v>46304</v>
      </c>
      <c r="E3462" s="3" t="s">
        <v>2233</v>
      </c>
      <c r="F3462" s="3" t="s">
        <v>2713</v>
      </c>
    </row>
    <row r="3463" spans="1:6" x14ac:dyDescent="0.3">
      <c r="A3463" s="3" t="s">
        <v>2022</v>
      </c>
      <c r="B3463" s="3" t="s">
        <v>30</v>
      </c>
      <c r="C3463" s="3" t="str">
        <f t="shared" si="54"/>
        <v>450013975010</v>
      </c>
      <c r="D3463" s="4">
        <v>46295</v>
      </c>
      <c r="E3463" s="3" t="s">
        <v>2246</v>
      </c>
      <c r="F3463" s="3" t="s">
        <v>2714</v>
      </c>
    </row>
    <row r="3464" spans="1:6" x14ac:dyDescent="0.3">
      <c r="A3464" s="3" t="s">
        <v>2399</v>
      </c>
      <c r="B3464" s="3" t="s">
        <v>30</v>
      </c>
      <c r="C3464" s="3" t="str">
        <f t="shared" si="54"/>
        <v>450013975110</v>
      </c>
      <c r="D3464" s="4">
        <v>46304</v>
      </c>
      <c r="E3464" s="3" t="s">
        <v>2233</v>
      </c>
      <c r="F3464" s="3" t="s">
        <v>2713</v>
      </c>
    </row>
    <row r="3465" spans="1:6" x14ac:dyDescent="0.3">
      <c r="A3465" s="3" t="s">
        <v>2074</v>
      </c>
      <c r="B3465" s="3" t="s">
        <v>30</v>
      </c>
      <c r="C3465" s="3" t="str">
        <f t="shared" si="54"/>
        <v>450013975210</v>
      </c>
      <c r="D3465" s="4">
        <v>46296</v>
      </c>
      <c r="E3465" s="3" t="s">
        <v>2196</v>
      </c>
      <c r="F3465" s="3" t="s">
        <v>2675</v>
      </c>
    </row>
    <row r="3466" spans="1:6" x14ac:dyDescent="0.3">
      <c r="A3466" s="3" t="s">
        <v>2875</v>
      </c>
      <c r="B3466" s="3" t="s">
        <v>30</v>
      </c>
      <c r="C3466" s="3" t="str">
        <f t="shared" si="54"/>
        <v>450013975910</v>
      </c>
      <c r="D3466" s="4">
        <v>46301</v>
      </c>
      <c r="E3466" s="3" t="s">
        <v>2241</v>
      </c>
      <c r="F3466" s="3" t="s">
        <v>3255</v>
      </c>
    </row>
    <row r="3467" spans="1:6" x14ac:dyDescent="0.3">
      <c r="A3467" s="3" t="s">
        <v>2875</v>
      </c>
      <c r="B3467" s="3" t="s">
        <v>22</v>
      </c>
      <c r="C3467" s="3" t="str">
        <f t="shared" si="54"/>
        <v>450013975920</v>
      </c>
      <c r="D3467" s="4">
        <v>46301</v>
      </c>
      <c r="E3467" s="3" t="s">
        <v>2241</v>
      </c>
      <c r="F3467" s="3" t="s">
        <v>3255</v>
      </c>
    </row>
    <row r="3468" spans="1:6" x14ac:dyDescent="0.3">
      <c r="A3468" s="3" t="s">
        <v>2875</v>
      </c>
      <c r="B3468" s="3" t="s">
        <v>35</v>
      </c>
      <c r="C3468" s="3" t="str">
        <f t="shared" si="54"/>
        <v>450013975930</v>
      </c>
      <c r="D3468" s="4">
        <v>46301</v>
      </c>
      <c r="E3468" s="3" t="s">
        <v>2241</v>
      </c>
      <c r="F3468" s="3" t="s">
        <v>3255</v>
      </c>
    </row>
    <row r="3469" spans="1:6" x14ac:dyDescent="0.3">
      <c r="A3469" s="3" t="s">
        <v>2875</v>
      </c>
      <c r="B3469" s="3" t="s">
        <v>23</v>
      </c>
      <c r="C3469" s="3" t="str">
        <f t="shared" si="54"/>
        <v>450013975940</v>
      </c>
      <c r="D3469" s="4">
        <v>46301</v>
      </c>
      <c r="E3469" s="3" t="s">
        <v>2241</v>
      </c>
      <c r="F3469" s="3" t="s">
        <v>3255</v>
      </c>
    </row>
    <row r="3470" spans="1:6" x14ac:dyDescent="0.3">
      <c r="A3470" s="3" t="s">
        <v>2875</v>
      </c>
      <c r="B3470" s="3" t="s">
        <v>144</v>
      </c>
      <c r="C3470" s="3" t="str">
        <f t="shared" si="54"/>
        <v>450013975950</v>
      </c>
      <c r="D3470" s="4">
        <v>46301</v>
      </c>
      <c r="E3470" s="3" t="s">
        <v>2241</v>
      </c>
      <c r="F3470" s="3" t="s">
        <v>3255</v>
      </c>
    </row>
    <row r="3471" spans="1:6" x14ac:dyDescent="0.3">
      <c r="A3471" s="3" t="s">
        <v>2875</v>
      </c>
      <c r="B3471" s="3" t="s">
        <v>141</v>
      </c>
      <c r="C3471" s="3" t="str">
        <f t="shared" si="54"/>
        <v>450013975960</v>
      </c>
      <c r="D3471" s="4">
        <v>46301</v>
      </c>
      <c r="E3471" s="3" t="s">
        <v>2241</v>
      </c>
      <c r="F3471" s="3" t="s">
        <v>3255</v>
      </c>
    </row>
    <row r="3472" spans="1:6" x14ac:dyDescent="0.3">
      <c r="A3472" s="3" t="s">
        <v>2875</v>
      </c>
      <c r="B3472" s="3" t="s">
        <v>134</v>
      </c>
      <c r="C3472" s="3" t="str">
        <f t="shared" si="54"/>
        <v>450013975970</v>
      </c>
      <c r="D3472" s="4">
        <v>46301</v>
      </c>
      <c r="E3472" s="3" t="s">
        <v>2241</v>
      </c>
      <c r="F3472" s="3" t="s">
        <v>3255</v>
      </c>
    </row>
    <row r="3473" spans="1:6" x14ac:dyDescent="0.3">
      <c r="A3473" s="3" t="s">
        <v>2875</v>
      </c>
      <c r="B3473" s="3" t="s">
        <v>52</v>
      </c>
      <c r="C3473" s="3" t="str">
        <f t="shared" si="54"/>
        <v>450013975980</v>
      </c>
      <c r="D3473" s="4">
        <v>46301</v>
      </c>
      <c r="E3473" s="3" t="s">
        <v>2241</v>
      </c>
      <c r="F3473" s="3" t="s">
        <v>3255</v>
      </c>
    </row>
    <row r="3474" spans="1:6" x14ac:dyDescent="0.3">
      <c r="A3474" s="3" t="s">
        <v>2875</v>
      </c>
      <c r="B3474" s="3" t="s">
        <v>138</v>
      </c>
      <c r="C3474" s="3" t="str">
        <f t="shared" si="54"/>
        <v>450013975990</v>
      </c>
      <c r="D3474" s="4">
        <v>46301</v>
      </c>
      <c r="E3474" s="3" t="s">
        <v>2241</v>
      </c>
      <c r="F3474" s="3" t="s">
        <v>3255</v>
      </c>
    </row>
    <row r="3475" spans="1:6" x14ac:dyDescent="0.3">
      <c r="A3475" s="3" t="s">
        <v>2875</v>
      </c>
      <c r="B3475" s="3" t="s">
        <v>45</v>
      </c>
      <c r="C3475" s="3" t="str">
        <f t="shared" si="54"/>
        <v>4500139759100</v>
      </c>
      <c r="D3475" s="4">
        <v>46301</v>
      </c>
      <c r="E3475" s="3" t="s">
        <v>2241</v>
      </c>
      <c r="F3475" s="3" t="s">
        <v>3255</v>
      </c>
    </row>
    <row r="3476" spans="1:6" x14ac:dyDescent="0.3">
      <c r="A3476" s="3" t="s">
        <v>2875</v>
      </c>
      <c r="B3476" s="3" t="s">
        <v>156</v>
      </c>
      <c r="C3476" s="3" t="str">
        <f t="shared" si="54"/>
        <v>4500139759110</v>
      </c>
      <c r="D3476" s="4">
        <v>46301</v>
      </c>
      <c r="E3476" s="3" t="s">
        <v>2241</v>
      </c>
      <c r="F3476" s="3" t="s">
        <v>3255</v>
      </c>
    </row>
    <row r="3477" spans="1:6" x14ac:dyDescent="0.3">
      <c r="A3477" s="3" t="s">
        <v>2875</v>
      </c>
      <c r="B3477" s="3" t="s">
        <v>132</v>
      </c>
      <c r="C3477" s="3" t="str">
        <f t="shared" si="54"/>
        <v>4500139759120</v>
      </c>
      <c r="D3477" s="4">
        <v>46301</v>
      </c>
      <c r="E3477" s="3" t="s">
        <v>2241</v>
      </c>
      <c r="F3477" s="3" t="s">
        <v>3255</v>
      </c>
    </row>
    <row r="3478" spans="1:6" x14ac:dyDescent="0.3">
      <c r="A3478" s="3" t="s">
        <v>2875</v>
      </c>
      <c r="B3478" s="3" t="s">
        <v>142</v>
      </c>
      <c r="C3478" s="3" t="str">
        <f t="shared" si="54"/>
        <v>4500139759130</v>
      </c>
      <c r="D3478" s="4">
        <v>46301</v>
      </c>
      <c r="E3478" s="3" t="s">
        <v>2241</v>
      </c>
      <c r="F3478" s="3" t="s">
        <v>3255</v>
      </c>
    </row>
    <row r="3479" spans="1:6" x14ac:dyDescent="0.3">
      <c r="A3479" s="3" t="s">
        <v>2875</v>
      </c>
      <c r="B3479" s="3" t="s">
        <v>131</v>
      </c>
      <c r="C3479" s="3" t="str">
        <f t="shared" si="54"/>
        <v>4500139759140</v>
      </c>
      <c r="D3479" s="4">
        <v>46301</v>
      </c>
      <c r="E3479" s="3" t="s">
        <v>2241</v>
      </c>
      <c r="F3479" s="3" t="s">
        <v>3255</v>
      </c>
    </row>
    <row r="3480" spans="1:6" x14ac:dyDescent="0.3">
      <c r="A3480" s="3" t="s">
        <v>2087</v>
      </c>
      <c r="B3480" s="3" t="s">
        <v>30</v>
      </c>
      <c r="C3480" s="3" t="str">
        <f t="shared" si="54"/>
        <v>450013976010</v>
      </c>
      <c r="D3480" s="4">
        <v>46298</v>
      </c>
      <c r="E3480" s="3" t="s">
        <v>2238</v>
      </c>
      <c r="F3480" s="3" t="s">
        <v>2715</v>
      </c>
    </row>
    <row r="3481" spans="1:6" x14ac:dyDescent="0.3">
      <c r="A3481" s="3" t="s">
        <v>2028</v>
      </c>
      <c r="B3481" s="3" t="s">
        <v>30</v>
      </c>
      <c r="C3481" s="3" t="str">
        <f t="shared" si="54"/>
        <v>450013976110</v>
      </c>
      <c r="D3481" s="4">
        <v>46295</v>
      </c>
      <c r="E3481" s="3" t="s">
        <v>2246</v>
      </c>
      <c r="F3481" s="3" t="s">
        <v>2716</v>
      </c>
    </row>
    <row r="3482" spans="1:6" x14ac:dyDescent="0.3">
      <c r="A3482" s="3" t="s">
        <v>2028</v>
      </c>
      <c r="B3482" s="3" t="s">
        <v>22</v>
      </c>
      <c r="C3482" s="3" t="str">
        <f t="shared" si="54"/>
        <v>450013976120</v>
      </c>
      <c r="D3482" s="4">
        <v>46295</v>
      </c>
      <c r="E3482" s="3" t="s">
        <v>2246</v>
      </c>
      <c r="F3482" s="3" t="s">
        <v>2716</v>
      </c>
    </row>
    <row r="3483" spans="1:6" x14ac:dyDescent="0.3">
      <c r="A3483" s="3" t="s">
        <v>2028</v>
      </c>
      <c r="B3483" s="3" t="s">
        <v>35</v>
      </c>
      <c r="C3483" s="3" t="str">
        <f t="shared" si="54"/>
        <v>450013976130</v>
      </c>
      <c r="D3483" s="4">
        <v>46295</v>
      </c>
      <c r="E3483" s="3" t="s">
        <v>2246</v>
      </c>
      <c r="F3483" s="3" t="s">
        <v>2716</v>
      </c>
    </row>
    <row r="3484" spans="1:6" x14ac:dyDescent="0.3">
      <c r="A3484" s="3" t="s">
        <v>2028</v>
      </c>
      <c r="B3484" s="3" t="s">
        <v>23</v>
      </c>
      <c r="C3484" s="3" t="str">
        <f t="shared" si="54"/>
        <v>450013976140</v>
      </c>
      <c r="D3484" s="4">
        <v>46295</v>
      </c>
      <c r="E3484" s="3" t="s">
        <v>2246</v>
      </c>
      <c r="F3484" s="3" t="s">
        <v>2716</v>
      </c>
    </row>
    <row r="3485" spans="1:6" x14ac:dyDescent="0.3">
      <c r="A3485" s="3" t="s">
        <v>2028</v>
      </c>
      <c r="B3485" s="3" t="s">
        <v>144</v>
      </c>
      <c r="C3485" s="3" t="str">
        <f t="shared" si="54"/>
        <v>450013976150</v>
      </c>
      <c r="D3485" s="4">
        <v>46295</v>
      </c>
      <c r="E3485" s="3" t="s">
        <v>2246</v>
      </c>
      <c r="F3485" s="3" t="s">
        <v>2716</v>
      </c>
    </row>
    <row r="3486" spans="1:6" x14ac:dyDescent="0.3">
      <c r="A3486" s="3" t="s">
        <v>3100</v>
      </c>
      <c r="B3486" s="3" t="s">
        <v>30</v>
      </c>
      <c r="C3486" s="3" t="str">
        <f t="shared" si="54"/>
        <v>450013976210</v>
      </c>
      <c r="D3486" s="4">
        <v>46307</v>
      </c>
      <c r="E3486" s="3" t="s">
        <v>2251</v>
      </c>
      <c r="F3486" s="3" t="s">
        <v>2478</v>
      </c>
    </row>
    <row r="3487" spans="1:6" x14ac:dyDescent="0.3">
      <c r="A3487" s="3" t="s">
        <v>2119</v>
      </c>
      <c r="B3487" s="3" t="s">
        <v>30</v>
      </c>
      <c r="C3487" s="3" t="str">
        <f t="shared" si="54"/>
        <v>450013976710</v>
      </c>
      <c r="D3487" s="4">
        <v>46314</v>
      </c>
      <c r="E3487" s="3" t="s">
        <v>2196</v>
      </c>
      <c r="F3487" s="3" t="s">
        <v>2491</v>
      </c>
    </row>
    <row r="3488" spans="1:6" x14ac:dyDescent="0.3">
      <c r="A3488" s="3" t="s">
        <v>2119</v>
      </c>
      <c r="B3488" s="3" t="s">
        <v>22</v>
      </c>
      <c r="C3488" s="3" t="str">
        <f t="shared" si="54"/>
        <v>450013976720</v>
      </c>
      <c r="D3488" s="4">
        <v>46314</v>
      </c>
      <c r="E3488" s="3" t="s">
        <v>2196</v>
      </c>
      <c r="F3488" s="3" t="s">
        <v>2491</v>
      </c>
    </row>
    <row r="3489" spans="1:6" x14ac:dyDescent="0.3">
      <c r="A3489" s="3" t="s">
        <v>2119</v>
      </c>
      <c r="B3489" s="3" t="s">
        <v>35</v>
      </c>
      <c r="C3489" s="3" t="str">
        <f t="shared" si="54"/>
        <v>450013976730</v>
      </c>
      <c r="D3489" s="4">
        <v>46314</v>
      </c>
      <c r="E3489" s="3" t="s">
        <v>2196</v>
      </c>
      <c r="F3489" s="3" t="s">
        <v>2491</v>
      </c>
    </row>
    <row r="3490" spans="1:6" x14ac:dyDescent="0.3">
      <c r="A3490" s="3" t="s">
        <v>2119</v>
      </c>
      <c r="B3490" s="3" t="s">
        <v>23</v>
      </c>
      <c r="C3490" s="3" t="str">
        <f t="shared" si="54"/>
        <v>450013976740</v>
      </c>
      <c r="D3490" s="4">
        <v>46314</v>
      </c>
      <c r="E3490" s="3" t="s">
        <v>2196</v>
      </c>
      <c r="F3490" s="3" t="s">
        <v>2491</v>
      </c>
    </row>
    <row r="3491" spans="1:6" x14ac:dyDescent="0.3">
      <c r="A3491" s="3" t="s">
        <v>2119</v>
      </c>
      <c r="B3491" s="3" t="s">
        <v>144</v>
      </c>
      <c r="C3491" s="3" t="str">
        <f t="shared" si="54"/>
        <v>450013976750</v>
      </c>
      <c r="D3491" s="4">
        <v>46314</v>
      </c>
      <c r="E3491" s="3" t="s">
        <v>2196</v>
      </c>
      <c r="F3491" s="3" t="s">
        <v>2491</v>
      </c>
    </row>
    <row r="3492" spans="1:6" x14ac:dyDescent="0.3">
      <c r="A3492" s="3" t="s">
        <v>2143</v>
      </c>
      <c r="B3492" s="3" t="s">
        <v>30</v>
      </c>
      <c r="C3492" s="3" t="str">
        <f t="shared" si="54"/>
        <v>450013977110</v>
      </c>
      <c r="D3492" s="4">
        <v>46297</v>
      </c>
      <c r="E3492" s="3" t="s">
        <v>2205</v>
      </c>
      <c r="F3492" s="3" t="s">
        <v>2717</v>
      </c>
    </row>
    <row r="3493" spans="1:6" x14ac:dyDescent="0.3">
      <c r="A3493" s="3" t="s">
        <v>2143</v>
      </c>
      <c r="B3493" s="3" t="s">
        <v>22</v>
      </c>
      <c r="C3493" s="3" t="str">
        <f t="shared" si="54"/>
        <v>450013977120</v>
      </c>
      <c r="D3493" s="4">
        <v>46297</v>
      </c>
      <c r="E3493" s="3" t="s">
        <v>2205</v>
      </c>
      <c r="F3493" s="3" t="s">
        <v>2717</v>
      </c>
    </row>
    <row r="3494" spans="1:6" x14ac:dyDescent="0.3">
      <c r="A3494" s="3" t="s">
        <v>2143</v>
      </c>
      <c r="B3494" s="3" t="s">
        <v>35</v>
      </c>
      <c r="C3494" s="3" t="str">
        <f t="shared" si="54"/>
        <v>450013977130</v>
      </c>
      <c r="D3494" s="4">
        <v>46297</v>
      </c>
      <c r="E3494" s="3" t="s">
        <v>2205</v>
      </c>
      <c r="F3494" s="3" t="s">
        <v>2717</v>
      </c>
    </row>
    <row r="3495" spans="1:6" x14ac:dyDescent="0.3">
      <c r="A3495" s="3" t="s">
        <v>2143</v>
      </c>
      <c r="B3495" s="3" t="s">
        <v>23</v>
      </c>
      <c r="C3495" s="3" t="str">
        <f t="shared" si="54"/>
        <v>450013977140</v>
      </c>
      <c r="D3495" s="4">
        <v>46297</v>
      </c>
      <c r="E3495" s="3" t="s">
        <v>2205</v>
      </c>
      <c r="F3495" s="3" t="s">
        <v>2717</v>
      </c>
    </row>
    <row r="3496" spans="1:6" x14ac:dyDescent="0.3">
      <c r="A3496" s="3" t="s">
        <v>2143</v>
      </c>
      <c r="B3496" s="3" t="s">
        <v>144</v>
      </c>
      <c r="C3496" s="3" t="str">
        <f t="shared" si="54"/>
        <v>450013977150</v>
      </c>
      <c r="D3496" s="4">
        <v>46297</v>
      </c>
      <c r="E3496" s="3" t="s">
        <v>2205</v>
      </c>
      <c r="F3496" s="3" t="s">
        <v>2717</v>
      </c>
    </row>
    <row r="3497" spans="1:6" x14ac:dyDescent="0.3">
      <c r="A3497" s="3" t="s">
        <v>2143</v>
      </c>
      <c r="B3497" s="3" t="s">
        <v>141</v>
      </c>
      <c r="C3497" s="3" t="str">
        <f t="shared" si="54"/>
        <v>450013977160</v>
      </c>
      <c r="D3497" s="4">
        <v>46297</v>
      </c>
      <c r="E3497" s="3" t="s">
        <v>2205</v>
      </c>
      <c r="F3497" s="3" t="s">
        <v>2717</v>
      </c>
    </row>
    <row r="3498" spans="1:6" x14ac:dyDescent="0.3">
      <c r="A3498" s="3" t="s">
        <v>421</v>
      </c>
      <c r="B3498" s="3" t="s">
        <v>30</v>
      </c>
      <c r="C3498" s="3" t="str">
        <f t="shared" si="54"/>
        <v>450013978310</v>
      </c>
      <c r="D3498" s="4">
        <v>46309</v>
      </c>
      <c r="E3498" s="3" t="s">
        <v>2205</v>
      </c>
      <c r="F3498" s="3" t="s">
        <v>2496</v>
      </c>
    </row>
    <row r="3499" spans="1:6" x14ac:dyDescent="0.3">
      <c r="A3499" s="3" t="s">
        <v>2138</v>
      </c>
      <c r="B3499" s="3" t="s">
        <v>30</v>
      </c>
      <c r="C3499" s="3" t="str">
        <f t="shared" si="54"/>
        <v>450013978710</v>
      </c>
      <c r="D3499" s="4">
        <v>46300</v>
      </c>
      <c r="E3499" s="3" t="s">
        <v>2238</v>
      </c>
      <c r="F3499" s="3" t="s">
        <v>2701</v>
      </c>
    </row>
    <row r="3500" spans="1:6" x14ac:dyDescent="0.3">
      <c r="A3500" s="3" t="s">
        <v>2138</v>
      </c>
      <c r="B3500" s="3" t="s">
        <v>22</v>
      </c>
      <c r="C3500" s="3" t="str">
        <f t="shared" si="54"/>
        <v>450013978720</v>
      </c>
      <c r="D3500" s="4">
        <v>46300</v>
      </c>
      <c r="E3500" s="3" t="s">
        <v>2238</v>
      </c>
      <c r="F3500" s="3" t="s">
        <v>2701</v>
      </c>
    </row>
    <row r="3501" spans="1:6" x14ac:dyDescent="0.3">
      <c r="A3501" s="3" t="s">
        <v>2138</v>
      </c>
      <c r="B3501" s="3" t="s">
        <v>35</v>
      </c>
      <c r="C3501" s="3" t="str">
        <f t="shared" si="54"/>
        <v>450013978730</v>
      </c>
      <c r="D3501" s="4">
        <v>46300</v>
      </c>
      <c r="E3501" s="3" t="s">
        <v>2238</v>
      </c>
      <c r="F3501" s="3" t="s">
        <v>2701</v>
      </c>
    </row>
    <row r="3502" spans="1:6" x14ac:dyDescent="0.3">
      <c r="A3502" s="3" t="s">
        <v>3106</v>
      </c>
      <c r="B3502" s="3" t="s">
        <v>30</v>
      </c>
      <c r="C3502" s="3" t="str">
        <f t="shared" si="54"/>
        <v>450013980410</v>
      </c>
      <c r="D3502" s="4">
        <v>46296</v>
      </c>
      <c r="E3502" s="3" t="s">
        <v>2195</v>
      </c>
      <c r="F3502" s="3" t="s">
        <v>3256</v>
      </c>
    </row>
    <row r="3503" spans="1:6" x14ac:dyDescent="0.3">
      <c r="A3503" s="3" t="s">
        <v>3106</v>
      </c>
      <c r="B3503" s="3" t="s">
        <v>22</v>
      </c>
      <c r="C3503" s="3" t="str">
        <f t="shared" si="54"/>
        <v>450013980420</v>
      </c>
      <c r="D3503" s="4">
        <v>46296</v>
      </c>
      <c r="E3503" s="3" t="s">
        <v>2195</v>
      </c>
      <c r="F3503" s="3" t="s">
        <v>3256</v>
      </c>
    </row>
    <row r="3504" spans="1:6" x14ac:dyDescent="0.3">
      <c r="A3504" s="3" t="s">
        <v>3163</v>
      </c>
      <c r="B3504" s="3" t="s">
        <v>138</v>
      </c>
      <c r="C3504" s="3" t="str">
        <f t="shared" si="54"/>
        <v>450013982090</v>
      </c>
      <c r="D3504" s="4">
        <v>46304</v>
      </c>
      <c r="E3504" s="3" t="s">
        <v>2200</v>
      </c>
      <c r="F3504" s="3" t="s">
        <v>2537</v>
      </c>
    </row>
    <row r="3505" spans="1:6" x14ac:dyDescent="0.3">
      <c r="A3505" s="3" t="s">
        <v>3163</v>
      </c>
      <c r="B3505" s="3" t="s">
        <v>131</v>
      </c>
      <c r="C3505" s="3" t="str">
        <f t="shared" si="54"/>
        <v>4500139820140</v>
      </c>
      <c r="D3505" s="4">
        <v>46304</v>
      </c>
      <c r="E3505" s="3" t="s">
        <v>2200</v>
      </c>
      <c r="F3505" s="3" t="s">
        <v>2537</v>
      </c>
    </row>
    <row r="3506" spans="1:6" x14ac:dyDescent="0.3">
      <c r="A3506" s="3" t="s">
        <v>3163</v>
      </c>
      <c r="B3506" s="3" t="s">
        <v>68</v>
      </c>
      <c r="C3506" s="3" t="str">
        <f t="shared" si="54"/>
        <v>4500139820150</v>
      </c>
      <c r="D3506" s="4">
        <v>46304</v>
      </c>
      <c r="E3506" s="3" t="s">
        <v>2200</v>
      </c>
      <c r="F3506" s="3" t="s">
        <v>2537</v>
      </c>
    </row>
    <row r="3507" spans="1:6" x14ac:dyDescent="0.3">
      <c r="A3507" s="3" t="s">
        <v>3163</v>
      </c>
      <c r="B3507" s="3" t="s">
        <v>129</v>
      </c>
      <c r="C3507" s="3" t="str">
        <f t="shared" si="54"/>
        <v>4500139820160</v>
      </c>
      <c r="D3507" s="4">
        <v>46304</v>
      </c>
      <c r="E3507" s="3" t="s">
        <v>2200</v>
      </c>
      <c r="F3507" s="3" t="s">
        <v>2537</v>
      </c>
    </row>
    <row r="3508" spans="1:6" x14ac:dyDescent="0.3">
      <c r="A3508" s="3" t="s">
        <v>2932</v>
      </c>
      <c r="B3508" s="3" t="s">
        <v>30</v>
      </c>
      <c r="C3508" s="3" t="str">
        <f t="shared" si="54"/>
        <v>450013982410</v>
      </c>
      <c r="D3508" s="4">
        <v>46301</v>
      </c>
      <c r="E3508" s="3" t="s">
        <v>2241</v>
      </c>
      <c r="F3508" s="3" t="s">
        <v>2708</v>
      </c>
    </row>
    <row r="3509" spans="1:6" x14ac:dyDescent="0.3">
      <c r="A3509" s="3" t="s">
        <v>2932</v>
      </c>
      <c r="B3509" s="3" t="s">
        <v>22</v>
      </c>
      <c r="C3509" s="3" t="str">
        <f t="shared" si="54"/>
        <v>450013982420</v>
      </c>
      <c r="D3509" s="4">
        <v>46301</v>
      </c>
      <c r="E3509" s="3" t="s">
        <v>2241</v>
      </c>
      <c r="F3509" s="3" t="s">
        <v>2708</v>
      </c>
    </row>
    <row r="3510" spans="1:6" x14ac:dyDescent="0.3">
      <c r="A3510" s="3" t="s">
        <v>2932</v>
      </c>
      <c r="B3510" s="3" t="s">
        <v>35</v>
      </c>
      <c r="C3510" s="3" t="str">
        <f t="shared" si="54"/>
        <v>450013982430</v>
      </c>
      <c r="D3510" s="4">
        <v>46301</v>
      </c>
      <c r="E3510" s="3" t="s">
        <v>2241</v>
      </c>
      <c r="F3510" s="3" t="s">
        <v>2708</v>
      </c>
    </row>
    <row r="3511" spans="1:6" x14ac:dyDescent="0.3">
      <c r="A3511" s="3" t="s">
        <v>2932</v>
      </c>
      <c r="B3511" s="3" t="s">
        <v>23</v>
      </c>
      <c r="C3511" s="3" t="str">
        <f t="shared" si="54"/>
        <v>450013982440</v>
      </c>
      <c r="D3511" s="4">
        <v>46301</v>
      </c>
      <c r="E3511" s="3" t="s">
        <v>2241</v>
      </c>
      <c r="F3511" s="3" t="s">
        <v>2708</v>
      </c>
    </row>
    <row r="3512" spans="1:6" x14ac:dyDescent="0.3">
      <c r="A3512" s="3" t="s">
        <v>2932</v>
      </c>
      <c r="B3512" s="3" t="s">
        <v>144</v>
      </c>
      <c r="C3512" s="3" t="str">
        <f t="shared" si="54"/>
        <v>450013982450</v>
      </c>
      <c r="D3512" s="4">
        <v>46301</v>
      </c>
      <c r="E3512" s="3" t="s">
        <v>2241</v>
      </c>
      <c r="F3512" s="3" t="s">
        <v>2708</v>
      </c>
    </row>
    <row r="3513" spans="1:6" x14ac:dyDescent="0.3">
      <c r="A3513" s="3" t="s">
        <v>2932</v>
      </c>
      <c r="B3513" s="3" t="s">
        <v>141</v>
      </c>
      <c r="C3513" s="3" t="str">
        <f t="shared" si="54"/>
        <v>450013982460</v>
      </c>
      <c r="D3513" s="4">
        <v>46301</v>
      </c>
      <c r="E3513" s="3" t="s">
        <v>2241</v>
      </c>
      <c r="F3513" s="3" t="s">
        <v>2708</v>
      </c>
    </row>
    <row r="3514" spans="1:6" x14ac:dyDescent="0.3">
      <c r="A3514" s="3" t="s">
        <v>2932</v>
      </c>
      <c r="B3514" s="3" t="s">
        <v>134</v>
      </c>
      <c r="C3514" s="3" t="str">
        <f t="shared" si="54"/>
        <v>450013982470</v>
      </c>
      <c r="D3514" s="4">
        <v>46301</v>
      </c>
      <c r="E3514" s="3" t="s">
        <v>2241</v>
      </c>
      <c r="F3514" s="3" t="s">
        <v>2708</v>
      </c>
    </row>
    <row r="3515" spans="1:6" x14ac:dyDescent="0.3">
      <c r="A3515" s="3" t="s">
        <v>2932</v>
      </c>
      <c r="B3515" s="3" t="s">
        <v>52</v>
      </c>
      <c r="C3515" s="3" t="str">
        <f t="shared" si="54"/>
        <v>450013982480</v>
      </c>
      <c r="D3515" s="4">
        <v>46301</v>
      </c>
      <c r="E3515" s="3" t="s">
        <v>2241</v>
      </c>
      <c r="F3515" s="3" t="s">
        <v>2708</v>
      </c>
    </row>
    <row r="3516" spans="1:6" x14ac:dyDescent="0.3">
      <c r="A3516" s="3" t="s">
        <v>2932</v>
      </c>
      <c r="B3516" s="3" t="s">
        <v>138</v>
      </c>
      <c r="C3516" s="3" t="str">
        <f t="shared" si="54"/>
        <v>450013982490</v>
      </c>
      <c r="D3516" s="4">
        <v>46301</v>
      </c>
      <c r="E3516" s="3" t="s">
        <v>2241</v>
      </c>
      <c r="F3516" s="3" t="s">
        <v>2708</v>
      </c>
    </row>
    <row r="3517" spans="1:6" x14ac:dyDescent="0.3">
      <c r="A3517" s="3" t="s">
        <v>2932</v>
      </c>
      <c r="B3517" s="3" t="s">
        <v>45</v>
      </c>
      <c r="C3517" s="3" t="str">
        <f t="shared" si="54"/>
        <v>4500139824100</v>
      </c>
      <c r="D3517" s="4">
        <v>46301</v>
      </c>
      <c r="E3517" s="3" t="s">
        <v>2241</v>
      </c>
      <c r="F3517" s="3" t="s">
        <v>2708</v>
      </c>
    </row>
    <row r="3518" spans="1:6" x14ac:dyDescent="0.3">
      <c r="A3518" s="3" t="s">
        <v>2932</v>
      </c>
      <c r="B3518" s="3" t="s">
        <v>156</v>
      </c>
      <c r="C3518" s="3" t="str">
        <f t="shared" si="54"/>
        <v>4500139824110</v>
      </c>
      <c r="D3518" s="4">
        <v>46301</v>
      </c>
      <c r="E3518" s="3" t="s">
        <v>2241</v>
      </c>
      <c r="F3518" s="3" t="s">
        <v>2708</v>
      </c>
    </row>
    <row r="3519" spans="1:6" x14ac:dyDescent="0.3">
      <c r="A3519" s="3" t="s">
        <v>2932</v>
      </c>
      <c r="B3519" s="3" t="s">
        <v>132</v>
      </c>
      <c r="C3519" s="3" t="str">
        <f t="shared" si="54"/>
        <v>4500139824120</v>
      </c>
      <c r="D3519" s="4">
        <v>46301</v>
      </c>
      <c r="E3519" s="3" t="s">
        <v>2241</v>
      </c>
      <c r="F3519" s="3" t="s">
        <v>2708</v>
      </c>
    </row>
    <row r="3520" spans="1:6" x14ac:dyDescent="0.3">
      <c r="A3520" s="3" t="s">
        <v>2932</v>
      </c>
      <c r="B3520" s="3" t="s">
        <v>142</v>
      </c>
      <c r="C3520" s="3" t="str">
        <f t="shared" si="54"/>
        <v>4500139824130</v>
      </c>
      <c r="D3520" s="4">
        <v>46301</v>
      </c>
      <c r="E3520" s="3" t="s">
        <v>2241</v>
      </c>
      <c r="F3520" s="3" t="s">
        <v>2708</v>
      </c>
    </row>
    <row r="3521" spans="1:6" x14ac:dyDescent="0.3">
      <c r="A3521" s="3" t="s">
        <v>2932</v>
      </c>
      <c r="B3521" s="3" t="s">
        <v>131</v>
      </c>
      <c r="C3521" s="3" t="str">
        <f t="shared" si="54"/>
        <v>4500139824140</v>
      </c>
      <c r="D3521" s="4">
        <v>46301</v>
      </c>
      <c r="E3521" s="3" t="s">
        <v>2241</v>
      </c>
      <c r="F3521" s="3" t="s">
        <v>2708</v>
      </c>
    </row>
    <row r="3522" spans="1:6" x14ac:dyDescent="0.3">
      <c r="A3522" s="3" t="s">
        <v>2932</v>
      </c>
      <c r="B3522" s="3" t="s">
        <v>68</v>
      </c>
      <c r="C3522" s="3" t="str">
        <f t="shared" si="54"/>
        <v>4500139824150</v>
      </c>
      <c r="D3522" s="4">
        <v>46301</v>
      </c>
      <c r="E3522" s="3" t="s">
        <v>2241</v>
      </c>
      <c r="F3522" s="3" t="s">
        <v>2708</v>
      </c>
    </row>
    <row r="3523" spans="1:6" x14ac:dyDescent="0.3">
      <c r="A3523" s="3" t="s">
        <v>2932</v>
      </c>
      <c r="B3523" s="3" t="s">
        <v>129</v>
      </c>
      <c r="C3523" s="3" t="str">
        <f t="shared" ref="C3523:C3586" si="55">_xlfn.CONCAT(A3523:B3523)</f>
        <v>4500139824160</v>
      </c>
      <c r="D3523" s="4">
        <v>46301</v>
      </c>
      <c r="E3523" s="3" t="s">
        <v>2241</v>
      </c>
      <c r="F3523" s="3" t="s">
        <v>2708</v>
      </c>
    </row>
    <row r="3524" spans="1:6" x14ac:dyDescent="0.3">
      <c r="A3524" s="3" t="s">
        <v>2932</v>
      </c>
      <c r="B3524" s="3" t="s">
        <v>53</v>
      </c>
      <c r="C3524" s="3" t="str">
        <f t="shared" si="55"/>
        <v>4500139824170</v>
      </c>
      <c r="D3524" s="4">
        <v>46301</v>
      </c>
      <c r="E3524" s="3" t="s">
        <v>2241</v>
      </c>
      <c r="F3524" s="3" t="s">
        <v>2708</v>
      </c>
    </row>
    <row r="3525" spans="1:6" x14ac:dyDescent="0.3">
      <c r="A3525" s="3" t="s">
        <v>2932</v>
      </c>
      <c r="B3525" s="3" t="s">
        <v>130</v>
      </c>
      <c r="C3525" s="3" t="str">
        <f t="shared" si="55"/>
        <v>4500139824180</v>
      </c>
      <c r="D3525" s="4">
        <v>46301</v>
      </c>
      <c r="E3525" s="3" t="s">
        <v>2241</v>
      </c>
      <c r="F3525" s="3" t="s">
        <v>2708</v>
      </c>
    </row>
    <row r="3526" spans="1:6" x14ac:dyDescent="0.3">
      <c r="A3526" s="3" t="s">
        <v>2932</v>
      </c>
      <c r="B3526" s="3" t="s">
        <v>127</v>
      </c>
      <c r="C3526" s="3" t="str">
        <f t="shared" si="55"/>
        <v>4500139824190</v>
      </c>
      <c r="D3526" s="4">
        <v>46301</v>
      </c>
      <c r="E3526" s="3" t="s">
        <v>2241</v>
      </c>
      <c r="F3526" s="3" t="s">
        <v>2708</v>
      </c>
    </row>
    <row r="3527" spans="1:6" x14ac:dyDescent="0.3">
      <c r="A3527" s="3" t="s">
        <v>2932</v>
      </c>
      <c r="B3527" s="3" t="s">
        <v>161</v>
      </c>
      <c r="C3527" s="3" t="str">
        <f t="shared" si="55"/>
        <v>4500139824200</v>
      </c>
      <c r="D3527" s="4">
        <v>46301</v>
      </c>
      <c r="E3527" s="3" t="s">
        <v>2241</v>
      </c>
      <c r="F3527" s="3" t="s">
        <v>2708</v>
      </c>
    </row>
    <row r="3528" spans="1:6" x14ac:dyDescent="0.3">
      <c r="A3528" s="3" t="s">
        <v>2306</v>
      </c>
      <c r="B3528" s="3" t="s">
        <v>35</v>
      </c>
      <c r="C3528" s="3" t="str">
        <f t="shared" si="55"/>
        <v>450013982830</v>
      </c>
      <c r="D3528" s="4">
        <v>46295</v>
      </c>
      <c r="E3528" s="3" t="s">
        <v>2238</v>
      </c>
      <c r="F3528" s="3" t="s">
        <v>2447</v>
      </c>
    </row>
    <row r="3529" spans="1:6" x14ac:dyDescent="0.3">
      <c r="A3529" s="3" t="s">
        <v>2306</v>
      </c>
      <c r="B3529" s="3" t="s">
        <v>23</v>
      </c>
      <c r="C3529" s="3" t="str">
        <f t="shared" si="55"/>
        <v>450013982840</v>
      </c>
      <c r="D3529" s="4">
        <v>46295</v>
      </c>
      <c r="E3529" s="3" t="s">
        <v>2238</v>
      </c>
      <c r="F3529" s="3" t="s">
        <v>2447</v>
      </c>
    </row>
    <row r="3530" spans="1:6" x14ac:dyDescent="0.3">
      <c r="A3530" s="3" t="s">
        <v>2306</v>
      </c>
      <c r="B3530" s="3" t="s">
        <v>144</v>
      </c>
      <c r="C3530" s="3" t="str">
        <f t="shared" si="55"/>
        <v>450013982850</v>
      </c>
      <c r="D3530" s="4">
        <v>46295</v>
      </c>
      <c r="E3530" s="3" t="s">
        <v>2238</v>
      </c>
      <c r="F3530" s="3" t="s">
        <v>2447</v>
      </c>
    </row>
    <row r="3531" spans="1:6" x14ac:dyDescent="0.3">
      <c r="A3531" s="3" t="s">
        <v>2306</v>
      </c>
      <c r="B3531" s="3" t="s">
        <v>141</v>
      </c>
      <c r="C3531" s="3" t="str">
        <f t="shared" si="55"/>
        <v>450013982860</v>
      </c>
      <c r="D3531" s="4">
        <v>46295</v>
      </c>
      <c r="E3531" s="3" t="s">
        <v>2238</v>
      </c>
      <c r="F3531" s="3" t="s">
        <v>2447</v>
      </c>
    </row>
    <row r="3532" spans="1:6" x14ac:dyDescent="0.3">
      <c r="A3532" s="3" t="s">
        <v>2306</v>
      </c>
      <c r="B3532" s="3" t="s">
        <v>134</v>
      </c>
      <c r="C3532" s="3" t="str">
        <f t="shared" si="55"/>
        <v>450013982870</v>
      </c>
      <c r="D3532" s="4">
        <v>46295</v>
      </c>
      <c r="E3532" s="3" t="s">
        <v>2238</v>
      </c>
      <c r="F3532" s="3" t="s">
        <v>2447</v>
      </c>
    </row>
    <row r="3533" spans="1:6" x14ac:dyDescent="0.3">
      <c r="A3533" s="3" t="s">
        <v>2306</v>
      </c>
      <c r="B3533" s="3" t="s">
        <v>52</v>
      </c>
      <c r="C3533" s="3" t="str">
        <f t="shared" si="55"/>
        <v>450013982880</v>
      </c>
      <c r="D3533" s="4">
        <v>46295</v>
      </c>
      <c r="E3533" s="3" t="s">
        <v>2238</v>
      </c>
      <c r="F3533" s="3" t="s">
        <v>2447</v>
      </c>
    </row>
    <row r="3534" spans="1:6" x14ac:dyDescent="0.3">
      <c r="A3534" s="3" t="s">
        <v>2306</v>
      </c>
      <c r="B3534" s="3" t="s">
        <v>45</v>
      </c>
      <c r="C3534" s="3" t="str">
        <f t="shared" si="55"/>
        <v>4500139828100</v>
      </c>
      <c r="D3534" s="4">
        <v>46295</v>
      </c>
      <c r="E3534" s="3" t="s">
        <v>2238</v>
      </c>
      <c r="F3534" s="3" t="s">
        <v>2447</v>
      </c>
    </row>
    <row r="3535" spans="1:6" x14ac:dyDescent="0.3">
      <c r="A3535" s="3" t="s">
        <v>2968</v>
      </c>
      <c r="B3535" s="3" t="s">
        <v>30</v>
      </c>
      <c r="C3535" s="3" t="str">
        <f t="shared" si="55"/>
        <v>450013983310</v>
      </c>
      <c r="D3535" s="4">
        <v>46305</v>
      </c>
      <c r="E3535" s="3" t="s">
        <v>2195</v>
      </c>
      <c r="F3535" s="3" t="s">
        <v>3257</v>
      </c>
    </row>
    <row r="3536" spans="1:6" x14ac:dyDescent="0.3">
      <c r="A3536" s="3" t="s">
        <v>2384</v>
      </c>
      <c r="B3536" s="3" t="s">
        <v>30</v>
      </c>
      <c r="C3536" s="3" t="str">
        <f t="shared" si="55"/>
        <v>450013983710</v>
      </c>
      <c r="D3536" s="4">
        <v>46302</v>
      </c>
      <c r="E3536" s="3" t="s">
        <v>2199</v>
      </c>
      <c r="F3536" s="3" t="s">
        <v>2718</v>
      </c>
    </row>
    <row r="3537" spans="1:6" x14ac:dyDescent="0.3">
      <c r="A3537" s="3" t="s">
        <v>2384</v>
      </c>
      <c r="B3537" s="3" t="s">
        <v>22</v>
      </c>
      <c r="C3537" s="3" t="str">
        <f t="shared" si="55"/>
        <v>450013983720</v>
      </c>
      <c r="D3537" s="4">
        <v>46302</v>
      </c>
      <c r="E3537" s="3" t="s">
        <v>2199</v>
      </c>
      <c r="F3537" s="3" t="s">
        <v>2718</v>
      </c>
    </row>
    <row r="3538" spans="1:6" x14ac:dyDescent="0.3">
      <c r="A3538" s="3" t="s">
        <v>2384</v>
      </c>
      <c r="B3538" s="3" t="s">
        <v>35</v>
      </c>
      <c r="C3538" s="3" t="str">
        <f t="shared" si="55"/>
        <v>450013983730</v>
      </c>
      <c r="D3538" s="4">
        <v>46302</v>
      </c>
      <c r="E3538" s="3" t="s">
        <v>2199</v>
      </c>
      <c r="F3538" s="3" t="s">
        <v>2718</v>
      </c>
    </row>
    <row r="3539" spans="1:6" x14ac:dyDescent="0.3">
      <c r="A3539" s="3" t="s">
        <v>2384</v>
      </c>
      <c r="B3539" s="3" t="s">
        <v>23</v>
      </c>
      <c r="C3539" s="3" t="str">
        <f t="shared" si="55"/>
        <v>450013983740</v>
      </c>
      <c r="D3539" s="4">
        <v>46302</v>
      </c>
      <c r="E3539" s="3" t="s">
        <v>2199</v>
      </c>
      <c r="F3539" s="3" t="s">
        <v>2718</v>
      </c>
    </row>
    <row r="3540" spans="1:6" x14ac:dyDescent="0.3">
      <c r="A3540" s="3" t="s">
        <v>2384</v>
      </c>
      <c r="B3540" s="3" t="s">
        <v>144</v>
      </c>
      <c r="C3540" s="3" t="str">
        <f t="shared" si="55"/>
        <v>450013983750</v>
      </c>
      <c r="D3540" s="4">
        <v>46302</v>
      </c>
      <c r="E3540" s="3" t="s">
        <v>2199</v>
      </c>
      <c r="F3540" s="3" t="s">
        <v>2718</v>
      </c>
    </row>
    <row r="3541" spans="1:6" x14ac:dyDescent="0.3">
      <c r="A3541" s="3" t="s">
        <v>2310</v>
      </c>
      <c r="B3541" s="3" t="s">
        <v>30</v>
      </c>
      <c r="C3541" s="3" t="str">
        <f t="shared" si="55"/>
        <v>450013984010</v>
      </c>
      <c r="D3541" s="4">
        <v>46297</v>
      </c>
      <c r="E3541" s="3" t="s">
        <v>2238</v>
      </c>
      <c r="F3541" s="3" t="s">
        <v>2421</v>
      </c>
    </row>
    <row r="3542" spans="1:6" x14ac:dyDescent="0.3">
      <c r="A3542" s="3" t="s">
        <v>2179</v>
      </c>
      <c r="B3542" s="3" t="s">
        <v>30</v>
      </c>
      <c r="C3542" s="3" t="str">
        <f t="shared" si="55"/>
        <v>450013984110</v>
      </c>
      <c r="D3542" s="4">
        <v>46311</v>
      </c>
      <c r="E3542" s="3" t="s">
        <v>2200</v>
      </c>
      <c r="F3542" s="3" t="s">
        <v>2627</v>
      </c>
    </row>
    <row r="3543" spans="1:6" x14ac:dyDescent="0.3">
      <c r="A3543" s="3" t="s">
        <v>3165</v>
      </c>
      <c r="B3543" s="3" t="s">
        <v>30</v>
      </c>
      <c r="C3543" s="3" t="str">
        <f t="shared" si="55"/>
        <v>450013984310</v>
      </c>
      <c r="D3543" s="4">
        <v>46303</v>
      </c>
      <c r="E3543" s="3" t="s">
        <v>2200</v>
      </c>
      <c r="F3543" s="3" t="s">
        <v>2537</v>
      </c>
    </row>
    <row r="3544" spans="1:6" x14ac:dyDescent="0.3">
      <c r="A3544" s="3" t="s">
        <v>2100</v>
      </c>
      <c r="B3544" s="3" t="s">
        <v>30</v>
      </c>
      <c r="C3544" s="3" t="str">
        <f t="shared" si="55"/>
        <v>450013984410</v>
      </c>
      <c r="D3544" s="4">
        <v>46304</v>
      </c>
      <c r="E3544" s="3" t="s">
        <v>2199</v>
      </c>
      <c r="F3544" s="3" t="s">
        <v>2640</v>
      </c>
    </row>
    <row r="3545" spans="1:6" x14ac:dyDescent="0.3">
      <c r="A3545" s="3" t="s">
        <v>2100</v>
      </c>
      <c r="B3545" s="3" t="s">
        <v>22</v>
      </c>
      <c r="C3545" s="3" t="str">
        <f t="shared" si="55"/>
        <v>450013984420</v>
      </c>
      <c r="D3545" s="4">
        <v>46304</v>
      </c>
      <c r="E3545" s="3" t="s">
        <v>2199</v>
      </c>
      <c r="F3545" s="3" t="s">
        <v>2640</v>
      </c>
    </row>
    <row r="3546" spans="1:6" x14ac:dyDescent="0.3">
      <c r="A3546" s="3" t="s">
        <v>2100</v>
      </c>
      <c r="B3546" s="3" t="s">
        <v>35</v>
      </c>
      <c r="C3546" s="3" t="str">
        <f t="shared" si="55"/>
        <v>450013984430</v>
      </c>
      <c r="D3546" s="4">
        <v>46304</v>
      </c>
      <c r="E3546" s="3" t="s">
        <v>2199</v>
      </c>
      <c r="F3546" s="3" t="s">
        <v>2640</v>
      </c>
    </row>
    <row r="3547" spans="1:6" x14ac:dyDescent="0.3">
      <c r="A3547" s="3" t="s">
        <v>2100</v>
      </c>
      <c r="B3547" s="3" t="s">
        <v>23</v>
      </c>
      <c r="C3547" s="3" t="str">
        <f t="shared" si="55"/>
        <v>450013984440</v>
      </c>
      <c r="D3547" s="4">
        <v>46304</v>
      </c>
      <c r="E3547" s="3" t="s">
        <v>2199</v>
      </c>
      <c r="F3547" s="3" t="s">
        <v>2640</v>
      </c>
    </row>
    <row r="3548" spans="1:6" x14ac:dyDescent="0.3">
      <c r="A3548" s="3" t="s">
        <v>2035</v>
      </c>
      <c r="B3548" s="3" t="s">
        <v>30</v>
      </c>
      <c r="C3548" s="3" t="str">
        <f t="shared" si="55"/>
        <v>450013984910</v>
      </c>
      <c r="D3548" s="4">
        <v>46310</v>
      </c>
      <c r="E3548" s="3" t="s">
        <v>2194</v>
      </c>
      <c r="F3548" s="3" t="s">
        <v>2719</v>
      </c>
    </row>
    <row r="3549" spans="1:6" x14ac:dyDescent="0.3">
      <c r="A3549" s="3" t="s">
        <v>2154</v>
      </c>
      <c r="B3549" s="3" t="s">
        <v>30</v>
      </c>
      <c r="C3549" s="3" t="str">
        <f t="shared" si="55"/>
        <v>450013985410</v>
      </c>
      <c r="D3549" s="4">
        <v>46303</v>
      </c>
      <c r="E3549" s="3" t="s">
        <v>2241</v>
      </c>
      <c r="F3549" s="3" t="s">
        <v>2453</v>
      </c>
    </row>
    <row r="3550" spans="1:6" x14ac:dyDescent="0.3">
      <c r="A3550" s="3" t="s">
        <v>2154</v>
      </c>
      <c r="B3550" s="3" t="s">
        <v>22</v>
      </c>
      <c r="C3550" s="3" t="str">
        <f t="shared" si="55"/>
        <v>450013985420</v>
      </c>
      <c r="D3550" s="4">
        <v>46303</v>
      </c>
      <c r="E3550" s="3" t="s">
        <v>2241</v>
      </c>
      <c r="F3550" s="3" t="s">
        <v>2453</v>
      </c>
    </row>
    <row r="3551" spans="1:6" x14ac:dyDescent="0.3">
      <c r="A3551" s="3" t="s">
        <v>2154</v>
      </c>
      <c r="B3551" s="3" t="s">
        <v>35</v>
      </c>
      <c r="C3551" s="3" t="str">
        <f t="shared" si="55"/>
        <v>450013985430</v>
      </c>
      <c r="D3551" s="4">
        <v>46303</v>
      </c>
      <c r="E3551" s="3" t="s">
        <v>2241</v>
      </c>
      <c r="F3551" s="3" t="s">
        <v>2453</v>
      </c>
    </row>
    <row r="3552" spans="1:6" x14ac:dyDescent="0.3">
      <c r="A3552" s="3" t="s">
        <v>2154</v>
      </c>
      <c r="B3552" s="3" t="s">
        <v>52</v>
      </c>
      <c r="C3552" s="3" t="str">
        <f t="shared" si="55"/>
        <v>450013985480</v>
      </c>
      <c r="D3552" s="4">
        <v>46303</v>
      </c>
      <c r="E3552" s="3" t="s">
        <v>2241</v>
      </c>
      <c r="F3552" s="3" t="s">
        <v>2453</v>
      </c>
    </row>
    <row r="3553" spans="1:6" x14ac:dyDescent="0.3">
      <c r="A3553" s="3" t="s">
        <v>2154</v>
      </c>
      <c r="B3553" s="3" t="s">
        <v>138</v>
      </c>
      <c r="C3553" s="3" t="str">
        <f t="shared" si="55"/>
        <v>450013985490</v>
      </c>
      <c r="D3553" s="4">
        <v>46303</v>
      </c>
      <c r="E3553" s="3" t="s">
        <v>2241</v>
      </c>
      <c r="F3553" s="3" t="s">
        <v>2453</v>
      </c>
    </row>
    <row r="3554" spans="1:6" x14ac:dyDescent="0.3">
      <c r="A3554" s="3" t="s">
        <v>2154</v>
      </c>
      <c r="B3554" s="3" t="s">
        <v>45</v>
      </c>
      <c r="C3554" s="3" t="str">
        <f t="shared" si="55"/>
        <v>4500139854100</v>
      </c>
      <c r="D3554" s="4">
        <v>46303</v>
      </c>
      <c r="E3554" s="3" t="s">
        <v>2241</v>
      </c>
      <c r="F3554" s="3" t="s">
        <v>2453</v>
      </c>
    </row>
    <row r="3555" spans="1:6" x14ac:dyDescent="0.3">
      <c r="A3555" s="3" t="s">
        <v>447</v>
      </c>
      <c r="B3555" s="3" t="s">
        <v>30</v>
      </c>
      <c r="C3555" s="3" t="str">
        <f t="shared" si="55"/>
        <v>450013985610</v>
      </c>
      <c r="D3555" s="4">
        <v>46298</v>
      </c>
      <c r="E3555" s="3" t="s">
        <v>2246</v>
      </c>
      <c r="F3555" s="3" t="s">
        <v>2441</v>
      </c>
    </row>
    <row r="3556" spans="1:6" x14ac:dyDescent="0.3">
      <c r="A3556" s="3" t="s">
        <v>2296</v>
      </c>
      <c r="B3556" s="3" t="s">
        <v>30</v>
      </c>
      <c r="C3556" s="3" t="str">
        <f t="shared" si="55"/>
        <v>450013986410</v>
      </c>
      <c r="D3556" s="4">
        <v>46296</v>
      </c>
      <c r="E3556" s="3" t="s">
        <v>2238</v>
      </c>
      <c r="F3556" s="3" t="s">
        <v>2720</v>
      </c>
    </row>
    <row r="3557" spans="1:6" x14ac:dyDescent="0.3">
      <c r="A3557" s="3" t="s">
        <v>2351</v>
      </c>
      <c r="B3557" s="3" t="s">
        <v>30</v>
      </c>
      <c r="C3557" s="3" t="str">
        <f t="shared" si="55"/>
        <v>450013986610</v>
      </c>
      <c r="D3557" s="4">
        <v>46311</v>
      </c>
      <c r="E3557" s="3" t="s">
        <v>2236</v>
      </c>
      <c r="F3557" s="3" t="s">
        <v>2490</v>
      </c>
    </row>
    <row r="3558" spans="1:6" x14ac:dyDescent="0.3">
      <c r="A3558" s="3" t="s">
        <v>2294</v>
      </c>
      <c r="B3558" s="3" t="s">
        <v>30</v>
      </c>
      <c r="C3558" s="3" t="str">
        <f t="shared" si="55"/>
        <v>450013987710</v>
      </c>
      <c r="D3558" s="4">
        <v>46310</v>
      </c>
      <c r="E3558" s="3" t="s">
        <v>2205</v>
      </c>
      <c r="F3558" s="3" t="s">
        <v>2450</v>
      </c>
    </row>
    <row r="3559" spans="1:6" x14ac:dyDescent="0.3">
      <c r="A3559" s="3" t="s">
        <v>2294</v>
      </c>
      <c r="B3559" s="3" t="s">
        <v>22</v>
      </c>
      <c r="C3559" s="3" t="str">
        <f t="shared" si="55"/>
        <v>450013987720</v>
      </c>
      <c r="D3559" s="4">
        <v>46310</v>
      </c>
      <c r="E3559" s="3" t="s">
        <v>2205</v>
      </c>
      <c r="F3559" s="3" t="s">
        <v>2450</v>
      </c>
    </row>
    <row r="3560" spans="1:6" x14ac:dyDescent="0.3">
      <c r="A3560" s="3" t="s">
        <v>2294</v>
      </c>
      <c r="B3560" s="3" t="s">
        <v>23</v>
      </c>
      <c r="C3560" s="3" t="str">
        <f t="shared" si="55"/>
        <v>450013987740</v>
      </c>
      <c r="D3560" s="4">
        <v>46310</v>
      </c>
      <c r="E3560" s="3" t="s">
        <v>2205</v>
      </c>
      <c r="F3560" s="3" t="s">
        <v>2450</v>
      </c>
    </row>
    <row r="3561" spans="1:6" x14ac:dyDescent="0.3">
      <c r="A3561" s="3" t="s">
        <v>2925</v>
      </c>
      <c r="B3561" s="3" t="s">
        <v>30</v>
      </c>
      <c r="C3561" s="3" t="str">
        <f t="shared" si="55"/>
        <v>450013988310</v>
      </c>
      <c r="D3561" s="4">
        <v>46301</v>
      </c>
      <c r="E3561" s="3" t="s">
        <v>2196</v>
      </c>
      <c r="F3561" s="3" t="s">
        <v>2454</v>
      </c>
    </row>
    <row r="3562" spans="1:6" x14ac:dyDescent="0.3">
      <c r="A3562" s="3" t="s">
        <v>2925</v>
      </c>
      <c r="B3562" s="3" t="s">
        <v>22</v>
      </c>
      <c r="C3562" s="3" t="str">
        <f t="shared" si="55"/>
        <v>450013988320</v>
      </c>
      <c r="D3562" s="4">
        <v>46301</v>
      </c>
      <c r="E3562" s="3" t="s">
        <v>2196</v>
      </c>
      <c r="F3562" s="3" t="s">
        <v>2454</v>
      </c>
    </row>
    <row r="3563" spans="1:6" x14ac:dyDescent="0.3">
      <c r="A3563" s="3" t="s">
        <v>3189</v>
      </c>
      <c r="B3563" s="3" t="s">
        <v>30</v>
      </c>
      <c r="C3563" s="3" t="str">
        <f t="shared" si="55"/>
        <v>450013988510</v>
      </c>
      <c r="D3563" s="4">
        <v>46304</v>
      </c>
      <c r="E3563" s="3" t="s">
        <v>2196</v>
      </c>
      <c r="F3563" s="3" t="s">
        <v>2439</v>
      </c>
    </row>
    <row r="3564" spans="1:6" x14ac:dyDescent="0.3">
      <c r="A3564" s="3" t="s">
        <v>3189</v>
      </c>
      <c r="B3564" s="3" t="s">
        <v>22</v>
      </c>
      <c r="C3564" s="3" t="str">
        <f t="shared" si="55"/>
        <v>450013988520</v>
      </c>
      <c r="D3564" s="4">
        <v>46304</v>
      </c>
      <c r="E3564" s="3" t="s">
        <v>2196</v>
      </c>
      <c r="F3564" s="3" t="s">
        <v>2439</v>
      </c>
    </row>
    <row r="3565" spans="1:6" x14ac:dyDescent="0.3">
      <c r="A3565" s="3" t="s">
        <v>3189</v>
      </c>
      <c r="B3565" s="3" t="s">
        <v>35</v>
      </c>
      <c r="C3565" s="3" t="str">
        <f t="shared" si="55"/>
        <v>450013988530</v>
      </c>
      <c r="D3565" s="4">
        <v>46304</v>
      </c>
      <c r="E3565" s="3" t="s">
        <v>2196</v>
      </c>
      <c r="F3565" s="3" t="s">
        <v>2439</v>
      </c>
    </row>
    <row r="3566" spans="1:6" x14ac:dyDescent="0.3">
      <c r="A3566" s="3" t="s">
        <v>2986</v>
      </c>
      <c r="B3566" s="3" t="s">
        <v>30</v>
      </c>
      <c r="C3566" s="3" t="str">
        <f t="shared" si="55"/>
        <v>450013988710</v>
      </c>
      <c r="D3566" s="4">
        <v>46309</v>
      </c>
      <c r="E3566" s="3" t="s">
        <v>2254</v>
      </c>
      <c r="F3566" s="3" t="s">
        <v>2491</v>
      </c>
    </row>
    <row r="3567" spans="1:6" x14ac:dyDescent="0.3">
      <c r="A3567" s="3" t="s">
        <v>2986</v>
      </c>
      <c r="B3567" s="3" t="s">
        <v>22</v>
      </c>
      <c r="C3567" s="3" t="str">
        <f t="shared" si="55"/>
        <v>450013988720</v>
      </c>
      <c r="D3567" s="4">
        <v>46318</v>
      </c>
      <c r="E3567" s="3" t="s">
        <v>2254</v>
      </c>
      <c r="F3567" s="3" t="s">
        <v>2491</v>
      </c>
    </row>
    <row r="3568" spans="1:6" x14ac:dyDescent="0.3">
      <c r="A3568" s="3" t="s">
        <v>2090</v>
      </c>
      <c r="B3568" s="3" t="s">
        <v>30</v>
      </c>
      <c r="C3568" s="3" t="str">
        <f t="shared" si="55"/>
        <v>450013989110</v>
      </c>
      <c r="D3568" s="4">
        <v>46300</v>
      </c>
      <c r="E3568" s="3" t="s">
        <v>2238</v>
      </c>
      <c r="F3568" s="3" t="s">
        <v>2721</v>
      </c>
    </row>
    <row r="3569" spans="1:6" x14ac:dyDescent="0.3">
      <c r="A3569" s="3" t="s">
        <v>2779</v>
      </c>
      <c r="B3569" s="3" t="s">
        <v>30</v>
      </c>
      <c r="C3569" s="3" t="str">
        <f t="shared" si="55"/>
        <v>450013989510</v>
      </c>
      <c r="D3569" s="4">
        <v>46307</v>
      </c>
      <c r="E3569" s="3" t="s">
        <v>2205</v>
      </c>
      <c r="F3569" s="3" t="s">
        <v>2548</v>
      </c>
    </row>
    <row r="3570" spans="1:6" x14ac:dyDescent="0.3">
      <c r="A3570" s="3" t="s">
        <v>3152</v>
      </c>
      <c r="B3570" s="3" t="s">
        <v>30</v>
      </c>
      <c r="C3570" s="3" t="str">
        <f t="shared" si="55"/>
        <v>450013990710</v>
      </c>
      <c r="D3570" s="4">
        <v>46308</v>
      </c>
      <c r="E3570" s="3" t="s">
        <v>2244</v>
      </c>
      <c r="F3570" s="3" t="s">
        <v>3258</v>
      </c>
    </row>
    <row r="3571" spans="1:6" x14ac:dyDescent="0.3">
      <c r="A3571" s="3" t="s">
        <v>3152</v>
      </c>
      <c r="B3571" s="3" t="s">
        <v>22</v>
      </c>
      <c r="C3571" s="3" t="str">
        <f t="shared" si="55"/>
        <v>450013990720</v>
      </c>
      <c r="D3571" s="4">
        <v>46308</v>
      </c>
      <c r="E3571" s="3" t="s">
        <v>2244</v>
      </c>
      <c r="F3571" s="3" t="s">
        <v>3258</v>
      </c>
    </row>
    <row r="3572" spans="1:6" x14ac:dyDescent="0.3">
      <c r="A3572" s="3" t="s">
        <v>2751</v>
      </c>
      <c r="B3572" s="3" t="s">
        <v>30</v>
      </c>
      <c r="C3572" s="3" t="str">
        <f t="shared" si="55"/>
        <v>450013990910</v>
      </c>
      <c r="D3572" s="4">
        <v>46297</v>
      </c>
      <c r="E3572" s="3" t="s">
        <v>2238</v>
      </c>
      <c r="F3572" s="3" t="s">
        <v>2654</v>
      </c>
    </row>
    <row r="3573" spans="1:6" x14ac:dyDescent="0.3">
      <c r="A3573" s="3" t="s">
        <v>2751</v>
      </c>
      <c r="B3573" s="3" t="s">
        <v>22</v>
      </c>
      <c r="C3573" s="3" t="str">
        <f t="shared" si="55"/>
        <v>450013990920</v>
      </c>
      <c r="D3573" s="4">
        <v>46297</v>
      </c>
      <c r="E3573" s="3" t="s">
        <v>2238</v>
      </c>
      <c r="F3573" s="3" t="s">
        <v>2654</v>
      </c>
    </row>
    <row r="3574" spans="1:6" x14ac:dyDescent="0.3">
      <c r="A3574" s="3" t="s">
        <v>3038</v>
      </c>
      <c r="B3574" s="3" t="s">
        <v>22</v>
      </c>
      <c r="C3574" s="3" t="str">
        <f t="shared" si="55"/>
        <v>450013991220</v>
      </c>
      <c r="D3574" s="4">
        <v>46304</v>
      </c>
      <c r="E3574" s="3" t="s">
        <v>2241</v>
      </c>
      <c r="F3574" s="3" t="s">
        <v>3217</v>
      </c>
    </row>
    <row r="3575" spans="1:6" x14ac:dyDescent="0.3">
      <c r="A3575" s="3" t="s">
        <v>2300</v>
      </c>
      <c r="B3575" s="3" t="s">
        <v>30</v>
      </c>
      <c r="C3575" s="3" t="str">
        <f t="shared" si="55"/>
        <v>450013991310</v>
      </c>
      <c r="D3575" s="4">
        <v>46297</v>
      </c>
      <c r="E3575" s="3" t="s">
        <v>2238</v>
      </c>
      <c r="F3575" s="3" t="s">
        <v>2447</v>
      </c>
    </row>
    <row r="3576" spans="1:6" x14ac:dyDescent="0.3">
      <c r="A3576" s="3" t="s">
        <v>2115</v>
      </c>
      <c r="B3576" s="3" t="s">
        <v>30</v>
      </c>
      <c r="C3576" s="3" t="str">
        <f t="shared" si="55"/>
        <v>450013991510</v>
      </c>
      <c r="D3576" s="4">
        <v>46301</v>
      </c>
      <c r="E3576" s="3" t="s">
        <v>2241</v>
      </c>
      <c r="F3576" s="3" t="s">
        <v>2722</v>
      </c>
    </row>
    <row r="3577" spans="1:6" x14ac:dyDescent="0.3">
      <c r="A3577" s="3" t="s">
        <v>2313</v>
      </c>
      <c r="B3577" s="3" t="s">
        <v>30</v>
      </c>
      <c r="C3577" s="3" t="str">
        <f t="shared" si="55"/>
        <v>450013991710</v>
      </c>
      <c r="D3577" s="4">
        <v>46296</v>
      </c>
      <c r="E3577" s="3" t="s">
        <v>2238</v>
      </c>
      <c r="F3577" s="3" t="s">
        <v>2723</v>
      </c>
    </row>
    <row r="3578" spans="1:6" x14ac:dyDescent="0.3">
      <c r="A3578" s="3" t="s">
        <v>3055</v>
      </c>
      <c r="B3578" s="3" t="s">
        <v>30</v>
      </c>
      <c r="C3578" s="3" t="str">
        <f t="shared" si="55"/>
        <v>450013992210</v>
      </c>
      <c r="D3578" s="4">
        <v>46298</v>
      </c>
      <c r="E3578" s="3" t="s">
        <v>2238</v>
      </c>
      <c r="F3578" s="3" t="s">
        <v>2697</v>
      </c>
    </row>
    <row r="3579" spans="1:6" x14ac:dyDescent="0.3">
      <c r="A3579" s="3" t="s">
        <v>2396</v>
      </c>
      <c r="B3579" s="3" t="s">
        <v>30</v>
      </c>
      <c r="C3579" s="3" t="str">
        <f t="shared" si="55"/>
        <v>450013992310</v>
      </c>
      <c r="D3579" s="4">
        <v>46314</v>
      </c>
      <c r="E3579" s="3" t="s">
        <v>2204</v>
      </c>
      <c r="F3579" s="3" t="s">
        <v>2454</v>
      </c>
    </row>
    <row r="3580" spans="1:6" x14ac:dyDescent="0.3">
      <c r="A3580" s="3" t="s">
        <v>2304</v>
      </c>
      <c r="B3580" s="3" t="s">
        <v>30</v>
      </c>
      <c r="C3580" s="3" t="str">
        <f t="shared" si="55"/>
        <v>450013992910</v>
      </c>
      <c r="D3580" s="4">
        <v>46304</v>
      </c>
      <c r="E3580" s="3" t="s">
        <v>2196</v>
      </c>
      <c r="F3580" s="3" t="s">
        <v>2613</v>
      </c>
    </row>
    <row r="3581" spans="1:6" x14ac:dyDescent="0.3">
      <c r="A3581" s="3" t="s">
        <v>2308</v>
      </c>
      <c r="B3581" s="3" t="s">
        <v>30</v>
      </c>
      <c r="C3581" s="3" t="str">
        <f t="shared" si="55"/>
        <v>450013993010</v>
      </c>
      <c r="D3581" s="4">
        <v>46310</v>
      </c>
      <c r="E3581" s="3" t="s">
        <v>2251</v>
      </c>
      <c r="F3581" s="3" t="s">
        <v>2689</v>
      </c>
    </row>
    <row r="3582" spans="1:6" x14ac:dyDescent="0.3">
      <c r="A3582" s="3" t="s">
        <v>2308</v>
      </c>
      <c r="B3582" s="3" t="s">
        <v>22</v>
      </c>
      <c r="C3582" s="3" t="str">
        <f t="shared" si="55"/>
        <v>450013993020</v>
      </c>
      <c r="D3582" s="4">
        <v>46310</v>
      </c>
      <c r="E3582" s="3" t="s">
        <v>2251</v>
      </c>
      <c r="F3582" s="3" t="s">
        <v>2689</v>
      </c>
    </row>
    <row r="3583" spans="1:6" x14ac:dyDescent="0.3">
      <c r="A3583" s="3" t="s">
        <v>2308</v>
      </c>
      <c r="B3583" s="3" t="s">
        <v>35</v>
      </c>
      <c r="C3583" s="3" t="str">
        <f t="shared" si="55"/>
        <v>450013993030</v>
      </c>
      <c r="D3583" s="4">
        <v>46310</v>
      </c>
      <c r="E3583" s="3" t="s">
        <v>2251</v>
      </c>
      <c r="F3583" s="3" t="s">
        <v>2689</v>
      </c>
    </row>
    <row r="3584" spans="1:6" x14ac:dyDescent="0.3">
      <c r="A3584" s="3" t="s">
        <v>2948</v>
      </c>
      <c r="B3584" s="3" t="s">
        <v>30</v>
      </c>
      <c r="C3584" s="3" t="str">
        <f t="shared" si="55"/>
        <v>450013993210</v>
      </c>
      <c r="D3584" s="4">
        <v>46310</v>
      </c>
      <c r="E3584" s="3" t="s">
        <v>2251</v>
      </c>
      <c r="F3584" s="3" t="s">
        <v>3249</v>
      </c>
    </row>
    <row r="3585" spans="1:6" x14ac:dyDescent="0.3">
      <c r="A3585" s="3" t="s">
        <v>3047</v>
      </c>
      <c r="B3585" s="3" t="s">
        <v>30</v>
      </c>
      <c r="C3585" s="3" t="str">
        <f t="shared" si="55"/>
        <v>450013994210</v>
      </c>
      <c r="D3585" s="4">
        <v>46301</v>
      </c>
      <c r="E3585" s="3" t="s">
        <v>2241</v>
      </c>
      <c r="F3585" s="3" t="s">
        <v>2456</v>
      </c>
    </row>
    <row r="3586" spans="1:6" x14ac:dyDescent="0.3">
      <c r="A3586" s="3" t="s">
        <v>2159</v>
      </c>
      <c r="B3586" s="3" t="s">
        <v>30</v>
      </c>
      <c r="C3586" s="3" t="str">
        <f t="shared" si="55"/>
        <v>450013994610</v>
      </c>
      <c r="D3586" s="4">
        <v>46311</v>
      </c>
      <c r="E3586" s="3" t="s">
        <v>2210</v>
      </c>
      <c r="F3586" s="3" t="s">
        <v>2693</v>
      </c>
    </row>
    <row r="3587" spans="1:6" x14ac:dyDescent="0.3">
      <c r="A3587" s="3" t="s">
        <v>3060</v>
      </c>
      <c r="B3587" s="3" t="s">
        <v>30</v>
      </c>
      <c r="C3587" s="3" t="str">
        <f t="shared" ref="C3587:C3650" si="56">_xlfn.CONCAT(A3587:B3587)</f>
        <v>450013994710</v>
      </c>
      <c r="D3587" s="4">
        <v>46300</v>
      </c>
      <c r="E3587" s="3" t="s">
        <v>2238</v>
      </c>
      <c r="F3587" s="3" t="s">
        <v>3259</v>
      </c>
    </row>
    <row r="3588" spans="1:6" x14ac:dyDescent="0.3">
      <c r="A3588" s="3" t="s">
        <v>2353</v>
      </c>
      <c r="B3588" s="3" t="s">
        <v>30</v>
      </c>
      <c r="C3588" s="3" t="str">
        <f t="shared" si="56"/>
        <v>450013994810</v>
      </c>
      <c r="D3588" s="4">
        <v>46310</v>
      </c>
      <c r="E3588" s="3" t="s">
        <v>2204</v>
      </c>
      <c r="F3588" s="3" t="s">
        <v>2490</v>
      </c>
    </row>
    <row r="3589" spans="1:6" x14ac:dyDescent="0.3">
      <c r="A3589" s="3" t="s">
        <v>2353</v>
      </c>
      <c r="B3589" s="3" t="s">
        <v>22</v>
      </c>
      <c r="C3589" s="3" t="str">
        <f t="shared" si="56"/>
        <v>450013994820</v>
      </c>
      <c r="D3589" s="4">
        <v>46310</v>
      </c>
      <c r="E3589" s="3" t="s">
        <v>2204</v>
      </c>
      <c r="F3589" s="3" t="s">
        <v>2490</v>
      </c>
    </row>
    <row r="3590" spans="1:6" x14ac:dyDescent="0.3">
      <c r="A3590" s="3" t="s">
        <v>2302</v>
      </c>
      <c r="B3590" s="3" t="s">
        <v>30</v>
      </c>
      <c r="C3590" s="3" t="str">
        <f t="shared" si="56"/>
        <v>450013994910</v>
      </c>
      <c r="D3590" s="4">
        <v>46297</v>
      </c>
      <c r="E3590" s="3" t="s">
        <v>2196</v>
      </c>
      <c r="F3590" s="3" t="s">
        <v>2689</v>
      </c>
    </row>
    <row r="3591" spans="1:6" x14ac:dyDescent="0.3">
      <c r="A3591" s="3" t="s">
        <v>3079</v>
      </c>
      <c r="B3591" s="3" t="s">
        <v>30</v>
      </c>
      <c r="C3591" s="3" t="str">
        <f t="shared" si="56"/>
        <v>450013995910</v>
      </c>
      <c r="D3591" s="4">
        <v>46310</v>
      </c>
      <c r="E3591" s="3" t="s">
        <v>2210</v>
      </c>
      <c r="F3591" s="3" t="s">
        <v>2446</v>
      </c>
    </row>
    <row r="3592" spans="1:6" x14ac:dyDescent="0.3">
      <c r="A3592" s="3" t="s">
        <v>3079</v>
      </c>
      <c r="B3592" s="3" t="s">
        <v>22</v>
      </c>
      <c r="C3592" s="3" t="str">
        <f t="shared" si="56"/>
        <v>450013995920</v>
      </c>
      <c r="D3592" s="4">
        <v>46310</v>
      </c>
      <c r="E3592" s="3" t="s">
        <v>2210</v>
      </c>
      <c r="F3592" s="3" t="s">
        <v>2446</v>
      </c>
    </row>
    <row r="3593" spans="1:6" x14ac:dyDescent="0.3">
      <c r="A3593" s="3" t="s">
        <v>3079</v>
      </c>
      <c r="B3593" s="3" t="s">
        <v>35</v>
      </c>
      <c r="C3593" s="3" t="str">
        <f t="shared" si="56"/>
        <v>450013995930</v>
      </c>
      <c r="D3593" s="4">
        <v>46310</v>
      </c>
      <c r="E3593" s="3" t="s">
        <v>2210</v>
      </c>
      <c r="F3593" s="3" t="s">
        <v>2446</v>
      </c>
    </row>
    <row r="3594" spans="1:6" x14ac:dyDescent="0.3">
      <c r="A3594" s="3" t="s">
        <v>3079</v>
      </c>
      <c r="B3594" s="3" t="s">
        <v>23</v>
      </c>
      <c r="C3594" s="3" t="str">
        <f t="shared" si="56"/>
        <v>450013995940</v>
      </c>
      <c r="D3594" s="4">
        <v>46310</v>
      </c>
      <c r="E3594" s="3" t="s">
        <v>2210</v>
      </c>
      <c r="F3594" s="3" t="s">
        <v>2446</v>
      </c>
    </row>
    <row r="3595" spans="1:6" x14ac:dyDescent="0.3">
      <c r="A3595" s="3" t="s">
        <v>3079</v>
      </c>
      <c r="B3595" s="3" t="s">
        <v>144</v>
      </c>
      <c r="C3595" s="3" t="str">
        <f t="shared" si="56"/>
        <v>450013995950</v>
      </c>
      <c r="D3595" s="4">
        <v>46310</v>
      </c>
      <c r="E3595" s="3" t="s">
        <v>2210</v>
      </c>
      <c r="F3595" s="3" t="s">
        <v>2446</v>
      </c>
    </row>
    <row r="3596" spans="1:6" x14ac:dyDescent="0.3">
      <c r="A3596" s="3" t="s">
        <v>3095</v>
      </c>
      <c r="B3596" s="3" t="s">
        <v>30</v>
      </c>
      <c r="C3596" s="3" t="str">
        <f t="shared" si="56"/>
        <v>450013996010</v>
      </c>
      <c r="D3596" s="4">
        <v>46308</v>
      </c>
      <c r="E3596" s="3" t="s">
        <v>2199</v>
      </c>
      <c r="F3596" s="3" t="s">
        <v>2640</v>
      </c>
    </row>
    <row r="3597" spans="1:6" x14ac:dyDescent="0.3">
      <c r="A3597" s="3" t="s">
        <v>3095</v>
      </c>
      <c r="B3597" s="3" t="s">
        <v>22</v>
      </c>
      <c r="C3597" s="3" t="str">
        <f t="shared" si="56"/>
        <v>450013996020</v>
      </c>
      <c r="D3597" s="4">
        <v>46308</v>
      </c>
      <c r="E3597" s="3" t="s">
        <v>2199</v>
      </c>
      <c r="F3597" s="3" t="s">
        <v>2640</v>
      </c>
    </row>
    <row r="3598" spans="1:6" x14ac:dyDescent="0.3">
      <c r="A3598" s="3" t="s">
        <v>3098</v>
      </c>
      <c r="B3598" s="3" t="s">
        <v>30</v>
      </c>
      <c r="C3598" s="3" t="str">
        <f t="shared" si="56"/>
        <v>450013996910</v>
      </c>
      <c r="D3598" s="4">
        <v>46315</v>
      </c>
      <c r="E3598" s="3" t="s">
        <v>2205</v>
      </c>
      <c r="F3598" s="3" t="s">
        <v>2430</v>
      </c>
    </row>
    <row r="3599" spans="1:6" x14ac:dyDescent="0.3">
      <c r="A3599" s="3" t="s">
        <v>3098</v>
      </c>
      <c r="B3599" s="3" t="s">
        <v>22</v>
      </c>
      <c r="C3599" s="3" t="str">
        <f t="shared" si="56"/>
        <v>450013996920</v>
      </c>
      <c r="D3599" s="4">
        <v>46315</v>
      </c>
      <c r="E3599" s="3" t="s">
        <v>2205</v>
      </c>
      <c r="F3599" s="3" t="s">
        <v>2430</v>
      </c>
    </row>
    <row r="3600" spans="1:6" x14ac:dyDescent="0.3">
      <c r="A3600" s="3" t="s">
        <v>2298</v>
      </c>
      <c r="B3600" s="3" t="s">
        <v>30</v>
      </c>
      <c r="C3600" s="3" t="str">
        <f t="shared" si="56"/>
        <v>450013997710</v>
      </c>
      <c r="D3600" s="4">
        <v>46300</v>
      </c>
      <c r="E3600" s="3" t="s">
        <v>2239</v>
      </c>
      <c r="F3600" s="3" t="s">
        <v>2460</v>
      </c>
    </row>
    <row r="3601" spans="1:6" x14ac:dyDescent="0.3">
      <c r="A3601" s="3" t="s">
        <v>3053</v>
      </c>
      <c r="B3601" s="3" t="s">
        <v>30</v>
      </c>
      <c r="C3601" s="3" t="str">
        <f t="shared" si="56"/>
        <v>450013998010</v>
      </c>
      <c r="D3601" s="4">
        <v>46316</v>
      </c>
      <c r="E3601" s="3" t="s">
        <v>2235</v>
      </c>
      <c r="F3601" s="3" t="s">
        <v>3260</v>
      </c>
    </row>
    <row r="3602" spans="1:6" x14ac:dyDescent="0.3">
      <c r="A3602" s="3" t="s">
        <v>3053</v>
      </c>
      <c r="B3602" s="3" t="s">
        <v>22</v>
      </c>
      <c r="C3602" s="3" t="str">
        <f t="shared" si="56"/>
        <v>450013998020</v>
      </c>
      <c r="D3602" s="4">
        <v>46316</v>
      </c>
      <c r="E3602" s="3" t="s">
        <v>2235</v>
      </c>
      <c r="F3602" s="3" t="s">
        <v>3260</v>
      </c>
    </row>
    <row r="3603" spans="1:6" x14ac:dyDescent="0.3">
      <c r="A3603" s="3" t="s">
        <v>3053</v>
      </c>
      <c r="B3603" s="3" t="s">
        <v>35</v>
      </c>
      <c r="C3603" s="3" t="str">
        <f t="shared" si="56"/>
        <v>450013998030</v>
      </c>
      <c r="D3603" s="4">
        <v>46316</v>
      </c>
      <c r="E3603" s="3" t="s">
        <v>2235</v>
      </c>
      <c r="F3603" s="3" t="s">
        <v>3260</v>
      </c>
    </row>
    <row r="3604" spans="1:6" x14ac:dyDescent="0.3">
      <c r="A3604" s="3" t="s">
        <v>3053</v>
      </c>
      <c r="B3604" s="3" t="s">
        <v>23</v>
      </c>
      <c r="C3604" s="3" t="str">
        <f t="shared" si="56"/>
        <v>450013998040</v>
      </c>
      <c r="D3604" s="4">
        <v>46316</v>
      </c>
      <c r="E3604" s="3" t="s">
        <v>2235</v>
      </c>
      <c r="F3604" s="3" t="s">
        <v>3260</v>
      </c>
    </row>
    <row r="3605" spans="1:6" x14ac:dyDescent="0.3">
      <c r="A3605" s="3" t="s">
        <v>3053</v>
      </c>
      <c r="B3605" s="3" t="s">
        <v>144</v>
      </c>
      <c r="C3605" s="3" t="str">
        <f t="shared" si="56"/>
        <v>450013998050</v>
      </c>
      <c r="D3605" s="4">
        <v>46316</v>
      </c>
      <c r="E3605" s="3" t="s">
        <v>2235</v>
      </c>
      <c r="F3605" s="3" t="s">
        <v>3260</v>
      </c>
    </row>
    <row r="3606" spans="1:6" x14ac:dyDescent="0.3">
      <c r="A3606" s="3" t="s">
        <v>3053</v>
      </c>
      <c r="B3606" s="3" t="s">
        <v>141</v>
      </c>
      <c r="C3606" s="3" t="str">
        <f t="shared" si="56"/>
        <v>450013998060</v>
      </c>
      <c r="D3606" s="4">
        <v>46316</v>
      </c>
      <c r="E3606" s="3" t="s">
        <v>2235</v>
      </c>
      <c r="F3606" s="3" t="s">
        <v>3260</v>
      </c>
    </row>
    <row r="3607" spans="1:6" x14ac:dyDescent="0.3">
      <c r="A3607" s="3" t="s">
        <v>3053</v>
      </c>
      <c r="B3607" s="3" t="s">
        <v>134</v>
      </c>
      <c r="C3607" s="3" t="str">
        <f t="shared" si="56"/>
        <v>450013998070</v>
      </c>
      <c r="D3607" s="4">
        <v>46316</v>
      </c>
      <c r="E3607" s="3" t="s">
        <v>2235</v>
      </c>
      <c r="F3607" s="3" t="s">
        <v>3260</v>
      </c>
    </row>
    <row r="3608" spans="1:6" x14ac:dyDescent="0.3">
      <c r="A3608" s="3" t="s">
        <v>3053</v>
      </c>
      <c r="B3608" s="3" t="s">
        <v>52</v>
      </c>
      <c r="C3608" s="3" t="str">
        <f t="shared" si="56"/>
        <v>450013998080</v>
      </c>
      <c r="D3608" s="4">
        <v>46316</v>
      </c>
      <c r="E3608" s="3" t="s">
        <v>2235</v>
      </c>
      <c r="F3608" s="3" t="s">
        <v>3260</v>
      </c>
    </row>
    <row r="3609" spans="1:6" x14ac:dyDescent="0.3">
      <c r="A3609" s="3" t="s">
        <v>3053</v>
      </c>
      <c r="B3609" s="3" t="s">
        <v>138</v>
      </c>
      <c r="C3609" s="3" t="str">
        <f t="shared" si="56"/>
        <v>450013998090</v>
      </c>
      <c r="D3609" s="4">
        <v>46316</v>
      </c>
      <c r="E3609" s="3" t="s">
        <v>2235</v>
      </c>
      <c r="F3609" s="3" t="s">
        <v>3260</v>
      </c>
    </row>
    <row r="3610" spans="1:6" x14ac:dyDescent="0.3">
      <c r="A3610" s="3" t="s">
        <v>3053</v>
      </c>
      <c r="B3610" s="3" t="s">
        <v>45</v>
      </c>
      <c r="C3610" s="3" t="str">
        <f t="shared" si="56"/>
        <v>4500139980100</v>
      </c>
      <c r="D3610" s="4">
        <v>46316</v>
      </c>
      <c r="E3610" s="3" t="s">
        <v>2235</v>
      </c>
      <c r="F3610" s="3" t="s">
        <v>3260</v>
      </c>
    </row>
    <row r="3611" spans="1:6" x14ac:dyDescent="0.3">
      <c r="A3611" s="3" t="s">
        <v>3081</v>
      </c>
      <c r="B3611" s="3" t="s">
        <v>30</v>
      </c>
      <c r="C3611" s="3" t="str">
        <f t="shared" si="56"/>
        <v>450013998310</v>
      </c>
      <c r="D3611" s="4">
        <v>46297</v>
      </c>
      <c r="E3611" s="3" t="s">
        <v>2238</v>
      </c>
      <c r="F3611" s="3" t="s">
        <v>2584</v>
      </c>
    </row>
    <row r="3612" spans="1:6" x14ac:dyDescent="0.3">
      <c r="A3612" s="3" t="s">
        <v>3081</v>
      </c>
      <c r="B3612" s="3" t="s">
        <v>22</v>
      </c>
      <c r="C3612" s="3" t="str">
        <f t="shared" si="56"/>
        <v>450013998320</v>
      </c>
      <c r="D3612" s="4">
        <v>46297</v>
      </c>
      <c r="E3612" s="3" t="s">
        <v>2238</v>
      </c>
      <c r="F3612" s="3" t="s">
        <v>2584</v>
      </c>
    </row>
    <row r="3613" spans="1:6" x14ac:dyDescent="0.3">
      <c r="A3613" s="3" t="s">
        <v>3119</v>
      </c>
      <c r="B3613" s="3" t="s">
        <v>30</v>
      </c>
      <c r="C3613" s="3" t="str">
        <f t="shared" si="56"/>
        <v>450013999810</v>
      </c>
      <c r="D3613" s="4">
        <v>46308</v>
      </c>
      <c r="E3613" s="3" t="s">
        <v>2254</v>
      </c>
      <c r="F3613" s="3" t="s">
        <v>2478</v>
      </c>
    </row>
    <row r="3614" spans="1:6" x14ac:dyDescent="0.3">
      <c r="A3614" s="3" t="s">
        <v>3119</v>
      </c>
      <c r="B3614" s="3" t="s">
        <v>35</v>
      </c>
      <c r="C3614" s="3" t="str">
        <f t="shared" si="56"/>
        <v>450013999830</v>
      </c>
      <c r="D3614" s="4">
        <v>46308</v>
      </c>
      <c r="E3614" s="3" t="s">
        <v>2254</v>
      </c>
      <c r="F3614" s="3" t="s">
        <v>2478</v>
      </c>
    </row>
    <row r="3615" spans="1:6" x14ac:dyDescent="0.3">
      <c r="A3615" s="3" t="s">
        <v>2910</v>
      </c>
      <c r="B3615" s="3" t="s">
        <v>30</v>
      </c>
      <c r="C3615" s="3" t="str">
        <f t="shared" si="56"/>
        <v>450014001710</v>
      </c>
      <c r="D3615" s="4">
        <v>46302</v>
      </c>
      <c r="E3615" s="3" t="s">
        <v>2239</v>
      </c>
      <c r="F3615" s="3" t="s">
        <v>3261</v>
      </c>
    </row>
    <row r="3616" spans="1:6" x14ac:dyDescent="0.3">
      <c r="A3616" s="3" t="s">
        <v>3008</v>
      </c>
      <c r="B3616" s="3" t="s">
        <v>30</v>
      </c>
      <c r="C3616" s="3" t="str">
        <f t="shared" si="56"/>
        <v>450014003210</v>
      </c>
      <c r="D3616" s="4">
        <v>46316</v>
      </c>
      <c r="E3616" s="3" t="s">
        <v>2241</v>
      </c>
      <c r="F3616" s="3" t="s">
        <v>2532</v>
      </c>
    </row>
    <row r="3617" spans="1:6" x14ac:dyDescent="0.3">
      <c r="A3617" s="3" t="s">
        <v>2363</v>
      </c>
      <c r="B3617" s="3" t="s">
        <v>30</v>
      </c>
      <c r="C3617" s="3" t="str">
        <f t="shared" si="56"/>
        <v>450014003310</v>
      </c>
      <c r="D3617" s="4">
        <v>46432</v>
      </c>
      <c r="E3617" s="3" t="s">
        <v>2195</v>
      </c>
      <c r="F3617" s="3" t="s">
        <v>2464</v>
      </c>
    </row>
    <row r="3618" spans="1:6" x14ac:dyDescent="0.3">
      <c r="A3618" s="3" t="s">
        <v>2363</v>
      </c>
      <c r="B3618" s="3" t="s">
        <v>22</v>
      </c>
      <c r="C3618" s="3" t="str">
        <f t="shared" si="56"/>
        <v>450014003320</v>
      </c>
      <c r="D3618" s="4">
        <v>46432</v>
      </c>
      <c r="E3618" s="3" t="s">
        <v>2195</v>
      </c>
      <c r="F3618" s="3" t="s">
        <v>2464</v>
      </c>
    </row>
    <row r="3619" spans="1:6" x14ac:dyDescent="0.3">
      <c r="A3619" s="3" t="s">
        <v>2363</v>
      </c>
      <c r="B3619" s="3" t="s">
        <v>35</v>
      </c>
      <c r="C3619" s="3" t="str">
        <f t="shared" si="56"/>
        <v>450014003330</v>
      </c>
      <c r="D3619" s="4">
        <v>46432</v>
      </c>
      <c r="E3619" s="3" t="s">
        <v>2195</v>
      </c>
      <c r="F3619" s="3" t="s">
        <v>2464</v>
      </c>
    </row>
    <row r="3620" spans="1:6" x14ac:dyDescent="0.3">
      <c r="A3620" s="3" t="s">
        <v>2363</v>
      </c>
      <c r="B3620" s="3" t="s">
        <v>23</v>
      </c>
      <c r="C3620" s="3" t="str">
        <f t="shared" si="56"/>
        <v>450014003340</v>
      </c>
      <c r="D3620" s="4">
        <v>46432</v>
      </c>
      <c r="E3620" s="3" t="s">
        <v>2195</v>
      </c>
      <c r="F3620" s="3" t="s">
        <v>2464</v>
      </c>
    </row>
    <row r="3621" spans="1:6" x14ac:dyDescent="0.3">
      <c r="A3621" s="3" t="s">
        <v>2757</v>
      </c>
      <c r="B3621" s="3" t="s">
        <v>141</v>
      </c>
      <c r="C3621" s="3" t="str">
        <f t="shared" si="56"/>
        <v>450014004460</v>
      </c>
      <c r="D3621" s="4">
        <v>46309</v>
      </c>
      <c r="E3621" s="3" t="s">
        <v>2199</v>
      </c>
      <c r="F3621" s="3" t="s">
        <v>2451</v>
      </c>
    </row>
    <row r="3622" spans="1:6" x14ac:dyDescent="0.3">
      <c r="A3622" s="3" t="s">
        <v>2757</v>
      </c>
      <c r="B3622" s="3" t="s">
        <v>134</v>
      </c>
      <c r="C3622" s="3" t="str">
        <f t="shared" si="56"/>
        <v>450014004470</v>
      </c>
      <c r="D3622" s="4">
        <v>46309</v>
      </c>
      <c r="E3622" s="3" t="s">
        <v>2199</v>
      </c>
      <c r="F3622" s="3" t="s">
        <v>2451</v>
      </c>
    </row>
    <row r="3623" spans="1:6" x14ac:dyDescent="0.3">
      <c r="A3623" s="3" t="s">
        <v>2757</v>
      </c>
      <c r="B3623" s="3" t="s">
        <v>142</v>
      </c>
      <c r="C3623" s="3" t="str">
        <f t="shared" si="56"/>
        <v>4500140044130</v>
      </c>
      <c r="D3623" s="4">
        <v>46309</v>
      </c>
      <c r="E3623" s="3" t="s">
        <v>2199</v>
      </c>
      <c r="F3623" s="3" t="s">
        <v>2451</v>
      </c>
    </row>
    <row r="3624" spans="1:6" x14ac:dyDescent="0.3">
      <c r="A3624" s="3" t="s">
        <v>2757</v>
      </c>
      <c r="B3624" s="3" t="s">
        <v>131</v>
      </c>
      <c r="C3624" s="3" t="str">
        <f t="shared" si="56"/>
        <v>4500140044140</v>
      </c>
      <c r="D3624" s="4">
        <v>46309</v>
      </c>
      <c r="E3624" s="3" t="s">
        <v>2199</v>
      </c>
      <c r="F3624" s="3" t="s">
        <v>2451</v>
      </c>
    </row>
    <row r="3625" spans="1:6" x14ac:dyDescent="0.3">
      <c r="A3625" s="3" t="s">
        <v>2927</v>
      </c>
      <c r="B3625" s="3" t="s">
        <v>30</v>
      </c>
      <c r="C3625" s="3" t="str">
        <f t="shared" si="56"/>
        <v>450014004510</v>
      </c>
      <c r="D3625" s="4">
        <v>46301</v>
      </c>
      <c r="E3625" s="3" t="s">
        <v>2196</v>
      </c>
      <c r="F3625" s="3" t="s">
        <v>2454</v>
      </c>
    </row>
    <row r="3626" spans="1:6" x14ac:dyDescent="0.3">
      <c r="A3626" s="3" t="s">
        <v>2927</v>
      </c>
      <c r="B3626" s="3" t="s">
        <v>22</v>
      </c>
      <c r="C3626" s="3" t="str">
        <f t="shared" si="56"/>
        <v>450014004520</v>
      </c>
      <c r="D3626" s="4">
        <v>46301</v>
      </c>
      <c r="E3626" s="3" t="s">
        <v>2196</v>
      </c>
      <c r="F3626" s="3" t="s">
        <v>2454</v>
      </c>
    </row>
    <row r="3627" spans="1:6" x14ac:dyDescent="0.3">
      <c r="A3627" s="3" t="s">
        <v>2927</v>
      </c>
      <c r="B3627" s="3" t="s">
        <v>35</v>
      </c>
      <c r="C3627" s="3" t="str">
        <f t="shared" si="56"/>
        <v>450014004530</v>
      </c>
      <c r="D3627" s="4">
        <v>46301</v>
      </c>
      <c r="E3627" s="3" t="s">
        <v>2196</v>
      </c>
      <c r="F3627" s="3" t="s">
        <v>2454</v>
      </c>
    </row>
    <row r="3628" spans="1:6" x14ac:dyDescent="0.3">
      <c r="A3628" s="3" t="s">
        <v>2927</v>
      </c>
      <c r="B3628" s="3" t="s">
        <v>23</v>
      </c>
      <c r="C3628" s="3" t="str">
        <f t="shared" si="56"/>
        <v>450014004540</v>
      </c>
      <c r="D3628" s="4">
        <v>46301</v>
      </c>
      <c r="E3628" s="3" t="s">
        <v>2196</v>
      </c>
      <c r="F3628" s="3" t="s">
        <v>2454</v>
      </c>
    </row>
    <row r="3629" spans="1:6" x14ac:dyDescent="0.3">
      <c r="A3629" s="3" t="s">
        <v>2927</v>
      </c>
      <c r="B3629" s="3" t="s">
        <v>144</v>
      </c>
      <c r="C3629" s="3" t="str">
        <f t="shared" si="56"/>
        <v>450014004550</v>
      </c>
      <c r="D3629" s="4">
        <v>46301</v>
      </c>
      <c r="E3629" s="3" t="s">
        <v>2196</v>
      </c>
      <c r="F3629" s="3" t="s">
        <v>2454</v>
      </c>
    </row>
    <row r="3630" spans="1:6" x14ac:dyDescent="0.3">
      <c r="A3630" s="3" t="s">
        <v>2927</v>
      </c>
      <c r="B3630" s="3" t="s">
        <v>141</v>
      </c>
      <c r="C3630" s="3" t="str">
        <f t="shared" si="56"/>
        <v>450014004560</v>
      </c>
      <c r="D3630" s="4">
        <v>46301</v>
      </c>
      <c r="E3630" s="3" t="s">
        <v>2196</v>
      </c>
      <c r="F3630" s="3" t="s">
        <v>2454</v>
      </c>
    </row>
    <row r="3631" spans="1:6" x14ac:dyDescent="0.3">
      <c r="A3631" s="3" t="s">
        <v>2906</v>
      </c>
      <c r="B3631" s="3" t="s">
        <v>22</v>
      </c>
      <c r="C3631" s="3" t="str">
        <f t="shared" si="56"/>
        <v>450014004720</v>
      </c>
      <c r="D3631" s="4">
        <v>46309</v>
      </c>
      <c r="E3631" s="3" t="s">
        <v>2199</v>
      </c>
      <c r="F3631" s="3" t="s">
        <v>3225</v>
      </c>
    </row>
    <row r="3632" spans="1:6" x14ac:dyDescent="0.3">
      <c r="A3632" s="3" t="s">
        <v>2906</v>
      </c>
      <c r="B3632" s="3" t="s">
        <v>35</v>
      </c>
      <c r="C3632" s="3" t="str">
        <f t="shared" si="56"/>
        <v>450014004730</v>
      </c>
      <c r="D3632" s="4">
        <v>46309</v>
      </c>
      <c r="E3632" s="3" t="s">
        <v>2199</v>
      </c>
      <c r="F3632" s="3" t="s">
        <v>3225</v>
      </c>
    </row>
    <row r="3633" spans="1:6" x14ac:dyDescent="0.3">
      <c r="A3633" s="3" t="s">
        <v>2906</v>
      </c>
      <c r="B3633" s="3" t="s">
        <v>23</v>
      </c>
      <c r="C3633" s="3" t="str">
        <f t="shared" si="56"/>
        <v>450014004740</v>
      </c>
      <c r="D3633" s="4">
        <v>46309</v>
      </c>
      <c r="E3633" s="3" t="s">
        <v>2199</v>
      </c>
      <c r="F3633" s="3" t="s">
        <v>3225</v>
      </c>
    </row>
    <row r="3634" spans="1:6" x14ac:dyDescent="0.3">
      <c r="A3634" s="3" t="s">
        <v>2906</v>
      </c>
      <c r="B3634" s="3" t="s">
        <v>144</v>
      </c>
      <c r="C3634" s="3" t="str">
        <f t="shared" si="56"/>
        <v>450014004750</v>
      </c>
      <c r="D3634" s="4">
        <v>46309</v>
      </c>
      <c r="E3634" s="3" t="s">
        <v>2199</v>
      </c>
      <c r="F3634" s="3" t="s">
        <v>3225</v>
      </c>
    </row>
    <row r="3635" spans="1:6" x14ac:dyDescent="0.3">
      <c r="A3635" s="3" t="s">
        <v>2906</v>
      </c>
      <c r="B3635" s="3" t="s">
        <v>45</v>
      </c>
      <c r="C3635" s="3" t="str">
        <f t="shared" si="56"/>
        <v>4500140047100</v>
      </c>
      <c r="D3635" s="4">
        <v>46309</v>
      </c>
      <c r="E3635" s="3" t="s">
        <v>2199</v>
      </c>
      <c r="F3635" s="3" t="s">
        <v>3225</v>
      </c>
    </row>
    <row r="3636" spans="1:6" x14ac:dyDescent="0.3">
      <c r="A3636" s="3" t="s">
        <v>2879</v>
      </c>
      <c r="B3636" s="3" t="s">
        <v>30</v>
      </c>
      <c r="C3636" s="3" t="str">
        <f t="shared" si="56"/>
        <v>450014005310</v>
      </c>
      <c r="D3636" s="4">
        <v>46301</v>
      </c>
      <c r="E3636" s="3" t="s">
        <v>2241</v>
      </c>
      <c r="F3636" s="3" t="s">
        <v>3225</v>
      </c>
    </row>
    <row r="3637" spans="1:6" x14ac:dyDescent="0.3">
      <c r="A3637" s="3" t="s">
        <v>3170</v>
      </c>
      <c r="B3637" s="3" t="s">
        <v>22</v>
      </c>
      <c r="C3637" s="3" t="str">
        <f t="shared" si="56"/>
        <v>450014006720</v>
      </c>
      <c r="D3637" s="4">
        <v>46309</v>
      </c>
      <c r="E3637" s="3" t="s">
        <v>2200</v>
      </c>
      <c r="F3637" s="3" t="s">
        <v>2677</v>
      </c>
    </row>
    <row r="3638" spans="1:6" x14ac:dyDescent="0.3">
      <c r="A3638" s="3" t="s">
        <v>3170</v>
      </c>
      <c r="B3638" s="3" t="s">
        <v>35</v>
      </c>
      <c r="C3638" s="3" t="str">
        <f t="shared" si="56"/>
        <v>450014006730</v>
      </c>
      <c r="D3638" s="4">
        <v>46309</v>
      </c>
      <c r="E3638" s="3" t="s">
        <v>2200</v>
      </c>
      <c r="F3638" s="3" t="s">
        <v>2677</v>
      </c>
    </row>
    <row r="3639" spans="1:6" x14ac:dyDescent="0.3">
      <c r="A3639" s="3" t="s">
        <v>3115</v>
      </c>
      <c r="B3639" s="3" t="s">
        <v>30</v>
      </c>
      <c r="C3639" s="3" t="str">
        <f t="shared" si="56"/>
        <v>450014007510</v>
      </c>
      <c r="D3639" s="4">
        <v>46305</v>
      </c>
      <c r="E3639" s="3" t="s">
        <v>2196</v>
      </c>
      <c r="F3639" s="3" t="s">
        <v>2515</v>
      </c>
    </row>
    <row r="3640" spans="1:6" x14ac:dyDescent="0.3">
      <c r="A3640" s="3" t="s">
        <v>3115</v>
      </c>
      <c r="B3640" s="3" t="s">
        <v>22</v>
      </c>
      <c r="C3640" s="3" t="str">
        <f t="shared" si="56"/>
        <v>450014007520</v>
      </c>
      <c r="D3640" s="4">
        <v>46305</v>
      </c>
      <c r="E3640" s="3" t="s">
        <v>2196</v>
      </c>
      <c r="F3640" s="3" t="s">
        <v>2515</v>
      </c>
    </row>
    <row r="3641" spans="1:6" x14ac:dyDescent="0.3">
      <c r="A3641" s="3" t="s">
        <v>2841</v>
      </c>
      <c r="B3641" s="3" t="s">
        <v>30</v>
      </c>
      <c r="C3641" s="3" t="str">
        <f t="shared" si="56"/>
        <v>450014009010</v>
      </c>
      <c r="D3641" s="4">
        <v>46259</v>
      </c>
      <c r="E3641" s="3" t="s">
        <v>2239</v>
      </c>
      <c r="F3641" s="3" t="s">
        <v>3262</v>
      </c>
    </row>
    <row r="3642" spans="1:6" x14ac:dyDescent="0.3">
      <c r="A3642" s="3" t="s">
        <v>3027</v>
      </c>
      <c r="B3642" s="3" t="s">
        <v>30</v>
      </c>
      <c r="C3642" s="3" t="str">
        <f t="shared" si="56"/>
        <v>450014009710</v>
      </c>
      <c r="D3642" s="4">
        <v>46298</v>
      </c>
      <c r="E3642" s="3" t="s">
        <v>2246</v>
      </c>
      <c r="F3642" s="3" t="s">
        <v>3263</v>
      </c>
    </row>
    <row r="3643" spans="1:6" x14ac:dyDescent="0.3">
      <c r="A3643" s="3" t="s">
        <v>2838</v>
      </c>
      <c r="B3643" s="3" t="s">
        <v>30</v>
      </c>
      <c r="C3643" s="3" t="str">
        <f t="shared" si="56"/>
        <v>450014009910</v>
      </c>
      <c r="D3643" s="4">
        <v>46326</v>
      </c>
      <c r="E3643" s="3" t="s">
        <v>2213</v>
      </c>
      <c r="F3643" s="3" t="s">
        <v>2438</v>
      </c>
    </row>
    <row r="3644" spans="1:6" x14ac:dyDescent="0.3">
      <c r="A3644" s="3" t="s">
        <v>3093</v>
      </c>
      <c r="B3644" s="3" t="s">
        <v>30</v>
      </c>
      <c r="C3644" s="3" t="str">
        <f t="shared" si="56"/>
        <v>450014011610</v>
      </c>
      <c r="D3644" s="4">
        <v>46300</v>
      </c>
      <c r="E3644" s="3" t="s">
        <v>2239</v>
      </c>
      <c r="F3644" s="3" t="s">
        <v>2632</v>
      </c>
    </row>
    <row r="3645" spans="1:6" x14ac:dyDescent="0.3">
      <c r="A3645" s="3" t="s">
        <v>3076</v>
      </c>
      <c r="B3645" s="3" t="s">
        <v>30</v>
      </c>
      <c r="C3645" s="3" t="str">
        <f t="shared" si="56"/>
        <v>450014013510</v>
      </c>
      <c r="D3645" s="4">
        <v>46300</v>
      </c>
      <c r="E3645" s="3" t="s">
        <v>2238</v>
      </c>
      <c r="F3645" s="3" t="s">
        <v>2447</v>
      </c>
    </row>
    <row r="3646" spans="1:6" x14ac:dyDescent="0.3">
      <c r="A3646" s="3" t="s">
        <v>3076</v>
      </c>
      <c r="B3646" s="3" t="s">
        <v>22</v>
      </c>
      <c r="C3646" s="3" t="str">
        <f t="shared" si="56"/>
        <v>450014013520</v>
      </c>
      <c r="D3646" s="4">
        <v>46300</v>
      </c>
      <c r="E3646" s="3" t="s">
        <v>2238</v>
      </c>
      <c r="F3646" s="3" t="s">
        <v>2447</v>
      </c>
    </row>
    <row r="3647" spans="1:6" x14ac:dyDescent="0.3">
      <c r="A3647" s="3" t="s">
        <v>3076</v>
      </c>
      <c r="B3647" s="3" t="s">
        <v>35</v>
      </c>
      <c r="C3647" s="3" t="str">
        <f t="shared" si="56"/>
        <v>450014013530</v>
      </c>
      <c r="D3647" s="4">
        <v>46300</v>
      </c>
      <c r="E3647" s="3" t="s">
        <v>2238</v>
      </c>
      <c r="F3647" s="3" t="s">
        <v>2447</v>
      </c>
    </row>
    <row r="3648" spans="1:6" x14ac:dyDescent="0.3">
      <c r="A3648" s="3" t="s">
        <v>3076</v>
      </c>
      <c r="B3648" s="3" t="s">
        <v>141</v>
      </c>
      <c r="C3648" s="3" t="str">
        <f t="shared" si="56"/>
        <v>450014013560</v>
      </c>
      <c r="D3648" s="4">
        <v>46300</v>
      </c>
      <c r="E3648" s="3" t="s">
        <v>2238</v>
      </c>
      <c r="F3648" s="3" t="s">
        <v>2447</v>
      </c>
    </row>
    <row r="3649" spans="1:6" x14ac:dyDescent="0.3">
      <c r="A3649" s="3" t="s">
        <v>2894</v>
      </c>
      <c r="B3649" s="3" t="s">
        <v>30</v>
      </c>
      <c r="C3649" s="3" t="str">
        <f t="shared" si="56"/>
        <v>450014013910</v>
      </c>
      <c r="D3649" s="4">
        <v>46387</v>
      </c>
      <c r="E3649" s="3" t="s">
        <v>2195</v>
      </c>
      <c r="F3649" s="3" t="s">
        <v>2555</v>
      </c>
    </row>
    <row r="3650" spans="1:6" x14ac:dyDescent="0.3">
      <c r="A3650" s="3" t="s">
        <v>3103</v>
      </c>
      <c r="B3650" s="3" t="s">
        <v>30</v>
      </c>
      <c r="C3650" s="3" t="str">
        <f t="shared" si="56"/>
        <v>450014014210</v>
      </c>
      <c r="D3650" s="4">
        <v>46296</v>
      </c>
      <c r="E3650" s="3" t="s">
        <v>2207</v>
      </c>
      <c r="F3650" s="3" t="s">
        <v>3264</v>
      </c>
    </row>
    <row r="3651" spans="1:6" x14ac:dyDescent="0.3">
      <c r="A3651" s="3" t="s">
        <v>3159</v>
      </c>
      <c r="B3651" s="3" t="s">
        <v>30</v>
      </c>
      <c r="C3651" s="3" t="str">
        <f t="shared" ref="C3651:C3658" si="57">_xlfn.CONCAT(A3651:B3651)</f>
        <v>450014014410</v>
      </c>
      <c r="D3651" s="4">
        <v>46296</v>
      </c>
      <c r="E3651" s="3" t="s">
        <v>2207</v>
      </c>
      <c r="F3651" s="3" t="s">
        <v>3265</v>
      </c>
    </row>
    <row r="3652" spans="1:6" x14ac:dyDescent="0.3">
      <c r="A3652" s="3" t="s">
        <v>3159</v>
      </c>
      <c r="B3652" s="3" t="s">
        <v>22</v>
      </c>
      <c r="C3652" s="3" t="str">
        <f t="shared" si="57"/>
        <v>450014014420</v>
      </c>
      <c r="D3652" s="4">
        <v>46296</v>
      </c>
      <c r="E3652" s="3" t="s">
        <v>2207</v>
      </c>
      <c r="F3652" s="3" t="s">
        <v>3265</v>
      </c>
    </row>
    <row r="3653" spans="1:6" x14ac:dyDescent="0.3">
      <c r="A3653" s="3" t="s">
        <v>3117</v>
      </c>
      <c r="B3653" s="3" t="s">
        <v>30</v>
      </c>
      <c r="C3653" s="3" t="str">
        <f t="shared" si="57"/>
        <v>450014014510</v>
      </c>
      <c r="D3653" s="4">
        <v>46446</v>
      </c>
      <c r="E3653" s="3" t="s">
        <v>2195</v>
      </c>
      <c r="F3653" s="3" t="s">
        <v>3235</v>
      </c>
    </row>
    <row r="3654" spans="1:6" x14ac:dyDescent="0.3">
      <c r="A3654" s="3" t="s">
        <v>3121</v>
      </c>
      <c r="B3654" s="3" t="s">
        <v>30</v>
      </c>
      <c r="C3654" s="3" t="str">
        <f t="shared" si="57"/>
        <v>450014014710</v>
      </c>
      <c r="D3654" s="4">
        <v>46386</v>
      </c>
      <c r="E3654" s="3" t="s">
        <v>2195</v>
      </c>
      <c r="F3654" s="3" t="s">
        <v>3232</v>
      </c>
    </row>
    <row r="3655" spans="1:6" x14ac:dyDescent="0.3">
      <c r="A3655" s="3" t="s">
        <v>3161</v>
      </c>
      <c r="B3655" s="3" t="s">
        <v>30</v>
      </c>
      <c r="C3655" s="3" t="str">
        <f t="shared" si="57"/>
        <v>450014014810</v>
      </c>
      <c r="D3655" s="4">
        <v>46296</v>
      </c>
      <c r="E3655" s="3" t="s">
        <v>2207</v>
      </c>
      <c r="F3655" s="3" t="s">
        <v>3265</v>
      </c>
    </row>
    <row r="3656" spans="1:6" x14ac:dyDescent="0.3">
      <c r="A3656" s="3" t="s">
        <v>3132</v>
      </c>
      <c r="B3656" s="3" t="s">
        <v>30</v>
      </c>
      <c r="C3656" s="3" t="str">
        <f t="shared" si="57"/>
        <v>450014015510</v>
      </c>
      <c r="D3656" s="4">
        <v>46296</v>
      </c>
      <c r="E3656" s="3" t="s">
        <v>2207</v>
      </c>
      <c r="F3656" s="3" t="s">
        <v>3265</v>
      </c>
    </row>
    <row r="3657" spans="1:6" x14ac:dyDescent="0.3">
      <c r="A3657" s="3" t="s">
        <v>3129</v>
      </c>
      <c r="B3657" s="3" t="s">
        <v>30</v>
      </c>
      <c r="C3657" s="3" t="str">
        <f t="shared" si="57"/>
        <v>450014015610</v>
      </c>
      <c r="D3657" s="4">
        <v>46387</v>
      </c>
      <c r="E3657" s="3" t="s">
        <v>2195</v>
      </c>
      <c r="F3657" s="3" t="s">
        <v>3233</v>
      </c>
    </row>
    <row r="3658" spans="1:6" x14ac:dyDescent="0.3">
      <c r="A3658" s="3" t="s">
        <v>3168</v>
      </c>
      <c r="B3658" s="3" t="s">
        <v>30</v>
      </c>
      <c r="C3658" s="3" t="str">
        <f t="shared" si="57"/>
        <v>450014017010</v>
      </c>
      <c r="D3658" s="4">
        <v>46359</v>
      </c>
      <c r="E3658" s="3" t="s">
        <v>2194</v>
      </c>
      <c r="F3658" s="3" t="s">
        <v>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created xsi:type="dcterms:W3CDTF">2026-10-01T18:40:58Z</dcterms:created>
  <dcterms:modified xsi:type="dcterms:W3CDTF">2026-10-05T15:06:59Z</dcterms:modified>
  <cp:category/>
</cp:coreProperties>
</file>